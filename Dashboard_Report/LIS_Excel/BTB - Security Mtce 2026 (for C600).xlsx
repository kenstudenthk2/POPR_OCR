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60" windowWidth="23955" windowHeight="11880"/>
  </bookViews>
  <sheets>
    <sheet name="2026" sheetId="1" r:id="rId1"/>
  </sheets>
  <definedNames>
    <definedName name="_xlnm._FilterDatabase" localSheetId="0" hidden="1">'2026'!$A$2:$AE$2</definedName>
  </definedNames>
  <calcPr calcId="125725"/>
</workbook>
</file>

<file path=xl/calcChain.xml><?xml version="1.0" encoding="utf-8"?>
<calcChain xmlns="http://schemas.openxmlformats.org/spreadsheetml/2006/main">
  <c r="L1" i="1"/>
</calcChain>
</file>

<file path=xl/sharedStrings.xml><?xml version="1.0" encoding="utf-8"?>
<sst xmlns="http://schemas.openxmlformats.org/spreadsheetml/2006/main" count="2917" uniqueCount="1469">
  <si>
    <t>Total</t>
  </si>
  <si>
    <t>No.</t>
  </si>
  <si>
    <t>Customer Name</t>
  </si>
  <si>
    <t>Agreement #</t>
  </si>
  <si>
    <t>PR #</t>
  </si>
  <si>
    <t>PR
Report Date</t>
  </si>
  <si>
    <t>PR
Month</t>
  </si>
  <si>
    <t>PO #</t>
  </si>
  <si>
    <t>PO Date</t>
  </si>
  <si>
    <t>Brand</t>
  </si>
  <si>
    <t>Description</t>
  </si>
  <si>
    <t>Model</t>
  </si>
  <si>
    <t>PR Amount
HKD</t>
  </si>
  <si>
    <t>PO Total Amount
HKD</t>
  </si>
  <si>
    <t>PO Total Amount
USD</t>
  </si>
  <si>
    <t>Selling Amount
HKD</t>
  </si>
  <si>
    <t>Ratio of 
Overall 
cost / revenue</t>
  </si>
  <si>
    <t>Ratio of Overall 
Swapping / revenue</t>
  </si>
  <si>
    <t>Vendor</t>
  </si>
  <si>
    <t>A/C</t>
  </si>
  <si>
    <t>W.O.</t>
  </si>
  <si>
    <t>Receipt Date in LIS</t>
  </si>
  <si>
    <t>Job Start Date</t>
  </si>
  <si>
    <t>Job End Date</t>
  </si>
  <si>
    <t>rec'd mth</t>
  </si>
  <si>
    <t>SB Mtce order #</t>
  </si>
  <si>
    <t>PR Approved by</t>
  </si>
  <si>
    <t>SB in charge</t>
  </si>
  <si>
    <t>Lic receive date</t>
  </si>
  <si>
    <t>BTB status</t>
  </si>
  <si>
    <t>UID</t>
  </si>
  <si>
    <t>Notes</t>
  </si>
  <si>
    <t>Ricoh Asia Pacific Operations Limited</t>
  </si>
  <si>
    <t>G260100085YR</t>
  </si>
  <si>
    <t>ZM1573272</t>
  </si>
  <si>
    <t>Palo Alto</t>
  </si>
  <si>
    <t>(PAN-PRISMA-ACCESS-MU-ENTERPRISE) Prisma Access User Enterprise Edition includes private app access and outbound internet security for users, premium security subscription, worldwide service locations, 5 service connections, 10 ZTNA connectors, and standard success per user per year; S/N: 0124000000007876; Period: 26-Jan-26 to 31-Mar-27 (Qty: 400)
(PAN-PRISMA-ACCESS-PREM-SUCCESS) Prisma Access Premium Success; S/N: 0124000000007876; Period: 26-Jan-26 to 31-Mar-27 (Qty:1)
(PAN-PRISMA-ACCESS-MU-SLS) Strata Logging Service subscription for Prisma Access Mobile Users. Includes 1 year of retention. Price per user.; S/N: 0124000000007876; Period: 26-Jan-26 to 31-Mar-27 (Qty: 400) 
(PAN-PRISMA-ACCESS-MU-BUSINESS-PRM) Prisma Access User SWG Edition includes outbound internet security for users, premium security subscription, worldwide service locations, and standard success per user per year; S/N: 0124000000004495; Period: 26-Jan-26 to 31-Mar-27 (Qty: 2000)
(PAN-PRISMA-ACCESS-PREM-SUCCESS) Prisma Access Premium Success; S/N: 0124000000004495; Period: 26-Jan-26 to 31-Mar-27 (Qty:1)
(PAN-PRISMA-ACCESS-MU-SLS) Strata Logging Service subscription for Prisma Access Mobile Users. Includes 1 year of retention. Price per user; S/N: 0124000000004495; Period: 26-Jan-26 to 31-Mar-27 (Qty: 2000)
(PAN-SVC-PREM-PRA25) Premium support year 1, Panorama 25 devices; S/N: 000702492697; Period: 26-Jan-26 to 31-Mar-27 (Qty:1)</t>
  </si>
  <si>
    <t>Software subscription</t>
  </si>
  <si>
    <t>B &amp; DATA TECHNOLOGY CO LTD</t>
  </si>
  <si>
    <t>00244747</t>
  </si>
  <si>
    <t>I55911, I56102 &amp; I55974</t>
  </si>
  <si>
    <t>Milton Yeung</t>
  </si>
  <si>
    <t>Yau, Ricky CH</t>
  </si>
  <si>
    <t>done</t>
  </si>
  <si>
    <t>UID-25-12-0398</t>
  </si>
  <si>
    <t>Hong Kong Baptist Hospital</t>
  </si>
  <si>
    <t>G251290239YT</t>
  </si>
  <si>
    <t>ZM1572830</t>
  </si>
  <si>
    <t>Fortinet</t>
  </si>
  <si>
    <r>
      <rPr>
        <sz val="10"/>
        <rFont val="Arial"/>
        <family val="2"/>
      </rPr>
      <t>(FC-10-00900-247-02-12) FortiGate-900D FortiCare Premium Support, and FortiGuard IPS Service (FC-10-00900-108-02-12), and 4-Hour Hardware Delivery Priority RMA Service (FCZ-15-00900-211-02-00); S/N: FG900D3917800602 / FG900D3917800579; coterm maintenance From 31 Dec 2025 To 31 Dec 2027 (Qty:2)
(FC-10-00208-247-02-12) FortiGate-201E FortiCare Premium Support; S/N: FG201ETK19906403; coterm maintenance From 29 Dec 2025 To 31 Dec 2027
(EDV-SWP-FG201E (7x24WL)) 24x7x4 Distributor Swapping Service with On-site Labour; Pls refer to Edvance service contract for details; S/N: FG201ETK19906403; Period: From 29 Dec 2025 To 31 Dec 2027
(FC-10-00208-247-02-12) FortiGate-201E FortiCare Premium Support; S/N: FG201ETK18906318 / FG201ETK18906186; coterm maintenance From 31 Dec 2025 To 31 Dec 2027 (Qty:2)
(EDV-SWP-FG201E (7x24WL)) 24x7x4 Distributor Swapping Service with On-site Labour; Pls refer to Edvance service contract for details; S/N: FG201ETK18906318 / FG201ETK18906186; Period: From 31 Dec 2025 To 31 Dec 2027 (Qty:2)</t>
    </r>
  </si>
  <si>
    <t>FG-900D x 2 ; FG-201E x 3
(swap $10,500)</t>
  </si>
  <si>
    <t>EDVANCE TECHNOLOGY (HONG KONG) LIMITED</t>
  </si>
  <si>
    <t>31-Dec-25
29-Dec-25</t>
  </si>
  <si>
    <t>MASS13338</t>
  </si>
  <si>
    <t>Yim, Theo TP</t>
  </si>
  <si>
    <t>UID-25-12-0397</t>
  </si>
  <si>
    <t>** Winback</t>
  </si>
  <si>
    <t>Holly International Financial Holdings Ltd</t>
  </si>
  <si>
    <t>G260190003TS (Ref.20251223HKT, G2025WB1145TS)</t>
  </si>
  <si>
    <t>ZM1573007</t>
  </si>
  <si>
    <t>(FC-10-00207-950-02-12) FortiGate-200E 1 Year Unified Threat Protection (UTP) (IPS, Advanced Malware Protection, Application Control, URL, DNS &amp; Video Filtering, Antispam Service, and FortiCare Premium); S/N: FG200ETK19909611 / FG200ETK19909347; Period: From 20 Jun 2025 To 20 Jun 2026 (Qty:2)
** Client specifically request to exclude HW swapping</t>
  </si>
  <si>
    <t>FG-200E x 2
(without swap in contract)</t>
  </si>
  <si>
    <t>D38668-1</t>
  </si>
  <si>
    <t>Edward Leung</t>
  </si>
  <si>
    <t>Tan, Simon HH</t>
  </si>
  <si>
    <t>UID-26-01-0007</t>
  </si>
  <si>
    <t>China Construction Bank (Asia) Corp Limited</t>
  </si>
  <si>
    <t>L251200980JI (Ref.PIT-2025149-FTD) Spare parts</t>
  </si>
  <si>
    <t>ZM1573008</t>
  </si>
  <si>
    <r>
      <t xml:space="preserve">Huawei Firewall USG6515E (Refurbished); S/N:102050147639
</t>
    </r>
    <r>
      <rPr>
        <b/>
        <sz val="10"/>
        <color indexed="30"/>
        <rFont val="Arial"/>
        <family val="2"/>
      </rPr>
      <t xml:space="preserve">PO Handled by Wu, Natalie CY 
</t>
    </r>
    <r>
      <rPr>
        <b/>
        <sz val="10"/>
        <color indexed="30"/>
        <rFont val="Arial"/>
        <family val="2"/>
      </rPr>
      <t xml:space="preserve">** EU's Contract - </t>
    </r>
    <r>
      <rPr>
        <b/>
        <sz val="10"/>
        <color indexed="30"/>
        <rFont val="Arial"/>
        <family val="2"/>
      </rPr>
      <t xml:space="preserve">just provide 7x24 H/W fault &amp; Labour support as EOL on 30-Jun-2025
</t>
    </r>
    <r>
      <rPr>
        <b/>
        <sz val="10"/>
        <color indexed="30"/>
        <rFont val="Arial"/>
        <family val="2"/>
      </rPr>
      <t xml:space="preserve">HKT spare parts </t>
    </r>
    <r>
      <rPr>
        <b/>
        <sz val="10"/>
        <color indexed="30"/>
        <rFont val="Arial"/>
        <family val="2"/>
      </rPr>
      <t>for</t>
    </r>
    <r>
      <rPr>
        <b/>
        <sz val="10"/>
        <color indexed="30"/>
        <rFont val="Arial"/>
        <family val="2"/>
      </rPr>
      <t xml:space="preserve"> provide HW support only (Site </t>
    </r>
    <r>
      <rPr>
        <b/>
        <sz val="10"/>
        <color indexed="30"/>
        <rFont val="Arial"/>
        <family val="2"/>
      </rPr>
      <t xml:space="preserve">USG6515E x 3, </t>
    </r>
    <r>
      <rPr>
        <b/>
        <sz val="10"/>
        <color indexed="30"/>
        <rFont val="Arial"/>
        <family val="2"/>
      </rPr>
      <t xml:space="preserve">S/N: </t>
    </r>
    <r>
      <rPr>
        <b/>
        <sz val="10"/>
        <color indexed="30"/>
        <rFont val="Arial"/>
        <family val="2"/>
      </rPr>
      <t>1019C0141697 / 1019C0141699 / 1019C0141701)</t>
    </r>
  </si>
  <si>
    <t>USG6515E x 1</t>
  </si>
  <si>
    <t>Committed Price</t>
  </si>
  <si>
    <t>MAN FUNG TECHNOLOGY LIMITED</t>
  </si>
  <si>
    <t>00244757</t>
  </si>
  <si>
    <t>D43980</t>
  </si>
  <si>
    <t>Hsui, Janet WJ</t>
  </si>
  <si>
    <t>UID-26-01-0002</t>
  </si>
  <si>
    <t>Spare Parts</t>
  </si>
  <si>
    <t>Hong Kong Sanatorium &amp; Hospital</t>
  </si>
  <si>
    <t>G260100063CO (PO.M20260651 &amp; M20260654)</t>
  </si>
  <si>
    <t>ZM1573873</t>
  </si>
  <si>
    <t>(PAN-SVC-BKLN-3410-3YR) Partner enabled premium support 3-year term, PA-3410; S/N: 024101006455 / 024101006469 / 024101006470 / 024101006472 / 024101006487 / 024101006488; Period: 4-Apr-2026 to 3-Apr-2029 (Qty:6)
(PAN-PA-3410-ATP-3YR-HA2) Advanced Threat Prevention subscription 3 year term for device in an HA pair, PA-3410; S/N: 024101006469 / 024101006472 / 024101006487 / 024101006488; Period: 4-Apr-2026 to 3-Apr-2029 (Qty:4)
(BD-SWAP-PRE-3YR) B&amp;Data Swapping Service - 24x7x4 (No Labour) - 3 Years; S/N: 024101006455 / 024101006469 / 024101006470 / 024101006472 / 024101006487 / 024101006488; Period: 4-Apr-2026 to 3-Apr-2029 (Qty:6)
(PAN-SVC-BKLN-850-3YR) Partner enabled premium support 3 year prepaid, PA-850; S/N:011901060098 / 011901061890; Period: 4-Apr-2026 to 3-Apr-2029 (Qty:2)
(PAN-PA-850-ATP-3YR-HA2) Advanced Threat Prevention subscription 3-year term for device in an HA pair, PA-850;  S/N:011901060098 / 011901061890; Period: 4-Apr-2026 to 3-Apr-2029 (Qty:2)
(BD-SWAP-PRE-3YR) B&amp;Data Swapping Service - 24x7x4 (No Labour) - 3 Years;  S/N:011901060098 / 011901061890; Period: 4-Apr-2026 to 3-Apr-2029 (Qty:2)
(PAN-SVC-BKLN-PRA-25-3YR) Partner enabled premium support 3 year term, Panorama 25 devices; S/N: 000702264811; Period: 27-Feb-2026 to 26-Feb-2029 (Qty:1)</t>
  </si>
  <si>
    <t>PA-3410 x 6 ; PA-850 x 2 ; PRA-25 x 1
(swap $239,190)</t>
  </si>
  <si>
    <t>4-Apr-26
27-Feb-26</t>
  </si>
  <si>
    <t>3-Apr-29
26-Feb-29</t>
  </si>
  <si>
    <t>I55933</t>
  </si>
  <si>
    <t>Leung Wing Keung</t>
  </si>
  <si>
    <t>Chan, Connie WC</t>
  </si>
  <si>
    <t>UID-25-12-0370</t>
  </si>
  <si>
    <t>Hong Kong Interbank Clearing Ltd</t>
  </si>
  <si>
    <t>G260190018NP (PO.CU130/30/12/25, ref.G251200201JI / 2025WB879NP)</t>
  </si>
  <si>
    <t>ZM1575448</t>
  </si>
  <si>
    <t>ManageEngine</t>
  </si>
  <si>
    <t>ManageEngine Endpoint Central UEM Edition - Subscription Model
Annual subscription fee for 900 endpoints and Single User License
Annual subscription fee for 800 Servers and Single User License 
License 2026-01-01 to 2026-12-31</t>
  </si>
  <si>
    <t>NETMON INFORMATION SYSTEMS LIMITED</t>
  </si>
  <si>
    <t>MASS14226</t>
  </si>
  <si>
    <t>Po, Nicky MY</t>
  </si>
  <si>
    <t>UID-25-12-0396</t>
  </si>
  <si>
    <t>BOC International Holdings Limited</t>
  </si>
  <si>
    <t>G260190002KW (Ref.HKTQ20250826KW)</t>
  </si>
  <si>
    <t>ZM1573980</t>
  </si>
  <si>
    <t>Cisco</t>
  </si>
  <si>
    <r>
      <t>(UMBSA-SEC-UPG) Cisco Umbrella To Secure Access or Security Suites Upgrade
(UMB-SA-UPG) Cisco Umbrella to Secure Access or Security Suites Upgrade
(SVS-UMBSA-UPG-S) Solution Support for UMB to Secure Access/Suites</t>
    </r>
    <r>
      <rPr>
        <b/>
        <sz val="10"/>
        <color indexed="30"/>
        <rFont val="Arial"/>
        <family val="2"/>
      </rPr>
      <t xml:space="preserve">
PO was issued by Chan, Yuk-Fun (Comm code: SSCC)</t>
    </r>
  </si>
  <si>
    <t>Refer to line 10</t>
  </si>
  <si>
    <t>CISCO INTERNATIONAL LIMITED</t>
  </si>
  <si>
    <t>I54964</t>
  </si>
  <si>
    <t>Wong, Kiwi LF</t>
  </si>
  <si>
    <t>waiting book-in</t>
  </si>
  <si>
    <t>UID-26-01-0010</t>
  </si>
  <si>
    <t>ZM1573981</t>
  </si>
  <si>
    <r>
      <rPr>
        <sz val="10"/>
        <rFont val="Arial"/>
        <family val="2"/>
      </rPr>
      <t>(SECURE-ACCESS-SUB) Cisco Secure Access Subscription; Period: 3-Feb-2026 to 2-Feb-2027 (Qty:1)
(SVS-SECA-SUP-E) Cisco Support Enhanced for Secure Access; Period: 3-Feb-2026 to 2-Feb-2027 (Qty:1)
(SA-DNS-ESS-K9) Cisco Secure Access DNS Essentials; Period: 3-Feb-2026 to 2-Feb-2027 (Qty:1000)</t>
    </r>
    <r>
      <rPr>
        <b/>
        <sz val="10"/>
        <color indexed="30"/>
        <rFont val="Arial"/>
        <family val="2"/>
      </rPr>
      <t xml:space="preserve">
PO was issued by Chan, Yuk-Fun (Comm code: SSCC)</t>
    </r>
  </si>
  <si>
    <t>G251200183CO (PO:M20260651)</t>
  </si>
  <si>
    <t>ZM1573476</t>
  </si>
  <si>
    <t>Juniper</t>
  </si>
  <si>
    <t>(PAR-ND-SRX340HW) PSS Next Day Support for SRX340 (SOFTWARE SUPPORT IS NOT INCLUDED, must be purchased separately); S/N: CY0219AF0335 replace CY2818AF0192 / CY1517AF0176 / CY2017AF0225 / CY2017AF0286 / CY2017AF0453 / CY2818AF1055 / CY3817AF0688 / CY3817AF0699 / CY3316AF0498 / CY3316AF0629; Period: 1-Jan-26 to 31-Dec-26 (Qty:10)
(PAR-SUP-SRX340JSB) PSS Basic Support for SRX340-JSB; S/N: RTU00019883863 / RTU00019883864 / RTU00022198224 / RTU00022198225 / RTU00022410879 / RTU00022410880 / RTU00023240116 / RTU00023240115 / RTU00024131722 / RTU00024131723; Period: 1-Jan-26 to 31-Dec-26 (Qty:10)</t>
  </si>
  <si>
    <t>SRX340 x 10</t>
  </si>
  <si>
    <t>CYBERWORLD (ASIA) LIMITED</t>
  </si>
  <si>
    <t>J52374, J61400, J60993, J79221, D32741</t>
  </si>
  <si>
    <t>UID-26-01-0024</t>
  </si>
  <si>
    <t>Hong Kong Note Printing Limited</t>
  </si>
  <si>
    <t>G260190005WC (PO:18287, ref 2025WB839WC)</t>
  </si>
  <si>
    <t>ZM1573905</t>
  </si>
  <si>
    <r>
      <rPr>
        <sz val="10"/>
        <rFont val="Arial"/>
        <family val="2"/>
      </rPr>
      <t>(FC-10-W060F-950-02-12) FortiWiFi-60F Unified Threat Protection (UTP) (IPS, Advanced Malware Protection, Application Control, URL, DNS &amp; Video Filtering, Antispam Service, and FortiCare Premium); S/N: FWF60FTK20002660 / FWF60FTK20003064; coterm maintenance From 14 Jan 2026 To 31 Dec 2028 (Qty:2)
(EDV-SWP-FWF60F (7x24WL) 24x7x4 Distributor Swapping Service with On-site Labour; Pls refer to Edvance service contract for details; S/N: FWF60FTK20002660 / FWF60FTK20003064; Period: From 14 Jan 2026 To 31 Dec 2028 (Qty:2)</t>
    </r>
  </si>
  <si>
    <t>FortiWiFi-60F x 2
(swap $4,000)</t>
  </si>
  <si>
    <t>MASS14224</t>
  </si>
  <si>
    <t>Wong, Cammy SL</t>
  </si>
  <si>
    <t>UID-26-01-0013</t>
  </si>
  <si>
    <t>Telford International Company Limited</t>
  </si>
  <si>
    <t>G260200054CB</t>
  </si>
  <si>
    <t>ZM1574754</t>
  </si>
  <si>
    <r>
      <rPr>
        <sz val="10"/>
        <rFont val="Arial"/>
        <family val="2"/>
      </rPr>
      <t>(FC-10-0040F-950-02-12) FortiGate-40F 1 Year Unified Threat Protection (UTP) (IPS, Advanced Malware Protection, Application Control, URL, DNS &amp; Video Filtering, Antispam Service, and FortiCare Premium); S/N: FGT40FTK2209CS3P / FGT40FTK2209CQHY; Period: From 7 Feb 2026 To 7 Feb 2027 (Qty:2)
(EDV-SWP-FG40F (7x24WL)) 1 Year 24x7x4 Distributor Swapping Service with On-site Labour; Pls refer to Edvance service contract for details; S/N: FGT40FTK2209CS3P / FGT40FTK2209CQHY; Period: From 7 Feb 2026 To 7 Feb 2027 (Qty:2)</t>
    </r>
  </si>
  <si>
    <t>FG-40F x 2
(swap $1,600)</t>
  </si>
  <si>
    <t>D23194</t>
  </si>
  <si>
    <t>Chan, Ina YK</t>
  </si>
  <si>
    <t>UID-26-01-0054</t>
  </si>
  <si>
    <t>The Hong Kong Institution Of Engineers</t>
  </si>
  <si>
    <t>G260100110CF</t>
  </si>
  <si>
    <t>ZM1574867</t>
  </si>
  <si>
    <r>
      <rPr>
        <sz val="10"/>
        <rFont val="Arial"/>
        <family val="2"/>
      </rPr>
      <t>(FC-10-0401E-950-02-00-coterm) FortiGate-401E Unifi ed Threat Protection (UTP) (IPS, Advanced Malware Protection, Application Control,URL, DNS &amp; Video Filtering, Antispam Service, and FortiCare Premium); S/N: FG4H1ETB21901268 / FG4H1ETB21901279 / FG4H1ETB21901389 / FG4H1ETB21901579; Period: 26 Jan 26 to 26 Jan 27 (Qty:4)
(FCZ-15-0401E-211-02-00-coterm) 4-Hour Hardware Delivery Priority RMA Service (requires Premium support) FortiGate-401E; S/N: FG4H1ETB21901268 / FG4H1ETB21901279 / FG4H1ETB21901389 / FG4H1ETB21901579; Period: 26 Jan 26 to 26 Jan 27 (Qty:4)</t>
    </r>
  </si>
  <si>
    <t>FG-401E x 4</t>
  </si>
  <si>
    <t>EXCLUSIVE NETWORKS JJNET HONG KONG LIMITED</t>
  </si>
  <si>
    <t>D22980</t>
  </si>
  <si>
    <t>Mak, Connie OM</t>
  </si>
  <si>
    <t>UID-26-01-0023</t>
  </si>
  <si>
    <t>G260100110CF (Spare parts)</t>
  </si>
  <si>
    <t>ZM1574861</t>
  </si>
  <si>
    <r>
      <t xml:space="preserve">(SP-FG300E-PS) AC power supply for FG-300/301E, FG-400/401E, FG-500/501E,FG-600/601E, FG-1100/1101E, FAZ-200F/FAZ-300F/FMG-200F and FAZ-800F/FMG-300F, power cable SP-FGPCOR-XX sold separately
</t>
    </r>
    <r>
      <rPr>
        <b/>
        <sz val="10"/>
        <color indexed="30"/>
        <rFont val="Arial"/>
        <family val="2"/>
      </rPr>
      <t>** HKT Spare Parts for hardware support to customer (contract S/N: XQ2025RJ0452 / XQ2025RJ1360 / XQ2025RJ1736 / XQ2025RJ2533)</t>
    </r>
  </si>
  <si>
    <t>AC power supply x 1</t>
  </si>
  <si>
    <t>refer to line 14</t>
  </si>
  <si>
    <t>UOB Kay Hian (Hong Kong) Ltd</t>
  </si>
  <si>
    <t>L251201200NP</t>
  </si>
  <si>
    <t>ZM1574671</t>
  </si>
  <si>
    <r>
      <rPr>
        <sz val="10"/>
        <rFont val="Arial"/>
        <family val="2"/>
      </rPr>
      <t>(FC-10-00208-950-02-12) FortiGate-201E 1 Year Unified Threat Protection (UTP) (IPS, Advanced Malware Protection, Application Control, URL, DNS &amp; Video Filtering, Antispam Service, and FortiCare Premium); S/N: FG201ETK19904561 / FG201ETK18900744; coterm maintenance From 11 Feb 2026 To 11 Feb 2027 (Qty:2)
(EDV-SWP-FG201E (7x24WOL)) 1 Year 24x7x4 Distributor Swapping Service without On-site Labour; Pls refer to Edvance service contract for details; S/N: FG201ETK19904561 / FG201ETK18900744; Period: From 11 Feb 2026 To 11 Feb 2027 (Qty:2)
(FC-10-F201F-950-02-12) FortiGate-201F 1 Year Unified Threat Protection (UTP) (IPS, Advanced Malware Protection, Application Control, URL, DNS &amp; Video Filtering, Antispam Service, and FortiCare Premium); S/N: FG201FT922911519 / FG201FT922911518; coterm maintenance From 10 Nov 2025 To 10 Nov 2026 (Qty:2)
(FC-10-F201F-211-02-12) FortiGate-201F 1 Year 4-Hour Hardware Delivery Priority RMA Service (requires Premium support); S/N: FG201FT922911519 / FG201FT922911518; coterm maintenance From 10 Nov 2025 To 10 Nov 2026 (Qty:2)</t>
    </r>
  </si>
  <si>
    <t>FG-201E x 2 ; FG-201F x 2
(swap $4,800)</t>
  </si>
  <si>
    <t>11-Feb-26
10-Nov-25</t>
  </si>
  <si>
    <t>11-Feb-27
10-Nov-26</t>
  </si>
  <si>
    <t>I68492, D60298</t>
  </si>
  <si>
    <t>UID-26-01-0065</t>
  </si>
  <si>
    <t>The HK &amp; China Gas Co Ltd</t>
  </si>
  <si>
    <t>G260100112KW</t>
  </si>
  <si>
    <t>ZM1574837</t>
  </si>
  <si>
    <t>Imperva</t>
  </si>
  <si>
    <t>(SS-WAF-X22-R-SL1) X2020 Web Application Firewall, Annual Enhanced Support; S/N: 1714L00060, 1809L00045; Period: From 28 Jan 2026 To 31 Dec 2026 (Qty:2)
(SS-M12-R-SL1) M120 Management Server, Annual Enhanced Support; S/N: 1826L00045; Period: From 28 Jan 2026 To 31 Dec 2026
(EDV-SUP (24x7x4)) Edvance Annual Local Support Service (24x7x4); Unlimited Phone and Email Support During Office and Non-Office Hour; 24 x 7 On-Site Support for severity Level 1 issues; Pls refer to Edvance service contract for details; Period: From 28 Jan 2026 To 31 Dec 2026</t>
  </si>
  <si>
    <t>X2020 x 2 ; M120 x 1</t>
  </si>
  <si>
    <t>J99389</t>
  </si>
  <si>
    <t>UID-26-01-0097</t>
  </si>
  <si>
    <t xml:space="preserve">DCH Business Innovations Ltd (EU: Dah Chong Hong) </t>
  </si>
  <si>
    <t>G251200151KW (PO: BI-PO00003169-2)</t>
  </si>
  <si>
    <t>ZM1575252</t>
  </si>
  <si>
    <r>
      <rPr>
        <sz val="10"/>
        <rFont val="Arial"/>
        <family val="2"/>
      </rPr>
      <t>*</t>
    </r>
    <r>
      <rPr>
        <sz val="10"/>
        <rFont val="Arial"/>
        <family val="2"/>
      </rPr>
      <t>*Excluded HKT labor support in Customer contract</t>
    </r>
    <r>
      <rPr>
        <sz val="10"/>
        <rFont val="Arial"/>
        <family val="2"/>
      </rPr>
      <t xml:space="preserve">
(PAN-PA-220-ADVURL-HA2-R) Subscription Advanced URL Filtering, 1-year, PA-220, HA Pair Renewal; S/N: 12801055703 / 12801063972 / 12801064062 / 12801064081 / 12801064670 / 12801111883 / 12801130664 / 12801245351 / 12801064680 / 12801192363; Period: 1-Jan-26 to 31-Dec-26 (Qty:10)
(PAN-PA-220-ADVURL-R) Subscription Advanced URL Filtering, 1-year, Renewal, PA-220; S/N: 12801141873 / 12801158277 / 12801158592 / 12801163654 / 12801204619 / 12801238825; Period: 1-Jan-26 to 31-Dec-26 (Qty:6)
(PAN-PA-220-ATP-HA2-R) Advanced Threat Prevention subscription for device in an HA pair renewal, PA-220; S/N:12801055703 / 12801063972 / 12801064062 / 12801064081 / 12801064670 / 12801111883 / 12801064680; Period: 1-Jan-26 to 31-Dec-26 (Qty:7)
(PAN-PA-220-ATP-R) Advanced Threat Prevention subscription renewal, PA-220; S/N:12801130664 / 12801141873 / 12801158277 / 12801158592 / 12801163654 / 12801204619 / 12801238825 / 12801245351 / 12801192363; Period: 1-Jan-26 to 31-Dec-26 (Qty:9)
(PAN-SVC-PREM-220-R) Premium support renewal, PA-220; S/N:12801055703 /12801063972 /12801064062 /12801064081 /12801064670 /12801111883 /12801130664 /12801141873 /12801158277 /12801158592 /12801163654 /12801204619 /12801238825 /12801245351 /12801064680 /12801192363; Period: 1-Jan-26 to 31-Dec-26 (Qty:16)
(PAN-PA-820-ADVURL-HA2-R) Subscription Advanced URL Filtering, 1-year, PA-820, HA Pair Renewal; S/N: 12001013513 / 12001013622; Period: 1-Jan-26 to 31-Dec-26 (Qty:2)
(PAN-PA-820-ATP-HA2-R) Advanced Threat Prevention subscription renewal for devices in HA pair, PA-820; S/N: 12001013513 / 12001013622; Period: 1-Jan-26 to 31-Dec-26 (Qty:2)
(PAN-SVC-4HR-820-R) 4-Hour premium support year 1 renewal, PA-820; S/N: 12001013513 / 12001013622; Period: 1-Jan-26 to 31-Dec-26 (Qty:2)
**EOSL Information: TP and DNS :2025/6/16 EOS; SD-WAN: 2025/2/21 EOS; Advanced SD-WAN Lic will purchase on 2024/10/20 ; PA-220 EOSL: 2028/1/31,PA-800 EOSL: 2029/8/31; PA-3200, 5200 EOSL:2028/8/31</t>
    </r>
  </si>
  <si>
    <t>PA-820 x 2 ; PA-220 x 16</t>
  </si>
  <si>
    <t>ACW DISTRIBUTION (HK) LIMITED</t>
  </si>
  <si>
    <t>MASS13448, MASS13448-1 to 8,10,11,12,14,15</t>
  </si>
  <si>
    <t>UID-26-01-0093</t>
  </si>
  <si>
    <t>The Treasury</t>
  </si>
  <si>
    <t>G260190095IL (53_EPO-25-00471)</t>
  </si>
  <si>
    <t>ZM1575919</t>
  </si>
  <si>
    <t xml:space="preserve">CyberArk </t>
  </si>
  <si>
    <r>
      <t xml:space="preserve">(MAINT-SW-24X7) Period: from 05 Feb 2026 to 04 Feb 2027
24x7 Software Maintenance - PAS-INF-CPM-PERP* 1
PAS-INF-VAULT-DR-PERP* 1
PSM-CN-5-PERP* 6"
</t>
    </r>
    <r>
      <rPr>
        <b/>
        <sz val="10"/>
        <color indexed="30"/>
        <rFont val="Arial"/>
        <family val="2"/>
      </rPr>
      <t>S/N: POHK020002593(1)</t>
    </r>
    <r>
      <rPr>
        <sz val="10"/>
        <rFont val="Arial"/>
        <family val="2"/>
      </rPr>
      <t xml:space="preserve">
(P-PM001-XD-ZZ-002-OS) CyberArk 24x7x4 Local Support Service 1 year; Period: from 05 Feb 2026 to 04 Feb 2027
- Local support service for customer production environment
- Unlimited Phone and Email Support During Office and Non-Office Hour
- On-demand Support Service with SLA
- 24 x 7 On-Site Support for severity Level 1 issues
</t>
    </r>
    <r>
      <rPr>
        <b/>
        <sz val="10"/>
        <color indexed="30"/>
        <rFont val="Arial"/>
        <family val="2"/>
      </rPr>
      <t>S/N: POHK020002594(1)</t>
    </r>
  </si>
  <si>
    <t>MASS14232 (from I60449)</t>
  </si>
  <si>
    <t>Leung, Ida PS</t>
  </si>
  <si>
    <t>UID-26-01-0101</t>
  </si>
  <si>
    <t>Po Leung Kuk Laws Foundation College</t>
  </si>
  <si>
    <t>W260200999L3</t>
  </si>
  <si>
    <t>ZM1575830</t>
  </si>
  <si>
    <r>
      <rPr>
        <sz val="10"/>
        <rFont val="Arial"/>
        <family val="2"/>
      </rPr>
      <t>(FC-10-F101F-950-02-12) FortiGate-101F 1 Year Unified Threat Protection (UTP) (IPS, Advanced Malware Protection, Application Control, URL, DNS &amp; Video Filtering, Antispam Service, and FortiCare Premium); S/N: FG101FTK21010429; Period: From 22 Feb 2026 To 22 Feb 2027 
(EDV-SWP-FG101F (7x24WL)) 1 Year 24x7x4 Distributor Swapping Service with On-site Labour;  Pls refer to Edvance service contract for details; S/N: FG101FTK21010429; Period: From 22 Feb 2026 To 22 Feb 2027</t>
    </r>
  </si>
  <si>
    <t>FG-101F x 1 
(swap $1,800)</t>
  </si>
  <si>
    <t>I51809</t>
  </si>
  <si>
    <t>Liang, Aka ZH</t>
  </si>
  <si>
    <t>UID-26-01-0129</t>
  </si>
  <si>
    <t>MUFG Bank Ltd</t>
  </si>
  <si>
    <t>G260100079KW</t>
  </si>
  <si>
    <t>ZM1576091</t>
  </si>
  <si>
    <t>(CW-PAR-SD-SRX340JB) CW PSS SD SUPT SRX340-SYS-JB; S/N: CY5020AF0432 / CY5020AF0441; Period: 11-Jan-26 to 10-Jan-27 (Qty:2)</t>
  </si>
  <si>
    <t>SRX340JB x 2</t>
  </si>
  <si>
    <t>D62820</t>
  </si>
  <si>
    <t>UID-26-01-0138</t>
  </si>
  <si>
    <t>Bank of Singapore Ltd</t>
  </si>
  <si>
    <t>G251190247TH</t>
  </si>
  <si>
    <t>ZM1575911</t>
  </si>
  <si>
    <r>
      <t>(</t>
    </r>
    <r>
      <rPr>
        <sz val="10"/>
        <rFont val="Arial"/>
        <family val="2"/>
      </rPr>
      <t>FC-10-00119-950-02-12) FortiGate-101E Unified Threat Protection (UTP) (IPS, Advanced Malware Protection, Application Control, URL, DNS &amp; Video Filtering, Antispam Service, and FortiCare Premium); S/N: FG101ETK18006958; coterm maintenance From 1 Sep 2025 To 15 Jul 2026
(EDV-SWP-FG101E (7x24WOL)) 24x7x4 Distributor Swapping Service without On-site Labour; Pls refer to Edvance service contract for details; S/N: FG101ETK18006958; Period: From 1 Sep 2025 To 15 Jul 2026
(FC-10-F101F-950-02-12) FortiGate-101F Unified Threat Protection (UTP) (IPS, Advanced Malware Protection, Application Control, URL, DNS &amp; Video Filtering, Antispam Service, and FortiCare Premium); S/N: FG101FTK22014574; coterm maintenance From 1 Sep 2025 To 15 Jul 2026
(EDV-SWP-FG101F (7x24WOL)) 24x7x4 Distributor Swapping Service without On-site Labour; Pls refer to Edvance service contract for details; S/N: FG101FTK22014574; Period: From 1 Sep 2025 To 15 Jul 2026</t>
    </r>
  </si>
  <si>
    <t>FG-101E x 1; FG-101F x 1
(swap $2,500)</t>
  </si>
  <si>
    <t>I68318, J89798</t>
  </si>
  <si>
    <t>Tsui, Ivan PH</t>
  </si>
  <si>
    <t>UID-26-01-0146</t>
  </si>
  <si>
    <t>Hong Kong Police Force</t>
  </si>
  <si>
    <t>G260100065CO (QLA072383)</t>
  </si>
  <si>
    <t>ZM1577627</t>
  </si>
  <si>
    <t>Splunk</t>
  </si>
  <si>
    <t>(SE-T-LIC-ST) Splunk Enterprise - Term License with Standard Success Plan - 15GB/day (Renewal); Period: From 14 Jan 2026 to 13 Jan 2027
(ES-T-LIC-ST) Splunk Enterprise Security - Term License with Standard Success Plan - 15GB/day (Renewal); Period: From 14 Jan 2026 to 13 Jan 2027</t>
  </si>
  <si>
    <t>J27519</t>
  </si>
  <si>
    <t>UID-26-01-0185</t>
  </si>
  <si>
    <t>Chinese Methodist School (Tanner Hill)</t>
  </si>
  <si>
    <t>W251190233L3</t>
  </si>
  <si>
    <t>ZM1577284</t>
  </si>
  <si>
    <t>(FC-10-F101F-950-02-12) FortiGate-101F Unified Threat Protection (UTP) (IPS, Advanced Malware Protection, Application Control, URL, DNS &amp; Video Filtering, Antispam Service, and FortiCare Premium); S/N: FG101FTK23018851; coterm maintenance From 23 Jan 2026 To 23 Jan 2029</t>
  </si>
  <si>
    <t xml:space="preserve">FG-101F x 1 </t>
  </si>
  <si>
    <t>G71185</t>
  </si>
  <si>
    <t>UID-26-01-0196</t>
  </si>
  <si>
    <t>Christian Alliance P.C. Lau Memorial International School</t>
  </si>
  <si>
    <t>W260200986L3</t>
  </si>
  <si>
    <t>ZM1576539</t>
  </si>
  <si>
    <t>(FC-10-F201F-950-02-12) FortiGate-201F 1 Year Unified Threat Protection (UTP) (IPS, Advanced Malware Protection, Application Control, URL, DNS &amp; Video Filtering, Antispam Service, and FortiCare Premium); S/N: FG201FT921908768; Period: From 5 Feb 2026 To 5 Feb 2027</t>
  </si>
  <si>
    <t>FG-201F x 1</t>
  </si>
  <si>
    <t>I34405</t>
  </si>
  <si>
    <t>UID-26-01-0194</t>
  </si>
  <si>
    <t>Jardine Matheson Limited</t>
  </si>
  <si>
    <t>G251190049MZ</t>
  </si>
  <si>
    <t>ZM1577303</t>
  </si>
  <si>
    <t>Thycotic</t>
  </si>
  <si>
    <r>
      <rPr>
        <sz val="10"/>
        <rFont val="Arial"/>
        <family val="2"/>
      </rPr>
      <t>(SSCPL-1UT2-SaaS-SS) Secret Server Cloud - Subscription License - Platinum; Period: From 31 Jan 2026 To 30 Jan 2027 (Qty:35)
(ENG-1S-SaaS-SS) Delina SSC - Engines - SaaS Standard Support (Price bundled with item 1); Period: From 31 Jan 2026 To 30 Jan 2027 (Qty:1)
(SITE-S1-SaaS-SS) Delina SSC - Sites - SaaS Standard Support (Price bundled with item 1); Period: From 31 Jan 2026 To 30 Jan 2027 (Qty:3)
(SSCPL-1UT1- SaaS-SS) Secret Server Cloud - Subscription License - Platinum T1-SaaS Standard Support (Price bundled with item 1); Period: From 10 Feb 2026 To 30 Jan 2027 (Qty:2)
(EDV-SUP (24x7x4)) Edvance 1 year 1st tier Annual local support (24 x 7); Email / Telephone / Onsite Support will be provided based on case severity; Additional service cost is required for any version upgrade / patch upgrade service; Period: From 31 Jan 2026 To 30 Jan 2027 (Qty:1)</t>
    </r>
  </si>
  <si>
    <t>I39537</t>
  </si>
  <si>
    <t>Cheung, Marcus TH</t>
  </si>
  <si>
    <t>UID-26-01-0204</t>
  </si>
  <si>
    <t>Judiciary Administrator</t>
  </si>
  <si>
    <t>G260190151IL (Ref.SQ643/2025)</t>
  </si>
  <si>
    <t>ZM1577642</t>
  </si>
  <si>
    <r>
      <t xml:space="preserve">(FC-10-00119-247-02-12) FortiGate-101E FortiCare Premium Support; S/N: FG101ETK19005094 / FG101ETK19005599; coterm maintenance
From 8 Jan 2026 To 15 Jul 2026 (Qty:2)
</t>
    </r>
    <r>
      <rPr>
        <b/>
        <sz val="10"/>
        <color indexed="30"/>
        <rFont val="Arial"/>
        <family val="2"/>
      </rPr>
      <t>** EOL on 15-Jul-2026, HKT will provide hardware support only afterward (Contract End date: 8-Jan-27)
** Use HKT stocks to provide support Customer 7x24 swapping service (Contract End date: 8-Jan-27)</t>
    </r>
  </si>
  <si>
    <t>FG-101E x 2</t>
  </si>
  <si>
    <t>No breakdown</t>
  </si>
  <si>
    <t>15-Jul-26 (EOL)
 (Contract End date: 8-Jan-27)</t>
  </si>
  <si>
    <t>D38210</t>
  </si>
  <si>
    <t>UID-26-01-0202</t>
  </si>
  <si>
    <t>HKT Teleservices Int'l Ltd</t>
  </si>
  <si>
    <t>G260190004YR</t>
  </si>
  <si>
    <r>
      <rPr>
        <sz val="10"/>
        <color indexed="10"/>
        <rFont val="Arial"/>
        <family val="2"/>
      </rPr>
      <t>ZD</t>
    </r>
    <r>
      <rPr>
        <sz val="10"/>
        <rFont val="Arial"/>
        <family val="2"/>
      </rPr>
      <t>1578161</t>
    </r>
  </si>
  <si>
    <r>
      <t xml:space="preserve">(PAN-SVC-BKLN-850-R) Partner enabled premium support year 1 renewal, PA-850; S/N: 11901024079 / 11901024082; Period: 5-Jan-26 to 4-Jan-27 (Qty:2)
(PAN-PA-850-AWF-HA2-R) Advanced WildFire subscription for device in an HA pair renewal, PA-850; S/N: 11901024079 / 11901024082; Period: 5-Jan-26 to 4-Jan-27 (Qty:2)
(PAN-PA-850-ATP-HA2-R) Advanced Threat Prevention subscription for device in an HA pair renewal, PA-850; S/N: 11901024079 / 11901024082; Period: 5-Jan-26 to 4-Jan-27 (Qty:2)
(PAN-PA-850-ADVURL-HA2-R) Subscription Advanced URL Filtering, 1-year, PA-850, HA Pair Renewal; S/N: 11901024079 / 11901024082; Period: 5-Jan-26 to 4-Jan-27 (Qty:2)
(BD-SWAP-PRE-ONSITE-1YR) B&amp;Data Onsite Swapping Service - 1 year (PA850); S/N: 11901024079 / 11901024082; Period: 5-Jan-26 to 4-Jan-27 (Qty:2)
</t>
    </r>
    <r>
      <rPr>
        <b/>
        <sz val="10"/>
        <color indexed="30"/>
        <rFont val="Arial"/>
        <family val="2"/>
      </rPr>
      <t>** PO issued by Chan, Nicole SL</t>
    </r>
  </si>
  <si>
    <t>PA-850 x 2
(swap $21,806)</t>
  </si>
  <si>
    <t>MASS13888</t>
  </si>
  <si>
    <t>UID-26-01-0233</t>
  </si>
  <si>
    <t>ET Trade Ltd</t>
  </si>
  <si>
    <t>G260190154TH (Ref to quotation#G241200152TH)</t>
  </si>
  <si>
    <t>ZM1577711</t>
  </si>
  <si>
    <t>Trend Micro</t>
  </si>
  <si>
    <r>
      <t xml:space="preserve">Trend Micro Apex One On-premises; Maintenance period: 01 Jan 2026 to 31 Dec 2026 (Qty:200)
</t>
    </r>
    <r>
      <rPr>
        <b/>
        <sz val="10"/>
        <color indexed="30"/>
        <rFont val="Arial"/>
        <family val="2"/>
      </rPr>
      <t xml:space="preserve">Renewal Cert.: </t>
    </r>
    <r>
      <rPr>
        <b/>
        <sz val="10"/>
        <color indexed="30"/>
        <rFont val="Arial"/>
        <family val="2"/>
      </rPr>
      <t>TM-L-HK-2600113</t>
    </r>
  </si>
  <si>
    <t>SYNERGY COMPUTERS &amp; COMMUNICATIONS LTD</t>
  </si>
  <si>
    <t>H37329</t>
  </si>
  <si>
    <t>UID-26-01-0213</t>
  </si>
  <si>
    <t>Shanghai Commercial Bank Ltd</t>
  </si>
  <si>
    <t>G251100083J2</t>
  </si>
  <si>
    <t>ZM1577678</t>
  </si>
  <si>
    <t>(FC-10-F121G-247-02-12) FortiGate-121G FortiCare Premium Support; S/N: FG121GTK24003916 / FG121GTK24004334; coterm maintenance
From 14 Nov 2025 To 31 Dec 2026 (Qty:2)
(FC-10-F121G-211-02-12) FortiGate-121G 4-Hour Hardware Delivery Priority RMA Service (requires Premium support); S/N: FG121GTK24003916 / FG121GTK24004334; coterm maintenance From 14 Nov 2025 To 31 Dec 2026 (Qty:2)</t>
  </si>
  <si>
    <t>FG-121G x 1</t>
  </si>
  <si>
    <t>K35519</t>
  </si>
  <si>
    <t>Lam, Jeffrey CK</t>
  </si>
  <si>
    <t>UID-26-01-0245</t>
  </si>
  <si>
    <t>CTF Services Limited (New World Corporate Services Ltd)</t>
  </si>
  <si>
    <t>G260200051KW</t>
  </si>
  <si>
    <t>ZM1578170</t>
  </si>
  <si>
    <t>Cortex</t>
  </si>
  <si>
    <t>(PAN-XDR-ADV-EP) Cortex XDR Pro for 1 endpoint,  includes 30 days of data retention and standard success; S/N: 0220980000021431; Period: 01-Feb-26 to 31-Jan-27 (Qty:320)
(PAN-XDR-XTH) Extended Threat Hunting (enhanced visibility) add
on for Cortex XDR ProEP/Cloud (price per Endpoint). Includes 30 days of data retention.; S/N: 0220980000021431; Period: 01-Feb-26 to 31-Jan-27 (Qty:320)
(PAN-XDR-BKLN) Cortex XDR Partner enabled Premium Support; S/N: 0220980000021431; Period: 01-Feb-26 to 31-Jan-27 (Qty:1)</t>
  </si>
  <si>
    <t>I73401</t>
  </si>
  <si>
    <t>UID-26-01-0250</t>
  </si>
  <si>
    <t>Legislative Council Secretariat</t>
  </si>
  <si>
    <t>G260190162NI (PO:2512368/AMIT254, ref: 2025WB1177NI)</t>
  </si>
  <si>
    <t>ZM1577999</t>
  </si>
  <si>
    <r>
      <t>(</t>
    </r>
    <r>
      <rPr>
        <sz val="10"/>
        <rFont val="Arial"/>
        <family val="2"/>
      </rPr>
      <t>FC-10-F201F-950-02-12) FortiGate-201F Unified Threat Protection (UTP) (IPS, Advanced Malware Protection, Application Control, URL, DNS &amp; Video Filtering, Antispam Service, and FortiCare Premium); S/N: FG201FT922920337; coterm maintenance From 15 Feb 2026 To 15 Feb 2028
(FC-10-F201F-211-02-12) FortiGate-201F 4-Hour Hardware Delivery Priority RMA Service (Requires FortiCare Premium or FortiCare Elite); S/N: FG201FT922920337; coterm maintenance From 15 Feb 2026 To 15 Feb 2028
(FC-10-F201F-301-02-12) FortiGate-201F Secure RMA Service; S/N:
FG201FT922920337; coterm maintenance From 15 Feb 2026 To 15 Feb 2028</t>
    </r>
  </si>
  <si>
    <t>MASS14249</t>
  </si>
  <si>
    <t>Ng, Ivy WY</t>
  </si>
  <si>
    <t>UID-26-01-0288</t>
  </si>
  <si>
    <t>MEYER Aluminium Limited</t>
  </si>
  <si>
    <t>G260300072CF</t>
  </si>
  <si>
    <t>ZM1577759</t>
  </si>
  <si>
    <t>(FC-10-F201F-950-02-12) FortiGate-201F 1 Year Unified Threat Protection (UTP) (IPS, Advanced Malware Protection, Application Control, URL, DNS &amp; Video Filtering, Antispam Service, and FortiCare Premium); S/N: FG201FT922921100; Period: From 18 Mar 2026 To 18 Mar 2027</t>
  </si>
  <si>
    <t>I67782</t>
  </si>
  <si>
    <t>UID-26-01-0313</t>
  </si>
  <si>
    <t>G251200187JI (PO:CU019/30/1/26)</t>
  </si>
  <si>
    <t>ZM1578131</t>
  </si>
  <si>
    <t>RSA</t>
  </si>
  <si>
    <r>
      <t>RSA - Software tokens for 24 months
(S820-8-60-24-A-EL) SID Soft Token E-Dlvry 24 mo 10-250 (Qty:160)
** The actual start date of SW token is subject to the date that RSA sends an email to the customer.</t>
    </r>
    <r>
      <rPr>
        <b/>
        <sz val="10"/>
        <color indexed="30"/>
        <rFont val="Arial"/>
        <family val="2"/>
      </rPr>
      <t xml:space="preserve">(License file sent to foddie.lf.lau@hkicl.com.hk on 2 Feb 2026) </t>
    </r>
  </si>
  <si>
    <t>DATALINK BUSINESS SOLUTIONS LTD</t>
  </si>
  <si>
    <t>MASS13832</t>
  </si>
  <si>
    <t>UID-26-02-0007</t>
  </si>
  <si>
    <t>Bank of China (Hong Kong) Limited</t>
  </si>
  <si>
    <t>G250700060AW (PO.1120096977) Parts for replacement case</t>
  </si>
  <si>
    <t>ZM1578295</t>
  </si>
  <si>
    <r>
      <t xml:space="preserve">(SRX4200-FAN) SRX4100/SRX4200 Fan Unit. A chassis requires 3x FAN Trays to operate. Fourth FAN Tray is redundant. Each FAN Tray has 2 FANs, but individual FANs are not replaceable, only a FAN Tray. (Qty:4) 
</t>
    </r>
    <r>
      <rPr>
        <b/>
        <sz val="10"/>
        <color indexed="30"/>
        <rFont val="Arial"/>
        <family val="2"/>
      </rPr>
      <t>Replacement x 4pcs delivered to BOC (Attn: Joey/Jason Suen)</t>
    </r>
    <r>
      <rPr>
        <b/>
        <sz val="10"/>
        <color indexed="30"/>
        <rFont val="Arial"/>
        <family val="2"/>
      </rPr>
      <t xml:space="preserve"> on 12-Mar-2026.</t>
    </r>
    <r>
      <rPr>
        <b/>
        <sz val="10"/>
        <color indexed="30"/>
        <rFont val="Arial"/>
        <family val="2"/>
      </rPr>
      <t xml:space="preserve">
S/N: 2602100002 / 2602100003 / 2602100004 / 2602100008</t>
    </r>
  </si>
  <si>
    <t>SRX4100/SRX4200-FAN x 4
(replacement case)</t>
  </si>
  <si>
    <t xml:space="preserve">Refer to Yr2025 line 223 </t>
  </si>
  <si>
    <t>J88741, J88757, D89136, D89126, D89137, D89538, I52344, D89563</t>
  </si>
  <si>
    <t>Wong, Ada SK /  Wong, Kiwi LF</t>
  </si>
  <si>
    <t>UID-25-07-0237</t>
  </si>
  <si>
    <t>Parts for replacement case</t>
  </si>
  <si>
    <t>Sen Kyoku Do Company Limited (subsidiary by Luen Thai Int'l Group Ltd)</t>
  </si>
  <si>
    <t>G260100070CF</t>
  </si>
  <si>
    <t>ZM1578135</t>
  </si>
  <si>
    <r>
      <rPr>
        <sz val="10"/>
        <rFont val="Arial"/>
        <family val="2"/>
      </rPr>
      <t>(FC-10-0061F-950-02-12) FortiGate-61F 1 Year Unified Threat Protection (UTP) (IPS, Advanced Malware Protection, Application Control, URL, DNS &amp; Video Filtering, Antispam Service, and FortiCare Premium); S/N: FGT61FTK22057339; Period: 9 Jan 2026 to 9 Jan 2027
(P-TO013-1Y-FO-001-OS) 8x5xNBD Support (Hardware Swapping only, service not included) - 1 year;  S/N: FGT61FTK22057339; Period: 9 Jan 2026 to 9 Jan 2027
- Hardware Swapping Service includes (1) onsite collection of malfunction hardware, (2) provision of a hardware replacement (same model/equivalent), (3) sending malfunction hardware to vendor, and (4) return of fixed hardware to Customer (if applicable). Service may vary according to vendor's warranty.
- Service hours: Monday - Friday 09:00 - 17:00 (excluding Public Holidays), with an average Next Business Day (24 hour) response time
- Hardware Swapping Service will be provided only if the malfunction hardware is under warranty by the vendor, with valid supporting document.
- Troubleshooting and reconfiguration services are NOT included. Separate quotation can be provided.
- Service request should be made by phone or email.
- Any on-site service work shall be less than 2 meters above the ground.</t>
    </r>
  </si>
  <si>
    <t>FG-61F x 1
(swap $600)</t>
  </si>
  <si>
    <t>I51170</t>
  </si>
  <si>
    <t>UID-26-02-0004</t>
  </si>
  <si>
    <t>Environmental Protection Department</t>
  </si>
  <si>
    <t>G260300050CP (69_EPO-25-04356)</t>
  </si>
  <si>
    <t>ZM1579584</t>
  </si>
  <si>
    <t>(SE-T-LIC-ST) Splunk Enterprise - Term License with Standard Success Plan - 20 GB/day; Entitlement = E-0021560; Period: From 29 Mar 2026 To 28 Mar 2028
(EDV-SUP (24x7x4)) Edvance Annual Local Support Service (24x7x4); Unlimited Phone and Email Support During Office and Non-Office Hour; 24 x 7 On-Site Support for severity Level 1 issues; Period: From 29 Mar 2026 To 28 Mar 2028 (2 Year)
(EDV-UPG (Office Hour)) Edvance Upgrade Service (During Office Hour); Pls refer to the separate SOW for details; Upgrade Service must be conducted within the maintenance support period; any unused service will be forfeited without prior notice.</t>
  </si>
  <si>
    <t>I08292, I36391, I36392</t>
  </si>
  <si>
    <t>Lau, Coco WY</t>
  </si>
  <si>
    <t>UID-26-02-0035</t>
  </si>
  <si>
    <t xml:space="preserve">K6 Management Co Ltd (EU: The Perkin Hotel) </t>
  </si>
  <si>
    <t>G260300066CF</t>
  </si>
  <si>
    <t>ZM1578385</t>
  </si>
  <si>
    <r>
      <t>(</t>
    </r>
    <r>
      <rPr>
        <sz val="10"/>
        <rFont val="Arial"/>
        <family val="2"/>
      </rPr>
      <t>FC-10-00208-950-02-12) FortiGate-201E Unified Threat Protection (UTP) (IPS, Advanced Malware Protection, Application Control, URL, DNS &amp; Video Filtering, Antispam Service, and FortiCare Premium); S/N: FG201ETK18906375; coterm maintenance From 31 Mar 2026 To 31 Mar 2029
(EDV-SWP-FG201E (7x24WOL)) 3 Year 24x7x4 Distributor Swapping Service without On-site Labour; Pls refer to Edvance service contract for details; S/N: FG201ETK18906375; Period: From 31 Mar 2026 To 31 Mar 2029</t>
    </r>
  </si>
  <si>
    <t>FG-201E x 1
(swap $4,500)</t>
  </si>
  <si>
    <t>D36727</t>
  </si>
  <si>
    <t>UID-26-02-0036</t>
  </si>
  <si>
    <t>Hong Kong Convention and Exhibition Centre</t>
  </si>
  <si>
    <t>L250890183CB (PO1306242 &amp; 1306243)</t>
  </si>
  <si>
    <t>ZM1579255</t>
  </si>
  <si>
    <r>
      <t xml:space="preserve">(FC-10-0061F-247-02-12) FortiGate-61F FortiCare Premium Support; SN#FGT61FTK22079165, FGT61FTK22078721; Coterm end date to 2027-12-31 (Qty:2)
</t>
    </r>
    <r>
      <rPr>
        <b/>
        <sz val="10"/>
        <color indexed="30"/>
        <rFont val="Arial"/>
        <family val="2"/>
      </rPr>
      <t>** Use HKT spare parts for HW support</t>
    </r>
  </si>
  <si>
    <t>FG-61F x 2
(Not buy swap, use HKT parts)</t>
  </si>
  <si>
    <t>TECH DATA DISTRIBUTION (HONG KONG) LIMITED</t>
  </si>
  <si>
    <t>I87797</t>
  </si>
  <si>
    <t>UID-26-02-0034</t>
  </si>
  <si>
    <t>P AV/6167/WA/BN22 (Tender Ref. PMR02/2018, ISWC37/2019) - 4th yr/ ttl 5 yrs</t>
  </si>
  <si>
    <t>ZM1579269</t>
  </si>
  <si>
    <t>WhatsUp Gold</t>
  </si>
  <si>
    <r>
      <t xml:space="preserve">(NM-7IPD-0170) Progress WhatsUp Gold Premium 100; Service Agreement Renewal and up to Service for 1 Year Progress 100-100 MNT; S/N: 71ASME5GS89JMM0; Period: 27 Feb 2026 to 27 Feb 2027
</t>
    </r>
    <r>
      <rPr>
        <b/>
        <sz val="10"/>
        <color indexed="30"/>
        <rFont val="Arial"/>
        <family val="2"/>
      </rPr>
      <t>Issued PO by Lam, Heidy LS (Commodity code: CCWY)</t>
    </r>
  </si>
  <si>
    <t>SOFTWAREONE HONG KONG LIMITED</t>
  </si>
  <si>
    <t>D38281 (Refer to D71227)</t>
  </si>
  <si>
    <t>UID-23-10-SS2-00009</t>
  </si>
  <si>
    <t>G260300082CB</t>
  </si>
  <si>
    <t>ZM1579377</t>
  </si>
  <si>
    <r>
      <t xml:space="preserve">Apex One On-premises; Period: 08-Mar-2026 to 07-Mar-2028 (Qty:3000)
Full bundle items as below
ServerProtect Linux: SPZZLLE3XLCZZZ; Period: 16-Feb-2026 to 07-Mar-2028 (Qty:1500) 
ServerProtect NT/NW: SPZZMME5XLCZZZ; Period: 16-Feb-2026 to 07-Mar-2028 (Qty:1500) 
TM iDLP-A single purchase that activates iDLP plug-ins for multiple TM products: Apex One, SMEX, SMLD, IWSVA, and IMSVA : DLDLMMMXXLCZZZ; Period: 08-Mar-2026 to 07-Mar-2028 (Qty:300)
ScanMail Suite with DLP for Microsoft Exchange : SZEXWWECXLCZZZ; Period: 16-Feb-2026 to 07-Mar-2028 (Qty:1001)
ScanMail for Domino on Windows : SLLNWWE5XLCZZZ; Period: 08-Mar-2026 to 07-Mar-2028 (Qty:1001)
ScanMail for Domino for Linux : SLLNLLE3XLCZZZ; Period: 08-Mar-2026 to 07-Mar-2028 (Qty:1001)
</t>
    </r>
    <r>
      <rPr>
        <b/>
        <sz val="10"/>
        <color indexed="30"/>
        <rFont val="Arial"/>
        <family val="2"/>
      </rPr>
      <t>(Commodity code: CCWY)</t>
    </r>
    <r>
      <rPr>
        <sz val="10"/>
        <rFont val="Arial"/>
        <family val="2"/>
      </rPr>
      <t xml:space="preserve">
</t>
    </r>
    <r>
      <rPr>
        <b/>
        <sz val="10"/>
        <color indexed="30"/>
        <rFont val="Arial"/>
        <family val="2"/>
      </rPr>
      <t>Renewal Cert.:</t>
    </r>
    <r>
      <rPr>
        <b/>
        <sz val="10"/>
        <color indexed="30"/>
        <rFont val="Arial"/>
        <family val="2"/>
      </rPr>
      <t>TM-L-HK-2600243</t>
    </r>
  </si>
  <si>
    <t>INGRAM MICRO (CHINA) LIMITED</t>
  </si>
  <si>
    <t>D57230, D57492</t>
  </si>
  <si>
    <t>UID-26-02-0072</t>
  </si>
  <si>
    <t>The IMC of CCC Kei Faat Primary School</t>
  </si>
  <si>
    <t>W260201009L3</t>
  </si>
  <si>
    <t>ZM1579883</t>
  </si>
  <si>
    <t>(PAR-ND-SRX345HW) PSS Next Day Support for SRX345 (SOFTWARE SUPPORT IS NOT INCLUDED, must be purchased separately); S/N: CZ4818AF0709; Period: 10-Feb-26 to 9-Feb-27
(PAR-SUP-SRX345JSB) PSS Basic Support for SRX345-JSB; S/N: RTU00025150082; Period: 10-Feb-26 to 9-Feb-27</t>
  </si>
  <si>
    <t>SRX345 x 1</t>
  </si>
  <si>
    <t>D86243</t>
  </si>
  <si>
    <t>UID-26-02-0090</t>
  </si>
  <si>
    <t>Chow Tai Fook Jewellery Co. Ltd</t>
  </si>
  <si>
    <t>G260300047CB</t>
  </si>
  <si>
    <t>ZM1580202</t>
  </si>
  <si>
    <r>
      <rPr>
        <sz val="10"/>
        <rFont val="Arial"/>
        <family val="2"/>
      </rPr>
      <t>(FC-10-F101F-950-02-12) FortiGate-101F 1 Year Unified Threat Protection (UTP) (IPS, Advanced Malware Protection, Application Control, URL, DNS &amp; Video Filtering, Antispam Service, and FortiCare Premium); S/N: FG101FTK23009601, FG101FTK23009656; End Date: 17 Mar 2027 (Qty:2)
(P-TO013-1Y-FO-001) 1 Year 8 x 5 x NBD Support with Replacement Unit (No Troubleshooting); S/N: FG101FTK23009601, FG101FTK23009656; End Date: 17 Mar 2027 (Qty:2)</t>
    </r>
  </si>
  <si>
    <t>FG-101F x 2
(swap $2,600)</t>
  </si>
  <si>
    <t>Q64577</t>
  </si>
  <si>
    <t>UID-26-02-0096</t>
  </si>
  <si>
    <t>Luen Thai Int'l Group Ltd</t>
  </si>
  <si>
    <t>G260300071CF</t>
  </si>
  <si>
    <t>ZM1579895</t>
  </si>
  <si>
    <t>Green Radar</t>
  </si>
  <si>
    <t>(grM-PRO-IN-500-3Y) grMail Professional Inbound Email Security Protection (3-Year for up to 500 mailboxes); Period: From 22 Mar 2026 To 21 Mar 2029 (Qty:450 Mailboxes)
- Core Email Protection Module: Dynamic Reputation Filter, Anti-Virus, Anti-Spam, Anti-Phishing
- Zero-Day Protection Module: Sandboxing and URL Inspection
- BEC Protection Module with VIP x 20 on Watchlist
- aidar AI Analytics
- Threat Hunting
- Integrated Managed Detection and Response</t>
  </si>
  <si>
    <t>I67862</t>
  </si>
  <si>
    <t>UID-26-02-0095</t>
  </si>
  <si>
    <t>Modern Terminals Limited</t>
  </si>
  <si>
    <t>G260290146J3 (Ref.2025WB096J3)</t>
  </si>
  <si>
    <t>ZM1580142</t>
  </si>
  <si>
    <r>
      <rPr>
        <sz val="10"/>
        <rFont val="Arial"/>
        <family val="2"/>
      </rPr>
      <t>(FC-10-00208-950-02-12) FortiGate-201E 1 Year Unified Threat Protection (UTP) (IPS, Advanced Malware Protection, Application Control, URL, DNS &amp; Video Filtering, Antispam Service, and FortiCare Premium); S/N: FG201ETK19905096 / FG201ETK19905404 / FG201ETK19905000 / FG201ETK19905025; Period: From 13 Feb 2026 To 13 Feb 2027 (Qty:4)
(EDV-SWP-FG201E (7x24WOL)) 24x7x4 Distributor Swapping Service without On-site Labour; Pls refer to Edvance service contract for details; S/N: FG201ETK19905096 / FG201ETK19905404 / FG201ETK19905000 / FG201ETK19905025; Period: From 13 Feb 2026 To 13 Feb 2027 (Qty:4)
(FC1-10-LV0VM-248-02-12) FortiAnalyzer-VM FortiCare Premium Support 1 Year FortiCare Premium Support (for 1-6 GB/Day of Logs); S/N: FAZ-VMTM20002937; Period: From 1 Apr 2026 To 1 Apr 2027</t>
    </r>
  </si>
  <si>
    <t>FG-201E x 4 ; VM x 1
(swap $6,000)</t>
  </si>
  <si>
    <t>13-Feb-26
1-Apr-26</t>
  </si>
  <si>
    <t>13-Feb-27
1-Apr-27</t>
  </si>
  <si>
    <t>MASS13552, MASS13552-1</t>
  </si>
  <si>
    <t>Lam, Jessica WS</t>
  </si>
  <si>
    <t>UID-26-02-0113</t>
  </si>
  <si>
    <t>CCC Kei Wa Primary School</t>
  </si>
  <si>
    <t>W260200983L3</t>
  </si>
  <si>
    <t>ZM1580244</t>
  </si>
  <si>
    <r>
      <t>(</t>
    </r>
    <r>
      <rPr>
        <sz val="10"/>
        <rFont val="Arial"/>
        <family val="2"/>
      </rPr>
      <t>FC-10-F100F-950-02-12) FortiGate-100F 1 Year Unified Threat Protection (UTP) (IPS, Advanced Malware Protection, Application Control, URL, DNS &amp; Video Filtering, Antispam Service, and FortiCare Premium); S/N: FG100FTK22024152; Period: From 21 Feb 2026 To 21 Feb 2027
(EDV-SWP-FG100F (7x24WL)) 1 Year 24x7x4 Distributor Swapping Service with On-site Labour; Pls refer to Edvance service contract for details; S/N: FG100FTK22024152; Period: From 21 Feb 2026 To 21 Feb 2027</t>
    </r>
  </si>
  <si>
    <t>FG-100F x 1
(swap $800)</t>
  </si>
  <si>
    <t>I56595</t>
  </si>
  <si>
    <t>UID-26-02-0122</t>
  </si>
  <si>
    <t>G260290186NP (Ref: 2026WB114NP)</t>
  </si>
  <si>
    <t>ZM1580374</t>
  </si>
  <si>
    <t>(FC-10-F6H1E-928-02-12) FortiGate-601E 1 Year Advanced Threat Protection (IPS, Advanced Malware Protection Service, Application Control, and FortiCare Premium); S/N: FG6H1ETB22903554, FG6H1ETB22903637, FG6H1ETB22903726; End Date: 27/Feb/27 (Qty:3)
(FC-10-F6H1E-211-02-12) FortiGate-601E 1 Year 4-Hour Hardware Delivery Priority RMA Service (Requires FortiCare Premium or FortiCare Elite); S/N: FG6H1ETB22903554, FG6H1ETB22903637, FG6H1ETB22903726; End Date: 30/May/27 (Qty:3)</t>
  </si>
  <si>
    <t>FG-601E x 3
(swap $31,318)</t>
  </si>
  <si>
    <t>MASS14260</t>
  </si>
  <si>
    <t>UID-26-02-0128</t>
  </si>
  <si>
    <t>Construction Industry Council</t>
  </si>
  <si>
    <t>L251290084CP (PO2025007307)</t>
  </si>
  <si>
    <t>ZM1580631</t>
  </si>
  <si>
    <t>Huawei</t>
  </si>
  <si>
    <r>
      <t>Quotation Name: 0Y03442300820X_USG6715F_SNS_1Y
Quotation No.: 0R00Hw00652863202601220006
1) P/N: 88062CXE; Model: N1-USG6715F-F-SnS1Y; N1-USG6715F Foundation, SnS, Per Device, Per Year(Annual fee validity period : 2025-12-14~2026-12-31) (Qty:2)
2) P/N: 88061YLE; Model: LIC-USG6715F-TP-1Y-OVS; Threat Protection Subscription Per Year (Applies to USG6715F Overseas)(Annual fee validity period : 2026-01-22~2026-12-31) (Qty:2)</t>
    </r>
    <r>
      <rPr>
        <b/>
        <sz val="10"/>
        <color indexed="30"/>
        <rFont val="Arial"/>
        <family val="2"/>
      </rPr>
      <t xml:space="preserve">
</t>
    </r>
    <r>
      <rPr>
        <b/>
        <sz val="10"/>
        <color indexed="30"/>
        <rFont val="Arial"/>
        <family val="2"/>
      </rPr>
      <t>** PO issued by Chan, Don YH (Comm code FRHW)</t>
    </r>
    <r>
      <rPr>
        <b/>
        <sz val="10"/>
        <color indexed="30"/>
        <rFont val="Arial"/>
        <family val="2"/>
      </rPr>
      <t xml:space="preserve">
</t>
    </r>
    <r>
      <rPr>
        <b/>
        <sz val="10"/>
        <color indexed="10"/>
        <rFont val="Arial"/>
        <family val="2"/>
      </rPr>
      <t>Confirmed by Huawei email on 9/2/26- SNS includes on site service</t>
    </r>
  </si>
  <si>
    <t>USG6715F x 2</t>
  </si>
  <si>
    <t>HUAWEI TECHNOLOGIES CO. LTD</t>
  </si>
  <si>
    <t>14-Dec-25
22-Jan-26</t>
  </si>
  <si>
    <t>I51399</t>
  </si>
  <si>
    <t>UID-25-12-0136</t>
  </si>
  <si>
    <t>Education City - St Paul's Catholic Day Nursery</t>
  </si>
  <si>
    <t>W260301896L3</t>
  </si>
  <si>
    <t>ZM1581497</t>
  </si>
  <si>
    <t>(CW-PAR-ND-SRX340JB) CW PSS ND SUPT SRX340-SYS-JB; S/N: CY0321AF0634; Period: 26-Mar-26 to 25-Mar-27</t>
  </si>
  <si>
    <t>SRX340 x 1</t>
  </si>
  <si>
    <t>J74081</t>
  </si>
  <si>
    <t>UID-26-02-0139-2</t>
  </si>
  <si>
    <t>CTF Services Limited (NWS Holdings Ltd)</t>
  </si>
  <si>
    <t>G260300073KW</t>
  </si>
  <si>
    <t>ZM1581187</t>
  </si>
  <si>
    <t>Ivanti</t>
  </si>
  <si>
    <t>(ISA4000-V-S-GLD-D) Ivanti Virtual Appliance 4000 Base System Subscription Gold Direct; Period: 4-Mar-26 to 3-Mar-27
(ICS-CU-S-GLD-D) Ivanti Connect Secure License Concurrent User Subscription Gold Direct; Period: 4-Mar-26 to 3-Mar-27 (Qty: 10 + 10 + 10)
(PS-HTML5-RDPCU-S-GLD-D) Advanced HTML5 RDP Subscription Gold Direct; Period: 4-Mar-26 to 3-Mar-27 (Qty: 10 + 10)</t>
  </si>
  <si>
    <t>K05056, K05144</t>
  </si>
  <si>
    <t>UID-26-02-0145</t>
  </si>
  <si>
    <t>G260200030CP (Ref.25-03398)</t>
  </si>
  <si>
    <t>ZM1581618</t>
  </si>
  <si>
    <r>
      <rPr>
        <sz val="10"/>
        <rFont val="Arial"/>
        <family val="2"/>
      </rPr>
      <t>(FC-10-00208-950-02-12) FortiGate-201E 1 Year Unified Threat Protection (UTP) (IPS, Advanced Malware Protection, Application Control, URL, DNS &amp; Video Filtering, Antispam Service, and FortiCare Premium); SN#FG201ETK19909416, FG201ETK19908222; New SLA : 2026-05-21 to 2027-05-20 (Qty:2)
(FC-MAINSTD-200) FortiGate 200 series annual onsite swapping service 8x5xNBD, no troubleshooting included; SN#FG201ETK19909416, FG201ETK19908222; New SLA : 2026-05-21 to 2027-05-20 (Qty:2)</t>
    </r>
    <r>
      <rPr>
        <b/>
        <sz val="10"/>
        <color indexed="30"/>
        <rFont val="Arial"/>
        <family val="2"/>
      </rPr>
      <t xml:space="preserve">
H/W: 26032135-200001S / 26042148-200001S</t>
    </r>
  </si>
  <si>
    <t>FG-201E x 2
(swap $7,200)</t>
  </si>
  <si>
    <t>D96578</t>
  </si>
  <si>
    <t>UID-26-02-0216</t>
  </si>
  <si>
    <t>G260290218CB (Ref.2025WB1075/J2)</t>
  </si>
  <si>
    <t>ZM1581222</t>
  </si>
  <si>
    <t>(AUT0000100BE1-8) SID Access Base EnhMnt 1 mo; RSA New Serial no: 5000500235701 (previous S/N# 81381292); Coverage Period: 1 Jan 2026 to 31 Dec 2026 (Counted as 30 users for 12 months) (Qty:360) 
Reinstatement fee $4,952.38</t>
  </si>
  <si>
    <t>D57507, I68348-1</t>
  </si>
  <si>
    <t>UID-26-02-0174</t>
  </si>
  <si>
    <t>ZM1581228</t>
  </si>
  <si>
    <r>
      <t xml:space="preserve">(AUT0000100BE1-8) SID Access Base EnhMnt 1 mo; RSA S/N: 81362969; Coverage Period: 1 Jan 2026 to 31 Dec 2026 (Counted as 30 users for 12 months) (Qty: 360)
Reinstatement fee 1,857.14
(AUT0000025B8) SID Access Base Perp from 10 - 25u; SN 81362969; Assume contract preiod: 1 Mar 2026 to 31 Dec 2026 (Qty:20)
(AUT0000025BE1-8) SID Access Base EnhMnt 1Mo; SN 81362969; Assume contract preiod: 1 Mar 2026 to 31 Dec 2026 (QTY: 20 users x 10 months = 200)
(SID700-6-60-24-10) SID700-6-60-24 10 Pack; RSA Hardware Token x 20 (24 months)  (Qty:2)
</t>
    </r>
    <r>
      <rPr>
        <b/>
        <sz val="10"/>
        <color indexed="30"/>
        <rFont val="Arial"/>
        <family val="2"/>
      </rPr>
      <t>** RSA Hardware Token x 20pcs &amp; the licenses delivered to customer (Attn: Mr Ridley Man, Tel: 2207 2688) on 25-Mar-26</t>
    </r>
  </si>
  <si>
    <t>1-Jan-26
1-Mar-26</t>
  </si>
  <si>
    <t>31-Dec-26
31-Dec-27 (token)</t>
  </si>
  <si>
    <t>D57217</t>
  </si>
  <si>
    <t>G260290242YR (2026WB060YR)</t>
  </si>
  <si>
    <r>
      <rPr>
        <sz val="10"/>
        <color indexed="10"/>
        <rFont val="Arial"/>
        <family val="2"/>
      </rPr>
      <t>ZF</t>
    </r>
    <r>
      <rPr>
        <sz val="10"/>
        <rFont val="Arial"/>
        <family val="2"/>
      </rPr>
      <t>1581891</t>
    </r>
  </si>
  <si>
    <t>Pen test</t>
  </si>
  <si>
    <r>
      <t xml:space="preserve">Annual Internal and External Penetration Test (Network and System Layer)
- Targets Card Data Environment (CDE) of Disney managed by PCCW Teleservices, roughly 
  11 internal server hosts 
   9 internal network devices 
   2 sampled workstations 
   3 public IP addresses 
   No application was covered in the CDE 
- Includes 1 initial test and up to 2 verification tests 
- Includes network segmentation test (with firewall and architecture review) 
- Conducts on-site at local office in non office hour 
Deliverable (for each item): 
- Finding List x 1 
- Penetration Test Report x 1 
</t>
    </r>
    <r>
      <rPr>
        <b/>
        <sz val="10"/>
        <color indexed="30"/>
        <rFont val="Arial"/>
        <family val="2"/>
      </rPr>
      <t xml:space="preserve">** PO issued by </t>
    </r>
    <r>
      <rPr>
        <b/>
        <sz val="10"/>
        <color indexed="30"/>
        <rFont val="Arial"/>
        <family val="2"/>
      </rPr>
      <t>Lee, Sandra WT</t>
    </r>
  </si>
  <si>
    <t>eWALKER CONSULTING (HK) LIMITED</t>
  </si>
  <si>
    <t>N/A</t>
  </si>
  <si>
    <t>MASS14268</t>
  </si>
  <si>
    <t>waiting license delivery</t>
  </si>
  <si>
    <t>UID-26-02-0237</t>
  </si>
  <si>
    <t>** WA case, a one-time service</t>
  </si>
  <si>
    <t>Credit Agricole Corporate And Investment Bank</t>
  </si>
  <si>
    <t>G260290268NP (PO:CMD461602, ref 2026WB064NP)</t>
  </si>
  <si>
    <t>ZM1581787</t>
  </si>
  <si>
    <r>
      <rPr>
        <sz val="10"/>
        <rFont val="Arial"/>
        <family val="2"/>
      </rPr>
      <t>(FC-10-F6H0E-247-02-12) FortiGate-600E FortiCare Premium Support; S/N: FG6H0ETB21905580 / FG6H0ETB21905745; coterm maintenance From 5 Jan 2026 To 30 Nov 2028 (Qty:2)
(FC-10-F6H0E-108-02-12) FortiGate-600E FortiGuard IPS Service; S/N: FG6H0ETB21905580 / FG6H0ETB21905745; coterm maintenance From 5 Jan 2026 To 30 Nov 2028 (Qty:2)
(FC-10-F6H0E-211-02-12) FortiGate-600E 4-Hour Hardware Delivery Priority RMA Service (requires Premium support); S/N: FG6H0ETB21905580 / FG6H0ETB21905745; coterm maintenance From 5 Jan 2026 To 30 Nov 2028 (Qty:2)
(FC-10-00208-247-02-12) FortiGate-201E FortiCare Premium Support; S/N: FG201ETK18902708 / FG201ETK18903051; coterm maintenance From 30 Nov 2026 To 30 Nov 2028 (Qty:2)
(FC-10-00208-108-02-12) FortiGate-201E FortiGuard IPS Service; S/N: FG201ETK18902708 / FG201ETK18903051; coterm maintenance From 30 Nov 2026 To 30 Nov 2028 (Qty:2)
(EDV-SWP-FG201E (7x24 WOL)) 24x7x4 Swapping Service without On-site Labour- One-time swap with same model; S/N: FG201ETK18902708 / FG201ETK18903051; Period: From 30 Nov 2026 To 30 Nov 2028 (Qty:2)</t>
    </r>
  </si>
  <si>
    <t>FG-600E x 2 ; FG-201E x 2
(swap $8,000)</t>
  </si>
  <si>
    <t>5-Jan-26
30-Nov-26</t>
  </si>
  <si>
    <t>MASS14269, J89395</t>
  </si>
  <si>
    <t>UID-26-02-0248</t>
  </si>
  <si>
    <t>Holy Trinity College</t>
  </si>
  <si>
    <t>W260301910L3</t>
  </si>
  <si>
    <t>ZM1581501</t>
  </si>
  <si>
    <t>(FC-10-F100F-950-02-12) FortiGate-100F 1 Year Unified Threat Protection (UTP) (IPS, Advanced Malware Protection, Application Control, URL, DNS &amp; Video Filtering, Antispam Service, and FortiCare Premium); S/N: FG100FTK22024138; Period: From 12 Mar 2026 To 12 Mar 2027
(EDV-SWP-FG100F (7x24 WL)) 1 Year 24x7x4 Distributor Swapping Service with On-site Labour - Pls refer to Edvance service contract for details; S/N: FG100FTK22024138; Period: From 12 Mar 2026 To 12 Mar 2027</t>
  </si>
  <si>
    <t>I56835</t>
  </si>
  <si>
    <t>UID-26-02-0250</t>
  </si>
  <si>
    <t>Li Sing Primary School</t>
  </si>
  <si>
    <t>W251290134L2</t>
  </si>
  <si>
    <t>ZM1582962</t>
  </si>
  <si>
    <t>(FC-10-F100F-950-02-12) FortiGate-100F 1 Year Unified Threat Protection (UTP) (IPS, Advanced Malware Protection, Application Control, URL, DNS &amp; Video Filtering, Antispam Service, and FortiCare Premium); S/N: FG100FTK21036213; Period: From 16 Mar 2026 To 16 Mar 2027 
(EDV-SWP-FG100F (7x24 WL)) 1 Year 24x7x4 Distributor Swapping Service with On-site Labour; Pls refer to Edvance service contract for details; S/N: FG100FTK21036213; Period: From 16 Mar 2026 To 16 Mar 2027</t>
  </si>
  <si>
    <t>I34290</t>
  </si>
  <si>
    <t>Liang, Monster SY</t>
  </si>
  <si>
    <t>UID-26-02-0264</t>
  </si>
  <si>
    <t>Tradition Management APAC Limited</t>
  </si>
  <si>
    <t>G260300110WW</t>
  </si>
  <si>
    <t>ZM1581856</t>
  </si>
  <si>
    <t>Tenable</t>
  </si>
  <si>
    <r>
      <t xml:space="preserve">(SERV-NES-EXP-R) Nessus Expert - On Premise - Annual Subscription (Renewal); Registration Code: 5SH5-58NN-AGGX-77BZ; Customer ID: 136574 brian.py.yu@traditionasia.com; Period: From 25 Mar 2026 To 24 Mar 2027
</t>
    </r>
    <r>
      <rPr>
        <b/>
        <sz val="10"/>
        <color indexed="30"/>
        <rFont val="Arial"/>
        <family val="2"/>
      </rPr>
      <t>License S/N: 260403300104</t>
    </r>
  </si>
  <si>
    <t>D92103</t>
  </si>
  <si>
    <t>Chow, Winnie WY</t>
  </si>
  <si>
    <t>UID-26-03-0006</t>
  </si>
  <si>
    <t>Global Esolutions (HK) Limited</t>
  </si>
  <si>
    <t>G251200169LS</t>
  </si>
  <si>
    <t>ZM1583131</t>
  </si>
  <si>
    <t>(PAN-PA-440-BND-PRECISIONAI-R) PA-440, Precision AI Network Security Subscription Renewal Bundle (Advanced Threat Prevention, Advanced URL Filtering, Advanced Wildfire, Advanced DNS Security, Advanced SD-WAN and Device Security), 1 years (12 months) term; S/N: 21201070261 / 21201070265; Period: 20-Mar-26 to 06-May-27 (Qty:2)
(PAN-SVC-BKLN-440-R) PA-440, Partner enabled premium support, 1 year (12 months), term, renewal.; S/N: 21201070261 / 21201070265; Period: 20-Mar-26 to 06-May-27 (Qty:2)
(PAN-PA-440-PAA-HA2-R) PA-440, Prisma Access Agent subscription, for one (1) device in an HA pair, 1 year (12 months), term, renewal.; S/N: 21201070261 / 21201070265; Period: 07-May-26 to 06-May-27 (Qty:2)
(BD-SWAP-PRE-ONSITE) B&amp;Data Swapping Service - 24x7x4 (Onsite Labour); S/N: 21201070261 / 21201070265; Period: 20-Mar-26 to 06-May-27 (Qty:2)</t>
  </si>
  <si>
    <t>PA-440 x 2
(swap $3,020)</t>
  </si>
  <si>
    <t>20-Mar-26
07-May-26</t>
  </si>
  <si>
    <t>I67744</t>
  </si>
  <si>
    <t>Leung, Sammi SM</t>
  </si>
  <si>
    <t>UID-26-03-0019</t>
  </si>
  <si>
    <t>P/8032/WAWA/YT25</t>
  </si>
  <si>
    <t>ZM1583434</t>
  </si>
  <si>
    <t>(FC-10-F101F-950-02-12) FortiGate-101F Unified Threat Protection (UTP) (IPS, Advanced Malware Protection, Application Control, URL, DNS &amp; Video Filtering, Antispam Service, and FortiCare Premium), and 4-Hour Hardware Delivery PRMA Service (FC-10-F101F-211-02-12)
; S/N: FG101FTK24000161; coterm end date: 23-Feb-2028</t>
  </si>
  <si>
    <t>FG-101F x 1</t>
  </si>
  <si>
    <t>Q65925</t>
  </si>
  <si>
    <t>UID-26-02-0267</t>
  </si>
  <si>
    <t>G260400021KW</t>
  </si>
  <si>
    <t>ZM1583831</t>
  </si>
  <si>
    <t>Elastic</t>
  </si>
  <si>
    <t>Billable Nodes for a Platinum Subscription - 64G; Suscription Period: 1 May 2026 to 30 April 2027 (Qty:16)</t>
  </si>
  <si>
    <t>VSCEPTRE LIMITED</t>
  </si>
  <si>
    <t>I54425</t>
  </si>
  <si>
    <t>UID-26-03-0033</t>
  </si>
  <si>
    <t>Rolex (Hong Kong) Limited</t>
  </si>
  <si>
    <t>G260390074CF</t>
  </si>
  <si>
    <t>ZM1583178</t>
  </si>
  <si>
    <r>
      <t xml:space="preserve">(TSC) Tenable Security Center (Renewal) # of asset: 500; CID: 162871; barry.au@rolex.com; Period: From 1 Mar 2026 To 28 Feb 2027 
(TSC-STNDC) Standard Tenable.sc Console (Renewal); Period: From 1 Mar 2026 To 28 Feb 2027
</t>
    </r>
    <r>
      <rPr>
        <b/>
        <sz val="10"/>
        <color indexed="30"/>
        <rFont val="Arial"/>
        <family val="2"/>
      </rPr>
      <t>License period: 11-Mar-26 to 10-Mar-27 (Serial # 261103300112, 261103300113)</t>
    </r>
  </si>
  <si>
    <t>K46351</t>
  </si>
  <si>
    <t>UID-26-03-0037</t>
  </si>
  <si>
    <t>AIA International Limited</t>
  </si>
  <si>
    <t>G260400020JI (PO.1020158831)</t>
  </si>
  <si>
    <t>ZM1583389</t>
  </si>
  <si>
    <t>other</t>
  </si>
  <si>
    <t>(SB-ENT-ADV) Enterprise Resource Unit - 64GB; Period: 16-Apr-2026 to 15-Apr-2027 (1 year subscription) (Qty:5)</t>
  </si>
  <si>
    <t>V11739</t>
  </si>
  <si>
    <t>UID-26-03-0041</t>
  </si>
  <si>
    <t>IWS Waste Mgt Co Ltd</t>
  </si>
  <si>
    <t>G260300065CF</t>
  </si>
  <si>
    <t>ZM1584080</t>
  </si>
  <si>
    <t>(PAN-XDR-PRVT) Cortex XDR Prevent, includes 30 days of alerts retention and standard success; S/N: 0220980000008473; Period: 20 Mar 2026 to 19 Mar 2027 (Qty:110)
(PAN-XDR-BKLN) Cortex XDR Partner enabled Premium Support;  S/N: 0220980000008473; Period: 20 Mar 2026 to 19 Mar 2027</t>
  </si>
  <si>
    <t>J93965</t>
  </si>
  <si>
    <t>UID-26-03-0097</t>
  </si>
  <si>
    <t>Hong Kong Housing Authority</t>
  </si>
  <si>
    <t>G260190080CP (Tender Ref.:ITQ20260089 / Contract:IQ20260089)</t>
  </si>
  <si>
    <t>ZM1584800</t>
  </si>
  <si>
    <t>Infoblox/Trinzic</t>
  </si>
  <si>
    <r>
      <rPr>
        <b/>
        <sz val="10"/>
        <color indexed="30"/>
        <rFont val="Arial"/>
        <family val="2"/>
      </rPr>
      <t>** Email on 6-Aug-25 - Informed by SB Lau, Coco WY, it is only involves the subscription renewal, without hardware.</t>
    </r>
    <r>
      <rPr>
        <sz val="10"/>
        <rFont val="Arial"/>
        <family val="2"/>
      </rPr>
      <t xml:space="preserve">
(TE-1 425-SWBSUB-NS1GD-PP) Trinzic 1425 Software Bundle Subscription,DDI and Grid; S/N: 564D9C561A9156FC0A1C6CFC7F4C35BF / 564D55D6DF9C020E29F049053DDEE7D5 / 564D37049E379A31642671503981399E (0355886); Period: 23-Mar-26 to 22-Mar-27 (Qty:3)
(TR-SW TL-1GBPP) Reporting and Analytics Subscription License, 1 License per Grid, requires Reporting and Analytics HW or Activation Software Bundle; S/N:008e5774d4994fa18e0ddc7a6f087955 (0355900); Period: 23-Mar-26 to 22-Mar-27
(TE-815-SWBSUB-NS1GD-PP) Trinzic 815 Software Bundle Subscription, DDI and Grid; S/N: 564DAA3095BFD3EB71CB47F78B8D5760 (0355887); Period: 23-Mar-26 to 22-Mar-27
(TE-825-SWBSUB-NS1GD-PP) Trinzic 825 Software Bundle Subscription,DDI and Grid; S/N: 564D4E77F0B655D1CECEA3347AD512FA / 564DB3705C68FA5D231ED97F52BA99DF (0355888); Period: 23-Mar-26 to 22-Mar-27 (Qty:2)
(TR-SWBSUB-5005-ACTIVATION) TR-5005 Reporting &amp; Analytics Software Bundle, activation, requires Infoblox Reporting and Analytics Subscription License; S/N:564DF616E5B1268CC0E796F8D5E75D0C (0355889); Period: 23-Mar-26 to 22-Mar-27
(TR-SWTL-5GBPP) Reporting and Analytics Subscription License, 1 License per Grid, requires Reporting and Analytics HW or Activation Software Bundle; S/N:ca66e3ac4a4c429db35a715fe946dfb6 (0355899); Period: 23-Mar-26 to 22-Mar-27
(TR-SWBSUB-5005-ACTIVATION) TR-5005 Reporting &amp; Analytics Software Bundle, activation, requires Infoblox Reporting and Analytics Subscription License; S/N: 564D648C5EB525E9C470469F64416E72 (0355890); Period: 23-Mar-26 to 22-Mar-27
(CW-P&amp;E-SD-IB) Cyberworld 24x7 phone &amp; Email support for Infoblox (1YR); Remark: Including one time Major and Minor OS Update per yerar (onsite); Period: 23-Mar-26 to 22-Mar-27</t>
    </r>
  </si>
  <si>
    <t>Infoblox Trinzic 1425 x 3 ; 825 x 2 ; 815 x 1 ; TR-5005 x 1</t>
  </si>
  <si>
    <t>D62367-1</t>
  </si>
  <si>
    <t>UID-26-03-0098</t>
  </si>
  <si>
    <t>Original Taste Workshop Limited</t>
  </si>
  <si>
    <t>G260400053CF</t>
  </si>
  <si>
    <t>ZM1584852</t>
  </si>
  <si>
    <t xml:space="preserve">(grM-PRO-IN-500-3Y) grMail Professional Inbound Email Security Protection (3-Year for up to 500 mailboxes); Period: From 2 Apr 2026 To 1 Apr 2029 (Qty:101 Mailboxes)
- Core Email Protection Module: Dynamic Reputation Filter, Anti-Virus, Anti-Spam, Anti-Phishing
- Zero-Day Protection Module: Sandboxing and URL Inspection
- BEC Protection Module with VIP x 20 on Watchlist
- aidar AI Analytics
- Threat Hunting
- Integrated Managed Detection and Response </t>
  </si>
  <si>
    <t>I51564</t>
  </si>
  <si>
    <t>UID-26-03-0114</t>
  </si>
  <si>
    <t>The HK Mortgage Corp Limited</t>
  </si>
  <si>
    <t>G260400066KW</t>
  </si>
  <si>
    <t>ZM1584929</t>
  </si>
  <si>
    <t>Checkpoint</t>
  </si>
  <si>
    <r>
      <t xml:space="preserve">UCID 8316617; Period: 08-Apr-2026 to 07-Apr-2027
</t>
    </r>
    <r>
      <rPr>
        <sz val="10"/>
        <rFont val="Arial"/>
        <family val="2"/>
      </rPr>
      <t>(CPCES-CO-PREMIUM-ONSITE-ADD) 1 Year Collaborative Premium onsite Support for CPAP-SG6600-PLUS-SNBT; Key: 00:1C:7F:AB:0C:8F (S/N:2041BA0651) / 00:1C:7F:AB:F8:15 (S/N:2123BA6492) (Qty:2)
(CPCES-CO-PREMIUM-ONSITE-ADD) 1 Year Collaborative Premium onsite Support for CPAC-RAM16GB-6600; S/N: 32178F0B3B27 / 75FD8E363E27 (Qty:2)
(CPSB-NGFW-6600-PLUS-1Y) Next Generation Firewall Package for additional 1 year for 6600 PLUS Appliance; Key: 00:1C:7F:AB:0C:8F (S/N:2041BA0651) / 00:1C:7F:AB:F8:15 (S/N:2123BA6492) (Qty:2)</t>
    </r>
  </si>
  <si>
    <t>SG6600 x 2</t>
  </si>
  <si>
    <t>D92173</t>
  </si>
  <si>
    <t>UID-26-03-0127</t>
  </si>
  <si>
    <t>ZM1584925</t>
  </si>
  <si>
    <r>
      <t xml:space="preserve">UCID 8335645; Period: 08-Apr-2026 to 07-Apr-2027
</t>
    </r>
    <r>
      <rPr>
        <sz val="10"/>
        <rFont val="Arial"/>
        <family val="2"/>
      </rPr>
      <t>(CPCES-CO-PREMIUM-ONSITE-ADD) 1 Year Collaborative Premium onsite Support for CPAP-SG3600-SNBT; Key: 00:1C:7F:AA:B6:B1 (S/N:2042BA4812) / 00:1C:7F:AB:BD:AD (S/N:2048BA1719) (Qty:2)
(CPCES-CO-PREMIUM-ONSITE-ADD) 1 Year Collaborative Premium onsite Support for CPAC-PSU-3600/3800; S/N: 52431EA4AD8D / 7DD1FD7B8491 (Qty:2)
(CPCES-CO-PREMIUM-ONSITE-ADD) 1 Year Collaborative Premium onsite Support for CPAC-1500/3600/3800-RM-DUAL; S/N: 66BA550FBAE5 / E05C62D06F76 (Qty:2)
(CPSB-NGFW-3600-1Y) Next Generation Firewall Package for additional 1 year for 3600 Base Appliance; Key: 00:1C:7F:AA:B6:B1 (S/N:2042BA4812) / 00:1C:7F:AB:BD:AD (S/N:2048BA1719) (Qty:2)</t>
    </r>
  </si>
  <si>
    <t>SG3600 x 2</t>
  </si>
  <si>
    <t>D92181</t>
  </si>
  <si>
    <t>PCCW-HKT Teleservices Int'l Ltd</t>
  </si>
  <si>
    <t>G260100039YR</t>
  </si>
  <si>
    <t>ZM1585639</t>
  </si>
  <si>
    <t>(FC-10-F201F-950-02-12) FortiGate-201F 1 Year Unified Threat Protection (UTP)(IPS,Advanced Malware Protection, Application Control, URL, DNS &amp; Video Filtering, Antispam Service, and FortiCare Premium); S/N: FG201FT921908457 / FG201FT921908456; Period: From 17 Jan 2026 To 17 Jan 2027 (Qty:2)</t>
  </si>
  <si>
    <t>FG-201F x 2</t>
  </si>
  <si>
    <t>MASS13940</t>
  </si>
  <si>
    <t>UID-26-03-0129</t>
  </si>
  <si>
    <t>Farm Road Government Primary School</t>
  </si>
  <si>
    <t>W260400672L3</t>
  </si>
  <si>
    <t>ZM1584887</t>
  </si>
  <si>
    <r>
      <rPr>
        <sz val="10"/>
        <rFont val="Arial"/>
        <family val="2"/>
      </rPr>
      <t>(FC-10-00208-950-02-12) FortiGate-201E 1 Year Unified Threat Protection (UTP) (IPS, Advanced Malware Protection, Application Control, URL, DNS &amp; Video Filtering, Antispam Service, and FortiCare Premium); S/N: FG201ETK18906538; Period: From 15 Apr 2026 To 15 Apr 2027
(EDV-SWP-FG201E (8x5WL)) 1 Year 8x5xNBD Distributor Swapping Service with On-site Labour; Pls refer to Edvance service contract for details; S/N: FG201ETK18906538; Period: From 15 Apr 2026 To 15 Apr 2027</t>
    </r>
  </si>
  <si>
    <t>FG-201E x 1
(swap $2,000)</t>
  </si>
  <si>
    <t>J74025</t>
  </si>
  <si>
    <t>UID-26-03-0130</t>
  </si>
  <si>
    <t>MIB Securities (Hong Kong) Limited</t>
  </si>
  <si>
    <t>G260190105LS</t>
  </si>
  <si>
    <t>ZM1585376</t>
  </si>
  <si>
    <t>(PAN-PA-1410-PAA-HA2-R) PA-1410, Prisma Access Agent subscription, for one (1) device in an HA pair, 1 year (12 months) term, renewal.; S/N: 26709000994 / 26709001003; Period: 17-Apr-26 to 29-Dec-27 (Qty:2)
(PAN-PA-1410-PAA-HA2-R) PA-1410, Prisma Access Agent subscription, for one (1) device in an HA pair, 1 year (12 months) term, renewal.; S/N: 26709000991 / 26709001000; Period: 19-Jun-26 to 29-Dec-27 (Qty:2)
** As Global Protection (GP) EOS on 15-Aug-25, transit to Prisma Access Agent (PAA)</t>
  </si>
  <si>
    <t>PA-1410 x 4</t>
  </si>
  <si>
    <t>17-Apr-26
19-Jun-26</t>
  </si>
  <si>
    <t>P27249-1</t>
  </si>
  <si>
    <t>UID-26-03-0105</t>
  </si>
  <si>
    <t>G260500056CB</t>
  </si>
  <si>
    <t>ZM1585662</t>
  </si>
  <si>
    <r>
      <t xml:space="preserve">(SERV-NES-R) Nessus Professional - On Premise - Annual Subscription (Renewal); Registration Code: R2VB-VEG2-RN39-3HB4; Customer ID: 20574; ridley.man@shacombank.com.hk; Period: From 4 May 2026 To 3 May 2027
(SERV-NES-R) Nessus Professional - On Premise - Annual Subscription (Renewal); Registration Code: S58A-CGZE-U68A-4EK6; Customer ID: 20574; ridley.man@shacombank.com.hk; Period: From 4 May 2026 To 3 May 2027
</t>
    </r>
    <r>
      <rPr>
        <b/>
        <sz val="10"/>
        <color indexed="30"/>
        <rFont val="Arial"/>
        <family val="2"/>
      </rPr>
      <t>(Commodity code: CCWY)</t>
    </r>
  </si>
  <si>
    <t>MASS11670, MASS11670-1</t>
  </si>
  <si>
    <t>UID-26-03-0171</t>
  </si>
  <si>
    <t>Agricultural Bank of China Limited</t>
  </si>
  <si>
    <t>G260300032J2</t>
  </si>
  <si>
    <t>ZM1585424</t>
  </si>
  <si>
    <t>(SE-P-ST) Splunk Enterprise - Standard Support (Renewal); Existing License Size = 20 GB/day; Entitlement = E-0002094; Period: From 1 Apr 2026 To 31 Mar 2027
(ES-P-ST) Splunk Enterprise Security - Standard Support (Renewal); Existing License Size = 20 GB/day; Entitlement = E-0002094; Period From 1 Apr 2026 To 31 Mar 2027</t>
  </si>
  <si>
    <t>J56679</t>
  </si>
  <si>
    <t>UID-26-03-0135</t>
  </si>
  <si>
    <t>Pride Success Fashion Trading Ltd</t>
  </si>
  <si>
    <t>G260300078KW</t>
  </si>
  <si>
    <t>ZM1585723</t>
  </si>
  <si>
    <r>
      <t xml:space="preserve">(FC-10-W060E-950-02-12) FortiWiFi-60E Unified Threat Protection (UTP) (IPS, Advanced Malware Protection, Application Control, URL, DNS &amp; Video Filtering, Antispam Service, and FortiCare Premium); S/N: FWF60ETK18005364; coterm maintenance From 10 Mar 2026 To 15 Jul 2026
</t>
    </r>
    <r>
      <rPr>
        <b/>
        <sz val="10"/>
        <rFont val="Arial"/>
        <family val="2"/>
      </rPr>
      <t>**Customer contract's swapping service SLA is RTF</t>
    </r>
  </si>
  <si>
    <t>FortiWiFi-60E x 1</t>
  </si>
  <si>
    <t>MASS13511</t>
  </si>
  <si>
    <t>UID-26-03-0193</t>
  </si>
  <si>
    <t>Lik Kai Engineering Co Ltd</t>
  </si>
  <si>
    <t>L260301798CF</t>
  </si>
  <si>
    <t>ZM1586393</t>
  </si>
  <si>
    <t>(PAN-SVC-BKLN-850-R) Partner enabled premium support year 1 renewal, PA-850; S/N: 11901007421 &amp; 11901007449; Period: From 31-Mar-2026 to 30-Mar-2027 (Qty:2)
(PAN-PA-850-PAA-HA2-R) Prisma Access Agent subscription for device in an HA pair renewal, PA-850; S/N: 11901007421 &amp; 11901007449; Period: From 31-Mar-2026 to 30-Mar-2027 (Qty:2)
(PAN-PA-850-AWF-HA2-R) Advanced WildFire subscription for device in an HA pair renewal, PA-850; S/N: 11901007421 &amp; 11901007449; Period: From 31-Mar-2026 to 30-Mar-2027 (Qty:2)
(PAN-PA-850-ATP-HA2-R) Advanced Threat Prevention subscription for device in an HA pair renewal, PA-850; S/N: 11901007421 &amp; 11901007449; Period: From 31-Mar-2026 to 30-Mar-2027 (Qty:2)
(PAN-PA-850-ADVURL-HA2-R) Subscription Advanced URL Filtering, 1-year, PA-850, HA Pair Renewal; S/N: 11901007421 &amp; 11901007449; Period: From 31-Mar-2026 to 30-Mar-2027 (Qty:2)
(BD-SWAP-PRE-1YR) B&amp;Data Swapping Service - 24x7x4 (No Labour); S/N: 11901007421 &amp; 11901007449; Period: From 31-Mar-2026 to 30-Mar-2027 (Qty:2)</t>
  </si>
  <si>
    <t>PA-850 x 2
(swap $43,652)</t>
  </si>
  <si>
    <t>D37229, F89969, J87712</t>
  </si>
  <si>
    <t>UID-26-03-0194</t>
  </si>
  <si>
    <t>G260300044CB</t>
  </si>
  <si>
    <t>ZM1585775</t>
  </si>
  <si>
    <t>Sangfor</t>
  </si>
  <si>
    <t>(IOU6-1Y) M5600-AC-I, Software, Sangfor URL Database 1 Year License; Central(700MB) SN: W1XAFA0253, W1XADJ0058 (IAM56)
New maint period: 17 Mar 2026 to 16 Mar 2027 (1 Year) (Qty:2)
(STS &amp; HSDS-IAM56-1Y) M5600-AC-I, IAM Software Upgrade, 24*7 Technical Support, IAM (SDS) Same Day Shipment Hardware Service, 1 Year; Central(700MB) SN: W1XAFA0253, W1XADJ0058 (IAM56)
New maint period: 17 Mar 2026 to 16 Mar 2027 (1 Year) (Qty:2)</t>
  </si>
  <si>
    <t>M5600 x 2</t>
  </si>
  <si>
    <t>TRITECH DISTRIBUTION LIMITED</t>
  </si>
  <si>
    <t>D83169, D83280</t>
  </si>
  <si>
    <t>UID-26-03-0196</t>
  </si>
  <si>
    <t>South China Morning Post Publishers Limited</t>
  </si>
  <si>
    <t>G260390196CF</t>
  </si>
  <si>
    <t>ZM1586119</t>
  </si>
  <si>
    <r>
      <t>(PAN-PA-1410-BND-PRECISIONAI-3YR-R)</t>
    </r>
    <r>
      <rPr>
        <sz val="10"/>
        <rFont val="Arial"/>
        <family val="2"/>
      </rPr>
      <t xml:space="preserve"> PA-1410, Precision AI Network Security Subscription Renewal Bundle (Advanced Threat Prevention, Advanced URL Filtering, Advanced Wildfire, Advanced DNS Security, Advanced SD-WAN and Device Security), 3 years (36 months) term; S/N: 026701001741 / 026701001784; Period: 26-Jun-26 to 25-Jun-29 (Qty:2)
(PAN-SVC-BKLN-1410-3YR-R) PA-1410, Partner enabled premium support, 3 years (36 months) term, renewal; S/N: 026701001741</t>
    </r>
    <r>
      <rPr>
        <sz val="10"/>
        <rFont val="Arial"/>
        <family val="2"/>
      </rPr>
      <t>;</t>
    </r>
    <r>
      <rPr>
        <sz val="10"/>
        <rFont val="Arial"/>
        <family val="2"/>
      </rPr>
      <t xml:space="preserve"> Period: 26-Jun-26 to 25-Jun-29
</t>
    </r>
    <r>
      <rPr>
        <sz val="10"/>
        <rFont val="Arial"/>
        <family val="2"/>
      </rPr>
      <t>(PAN-SVC-BKLN-1410-3YR-R) PA-1410, Partner enabled premium support, 3 years (36 months) term, renewal; S/N: 026701001784; Period: 25-Jun-26 to 24-Jun-29</t>
    </r>
    <r>
      <rPr>
        <sz val="10"/>
        <rFont val="Arial"/>
        <family val="2"/>
      </rPr>
      <t xml:space="preserve">
(PAN-PA-1410-PAA-3YR-HA2-R) PA-1410, Prisma Access Agent subscription, for one (1) device in an HA pair, 3 years (36 months) term, renewal.; S/N: 026701001741 / 026701001784; Period: 26-Jun-26 to 25-Jun-29 (Qty:2)</t>
    </r>
  </si>
  <si>
    <t>PA-1410 x 2</t>
  </si>
  <si>
    <t>25-Jun-26
26-Jun-26</t>
  </si>
  <si>
    <t>24-Jun-29
25-Jun-29</t>
  </si>
  <si>
    <t>I73563</t>
  </si>
  <si>
    <t>UID-26-03-0201</t>
  </si>
  <si>
    <t>G260190067CF</t>
  </si>
  <si>
    <t>ZM1586114</t>
  </si>
  <si>
    <r>
      <rPr>
        <sz val="10"/>
        <rFont val="Arial"/>
        <family val="2"/>
      </rPr>
      <t>(PAN-PA-1410-PAA-3YR-HA2-R) PA-1410, Prisma Access Agent subscription, for one (1) device in an HA pair, 3 years (36 months) term, renewal.; S/N: 026701001786 / 026701001787; Period:26-Jun-2026 to 25-Jun-2029 (Qty:2)
(PAN-PA-460-PAA-3YR-HA2-R) PA-460, Prisma Access Agent subscription, for one (1) device in an HA pair, 3 years (36 months), term, renewal; S/N: 023001019241 / 023001019250 / 023001019340 / 023001019354; Period: 4-Jul-2026 to 3-Jul-2029 (Qty:4)
(PAN-SVC-4HR-460-3YR-R) PA-460, 4-Hour Premium Support, 3 years (36 months), term, renewal.; S/N: 023001019241 / 023001019250; Period: 4-Jul-2026 to 3-Jul-2029 (Qty:2)
(PAN-SVC-4HR-460-3YR-R) PA-460, 4-Hour Premium Support, 3 years (36 months), term, renewal.For device deployed in the city of Beijing within the postal code of 100020, only.; S/N: 023001019340 / 023001019354; Period: 4-Jul-2026 to 3-Jul-2029 (Qty:2)
(PAN-SVC-BKLN-1410-3YR-R) PA-1410, Partner enabled premium support, 3 years (36 months) term, renewal; S/N:026701001786 / 026701001787; Period: 26-Jun-2026 to 25-Jun-2029 (Qty:2)
(PAN-SVC-BKLN-PRA-25-3YR-R) Partner enabled premium support 3 year term renewal, Panorama 25 devices; S/N: 000702258378; Period: 31-Mar-2026 to 30-Mar-2029
(PAN-PA-460-BND-PRECISIONAI-3YR-R) PA-460, Precision AI Network Security Subscription Renewal Bundle (Advanced Threat Prevention, Advanced URL Filtering, Advanced Wildfire, Advanced DNS Security, Advanced SD-WAN and Device Security), 3 years (36 months) term; S/N:023001019241 / 023001019250 / 023001019340 / 023001019354; Period: 4-Jul-2026 to 3-Jul-2029 (Qty:4)
(PAN-PA-1410-BND-PRECISIONAI-3YR-R) PA-1410, Precision AI Network Security Subscription Renewal Bundle (Advanced Threat Prevention, Advanced URL Filtering, Advanced Wildfire, Advanced DNS Security, Advanced SD-WAN and Device Security), 3 years (36 months) term; S/N: 026701001786 / 026701001787;  Period: 26-Jun-2026 to 25-Jun-2029 (Qty:2)</t>
    </r>
  </si>
  <si>
    <t xml:space="preserve">PA-460 x 4 ; PA-1410 x 2 ; PRA-25 x 1 </t>
  </si>
  <si>
    <t>31-Mar-26
4-Jul-26
26-Jun-26</t>
  </si>
  <si>
    <t>30-Mar-29
3-Jul-29
25-Jun-29</t>
  </si>
  <si>
    <t>I73574</t>
  </si>
  <si>
    <t>UID-26-03-0202</t>
  </si>
  <si>
    <t>L260300086CF</t>
  </si>
  <si>
    <t>ZM1585844</t>
  </si>
  <si>
    <r>
      <t xml:space="preserve">Quote # 442006181; Deal ID: 72293786
FPR4110-NGFW-K9; S/N:JMX2320L03V / JMX2320L03S; SNTP; STD 24x7x4; Period: 1-Apr-26 to 30-Sep-26 (Qty:2)
</t>
    </r>
    <r>
      <rPr>
        <b/>
        <sz val="10"/>
        <color indexed="30"/>
        <rFont val="Arial"/>
        <family val="2"/>
      </rPr>
      <t>PO was issued by Chan, Yuk-Fun (code: SSCC)</t>
    </r>
  </si>
  <si>
    <t>FPR4110 x 2 (services support)</t>
  </si>
  <si>
    <t>D50310</t>
  </si>
  <si>
    <t>UID-26-03-0203</t>
  </si>
  <si>
    <t>ZM1585842</t>
  </si>
  <si>
    <r>
      <t xml:space="preserve">Quote ID: 4779176637; Deal ID: 72224743
(L-FPR4110T-TM=) Cisco FPR4110 Threat Defense Threat and Malware License (Qty:2)
(L-FPR4110T-TM-1Y) Cisco FPR4110 Threat Defense Threat and Malware 1Y Subs; Period: 1-Apr-26 to 30-Sep-26 (Qty:2)
</t>
    </r>
    <r>
      <rPr>
        <b/>
        <sz val="10"/>
        <color indexed="30"/>
        <rFont val="Arial"/>
        <family val="2"/>
      </rPr>
      <t>PO was issued by Chan, Yuk-Fun (code: SSCC)</t>
    </r>
  </si>
  <si>
    <t>FPR4110 x 2 (S/W)</t>
  </si>
  <si>
    <t>Refer to line 79</t>
  </si>
  <si>
    <t>Rifa Securities Limited</t>
  </si>
  <si>
    <t>H260301535WW (Ref: 2026MA0903WW)</t>
  </si>
  <si>
    <t>ZM1586383</t>
  </si>
  <si>
    <r>
      <t xml:space="preserve">(FC-10-F100F-950-02-12) FortiGate-100F 1 Year Unified Threat Protection (UTP) (IPS, Advanced Malware Protection, Application Control, URL, DNS &amp; Video Filtering, Antispam Service, and FortiCare Premium); SN#G100FTK20033908, FG100FTK20030805; Period: 1-Jun-26 to 31-May-27 (Qty:2)
(FC-MAINPRE-100) FortiGate 80 90 100 120 series annual onsite swapping services, Premium 7x24x4, no troubleshooting included; SN#G100FTK20033908, FG100FTK20030805; Period: 1-Jun-26 to 31-May-27 (Qty:2)
</t>
    </r>
    <r>
      <rPr>
        <b/>
        <sz val="10"/>
        <color indexed="30"/>
        <rFont val="Arial"/>
        <family val="2"/>
      </rPr>
      <t>H/W: 26032135-100016 / 100017</t>
    </r>
  </si>
  <si>
    <t>FG-100F x 2
(swap $6,936)</t>
  </si>
  <si>
    <t>MASS13943</t>
  </si>
  <si>
    <t>UID-26-03-0228</t>
  </si>
  <si>
    <t>Hong Kong Science and Technology Parks Corporation</t>
  </si>
  <si>
    <t>G260390265TS (PO2000013862, ref.G2026WB048TS)</t>
  </si>
  <si>
    <t>ZM1586634</t>
  </si>
  <si>
    <t>Veeam</t>
  </si>
  <si>
    <t>(V-FDNPLS-VS-PB1AR-00) 1 year of Basic maintenance renewal for Veeam Data Platform Foundation Enterprise Plus.; Contract# 03292197 x 8 Sockets
(V-FDNPLS-VS-PB1AR-00) 1 year of Basic maintenance renewal for Veeam Data Platform Foundation Enterprise Plus.; Contract# 03292190 x 8 Sockets
License Expiration date: June 29, 2027</t>
  </si>
  <si>
    <t>MASS14307</t>
  </si>
  <si>
    <t>UID-26-03-0342</t>
  </si>
  <si>
    <t>The Hong Kong Eng Clansman Association Wu Si Chong Memorial School</t>
  </si>
  <si>
    <t>W260600883L3</t>
  </si>
  <si>
    <t>ZM1587158</t>
  </si>
  <si>
    <t>(PM-54-1Y) M5400-F-I, Premium Bundle Including Essential Subscription &amp; Engine Zero &amp; Neural-X, 1 Year; SN: W1ZCBA0008 (NGAF54); Version: 8.0.26; New maint period: 06 Jun 2026 to 05 Jun 2027 (1 Year)
(STS54-1Y &amp; HRTF54-1Y) M5400-F-I, NGAF Software Upgrade, 24*7 Technical Support Services,1 Year &amp; M5400-F-I, NGAF,Return to Factory (5 Business days ship after receipt), 1 Year; SN: W1ZCBA0008 (NGAF54); Version: 8.0.26; New maint period: 06 Jun 2026 to 05 Jun 2027 (1 Year)
(SANGFOR-SWAP-7X24-NGAF54) Annual 7x24x4 swapping service during non-Business Hour, Customer shall provide configuration backup file(s) for hardware recovery.; SN: W1ZCBA0008 (NGAF54); Version: 8.0.26; New maint period: 06 Jun 2026 to 05 Jun 2027 (1 Year)</t>
  </si>
  <si>
    <t>M5400 x 1
(swap $3,000)</t>
  </si>
  <si>
    <t>I34333</t>
  </si>
  <si>
    <t>UID-26-04-0004</t>
  </si>
  <si>
    <t>Luk Fook Holdings Co Ltd</t>
  </si>
  <si>
    <t>G260390084CB</t>
  </si>
  <si>
    <t>ZM1587175</t>
  </si>
  <si>
    <t>PAN-SOFTWARE-NGFW-CR (Standard)
Software NGFW Credits to deploy VM-Series, CN Series, Subscription Services, and Virtual Panorama to manage Software Firewalls; S/N: 5804331721; Period: 19-Apr-26 to 18-Apr-27 (Qty:17)</t>
  </si>
  <si>
    <t>I51597</t>
  </si>
  <si>
    <t>UID-26-03-0339</t>
  </si>
  <si>
    <t>G260500073KW</t>
  </si>
  <si>
    <t>ZM1589346</t>
  </si>
  <si>
    <t>UCID: 8875229
(CPCES-CO-PREMIUM-ONSITE-ADD) 1 Year Collaborative Premium onsite Support for CPAP-SG9100-PLUS-SNBT; Key: 00:1C:7F:C8:46:7A (S/N:2443BA0295) / 00:1C:7F:C8:47:24 (S/N:2443BA0293); Period: 02-May-2026 to 01-May-2027 (Qty:2)</t>
  </si>
  <si>
    <t>SG9100 x 2</t>
  </si>
  <si>
    <t>I98260</t>
  </si>
  <si>
    <t>UID-26-04-0079</t>
  </si>
  <si>
    <t>Hong Kong Ta Kung Wen Wei Investors Public Relations Group Ltd</t>
  </si>
  <si>
    <t>G260290075CF</t>
  </si>
  <si>
    <t>ZM1590467</t>
  </si>
  <si>
    <t>(PAN-PA-440-BND-PRECISIONAI-R) PA-440, Precision AI Network Security Subscription Renewal Bundle (Advanced Threat Prevention, Advanced URL Filtering, Advanced Wildfire, Advanced DNS Security, Advanced SD-WAN and Device Security), 1 years (12 months) term; S/N: 21209026172; Period: 25-Apr-26 to 26-Apr-27
(PAN-SVC-BKLN-440-R) PA-440, Partner enabled premium support, 1 year (12 months), term, renewal.; S/N: 21209026172; Period: 25-Apr-26 to 26-Apr-27
(BD-SWAP-PRE-1YR) B&amp;Data Swapping Service - 24x7x4 (No Labour); S/N: 21209026172; Period: 25-Apr-26 to 26-Apr-27</t>
  </si>
  <si>
    <t>PA-440 x 1
(swap $1,200)</t>
  </si>
  <si>
    <t>K09322</t>
  </si>
  <si>
    <t>UID-26-04-0136</t>
  </si>
  <si>
    <t>New Charm Management Ltd (c/o Nan Fung Group (Holdings) Limited)</t>
  </si>
  <si>
    <t>G260400055CB (Ref.: AIR/L0495/2026)</t>
  </si>
  <si>
    <t>ZM1590105</t>
  </si>
  <si>
    <r>
      <rPr>
        <sz val="10"/>
        <rFont val="Arial"/>
        <family val="2"/>
      </rPr>
      <t>FortiGate-1101E Unified Threat Protection (UTP) (IPS, Advanced Malware Protection, Application Control, URL, DNS &amp; Video Filtering, Antispam Service, and FortiCare Premium); S/N: FG10E1TB20902920 / FG10E1TB20903207; Coterm end date: 30-April-2027 (From 30 Apr 2026 To 30 Apr 2027) (Qty:2)
FortiGate-1101E 1 Year 4-Hour Hardware Delivery Premium RMA Service (Requires 24x7 or ASE FortiCare); S/N: FG10E1TB20902920 / FG10E1TB20903207; Coterm end date: 30-April-2027 (From 30 Apr 2026 To 30 Apr 2027) (Qty:2)
FortiGate-401E Unified Threat Protection (UTP) (IPS, Advanced Malware Protection, Application Control, URL, DNS &amp; Video Filtering, Antispam Service, and FortiCare Premium); S/N: FG4H1ETB20902337; Coterm end date: 30-April-2027 (From 30 Apr 2026 To 30 Apr 2027)
FortiGate-401E 1 Year 4-Hour Hardware Delivery Premium RMA Service (Requires 24x7 or ASE FortiCare); S/N: FG4H1ETB20902337; Coterm end date: 30-April-2027 (From 30 Apr 2026 To 30 Apr 2027)</t>
    </r>
  </si>
  <si>
    <t>FG-1101E x 2 ; FG-401E x 1
(RMA $46,823)</t>
  </si>
  <si>
    <t>I19299</t>
  </si>
  <si>
    <t>UID-26-04-0143</t>
  </si>
  <si>
    <t>New Charm Management Ltd (c/o: Rich Union Development Limited)</t>
  </si>
  <si>
    <t>ZM1590129</t>
  </si>
  <si>
    <t>(PAN-SVC-BKLN-5220-R) Partner enabled premium support renewal, PA-5220; S/N: 013201004847 / 013201003992; Period: 01-May-26 to 30-Apr-27 (Qty:2)
(PAN-SVC-BKLN-3260-R) Partner enabled premium support renewal, PA-3260; S/N: 016401010860 / 016401010910; Period: 01-May-26 to 30-Apr-27 (Qty:2)
(PAN-PA-5220-ATP-HA2-R) Advanced Threat Prevention subscription for device in an HA pair renewal, PA-5220; S/N: 013201004847 / 013201003992; Period: 01-May-26 to 30-Apr-27 (Qty:2)
(PAN-PA-3260-ATP-HA2-R) Advanced Threat Prevention subscription for device in an HA pair renewal, PA-3260; S/N: 016401010860 / 016401010910; Period: 01-May-26 to 30-Apr-27 (Qty:2)
B&amp;Data 24x7x4 Hardware Swapping Service for PA-5220 (No Labour); S/N: 013201004847 / 013201003992; Period: 01-May-26 to 30-Apr-27 (Qty:2)
B&amp;Data 24x7x4 Hardware Swapping Service for PA-3260 (No Labour) ; S/N: 016401010860 / 016401010910; Period: 01-May-26 to 30-Apr-27 (Qty:2)</t>
  </si>
  <si>
    <t>PA-5220 x 2 ; PA-3260 x 2</t>
  </si>
  <si>
    <t>I19345</t>
  </si>
  <si>
    <t>ZM1590192</t>
  </si>
  <si>
    <t>SolarWinds</t>
  </si>
  <si>
    <r>
      <t xml:space="preserve">(2078005) SolarWinds Network Performance Monitor SLX (unlimited
elements-Standard Polling Throughput) - Subscription; SWID: SW22692254; Period: From 30 Apr 2026 To 29 Apr 2029
(2088001) SolarWinds Kiwi Syslog Server NG -Single Install -Subscription; SWID: SW22700967; Period: From 4 May 2026 To 3 May 2029 (Qty:2)
</t>
    </r>
    <r>
      <rPr>
        <b/>
        <sz val="10"/>
        <color indexed="30"/>
        <rFont val="Arial"/>
        <family val="2"/>
      </rPr>
      <t>(Commodity code: CCWY)</t>
    </r>
  </si>
  <si>
    <t>30-Apr-26
4-May-26</t>
  </si>
  <si>
    <t>29-Apr-29
3-May-29</t>
  </si>
  <si>
    <t>I58676</t>
  </si>
  <si>
    <t>Pacific Century Asset Management (HK) Limited</t>
  </si>
  <si>
    <t>L260290166YR</t>
  </si>
  <si>
    <t>ZM1590113</t>
  </si>
  <si>
    <t>Trellix</t>
  </si>
  <si>
    <r>
      <t xml:space="preserve">(GSSYFM-AA) ProtectPLUS Thrive Essential; Period: 15-Mar-2026 to 14-Mar-2027 (Qty:50)
</t>
    </r>
    <r>
      <rPr>
        <b/>
        <sz val="10"/>
        <color indexed="30"/>
        <rFont val="Arial"/>
        <family val="2"/>
      </rPr>
      <t xml:space="preserve">Renew Grant No.: </t>
    </r>
    <r>
      <rPr>
        <b/>
        <sz val="10"/>
        <color indexed="30"/>
        <rFont val="Arial"/>
        <family val="2"/>
      </rPr>
      <t>18005078-NAI</t>
    </r>
  </si>
  <si>
    <t>J88462</t>
  </si>
  <si>
    <t>UID-26-04-0167</t>
  </si>
  <si>
    <t>G260400042MZ</t>
  </si>
  <si>
    <t>ZM1590326</t>
  </si>
  <si>
    <t>(PAN-XDR-ADV-EP) Cortex XDR Pro for 1 endpoint, includes 30 days of data retention and standard success; S/N:0220980000012486; Period: 30-Apr-26 to 29-Apr-27 (Qty:480)
(PAN-XDR-XTH) Extended Threat Hunting (enhanced visibility) add-on for Cortex XDR ProEP/ Cloud (price per Endpoint). Includes 30 days of data retention.; S/N:0220980000012486; Period: 30-Apr-26 to 29-Apr-27 (Qty:480)
(PAN-XDR-HOST-INST) Host Insights add-on for Cortex XDR; S/N:0220980000012486; Period: 30-Apr-26 to 29-Apr-27 (Qty:480)</t>
  </si>
  <si>
    <t>D89656</t>
  </si>
  <si>
    <t>UID-26-04-0183</t>
  </si>
  <si>
    <t>Customs &amp; Excise Dept</t>
  </si>
  <si>
    <t>G251190236IL</t>
  </si>
  <si>
    <t>ZM1590541</t>
  </si>
  <si>
    <t>(SE-P-ST) Splunk Enterprise - Standard Support (Renewal); Existing License Size = 20 GB/day; Entitlement = E-0011149; Period: From 1 May 2026 To 30 Apr 2027</t>
  </si>
  <si>
    <t>D30782</t>
  </si>
  <si>
    <t>UID-26-04-0199</t>
  </si>
  <si>
    <t>GF Holdings (HK) Corporation Ltd</t>
  </si>
  <si>
    <t>G260400035TH</t>
  </si>
  <si>
    <t>ZM1590515</t>
  </si>
  <si>
    <t>(FC2-10-LV0VM-248-02-12) FortiAnalyzer-VM FortiCare Premium Support 1 Year FortiCare Premium Support (for 1-11 GB/Day of Logs); S/N:FAZ-VM0000144496; Period: 18-Apr-2026 to 18-Apr-2027
(FC1-10-M3004-248-02-12) FortiManager - VM FortiCare Premium Support 1 Year FortiCare Premium Support (1 - 10 devices/Virtual
Domains); S/N: FMG-VM0A17007064; Period: 18-Apr-2026 to 18-Apr-2027</t>
  </si>
  <si>
    <t>VM x 2</t>
  </si>
  <si>
    <t>J51773</t>
  </si>
  <si>
    <t>UID-26-04-0200</t>
  </si>
  <si>
    <t>G260400019YR</t>
  </si>
  <si>
    <r>
      <rPr>
        <sz val="10"/>
        <color indexed="10"/>
        <rFont val="Arial"/>
        <family val="2"/>
      </rPr>
      <t>ZD</t>
    </r>
    <r>
      <rPr>
        <sz val="10"/>
        <rFont val="Arial"/>
        <family val="2"/>
      </rPr>
      <t>1591897</t>
    </r>
  </si>
  <si>
    <r>
      <t xml:space="preserve">(PAN-SVC-BKLN-3410-R) Partner enabled premium support renewal, PA-3410; S/N: 24101005846 / 24101006088; Period: 27-Apr-26 to 26-Apr-27 (Qty:2)
(PAN-PA-3410-AWF-HA2-R) PA-3410, Advanced WildFire subscription, for one (1) device in an HA pair, 1 year (12 months) term, renewal.;S/N: 24101005846 / 24101006088; Period: 27-Apr-26 to 26-Apr-27 (Qty:2)
(PAN-PA-3410-ATP-HA2-R) Advanced Threat Prevention subscription for device in an HA pair renewal, PA-3410; S/N: 24101005846 / 24101006088; Period: 27-Apr-26 to 26-Apr-27 (Qty:2)
(PAN-PA-3410-ADVURL-HA2-R) PA-3410, Advanced URL Filtering subscription, for one (1) device in an HA pair, 1 year (12 months) term, renewal;.S/N: 24101005846 / 24101006088; Period: 27-Apr-26 to 26-Apr-27 (Qty:2)
(BD-SWAP-PRE-ONSITE-1YR) B&amp;Data Onsite Swapping Service - 1 year; S/N: 24101005846 / 24101006088; Period: 27-Apr-26 to 26-Apr-27 (Qty:2)
</t>
    </r>
    <r>
      <rPr>
        <b/>
        <sz val="10"/>
        <color indexed="30"/>
        <rFont val="Arial"/>
        <family val="2"/>
      </rPr>
      <t>** PO was issued by Wong, Nga-Yee</t>
    </r>
  </si>
  <si>
    <t>PA-3410 x 2
(swap $52,620)</t>
  </si>
  <si>
    <t>MASS14009 (ref.J51773)</t>
  </si>
  <si>
    <t>UID-26-04-0213</t>
  </si>
  <si>
    <t>Sino Estates Management Ltd (C/O: Sino Land Limited)</t>
  </si>
  <si>
    <t>G260500043CF (PO,4500085788)</t>
  </si>
  <si>
    <t>ZM1590846</t>
  </si>
  <si>
    <r>
      <t>(FC-10-00307-950-02-12) FortiGate-301E 1 Year Unified Threat Protection (UTP) (IPS, Advanced Malware Protection, Application Control, URL, DNS &amp; Video Filtering, Antispam Service, and FortiCare Premium); S/N: FG3H1ETB19904397; Period: From 6 May 2026 To 15 Jul 2026
(EDV-SWP-FG301E (7x24WL)) 1 Year 24x7x4 Swapping Service with On-site Labour; One-time swap with same model; S/N: FG3H1ETB19904397; Period: From 6 May 2026 To 15 Jul 2026</t>
    </r>
    <r>
      <rPr>
        <b/>
        <sz val="10"/>
        <color indexed="30"/>
        <rFont val="Arial"/>
        <family val="2"/>
      </rPr>
      <t xml:space="preserve">
** FG-301E (EOL on 15-Jul-26, SB referred to Core Sales to propose new replacement</t>
    </r>
  </si>
  <si>
    <t>FG-301E x 1
(swap $920)</t>
  </si>
  <si>
    <t>15-Jul-26 (EOL)</t>
  </si>
  <si>
    <t>D38348</t>
  </si>
  <si>
    <t>UID-26-04-0208</t>
  </si>
  <si>
    <t>Fubon Bank (Hong Kong) Limited</t>
  </si>
  <si>
    <t>L251190077LS</t>
  </si>
  <si>
    <t>ZM1591449</t>
  </si>
  <si>
    <t>(NM-7OEN-0170) WhatsUp Gold Premium 1000 Service Agreement with up to 1 Year Service; S/N: 2NR0SJPA6JDBD1R; Period: 7-Mar-2026 to 7-Mar-2027</t>
  </si>
  <si>
    <t>SVA DISTRIBUTION LIMITED</t>
  </si>
  <si>
    <t>MASS12029</t>
  </si>
  <si>
    <t>UID-26-04-0221</t>
  </si>
  <si>
    <t>ZM1591649</t>
  </si>
  <si>
    <t>(FC-10-00119-247-02-12) FortiGate-101E FortiCare Premium Support; S/N:FG101ETK18005827 / FG101E4Q17001585; coterm maintenance From 29 Apr 2026 To 15 Jul 2026 **EOS (Qty:2) 
(EDV-SWP-FG101E (7x24WOL)) 24x7x4 Distributor Swapping Service without On-site Labour; Pls refer to Edvance service contract for details; S/N: FG101ETK18005827 / FG101E4Q17001585; Period: From 29 Apr 2026 To 15 Jul 2026 **EOS (Qty:2)
(FC2-10-M3004-248-02-12) FortiManager - VM FortiCare Premium Support FortiCare Premium Support (1 - 110 devices/Virtual Domains); S/N:FMG-VMTM20007657 / FMG-VMTM20007658 ; coterm maintenance From 11 Aug 2026 To 12 Aug 2027 (Qty:2)
(FC3-10-LV0VM-248-02-12) FortiAnalyzer-VM FortiCare Premium Support FortiCare Premium Support (for 1-26 GB/Day of Logs); S/N: FAZ-VMTM20009098; coterm maintenance From 11 Aug 2026 To 12 Aug 2027
(FC3-10-LV0VM-248-02-12) FortiAnalyzer-VM FortiCare Premium Support FortiCare Premium Support (for 1-26 GB/Day of Logs); S/N:FAZ-VMTM20009099; coterm maintenance From 12 Aug 2026 To 12 Aug 2027
(FC-10-0401E-247-02-12) FortiGate-401E FortiCare Premium Support; S/N:FG4H1ETB19901718 / FG4H1ETB19901728; coterm maintenance From 31 Aug 2026 To 1 Sep 2027 (Qty:2)
(FC-10-0401E-211-02-12) FortiGate-401E 4-Hour Hardware Delivery Priority RMA Service (Requires FortiCare Premium or FortiCare Elite); S/N:FG4H1ETB19901718 / FG4H1ETB19901728; coterm maintenance From 31 Aug 2026 To 1 Sep 2027 (Qty:2)
(FC-10-0401E-301-02-12) FortiGate-401E Secure RMA Service; S/N:FG4H1ETB19901718 / FG4H1ETB19901728; coterm maintenance From 31 Aug 2026 To 1 Sep 2027 (Qty:2)
(FC-10-0401E-950-02-12) FortiGate-401E Unified Threat Protection (UTP) (IPS,Advanced Malware Protection, Application Control, URL, DNS &amp; Video Filtering, Antispam Service, and FortiCare Premium); S/N:FG4H1ETB19901733 / FG4H1ETB19901792; coterm maintenance From 31 Aug 2026 To 1 Sep 2027 (Qty:2)
(FC-10-0401E-211-02-12 FortiGate-401E 4-Hour Hardware Delivery Priority RMA Service (Requires FortiCare Premium or FortiCare Elite); S/N:FG4H1ETB19901733 / FG4H1ETB19901792; coterm maintenance From 31 Aug 2026 To 1 Sep 2027 (Qty:2)
(FC-10-0401E-301-02-12) FortiGate-401E Secure RMA Service; S/N:FG4H1ETB19901733 / FG4H1ETB19901792; coterm maintenance From 31 Aug 2026 To 1 Sep 2027 (Qty:2)
(FC-10-0401E-247-02-12) FortiGate-401E FortiCare Premium Support; S/N:FG4H1ETB19901767 / FG4H1ETB19901803;coterm maintenance From 31 Aug 2026 To 1 Sep 2027 (Qty:2)
(FC-10-0401E-211-02-12) FortiGate-401E 4-Hour Hardware Delivery Priority RMA Service (Requires FortiCare Premium or FortiCare Elite); S/N: FG4H1ETB19901767 / FG4H1ETB19901803; coterm maintenance From 31 Aug 2026 To 1 Sep 2027 (Qty:2)
(FC-10-0401E-301-02-12) FortiGate-401E Secure RMA Service; S/N: FG4H1ETB19901767 / FG4H1ETB19901803; coterm maintenance From 31 Aug 2026 To 1 Sep 2027 (Qty:2)
(FC-10-0401E-247-02-12) FortiGate-401E FortiCare Premium Support; S/N:FG4H1ETB19901716 / FG4H1ETB19901723 / FG4H1ETB19901734 / FG4H1ETB19901740; coterm maintenance From 3 Oct 2026 To 4 Oct 2027 (Qty:4)
(FC-10-0401E-211-02-12) FortiGate-401E 4-Hour Hardware Delivery Priority RMA Service (Requires FortiCare Premium or FortiCare Elite); S/N:FG4H1ETB19901716 /FG4H1ETB19901723/ FG4H1ETB19901734/ FG4H1ETB19901740; coterm maintenance From 3 Oct 2026 To 4 Oct 2027 (Qty:4)
(FC-10-0401E-301-02-12) FortiGate-401E Secure RMA Service; S/N:FG4H1ETB19901716 / FG4H1ETB19901723/ FG4H1ETB19901734/ FG4H1ETB19901740;coterm maintenance From 3 Oct 2026 To 4 Oct 2027 (Qty:4)
(FC-10-0401E-950-02-12) FortiGate-401E Unified Threat Protection (UTP) (IPS,Advanced Malware Protection, Application Control, URL, DNS &amp; Video Filtering, Antispam Service, and FortiCare Premium); S/N: FG4H1ETB19901749/ FG4H1ETB19901750;coterm maintenance From 3 Oct 2026 To 4 Oct 2027 (Qty:2)
(FC-10-0401E-211-02-12) FortiGate-401E 4-Hour Hardware Delivery Priority RMA Service (Requires FortiCare Premium or FortiCare Elite); S/N: FG4H1ETB19901749 / FG4H1ETB19901750; coterm maintenance From 3 Oct 2026 To 4 Oct 2027 (Qty:2)
(FC-10-0401E-301-02-12) FortiGate-401E Secure RMA Service; S/N:FG4H1ETB19901749 /FG4H1ETB19901750;coterm maintenance From 3 Oct 2026 To 4 Oct 2027 (Qty:2)
(FC-10-0401E-247-02-12) FortiGate-401E FortiCare Premium Support; S/N:FG4H1ETB19901752 / FG4H1ETB19901764;coterm maintenance From 24 Sep 2026 To 25 Sep 2027 (Qty:2)
(FC-10-0401E-211-02-12) FortiGate-401E 4-Hour Hardware Delivery Priority RMA Service (Requires FortiCare Premium or FortiCare Elite);S/N:FG4H1ETB19901752 / FG4H1ETB19901764; coterm maintenance From 24 Sep 2026 To 25 Sep 2027 (Qty:2)
(FC-10-0401E-301-02-12) FortiGate-401E Secure RMA Service; S/N: FG4H1ETB19901752 / FG4H1ETB19901764;coterm maintenance From 24 Sep 2026 To 25 Sep 2027 (Qty:2)
(FC-10-0401E-950-02-12) FortiGate-401E Unified Threat Protection (UTP) (IPS,Advanced Malware Protection, Application Control, URL, DNS &amp; Video Filtering, Antispam Service, and FortiCare Premium); S/N:FG4H1ETB19901768 / FG4H1ETB19901771;coterm maintenance From 3 Oct 2026 To 4 Oct 2027 (Qty:2)
(FC-10-0401E-211-02-12) FortiGate-401E 4-Hour Hardware Delivery Priority RMA Service (Requires FortiCare Premium or FortiCare Elite); S/N: FG4H1ETB19901768 /FG4H1ETB19901771;coterm maintenance From 3 Oct 2026 To 4 Oct 2027 (Qty:2)
(FC-10-0401E-301-02-12) FortiGate-401E Secure RMA Service; S/N:FG4H1ETB19901768 / FG4H1ETB19901771; coterm maintenance From 3 Oct 2026 To 4 Oct 2027 (Qty:2)
(FC-10-0401E-247-02-12) FortiGate-401E FortiCare Premium Support; S/N:FG4H1ETB19901778 / FG4H1ETB19901795;coterm maintenance From 24 Sep 2026 To 25 Sep 2027 (Qty:2)
(FC-10-0401E-211-02-12) FortiGate-401E 4-Hour Hardware Delivery Priority RMA Service (Requires FortiCare Premium or FortiCare Elite); S/N:FG4H1ETB19901778 / FG4H1ETB19901795;coterm maintenance From 24 Sep 2026 To 25 Sep 2027 (Qty:2)
(FC-10-0401E-301-02-12) FortiGate-401E Secure RMA Service; S/N:FG4H1ETB19901778 / FG4H1ETB19901795; coterm maintenance From 24 Sep 2026 To 25 Sep 2027 (Qty:2)
(FC-10-F201F-247-02-12) FortiGate-201F FortiCare Premium Support;S/N:FG201FT923900410 / FG201FT923900420; coterm maintenance From 4 Oct 2026 To 4 Oct 2027 (Qty:2)
(FC-10-F201F-211-02-12) FortiGate-201F4-Hour Hardware Delivery Priority RMA Service (Requires FortiCare Premium or FortiCare Elite); S/N:FG201FT923900410 / FG201FT923900420;coterm maintenance From 4 Oct 2026 To 4 Oct 2027 (Qty:2)
(FC-10-F201F-247-02-12) FortiGate-201F FortiCare Premium Support; S/N:FG201FT923900472; coterm maintenance From 20 Nov 2026 To 20 Nov 2027
(FC-10-F201F-211-02-12) FortiGate-201F4-Hour Hardware Delivery Priority RMA Service (Requires FortiCare Premium or FortiCare Elite); S/N: FG201FT923900472; coterm maintenance From 20 Nov 2026 To 20 Nov 2027</t>
  </si>
  <si>
    <t>FG-101E x 2 ; FMG-VM x 2 ; FG-401E x 18 ; FG-201F x 3</t>
  </si>
  <si>
    <t>29-Apr-26
11-Aug-26
12-Aug-26
31-Aug-26
3-Oct-26
20-Nov-26</t>
  </si>
  <si>
    <t>15-Jul-26 (EOS)
12-Aug-27
1-Sep-27
4-Oct-27
25-Sep-27
20-Nov-27</t>
  </si>
  <si>
    <t>D91745, J89661, D56881, MASS12282</t>
  </si>
  <si>
    <t>Cathay Pacific Airways Limited</t>
  </si>
  <si>
    <t>G260900040J3 (ref: 2026WB256J3, PO:4500279316)</t>
  </si>
  <si>
    <t>ZM1592647</t>
  </si>
  <si>
    <t>(PAN-SVC-BKLN-1420-R) PA-1420, Partner enabled premium support, 1 year (12 months) term, renewal.; S/N: 026901006707 / 026901006727; Period: 5-Jul-26 to 4-Jul-28 (Qty:2) 
(PAN-PA-1420-BND-PRECISIONAI-R) PA-1420, Precision AI Network Security Subscription Renewal Bundle (Advanced Threat Prevention, Advanced URL Filtering, Advanced Wildfire, Advanced DNS Security, Advanced SD-WAN and Device Security), 1 years (12 months) term; S/N: 026901006707 / 026901006727; Period: 5-Jul-26 to 4-Jul-28 (Qty:2) 
B&amp;Data 24x7x4 Hardware Swapping Service for PA-1420 (Onsite); S/N: 026901006707 / 026901006727; Period: 5-Jul-26 to 4-Jul-28 (Qty:2)</t>
  </si>
  <si>
    <t>PA-1420 x 2
(swap $32,000)</t>
  </si>
  <si>
    <t>MASS14327</t>
  </si>
  <si>
    <t>Chow, Winnie WY (WA) / Lam, Jessica WS (WB)</t>
  </si>
  <si>
    <t>UID-26-05-0008</t>
  </si>
  <si>
    <t>Cathay Pacific Airways Limited (c/o: Vogue Laundry Service Limited)</t>
  </si>
  <si>
    <t>ZM1591552</t>
  </si>
  <si>
    <t>(PAN-SVC-BKLN-440-R) PA-440, Partner enabled premium support, 1 year (12 months), term, renewal; S/N:21201126246 / 21201126261; Period: 27-Nov-26 to 26-Nov-28 (Qty:2)
(PAN-PA-440-BND-PRECISIONAI-R) PA-440, Precision AI Network Security Subscription Renewal Bundle (Advanced Threat Prevention, Advanced URL Filtering, Advanced Wildfire, Advanced DNS Security, Advanced SD-WAN and Device Security), 1 years (12 months) term; S/N:21201126246 / 21201126261; Period: 27-Nov-26 to 26-Nov-28 (Qty:2)
(BD-SWAP-PRE) 24x7x4 Swapping Service (With Labour, 1 years; S/N:21201126246 / 21201126261; Period: 27-Nov-26 to 26-Nov-28 (Qty:2)</t>
  </si>
  <si>
    <t>PA-440 x 2
(swap $4,600)</t>
  </si>
  <si>
    <t>I54659</t>
  </si>
  <si>
    <t>ZM1591529</t>
  </si>
  <si>
    <t>(FC-10-F201F-950-02-12) FortiGate-201F Unified Threat Protection (UTP) (IPS,Advanced Malware Protection, Application Control, URL, DNS &amp; Video Filtering, Antispam Service, and FortiCare Premium); S/N: FG201FT923901465 / FG201FT923901263; coterm maintenance From 20 Sep 2026 To 20 Sep 2028 (Qty:2)
(FC-10-F201F-211-02-12) FortiGate-201F 4-Hour Hardware Delivery Priority RMA Service (Requires FortiCare Premium or FortiCare Elite); S/N: FG201FT923901465 / FG201FT923901263; coterm maintenance From 20 Sep 2026 To 20 Sep 2028 (Qty:2)</t>
  </si>
  <si>
    <t>I54646</t>
  </si>
  <si>
    <t>CGS International Holdings Limited</t>
  </si>
  <si>
    <t>G260600028WW</t>
  </si>
  <si>
    <t>ZM1591517</t>
  </si>
  <si>
    <t>(FC-10-F6H1E-950-02-12) FortiGate-601E 1 Year Unified Threat Protection (UTP) (IPS, Advanced Malware Protection, Application Control, URL, DNS &amp; Video Filtering, Antispam Service, and FortiCare Premium); S/N: FG6H1ETB19903567 / FG6H1ETB19904312; coterm maintenance From 5 Jun 2026 To 5 Jun 2027 (Qty:2)
(EDV-SWP-FG601E (7x24WOL)) 1 Year 24x7x4 Swapping Service without On-site Labour - One-time swap with same model; S/N: FG6H1ETB19903567 / FG6H1ETB19904312; Period: From 5 Jun 2026 To 5 Jun 2027 (Qty:2)</t>
  </si>
  <si>
    <t>FG-601E x 2
(swap $0)</t>
  </si>
  <si>
    <t>D59163</t>
  </si>
  <si>
    <t>UID-26-05-0010</t>
  </si>
  <si>
    <t>CMB Wing Lung Bank Limited</t>
  </si>
  <si>
    <t>G260590101WW</t>
  </si>
  <si>
    <t>ZM1592696</t>
  </si>
  <si>
    <r>
      <t>SN: WAZEEJ0664 (BBC-1000B1300) / WAZEEJ0656 (BBC-1000B1300)
SN: W1XFBG0038 (AC-1000-SK2200) / W1XFBG0041 (AC-1000-SK2200) / W1XFBG0040 (AC-1000-SK2200) 
SN: WAZEFB0317 (AC-1000-SK1200)
(400</t>
    </r>
    <r>
      <rPr>
        <sz val="10"/>
        <rFont val="細明體"/>
        <family val="3"/>
        <charset val="136"/>
      </rPr>
      <t>远程技术支持</t>
    </r>
    <r>
      <rPr>
        <sz val="10"/>
        <rFont val="Arial"/>
        <family val="2"/>
      </rPr>
      <t xml:space="preserve">) </t>
    </r>
    <r>
      <rPr>
        <sz val="10"/>
        <rFont val="細明體"/>
        <family val="3"/>
        <charset val="136"/>
      </rPr>
      <t>为客户提供购买设备的</t>
    </r>
    <r>
      <rPr>
        <sz val="10"/>
        <rFont val="Arial"/>
        <family val="2"/>
      </rPr>
      <t xml:space="preserve"> 7*24 </t>
    </r>
    <r>
      <rPr>
        <sz val="10"/>
        <rFont val="細明體"/>
        <family val="3"/>
        <charset val="136"/>
      </rPr>
      <t>小时</t>
    </r>
    <r>
      <rPr>
        <sz val="10"/>
        <rFont val="Arial"/>
        <family val="2"/>
      </rPr>
      <t xml:space="preserve"> 400 </t>
    </r>
    <r>
      <rPr>
        <sz val="10"/>
        <rFont val="細明體"/>
        <family val="3"/>
        <charset val="136"/>
      </rPr>
      <t xml:space="preserve">热线优先接入权益，内容包括：
</t>
    </r>
    <r>
      <rPr>
        <sz val="10"/>
        <rFont val="Arial"/>
        <family val="2"/>
      </rPr>
      <t>1</t>
    </r>
    <r>
      <rPr>
        <sz val="10"/>
        <rFont val="細明體"/>
        <family val="3"/>
        <charset val="136"/>
      </rPr>
      <t xml:space="preserve">、受理与处置产品及软件相关技术问题
</t>
    </r>
    <r>
      <rPr>
        <sz val="10"/>
        <rFont val="Arial"/>
        <family val="2"/>
      </rPr>
      <t>2</t>
    </r>
    <r>
      <rPr>
        <sz val="10"/>
        <rFont val="細明體"/>
        <family val="3"/>
        <charset val="136"/>
      </rPr>
      <t xml:space="preserve">、告警威胁相关问题咨询与处置
</t>
    </r>
    <r>
      <rPr>
        <sz val="10"/>
        <rFont val="Arial"/>
        <family val="2"/>
      </rPr>
      <t>3</t>
    </r>
    <r>
      <rPr>
        <sz val="10"/>
        <rFont val="細明體"/>
        <family val="3"/>
        <charset val="136"/>
      </rPr>
      <t xml:space="preserve">、硬件维修相关问题受理
</t>
    </r>
    <r>
      <rPr>
        <sz val="10"/>
        <rFont val="Arial"/>
        <family val="2"/>
      </rPr>
      <t>4</t>
    </r>
    <r>
      <rPr>
        <sz val="10"/>
        <rFont val="細明體"/>
        <family val="3"/>
        <charset val="136"/>
      </rPr>
      <t xml:space="preserve">、服务咨询与解答，含产品功能咨询、使用配置咨询、订单合同咨询、账号咨询、服务续费咨询等
</t>
    </r>
    <r>
      <rPr>
        <sz val="10"/>
        <rFont val="Arial"/>
        <family val="2"/>
      </rPr>
      <t>5</t>
    </r>
    <r>
      <rPr>
        <sz val="10"/>
        <rFont val="細明體"/>
        <family val="3"/>
        <charset val="136"/>
      </rPr>
      <t>、处置与深信服产品及服务相关的投诉问题</t>
    </r>
    <r>
      <rPr>
        <sz val="10"/>
        <rFont val="Arial"/>
        <family val="2"/>
      </rPr>
      <t>"
Period: From 14 Jun 2026 To 13 Jun 2027
(</t>
    </r>
    <r>
      <rPr>
        <sz val="10"/>
        <rFont val="細明體"/>
        <family val="3"/>
        <charset val="136"/>
      </rPr>
      <t>产品质保（标准版</t>
    </r>
    <r>
      <rPr>
        <sz val="10"/>
        <rFont val="Arial"/>
        <family val="2"/>
      </rPr>
      <t xml:space="preserve">)) </t>
    </r>
    <r>
      <rPr>
        <sz val="10"/>
        <rFont val="細明體"/>
        <family val="3"/>
        <charset val="136"/>
      </rPr>
      <t>单位：年，深信服将提供硬件设备故障返厂维修服务，维修将在</t>
    </r>
    <r>
      <rPr>
        <sz val="10"/>
        <rFont val="Arial"/>
        <family val="2"/>
      </rPr>
      <t xml:space="preserve"> 30 </t>
    </r>
    <r>
      <rPr>
        <sz val="10"/>
        <rFont val="細明體"/>
        <family val="3"/>
        <charset val="136"/>
      </rPr>
      <t>个自然日内完成并寄回设备。</t>
    </r>
    <r>
      <rPr>
        <sz val="10"/>
        <rFont val="Arial"/>
        <family val="2"/>
      </rPr>
      <t>Period: From 14 Jun 2026 To 13 Jun 2027
(URL&amp;</t>
    </r>
    <r>
      <rPr>
        <sz val="10"/>
        <rFont val="細明體"/>
        <family val="3"/>
        <charset val="136"/>
      </rPr>
      <t>应用识别规则库升级</t>
    </r>
    <r>
      <rPr>
        <sz val="10"/>
        <rFont val="Arial"/>
        <family val="2"/>
      </rPr>
      <t xml:space="preserve">) </t>
    </r>
    <r>
      <rPr>
        <sz val="10"/>
        <rFont val="細明體"/>
        <family val="3"/>
        <charset val="136"/>
      </rPr>
      <t>自购买日起每年升级费</t>
    </r>
    <r>
      <rPr>
        <sz val="10"/>
        <rFont val="Arial"/>
        <family val="2"/>
      </rPr>
      <t>(</t>
    </r>
    <r>
      <rPr>
        <sz val="10"/>
        <rFont val="細明體"/>
        <family val="3"/>
        <charset val="136"/>
      </rPr>
      <t>含应用识别规则库升级</t>
    </r>
    <r>
      <rPr>
        <sz val="10"/>
        <rFont val="Arial"/>
        <family val="2"/>
      </rPr>
      <t>); Period:From 14 Jun 2026 To 13 Jun 2027 (Qty:3)
(</t>
    </r>
    <r>
      <rPr>
        <sz val="10"/>
        <rFont val="細明體"/>
        <family val="3"/>
        <charset val="136"/>
      </rPr>
      <t>未知威胁实时检测和杀毒</t>
    </r>
    <r>
      <rPr>
        <sz val="10"/>
        <rFont val="Arial"/>
        <family val="2"/>
      </rPr>
      <t xml:space="preserve">; </t>
    </r>
    <r>
      <rPr>
        <sz val="10"/>
        <rFont val="細明體"/>
        <family val="3"/>
        <charset val="136"/>
      </rPr>
      <t>订阅软件（</t>
    </r>
    <r>
      <rPr>
        <sz val="10"/>
        <rFont val="Arial"/>
        <family val="2"/>
      </rPr>
      <t xml:space="preserve">AC(12.0.17) &amp; </t>
    </r>
    <r>
      <rPr>
        <sz val="10"/>
        <rFont val="細明體"/>
        <family val="3"/>
        <charset val="136"/>
      </rPr>
      <t>全网</t>
    </r>
    <r>
      <rPr>
        <sz val="10"/>
        <rFont val="Arial"/>
        <family val="2"/>
      </rPr>
      <t>AC(13.0.1)</t>
    </r>
    <r>
      <rPr>
        <sz val="10"/>
        <rFont val="細明體"/>
        <family val="3"/>
        <charset val="136"/>
      </rPr>
      <t>及以上版本适用</t>
    </r>
    <r>
      <rPr>
        <sz val="10"/>
        <rFont val="Arial"/>
        <family val="2"/>
      </rPr>
      <t xml:space="preserve">)) </t>
    </r>
    <r>
      <rPr>
        <sz val="10"/>
        <rFont val="細明體"/>
        <family val="3"/>
        <charset val="136"/>
      </rPr>
      <t>包含一年</t>
    </r>
    <r>
      <rPr>
        <sz val="10"/>
        <rFont val="Arial"/>
        <family val="2"/>
      </rPr>
      <t>SAVE</t>
    </r>
    <r>
      <rPr>
        <sz val="10"/>
        <rFont val="細明體"/>
        <family val="3"/>
        <charset val="136"/>
      </rPr>
      <t>杀毒、僵尸主机检测、恶意链接检测、安全云脑服务</t>
    </r>
    <r>
      <rPr>
        <sz val="10"/>
        <rFont val="Arial"/>
        <family val="2"/>
      </rPr>
      <t>; Period: From 14 Jun 2026 To 13 Jun 2027 (Qty:3)
(</t>
    </r>
    <r>
      <rPr>
        <sz val="10"/>
        <rFont val="細明體"/>
        <family val="3"/>
        <charset val="136"/>
      </rPr>
      <t>软件升级</t>
    </r>
    <r>
      <rPr>
        <sz val="10"/>
        <rFont val="Arial"/>
        <family val="2"/>
      </rPr>
      <t xml:space="preserve">) </t>
    </r>
    <r>
      <rPr>
        <sz val="10"/>
        <rFont val="細明體"/>
        <family val="3"/>
        <charset val="136"/>
      </rPr>
      <t>年，（默认一年服务）提供购买设备的软件升级授权</t>
    </r>
    <r>
      <rPr>
        <sz val="10"/>
        <rFont val="Arial"/>
        <family val="2"/>
      </rPr>
      <t>; Period: From 14 Jun 2026 To 13 Jun 2027</t>
    </r>
    <r>
      <rPr>
        <sz val="10"/>
        <rFont val="Arial"/>
        <family val="2"/>
      </rPr>
      <t xml:space="preserve">
(EDV-PATCH(Office-Hour) (ESH)) Edvance Software Patching Service During Office Hour Software Patching Service must be conducted within the maintenance support period; any unused service will be forfeited without prior notice.(One-off special offer ; Original 1 year offer is HK$64,000); From 14 Jun 2026 To 13 Jun 2027
(EDV-SUP (24x7x4)) Edvance Annual Local Support Service (24x7x4); Unlimited Phone and Email Support During Office and Non-Office Hour; 24 x 7 On-Site Support for severity Level 1 issues (One-off special offer ; Original 1 year offer is HK$72,500); From 14 Jun 2026 To 13 Jun 2027</t>
    </r>
  </si>
  <si>
    <t>BBC-1000B1300 x 2 ; AC-1000-SK2200 x 3 ; AC-1000-SK1200 x 1</t>
  </si>
  <si>
    <t>I97458-1</t>
  </si>
  <si>
    <t>UID-26-05-0048</t>
  </si>
  <si>
    <t>Global Logistics System (HK) Co Ltd</t>
  </si>
  <si>
    <t>G260500034TH</t>
  </si>
  <si>
    <t>ZM1592639</t>
  </si>
  <si>
    <t>UCID# 8344885 **Datalink confirmed (CPCES-CO-PREMIUM) = (CPCES-CO-PREMIUM-ADD) Premium Collaborative Enterprise Support
(CPCES-CO-PREMIUM) 1 Year Collaborative Premium Support for CPAP-SG6200-SNBT; Key:00:1C:7F:AB:90:33 (SN:2050BA2114) / 00:1C:7F:AB:9D:3F (SN:2050BA1885) / 00:1C:7F:AB:9D:8F (SN:2050BA1877); Period: 17-May-2026 to 16-May-2027 (Qty:3)
(CPCES-CO-PREMIUM) 1 Year Collaborative Premium Support for CPAC-RAM24GB-6200; SN: 04D71526C610 / 40D6109F4E08 / 43DF22AB99D8; Period: 17-May-2026 to 16-May-2027 (Qty:3)
(CPCES-CO-PREMIUM) 1 Year Collaborative Premium Support for CPSM-NGSM5; SN: 605590D16BB8; Period: 17-May-2026 to 16-May-2027
(CPSB-NGTP-6200-1Y) Next Generation Threat Prevention for additional 1 year for 6200 Base Appliance; Key: 00:1C:7F:AB:90:33 (SN:2050BA2114) / 00:1C:7F:AB:9D:3F (SN:2050BA1885) / 00:1C:7F:AB:9D:8F (SN:2050BA1877); Period: 17-May-2026 to 16-May-2027 (Qty:3)
(CPSB-EVS-5-1Y) SmartEvent and SmartReporter blade for 5 gateways (Smart-1 and open server) 1 year subscription; SN: 605590D16BB8; Period: 17-May-2026 to 16-May-2027
(CSSW+) 1 Year 7x24 swapping Service for CPAP-SG6200-SNBT x 3, CPAC-RAM24GB-6200 x 3 **Support Hong Kong Area Only; Period: 17-May-2026 to 16-May-2027</t>
  </si>
  <si>
    <t>SG6200 x 3
(swap $15,000)</t>
  </si>
  <si>
    <t>I30381</t>
  </si>
  <si>
    <t>UID-26-05-0066</t>
  </si>
  <si>
    <t xml:space="preserve">Techtronic Industries Co. Ltd </t>
  </si>
  <si>
    <t>2026WB115WC, PO.93003015 &amp; 93003017 (G260490201WC, G260490204WC, G260490206WC)</t>
  </si>
  <si>
    <t>Combined two PRs
6290972 (Security) + 6293399 (WiFi) Handled by May Yeung</t>
  </si>
  <si>
    <t>ZM1594123</t>
  </si>
  <si>
    <t>(FC-10-F101F-950-02-12) FortiGate-101F Unified Threat Protection (UTP) (IPS, Advanced Malware Protection, Application Control, URL, DNS &amp; Video Filtering, Antispam Service, and FortiCare Premium); S/N: FG101FTK20008916 / FG101FTK20008803; Period: From 31 Mar 2026 To 31 Mar 2027 (Qty:2)
(FC-10-F101F-210-02-12) FortiGate-101F Next Day Delivery Priority RMA Service (Requires FortiCare Premium or FortiCare Elite); S/N: FG101FTK20008916 / FG101FTK20008803; Period: From 31 Mar 2026 To 31 Mar 2027 (Qty:2)
(FC-10-W060F-950-02-12) FortiWiFi-60F Unified Threat Protection (UTP) (IPS, Advanced Malware Protection, Application Control, Web Filtering, Antispam Service, and 24x7 FortiCare); S/N:FWF60FTK21006203; Period: From 2 Aug 2026 To 2 Aug 2027
(EDV-SWP-FWF60F (7x24WL)) 24x7x4 Distributor Swapping Service with On-site Labour; Pls refer to our service contract for details; S/N: FWF60FTK21006203; Period: From 2 Aug 2026 To 2 Aug 2027
(FC-10-F101F-950-02-12) FortiGate-101F Unified Threat Protection (UTP) (IPS, Advanced Malware Protection, Application Control, URL, DNS &amp; Video Filtering, Antispam Service, and FortiCare Premium); S/N: FG101FTK21002972; Period: From 24 Aug 2026 To 24 Aug 2027
(FC-10-F101F-210-02-12) FortiGate-101F Next Day Delivery Premium RMA Service (Requires 24x7 or ASE FortiCare); S/N: FG101FTK21002972; Period: From 24 Aug 2026 To 24 Aug 2027
FortiGate-301E Unified Threat Protection (UTP) (IPS, Advanced Malware Protection, Application Control, URL, DNS &amp; Video Filtering, Antispam Service, and FortiCare Premium) and 4-Hour Hardware and Onsite Engineer Priority RMA Service; S/N: FG3H1E5818902288 / FG3H1E5818902413; Coterm maintenance From 6 May 2026 To 15 Jul 2026 (Qty:2)
(FC-10-0081F-950-02-12) FortiGate-81F 1 Year Unified Threat Protection (UTP) (IPS, Advanced Malware Protection, Application Control, URL, DNS &amp; Video Filtering, Antispam Service, and FortiCare Premium); S/N: FGT81FTK20003711; Period: From 27 May 2026 To 27 May 2027
(FC-10-0081F-211-02-12) FortiGate-81F 1 Year 4-Hour Hardware Delivery Priority RMA Service (Requires FortiCare Premium or FortiCare Elite); S/N: FGT81FTK20003711; Period: From 27 May 2026 To 27 May 2027
(FC-10-F6H1E-950-02-12) FortiGate-601E 1 Year Unified Threat Protection (UTP) (IPS, Advanced Malware Protection, Application Control, URL, DNS &amp; Video Filtering, Antispam Service, and FortiCare Premium); S/N: FG6H1ETB20901173 / FG6H1ETB20901527; Period: From 18 Sep 2026 To 18 Sep 2027 (Qty:2)
(EDV-SWP-FG601E (7x24WL)) 24x7x4 Distributor Swapping Service with On-site Labour; Pls refer to Edvance service contract for details; S/N: FG6H1ETB20901173 / FG6H1ETB20901527; Period: From 18 Sep 2026 To 18 Sep 2027 (Qty:2)
(FC-10-F431F-247-02-12) FortiAP-431F 1 Year FortiCare Premium Support; S/N: FP431FTF20018677; Period: From 31 Mar 2026 To 31 Mar 2027
FortiGate-1101E 1 Year Unified Threat Protection (UTP) (IPS, Advanced Malware Protection, Application Control, URL, DNS &amp; Video Filtering, Antispam Service, and FortiCare Premium) and Next Calendar Day Delivery Priority RMA Service (Requires FortiCare Premium or FortiCare Elite); S/N: FG10E1TB21900119 / FG10E1TB21900129; Coterm Maintenance From 13 Mar 2026 To 10 Mar 2027 (Qty:2)</t>
  </si>
  <si>
    <t>FG-101F x 3 ; FG-1101E x 2 ; FG-301E x 2 ; FG-81F x 1 ; FG-601E x 2 ; FortiWiFi-60F x 1</t>
  </si>
  <si>
    <t>31-Mar-26
2-Aug-26
24-Aug-26
6-May-26
27-May-26
18-Sep-26
13-Mar-26</t>
  </si>
  <si>
    <t>31-Mar-27
2-Aug-27
24-Aug-27
15-Jul-26 (EOL)
27-May-27
18-Sep-27
10-Mar-27</t>
  </si>
  <si>
    <t>MASS14321, MASS14321-4, MASS14320, MASS14319, MASS14319-1, MASS14319-2, MASS14319-3</t>
  </si>
  <si>
    <t>UID-26-04-0214</t>
  </si>
  <si>
    <t>HK International Aviation Academy Ltd</t>
  </si>
  <si>
    <t>G260500036TS (PO:010002975)</t>
  </si>
  <si>
    <t>ZM1592824</t>
  </si>
  <si>
    <r>
      <rPr>
        <sz val="10"/>
        <rFont val="Arial"/>
        <family val="2"/>
      </rPr>
      <t>(FC-10-F201F-950-02-12) Unified Threat Protection (UTP) (IPS, Advanced Malware Protection, Application Control, Web Filtering, Antispam Service, and 24x7 FortiCare); S/N: FG201FT922922650 / FG201FT922922657; coterm maintenance From 14 May 2026 To 14 Nov 2026 (Qty:2)
(EDV-SWP-FG201F (7x24WL)) 24x7x4 Distributor Swapping Service with On-site Labour; One-time swap with same model; S/N: FG201FT922922657 / FG201FT922922650; Period: From 14 May 2026 To 14 Nov 2026 (Qty:2)</t>
    </r>
  </si>
  <si>
    <t>FG-201F x 2
(swap $1,800)</t>
  </si>
  <si>
    <t>I73435</t>
  </si>
  <si>
    <t>UID-26-05-0081</t>
  </si>
  <si>
    <t>G260500055CB</t>
  </si>
  <si>
    <t>ZM1592803</t>
  </si>
  <si>
    <t>(PRIV-STANDARD-USER-SUBS-COVERTED) Credential Protection; Session Isolation; Recording; Detection; Remote VPN-less Access; Adaptive MFA and risk-based Authentication; Adaptive Application Access; For IT users.; Period: 16-May-26 to 15-May-27 (Qty:50)
(APP-ISV-SUBS) Secret management for commercial software (part of C3 integrations); Period: 16-May-26 to 15-May-27 (Qty:5)
(BD-SUPPORT-P1) Annual BDATA Support Service; Unlimited Phone and Email Support During Office and Non-Office Hour; 24 x 7 On-Site Support for P1 issues; Period: 16-May-26 to 15-May-27 (Qty:1)</t>
  </si>
  <si>
    <t>D91751</t>
  </si>
  <si>
    <t>UID-26-05-0102</t>
  </si>
  <si>
    <t>Jardine Services (Hong Kong) Limited</t>
  </si>
  <si>
    <t>G260400044MZ (PO.4000-PO000161)</t>
  </si>
  <si>
    <t>ZM1593089</t>
  </si>
  <si>
    <t>(PAN-XDR-ADV-EP) Cortex XDR Pro for 1 endpoint, includes 30 days of data retention and standard success; S/N: 0220980000027128; Period: 20-Apr-26 to 19-Apr-27 (Qty:400)
(PAN-XDR-XTH) Extended Threat Hunting (enhanced visibility) add-on for Cortex XDR ProEP/ Cloud (price per Endpoint). Includes 30 days of data retention.; S/N: 0220980000027128; Period: 20-Apr-26 to 19-Apr-27 (Qty:400)
(PAN-XDR-HOST-INST) Host Insights add-on for Cortex XDR; S/N: 0220980000027128; Period: 20-Apr-26 to 19-Apr-27 (Qty:400)</t>
  </si>
  <si>
    <t>D89656-2</t>
  </si>
  <si>
    <t>UID-26-05-0110</t>
  </si>
  <si>
    <t>G260700057TH</t>
  </si>
  <si>
    <t>ZM1593402</t>
  </si>
  <si>
    <t>(FC-10-00208-247-02-12) FortiGate-201E FortiCare Premium Support, FortiGuard IPS Service, FortiGuard URL, DNS &amp; Video Filtering Service, 4-Hour Hardware Delivery Priority RMA Service; S/N: FG201ETK19905269 / FG201ETK19905410 / FG201ETK20904770; coterm maintenance From 30 Jul 2026 To 30 Jul 2027 (Qty:3)</t>
  </si>
  <si>
    <t>FG-201E x 3</t>
  </si>
  <si>
    <t>D14512</t>
  </si>
  <si>
    <t>UID-26-05-0111</t>
  </si>
  <si>
    <t>Pharmetech (HK) Ltd</t>
  </si>
  <si>
    <t>G260700086CF</t>
  </si>
  <si>
    <t>ZM1593429</t>
  </si>
  <si>
    <t>(FC-10-F101F-950-02-12) FortiGate-101F Unified Threat Protection (UTP) (IPS, Advanced Malware Protection, Application Control, URL, DNS &amp; Video Filtering, Antispam Service, and FortiCare Premium); S/N: FG101FTK21026348; coterm maintenance From 18 Jul 2026 To 18 Jul 2029
(EDV-SWP-FG101F (7x24WOL)) 3 Year 24x7x4 Distributor Swapping Service without On-site Labour; Pls refer to Edvance service contract for details; S/N: FG101FTK21026348; Period: From 18 Jul 2026 To 18 Jul 2029</t>
  </si>
  <si>
    <t>FG-101F x 1
(swap $3,600)</t>
  </si>
  <si>
    <t>D23284</t>
  </si>
  <si>
    <t>UID-26-05-0122</t>
  </si>
  <si>
    <t>G260800073KW</t>
  </si>
  <si>
    <t>ZM1594537</t>
  </si>
  <si>
    <t>(FC-10-0061F-247-02-12) FortiGate-61F FortiCare Premium Support; S/N: FGT61FTK20025622; coterm maintenance From 17 Aug 2026 To 17 Aug 2029
(EDV-SWP-FG61F (7x24WL)) 3 Year 24x7x4 Swapping Service with On-site Labour; One-time swap with same model; S/N: FGT61FTK20025622; Period: From 17 Aug 2026 To 17 Aug 2029</t>
  </si>
  <si>
    <t>FG-61F x 1
(swap $3,000)</t>
  </si>
  <si>
    <t>I30491</t>
  </si>
  <si>
    <t>UID-26-05-0151</t>
  </si>
  <si>
    <t>Ocean Park Corporation</t>
  </si>
  <si>
    <t>G260500050TH (PO:3010069100 &amp; 3010069101)</t>
  </si>
  <si>
    <t>ZM1594619</t>
  </si>
  <si>
    <t>(PAN-XDR-ADV-EP) Cortex XDR Pro for 1 endpoint, includes 30 days of data retention and standard success; S/N: 220980000013236; Period: 28-May-26 to 27-May-27 (Qty:450)
(PAN-XDR-HOST-INST) Host Insights add-on for Cortex XDR; S/N: 220980000013236; Period: 28-May-26 to 27-May-27 (Qty:450)
(PAN-XDR-XTH) Extended Threat Hunting (enhanced visibility) add- on for Cortex XDR ProEP/Cloud (price per Endpoint). Includes 30 days of data retention.; S/N: 220980000013236; Period: 28-May-26 to 27-May-27 (Qty:450)
(SGPDIAMOND 10) 8x5xNBD token service  with 10 hours for Cortex, 1 yr</t>
  </si>
  <si>
    <t>K46467</t>
  </si>
  <si>
    <t>UID-26-05-0156</t>
  </si>
  <si>
    <t>The Bank of East Asia Limited</t>
  </si>
  <si>
    <t>G260500062JI (HKPO-2600011090)</t>
  </si>
  <si>
    <t>ZM1594321</t>
  </si>
  <si>
    <t>(PRIV-STANDARD-USER-SUBS-COVERTED) Credential Protection; Session Isolation; Recording; Detection; Remote VPN-less Access; Adaptive MFA and risk-based Authentication; Adaptive Application Access; For IT users. Price per user per month; Period: 31-May-26 to 30-May-27 (Qty:394)
(APP-CCP-SERVER-ISV-RPA-SUBS) Secret management agentless solution for C3/RPA/IOT integrations only; Period: 31-May-26 to 30-May-27 (Qty:1)
(APP-AGNT-SUBS) Agent based Application Authentication and Credential Retrieval; Period: 31-May-26 to 30-May-27 (Qty:7)
(BD-SUPPORT-1YR) Annual BDATA Support Service; Unlimited Phone and Email Support During Office and Non-Office Hour; 24 x 7 On-Site Support for P1 issues; Period: 31-May-26 to 30-May-27 (Qty:1)</t>
  </si>
  <si>
    <t>D34070, D55891, J57032, J88529, J88644,D56176, D56466</t>
  </si>
  <si>
    <t>UID-26-05-0162</t>
  </si>
  <si>
    <t>L260390051KW</t>
  </si>
  <si>
    <t>ZM1594431</t>
  </si>
  <si>
    <t>(FC-10-0061F-950-02-12) FortiGate-61F Unified Threat Protection (UTP) (IPS, Advanced Malware Protection, Application Control, URL, DNS &amp; Video Filtering, Antispam Service, and FortiCare Premium); S/N: FGT61FTK21014967 / FGT61FTK21015192; Period: 6-Aug-26 to 6-Aug-28 (Qty:2)</t>
  </si>
  <si>
    <t>FG-61F x 2</t>
  </si>
  <si>
    <t>D65306, D65307</t>
  </si>
  <si>
    <t>UID-26-05-0161</t>
  </si>
  <si>
    <t>G251100055KW (PO:BI-PO00003265-2)</t>
  </si>
  <si>
    <t>ZM1595712</t>
  </si>
  <si>
    <r>
      <t xml:space="preserve">(FC-10-ELAVR-221-02-36) FortiFlex (formerly Flex-VM) Prepaid Subscription Program license with contract term length of 36 months. The Points can be purchased through FortiFlex Consumption Point SKU (LIC-ELAVM-10K or ELAVMMY-50K-36). Additional terms and conditions governing usage and termination of service will be covered in the Service Description. (Qty:1)
(LIC-FLXPTS-1K) Stackable FortiFlex Point SKU license with capacity for 1,000 consumption points. Additional terms and conditions governing usage and termination of service will be covered in the Service Description. Points added from this SKU are valid for 36 months. (Qty:4)
(LIC-FLXPTS-10K) Stackable FortiFlex Point SKU license with capacity for 10,000 consumption points. Additional terms and conditions governing usage and termination of service will be covered in the Service Description. Points added from this SKU are valid for 36 months. (Qty:4)
(LIC-FLXPTS-100K) Stackable FortiFlex Point SKU license with capacity for 100,000 consumption points. Additional terms and conditions governing usage and termination of service will be covered in the Service Description. Points added from this SKU are valid for 36 months (Qty:1)
</t>
    </r>
    <r>
      <rPr>
        <sz val="10"/>
        <color indexed="10"/>
        <rFont val="Arial"/>
        <family val="2"/>
      </rPr>
      <t>Remarks: Total 144,001 consumption points to cover above renew for 1 year
Base on existing end date and extend 1 year only</t>
    </r>
    <r>
      <rPr>
        <sz val="10"/>
        <rFont val="Arial"/>
        <family val="2"/>
      </rPr>
      <t xml:space="preserve">
FG-81F - S/N: FGT81FTK22016245 / FGT81FTK22017094; Period: 28-Jun-26 to 28-Jun-27 (Qty:2) 
FG-1101E - S/N: FG10E1TB22901003 / FG10E1TB22901016; Period: 03-Aug-26 to 03-Aug-27 (Qty:2)
FG-1801F - S/N: FG181FTK22901696 / FG181FTK22901710; Period: 21-Apr-26 to 21-Apr-27 (Qty:2)
FG-101F - S/N: FG101FTK21012597 / FG101FTK21012750; Period: 07-Feb-26 to 07-Feb-27 (Qty:2)
FG-201F - S/N: FG201FT923901419 / FG201FT923900964; Period: 22-Aug-26 to 22-Aug-27 (Qty:2)
FG-61F - S/N: FGT61FTK22075403 / FGT61FTK22075642; Period: 22-Aug-26 to 22-Aug-27 (Qty:2)
FG-60E - S/N: FGT61ETK18011069; Period: 18-Jul-26 to 18-Jul-27 (Qty:1)</t>
    </r>
  </si>
  <si>
    <t>FortiFlex</t>
  </si>
  <si>
    <t>28-Jun-26
03-Aug-26
21-Apr-26
07-Feb-26
22-Aug-26
18-Jul-26</t>
  </si>
  <si>
    <t>28-Jun-27
03-Aug-27
21-Apr-27
07-Feb-27
22-Aug-27
18-Jul-27</t>
  </si>
  <si>
    <t>I85019, I67919, I70144 &amp; MASS14337, MASS14337-1,2</t>
  </si>
  <si>
    <t>UID-26-05-0217</t>
  </si>
  <si>
    <t>** WA + Winback</t>
  </si>
  <si>
    <t>Tai Po Methodist School</t>
  </si>
  <si>
    <t>W260590232NI (2026WB371NI)</t>
  </si>
  <si>
    <t>ZM1595324</t>
  </si>
  <si>
    <r>
      <rPr>
        <sz val="10"/>
        <rFont val="Arial"/>
        <family val="2"/>
      </rPr>
      <t>(FC-10-00208-247-02-12) FortiGate-201E FortiCare Premium Support; S/N: FG201ETK19909568; coterm maintenance From 21 May 2026 To 21 May 2028</t>
    </r>
    <r>
      <rPr>
        <b/>
        <sz val="10"/>
        <color indexed="30"/>
        <rFont val="Arial"/>
        <family val="2"/>
      </rPr>
      <t xml:space="preserve">
** Use HKT Spare Parts to support customer 8x5xNBD swapping services</t>
    </r>
  </si>
  <si>
    <t>FG-201E x 1</t>
  </si>
  <si>
    <t>D86950</t>
  </si>
  <si>
    <t>UID-26-05-0224</t>
  </si>
  <si>
    <t>Haitong International Information Systems Ltd</t>
  </si>
  <si>
    <t>G260590240NP (2026WB210NPv2)</t>
  </si>
  <si>
    <t>ZM1595292</t>
  </si>
  <si>
    <r>
      <t xml:space="preserve">(FC-10-00208-247-02-12) FortiCare Premium Support; S/N: FG201ETK19906177 / FG201ETK19908839; coterm maintenance From 31 May 2026 To 31 May 2029 (Qty:2)
(EDV-SWP-FG201E (7x24WOL)) 24x7x4 Swapping Service without On-site Labour - One-time swap with same model; S/N: FG201ETK19906177 / FG201ETK19908839; Period: From 31 May 2026 To 31 May 2029 (Qty:2)
(FC-10-F101F-247-02-12) FortiCare Premium Support; S/N: FG101FTK20007338 / FG101FTK20007322 / FG101FTK20007238 / FG101FTK20007063; coterm maintenance From 31 May 2026 To 31 May 2029 (Qty:4)
(FC-10-F101F-211-02-12) 4-Hour Hardware Delivery Priority RMA Service; S/N: FG101FTK20007338 / FG101FTK20007322 / FG101FTK20007238 / FG101FTK20007063; coterm maintenance From 31 May 2026 To 31 May 2029 (Qty:4)
(FC1-10-XYVM2-515-02-12) FortiProxy-VM02 SWG Protection including FortiCare Premium Support - FortiGuard URL, DNS &amp; Video Filtering Service, Application Control, DLP, IPS, AV, Botnet (IP/Domain), Sandbox Cloud including Virus Outbreak Protection; Reconstruct. 100 User license with SWG Protection (Minimum order 1 and up to 5) Users:200; S/N: FPXVM2TM22000121 / FPXVM2TM22000122 / FPXVM2TM22000123; coterm maintenance From 31 May 2026 To 31 May 2029 (Qty:3)
</t>
    </r>
    <r>
      <rPr>
        <b/>
        <sz val="10"/>
        <color indexed="10"/>
        <rFont val="Arial"/>
        <family val="2"/>
      </rPr>
      <t>** For Contract 60 token, Core Sales</t>
    </r>
    <r>
      <rPr>
        <b/>
        <sz val="10"/>
        <color indexed="10"/>
        <rFont val="Arial"/>
        <family val="2"/>
      </rPr>
      <t xml:space="preserve"> </t>
    </r>
    <r>
      <rPr>
        <b/>
        <sz val="10"/>
        <color indexed="10"/>
        <rFont val="Arial"/>
        <family val="2"/>
      </rPr>
      <t>-</t>
    </r>
    <r>
      <rPr>
        <b/>
        <sz val="10"/>
        <color indexed="10"/>
        <rFont val="Arial"/>
        <family val="2"/>
      </rPr>
      <t xml:space="preserve"> </t>
    </r>
    <r>
      <rPr>
        <b/>
        <sz val="10"/>
        <color indexed="10"/>
        <rFont val="Arial"/>
        <family val="2"/>
      </rPr>
      <t>Amy Chiu will responsible for this part will upgrade service</t>
    </r>
    <r>
      <rPr>
        <b/>
        <sz val="10"/>
        <color indexed="10"/>
        <rFont val="Arial"/>
        <family val="2"/>
      </rPr>
      <t xml:space="preserve"> (supported by vendor-Edvance)</t>
    </r>
    <r>
      <rPr>
        <b/>
        <sz val="10"/>
        <color indexed="10"/>
        <rFont val="Arial"/>
        <family val="2"/>
      </rPr>
      <t xml:space="preserve">. </t>
    </r>
  </si>
  <si>
    <t>FG-201E x 2 ; FG-101F x 4 ; FortiProxy-VM02 x 3</t>
  </si>
  <si>
    <t>MASS14339</t>
  </si>
  <si>
    <t>UID-26-05-0239</t>
  </si>
  <si>
    <t>Guotai Junan (HK) Ltd</t>
  </si>
  <si>
    <t>L260590183J3 (2025WB221J3)</t>
  </si>
  <si>
    <t>ZM1595644</t>
  </si>
  <si>
    <r>
      <t xml:space="preserve">(FC-10-F201F-928-02-12) FortiGate-201F Advanced Threat Protection (IPS, Advanced Malware Protection Service, Application Control, and FortiCare Premium) and Upgrade FortiCare Premium to Elite Service; S/N: FG201FT922918963 / FG201FT922918968 / FG201FT922918980 / FG201FT922920603; coterm maintenance up to EOS date From 11 Jun 2026 To 1 Mar 2031 (Qty: 4)
(FC-10-F201F-211-02-12) 4-Hour Hardware Delivery Priority RMA Service; S/N: FG201FT922918963 / FG201FT922918968 / FG201FT922918980 / FG201FT922920603; coterm maintenance up to EOS date From 11 Jun 2026 To 1 Mar 2031 (Qty: 4)
</t>
    </r>
    <r>
      <rPr>
        <b/>
        <sz val="10"/>
        <color indexed="10"/>
        <rFont val="Arial"/>
        <family val="2"/>
      </rPr>
      <t>Remarks: Checked with Fortinet, with valid Elite support the customer can further extend the MAINT for those 201F units To 11 Jun 2031 per request.
But need to place the order processing as per Quote ETHKQ27000119-01 first, to upgrade with Elite Service for those units, in conditions.
Refer to Edvance email by Janet Lee on 28/5/26 18:32 - the capture from Fortinet portal FYR, while the EU side has well informed by Fortinet side for this as well.
And, loop in Fortinet Sales Kristy this email for visibility.</t>
    </r>
    <r>
      <rPr>
        <sz val="10"/>
        <rFont val="Arial"/>
        <family val="2"/>
      </rPr>
      <t xml:space="preserve">
(FC-10-0401F-809-02-60) FortiGate-401F 5 Year Enterprise Protection (IPS, AI-based Inline Malware Prevention, DLP, App Control, Adv Malware Protection, URL/DNS/Video Filtering, Anti-spam, Attack Surface Security, Converter Svc, FortiCare Premium) and Upgrade FortiCare Premium to Elite Service; S/N: FG4H1FT922900319 / FG4H1FT922900718 / FG4H1FT922900880 / FG4H1FT922903264; coterm maintenance for 5Y From 11 Jun 2026 To 11 Jun 2031 (Qty: 4)
(FC-10-0401F-211-02-60) FortiGate-401F 4-Hour Hardware Delivery Priority RMA Service (Requires FortiCare Premium or FortiCare Elite); S/N: FG4H1FT922900319 / FG4H1FT922900718 / FG4H1FT922900880 / FG4H1FT922903264; coterm maintenance for 5Y From 11 Jun 2026 To 11 Jun 2031 (Qty: 4)
(FC5-10-LV0VM-248-02-60) FortiAnalyzer-VM FortiCare Premium Support (for 1- 101 GB/Day of Logs); S/N: FAZ-VMTM23008591; coterm maintenance for 5Y From 11 Jun 2026 To 11 Jun 2031
(FAZ-VM-GB5) Upgrade license for adding 5 GB/Day of Logs (Qty:2)
(FC2-10-M3004-248-02-60) FortiCare Premium Support (1 - 110 devices/Virtual Domains); S/N: FMG-VMTM23009211; coterm maintenance for 5Y From 11 Jun 2026 To 11 Jun 2031
(FC-10-0061F-950-02-60) FortiGate-61F Unified Threat Protection (UTP) (IPS, Advanced Malware Protection, Application Control, URL, DNS &amp; Video Filtering, Antispam Service, and FortiCare Premium) and Upgrade FortiCare Premium to Elite Service; S/N: FGT61FTK22062242; coterm maintenance for 5Y From 11 Jun 2026 To 11 Jun 2031</t>
    </r>
  </si>
  <si>
    <t xml:space="preserve">FG-201F x 4 ; FG-401F x 4 ; FG-61F x 1 ; FAZ-VM x 1 ; FMG-VM x 1 </t>
  </si>
  <si>
    <t>I67856, MASS12722-2</t>
  </si>
  <si>
    <t>UID-26-05-0233</t>
  </si>
  <si>
    <t>ZM1595266</t>
  </si>
  <si>
    <t>(PAN-SVC-BKLN-PRA-25-R) Partner enabled premium support renewal, Panorama 25 devices.; S/N: 702048174; Period: 30-Jun-26 to 30-Jun-27</t>
  </si>
  <si>
    <t>Refer to line 117</t>
  </si>
  <si>
    <t>Hong Kong Metropolitan University</t>
  </si>
  <si>
    <t>G260590245WW (PO.302213)</t>
  </si>
  <si>
    <t>ZM1595510</t>
  </si>
  <si>
    <t>(grM-PRO-IN-2000-3Y) grMail Professional Inbound Email Security Protection (3-Year for up to 2,000 mailboxes); Period: From 15 Jun 2026 To 14 Jun 2029 (Qty: 2,000 Mailboxes + 1,000 Mailboxes)
- Core Email Protection Module: Dynamic Reputation Filter, Anti-Virus, Anti-Spam, Anti-Phishing
- Zero-Day Protection Module: Sandboxing and URL Inspection
- BEC Protection Module with VIP x 20 on Watchlist
- aidar AI Analytics
- Threat Hunting
- Integrated Managed Detection and Response 
(grM-PRO-IN-SITE-3Y) grMail Professional Inbound Email Security Protection (3-Year for unlimited mailboxes); Period: From 15 Jun 2026 To 14 Jun 2029 (Qty: 20,000 Mailboxes)
- Core Email Protection Module: Dynamic Reputation Filter, Anti-Virus, Anti-Spam, Anti-Phishing
- Zero-Day Protection Module: Sandboxing and URL Inspection
- BEC Protection Module with VIP x 20 on Watchlist
- aidar AI Analytics
- Threat Hunting
- Integrated Managed Detection and Response
Period: 15-Jun-26 to 14-Jun-29</t>
  </si>
  <si>
    <t>I73535-1</t>
  </si>
  <si>
    <t>UID-26-05-0248</t>
  </si>
  <si>
    <t>G260600084CB</t>
  </si>
  <si>
    <t>ZM1595354</t>
  </si>
  <si>
    <t>(ISA6000-V-S-GLD-D) Ivanti Virtual Appliance 6000 Base System Subscription Standard Direct (Qty: 1 + 1)
(ICS-CU-S-GLD-A) Ivanti Connect Secure VPN Concurrent User Subscription Standard Assurance (Qty: 100 + 100 + 25 + 75 + 75)
(ISA4000-V-S-GLD-A) Ivanti Virtual Appliance 4000 Base System Subscription Standard Assurance (Qty: 1 + 1 + 1)
(SERV-7X24X4) Remote 7x24x4 Support - 1 year (Qty:1)
- Support service includes (1) help desk support (phone/email), and (2) Remote technical support Service hours: 24 hours a day, 7 days a week, with an average 4 hour response time '- Support engineer will diagnose and rectify the issue remotely (if feasible).
- Customer shall provide configuration backup file(s) for hardware recovery.
- Reconfiguration of policy and software version upgrade are NOT included. Separate quotation can be provided upon request.
Period: 17-Jun-26 to 16-Jun-27</t>
  </si>
  <si>
    <t>V88122</t>
  </si>
  <si>
    <t>UID-26-05-0257</t>
  </si>
  <si>
    <t>G260500071KW</t>
  </si>
  <si>
    <t>ZM1595779</t>
  </si>
  <si>
    <r>
      <t xml:space="preserve">(FC-10-00208-928-02-12) 24x7 Advanced Threat Protection; S/N: FG201ETK19903355 / FG201ETK19903192; coterm maintenance From 31 May 2026 To 31 May 2027 (Qty:2)
(EDV-SWP-FG201E (7x24WOL)) 24x7x4 Swapping Service without On-site Labour - One-time swap with same model; S/N: FG201ETK19903355 / FG201ETK19903192; Period: From 31 May 2026 To 31 May 2027 (Qty:2)
</t>
    </r>
    <r>
      <rPr>
        <sz val="10"/>
        <rFont val="Arial"/>
        <family val="2"/>
      </rPr>
      <t>(FC-10-F6H1E-928-02-12) 24x7 Advanced Threat Protection; S/N: FG6H1E5819901524 / FG6H1E5819901413; coterm maintenance From 31 May 2026 To 31 May 2027 (Qty:2)
(EDV-SWP-FG601E (7x24WOL)) 24x7x4 Swapping Service without On-site Labour - One-time swap with same model; S/N: FG6H1E5819901524 / FG6H1E5819901413; Period: From 31 May 2026 To 31 May 2027 (Qty:2)
(FC-10-03007-928-02-12) 24x7 Advanced Threat Protection; S/N: FGT3KDT419800610 / FGT3KDT419800612; coterm maintenance From 31 May 2026 To 31 May 2027 (Qty:2)
(FC-10-F201F-928-02-12) FortiGate-201F 1 Year Advanced Threat Protection (IPS, Advanced Malware Protection Service, Application Control, and FortiCare Premium); S/N: FG201FT922921839; coterm maintenance From 16 Jul 2026 To 16 Jul 2027
(FC-10-F201F-211-02-12) FortiGate-201F 1 Year 4-Hour Hardware Delivery Premium RMA Service (Requires 24x7 or ASE FortiCare); S/N: FG201FT922921839; coterm maintenance From 16 Jul 2026 To 16 Jul 2027</t>
    </r>
  </si>
  <si>
    <r>
      <t xml:space="preserve">FG-201E x 2 ; FG-601E x 2 ; </t>
    </r>
    <r>
      <rPr>
        <sz val="10"/>
        <rFont val="Arial"/>
        <family val="2"/>
      </rPr>
      <t>FG-3000D x 2 ; FG-201F x 1</t>
    </r>
    <r>
      <rPr>
        <sz val="10"/>
        <rFont val="Arial"/>
        <family val="2"/>
      </rPr>
      <t xml:space="preserve">
(swap $13,240)</t>
    </r>
  </si>
  <si>
    <t>31-May-26
16-Jul-26</t>
  </si>
  <si>
    <t>31-May-27
16-Jul-27</t>
  </si>
  <si>
    <t>J72057-5, I73613</t>
  </si>
  <si>
    <t>UID-26-06-0004</t>
  </si>
  <si>
    <t>G260400065CB</t>
  </si>
  <si>
    <t>ZM1596427</t>
  </si>
  <si>
    <r>
      <rPr>
        <sz val="10"/>
        <rFont val="Arial"/>
        <family val="2"/>
      </rPr>
      <t xml:space="preserve">Trend Micro Tippingpoint 5500TX Appliance hardware and license renewal; TippingPoint 5500TX HW Support 1Yr; TippingPoint 1Gbps TPS Inspection License + Threat DV + TLS inspection + Support + DV 1Yr; TPRN0204 *Cost include maintenance for 4 X 4-segment Gig-T Bypass Module; Maintenance date: 1 Jul 2026 to 30 Jun 2027 (Qty:4)
TippingPoint vSMS Enterprise Virtual Appliance license renewal; TippingPoint vSMS Enterprise Virtual Appliance + Support 1Yr Renewal (12 months); Lic no# SVRV-0100-1736 TP-E3KR-QQED3-776BC-589GW-JFHEX-SXW7M; Maintenance date: 1 Jul 2026 to 30 Jun 2027 (Qty:1)
24x7 Swapping Service; Tipping Point Hardware Swapping Services 7x24; Maintenance date: 1 Jul 2026 to 30 Jun 2027 (Qty:4)
24x7 On-going onsite support; Trend Micro Professional Service, 7x24, On-going onsite support - one year service period; Including 24x7 Email and Phone support Service; Including 24x7 On going and Remote support service; Maintenance date: 1 Jul 2026 to 30 Jun 2027 (Qty:1)
</t>
    </r>
    <r>
      <rPr>
        <b/>
        <sz val="10"/>
        <color indexed="30"/>
        <rFont val="Arial"/>
        <family val="2"/>
      </rPr>
      <t>Renewal Cert.: TM-L-HK-2600563B (S/W) &amp; 2600564 (H/W Swap.)</t>
    </r>
  </si>
  <si>
    <t>5500TX x 4
(swap $119,200)</t>
  </si>
  <si>
    <t>V88458, V88459</t>
  </si>
  <si>
    <t>UID-26-06-0003</t>
  </si>
  <si>
    <t>Cathay Pacific Airways Ltd</t>
  </si>
  <si>
    <t>G260600020WW (PO:4500282176)</t>
  </si>
  <si>
    <t>ZM1595762</t>
  </si>
  <si>
    <t>Thales Safenet</t>
  </si>
  <si>
    <t>(020-000161-001-000) CIPHERTRUST CONNECTOR, ENHANCED MAINTENANCE for part# 976-000009-001-000 - CIPHERTRUST FLEX ABILITY; Contract# GHKF1-164188; Period: From 5 Jun 2026 To 4 Jun 2027 (Qty:4)
(020-000051-001-000) ENHANCED Support for part 976-000011-001-000 - VIRTUAL CIPHERTRUST MANAGER, K170V,PERPETUAL LICENSE; Contract# GHKF1-103071; Period: From 5 Jun 2026 To 4 Jun 2027 (Qty:4)
(EDV-SUP (24x7x4)) Edvance Annual Local Support Service (24x7x4); Unlimited Phone and Email Support During Office and Non-Office Hour; 24 x 7 On-Site Support for severity Level 1 issues; Pls refer to Edvance service contract for details; Period: From 5 Jun 2026 To 4 Jun 2027</t>
  </si>
  <si>
    <t>I04863, I04863-1</t>
  </si>
  <si>
    <t>UID-26-06-0013</t>
  </si>
  <si>
    <t>The University of Hong Kong</t>
  </si>
  <si>
    <t>G260690093TS (G2026WB198TS) PO:HKU00350906</t>
  </si>
  <si>
    <t>ZM1596149</t>
  </si>
  <si>
    <r>
      <rPr>
        <sz val="10"/>
        <rFont val="Arial"/>
        <family val="2"/>
      </rPr>
      <t>(DUO-EDU-SUB) Cisco Duo subscription for Educational institutions (Qty:1) 
(DUO-EDU-PRE-F) Duo Premier for edu Faculty users (formerly Beyond-F) (Qty:50)
(SVS-DUO-SUP-B) Cisco Support Standard for Duo (Qty:1)</t>
    </r>
    <r>
      <rPr>
        <b/>
        <sz val="10"/>
        <color indexed="30"/>
        <rFont val="Arial"/>
        <family val="2"/>
      </rPr>
      <t xml:space="preserve">
PO was issued by Chan, Yuk-Fun (Comm code: SSCC)
</t>
    </r>
    <r>
      <rPr>
        <b/>
        <sz val="10"/>
        <color indexed="10"/>
        <rFont val="Arial"/>
        <family val="2"/>
      </rPr>
      <t>Cisco actual period: 11-Jun-26 to 10-Jun-27 (Customer mtce period: 26-May-26 to 25-May-27)</t>
    </r>
  </si>
  <si>
    <t>MASS14358</t>
  </si>
  <si>
    <t>UID-26-06-0037</t>
  </si>
  <si>
    <t>The Hong Kong Jockey Club</t>
  </si>
  <si>
    <t>G260600057LS (PO.41446623)</t>
  </si>
  <si>
    <t>ZM1596898</t>
  </si>
  <si>
    <r>
      <rPr>
        <sz val="10"/>
        <rFont val="Arial"/>
        <family val="2"/>
      </rPr>
      <t>Premium Support - Silver (Current end date 30 Jun 2026) Maintenance period: 1 July 2026 to 30 June 2027 (Qty:1) 
Apex One On-premises (Current end date 30 Jun 2026) Maintenance period: 1 July 2026 to 30 June 2027 (Qty: 4416 + 4314)
Enterprise Security for Endpoints - Std. HK BU -&gt; Apex One On-premises (Current end date 30 Jun 2026) Maintenance period: 1 July 2026 to 30 June 2027 (Qty:6)
Apex One On-premises, Additional, Non-Profit, 12 month(s), 01001-02000 users; Current end date: 15 Jul 2026; Maintenance period: 16 July 2026 to 30 June 2027 (Qty: 3529)
Apex One On-premises, Additional, Non-Profit, 12 month(s), 01001-02000 users; Current end date: 30 Jun 2026; Maintenance period: 1 July 2026 to 30 June 2027 (Qty: 34)
Apex One On-premises (Current end date 20 Mar 2026) (New counting from 1 Jul 2026 - 30 Jun 2027, license cert will still show start date as 21 Mar 2026) (Qty:6)
Apex One On-premises (Current end date 14 Oct 2026) (Qty:6)
Deep Security - Anti-Malware - per CPU (Socket) (Current end date 30 Jun 2026) Maintenance period: 1 July 2026 to 30 June 2027 (Qty: 330)
Deep Security Manager - additional instance (for DR, HA, Multi-node) (Current end date 30 Jun 2026) Maintenance period: 1 July 2026 to 30 June 2027 (Qty:1)
Premium Support - Silver (Current end date 30 Jun 2026) Maintenance period: 1 July 2026 to 30 June 2027 (Qty:1)</t>
    </r>
    <r>
      <rPr>
        <b/>
        <sz val="10"/>
        <color indexed="30"/>
        <rFont val="Arial"/>
        <family val="2"/>
      </rPr>
      <t xml:space="preserve">
</t>
    </r>
    <r>
      <rPr>
        <b/>
        <sz val="10"/>
        <color indexed="30"/>
        <rFont val="Arial"/>
        <family val="2"/>
      </rPr>
      <t xml:space="preserve">Renewal Cert: </t>
    </r>
    <r>
      <rPr>
        <b/>
        <sz val="10"/>
        <color indexed="30"/>
        <rFont val="Arial"/>
        <family val="2"/>
      </rPr>
      <t>TM-L-HK-2600611, TM-L-HK-2600612 &amp; TM-L-HK-2600617</t>
    </r>
  </si>
  <si>
    <t>MASS09374, MASS12240-1, MASS12726, MASS13280</t>
  </si>
  <si>
    <t>UID-26-06-0051</t>
  </si>
  <si>
    <t>ZM1596554</t>
  </si>
  <si>
    <r>
      <t xml:space="preserve">Apex One On-premises, Additional, 12 month(s) (Qty:644)
Apex One On-premises, Additional,12 month(s); TM-L-HK-2300581 (New counting from 1 Jul 2026 - 30 Jun 2027, license cert will still show start date as 18 Apr 2026) (Qty:5)
</t>
    </r>
    <r>
      <rPr>
        <b/>
        <sz val="10"/>
        <color indexed="30"/>
        <rFont val="Arial"/>
        <family val="2"/>
      </rPr>
      <t xml:space="preserve">Renewal Cert: </t>
    </r>
    <r>
      <rPr>
        <b/>
        <sz val="10"/>
        <color indexed="30"/>
        <rFont val="Arial"/>
        <family val="2"/>
      </rPr>
      <t>TM-L-HK-2600611, TM-L-HK-2600612 &amp; TM-L-HK-2600617</t>
    </r>
  </si>
  <si>
    <t>Yung's Enterprise Holdings Limited</t>
  </si>
  <si>
    <t>G260700134WW</t>
  </si>
  <si>
    <t>ZM1596965</t>
  </si>
  <si>
    <r>
      <rPr>
        <sz val="10"/>
        <rFont val="Arial"/>
        <family val="2"/>
      </rPr>
      <t>(FC-10-F101F-950-02-12) FortiGate-101F Unified Threat Protection (UTP) (IPS, Advanced Malware Protection, Application Control, URL, DNS &amp; Video Filtering, Antispam Service, and FortiCare Premium); S/N: FG101FTK21025962 / FG101FTK21025937; Coterm Maintenance From 28 Jul 2026 To 27 Jul 2029 (Qty:2)
(EDV-SWP-FG101F (7x24WL)) 3 Year 24x7x4 Swapping Service with On-site Labour - One-time swap with same model; S/N: FG101FTK21025962 / FG101FTK21025937; Period: From 28 Jul 2026 To 27 Jul 2029 (Qty:2)</t>
    </r>
  </si>
  <si>
    <t>FG-101F x 2 
(swap $9,000)</t>
  </si>
  <si>
    <t>I51323</t>
  </si>
  <si>
    <t>UID-26-06-0053</t>
  </si>
  <si>
    <t>Pricerite Marketing Ltd</t>
  </si>
  <si>
    <t>G2605000051TH</t>
  </si>
  <si>
    <t>ZM1597579</t>
  </si>
  <si>
    <r>
      <rPr>
        <sz val="10"/>
        <rFont val="Arial"/>
        <family val="2"/>
      </rPr>
      <t>(grM-ENT-IN-500-1Y) grMail Enterprise Inbound Email Security Protection (1-Year for up to 500 mailboxes); Period: From 1 Jun 2026 To 31 May 2027 (Qty:300 Mailboxes)
- Core Email Protection Module: Dynamic Reputation Filter, Anti-Virus, Anti-Spam, Anti-Phishing
- Zero-Day Protection Module: Sandboxing and URL Inspection
- BEC Protection Module with VIP x 20 on Watchlist
- aidar AI Analytics
- Threat Hunting
- Remote Browser Isolation Protection
- Integrated Managed Detection and Response
(gr-OUT-1-X) grOutbound Subscription x 1 year for 300 users; Enterprise Manager; MG Gateway; Policy Manager; Period: From 8 Oct 2026 to 7 Oct 2027
(gr-SUP(8x5x4)) Green Radar Local Support Service (8x5); Unlimited Phone and Email Support During Office Hour; 8x5 On-Site Support for severity Level 1 issues; Pls refer to Edvance service contract for details; Period: From 8 Oct 2026 To 7 Oct 2027</t>
    </r>
  </si>
  <si>
    <t>1-Jun-26
8-Oct-26</t>
  </si>
  <si>
    <t>31-May-27
7-Oct-27</t>
  </si>
  <si>
    <t>R85960, R85960-1</t>
  </si>
  <si>
    <t>UID-26-06-0069</t>
  </si>
  <si>
    <t>G260800034WW</t>
  </si>
  <si>
    <t>ZM1597189</t>
  </si>
  <si>
    <r>
      <t xml:space="preserve">(FC-10-0401E-950-02-12) FortiGate-401E 1 Year Unified Threat Protection (UTP) (IPS, Advanced Malware Protection, Application Control, URL, DNS &amp; Video Filtering, Antispam Service, and FortiCare Premium); S/N: FG4H1ETB20900873 / FG4H1E5819901457; coterm maintenance From 6 Aug 2026 To 6 Aug 2027 (Qty:2)
(FC-10-0401E-211-02-12) 4-Hour Hardware Delivery Premium RMA Service (requires Premium support); S/N: FG4H1ETB20900873 / FG4H1E5819901457; coterm maintenance From 6 Aug 2026 To 6 Aug 2027 (Qty:2)
</t>
    </r>
    <r>
      <rPr>
        <b/>
        <sz val="10"/>
        <color indexed="30"/>
        <rFont val="Arial"/>
        <family val="2"/>
      </rPr>
      <t>Customer contract: One-time firmware upgrade service (Office Hour (Sat 900-1300); Inline upgrade method without NBD standby</t>
    </r>
  </si>
  <si>
    <t>FG-401E x 2</t>
  </si>
  <si>
    <t>D59164</t>
  </si>
  <si>
    <t>UID-26-06-0079</t>
  </si>
  <si>
    <t>G260600048YR</t>
  </si>
  <si>
    <t>ZM1596989</t>
  </si>
  <si>
    <r>
      <rPr>
        <b/>
        <sz val="10"/>
        <color indexed="30"/>
        <rFont val="Arial"/>
        <family val="2"/>
      </rPr>
      <t>(Use code first: SSSS)</t>
    </r>
    <r>
      <rPr>
        <b/>
        <sz val="10"/>
        <color indexed="30"/>
        <rFont val="Arial"/>
        <family val="2"/>
      </rPr>
      <t xml:space="preserve"> **PO was issued by Lui, Lok-Wan</t>
    </r>
    <r>
      <rPr>
        <sz val="10"/>
        <rFont val="Arial"/>
        <family val="2"/>
      </rPr>
      <t xml:space="preserve">
(PAN-PA-850-ADVURL-HA2-R) Subscription Advanced URL Filtering, 1-year, PA-850, HA Pair Renewal; S/N: 011901054269 / 011901054273; Period: 14-Jun-26 to 13-Jun-27 (Qty:2)
(PAN-PA-850-ATP-HA2-R) Advanced Threat Prevention subscription for device in an HA pair renewal, PA-850; S/N: 011901054269 / 011901054273; Period: 14-Jun-26 to 13-Jun-27 (Qty:2)
(PAN-PA-850-AWF-HA2-R) Advanced WildFire subscription for device in an HA pair renewal, PA-850; S/N: 011901054269 /  011901054273; Period: 14-Jun-26 to 13-Jun-27 (Qty:2)
(PAN-SVC-BKLN-850-R) Partner enabled premium support year 1 renewal, PA-850; S/N: 011901054269 / 011901054273; Period: 14-Jun-26 to 13-Jun-27 (Qty:2)
B&amp;Data Swapping Service - 24x7x4 (Onsite Labour) with 1 year Included; S/N: 011901054269 / 011901054273; Period: 14-Jun-26 to 13-Jun-27 (Qty:2)
• 24 x 7 Telephone support
• 8 x 5 Email support
• 24 x 7 Hardware Swapping
• 24 x 7 on-site trouble-shooting
• 4 times Patch update with Performance Health Check
B&amp;Data Professional Service - 10 Token (per man day); S/N: 011901054269 / 011901054273; Period: 14-Jun-26 to 13-Jun-27 (Qty:2)</t>
    </r>
  </si>
  <si>
    <t>PA-850 x 2
(swap $21,750)</t>
  </si>
  <si>
    <t>MASS14007</t>
  </si>
  <si>
    <t>UID-26-06-0081</t>
  </si>
  <si>
    <t>FWD Life Insurance Company (Bermuda) Ltd</t>
  </si>
  <si>
    <t>G260600042WW (PO.E0350019899PO)</t>
  </si>
  <si>
    <t>ZM1597435</t>
  </si>
  <si>
    <r>
      <rPr>
        <sz val="10"/>
        <rFont val="Arial"/>
        <family val="2"/>
      </rPr>
      <t>(FC-10-F1K1F-950-02-12) FortiGate-1001F Unified Threat Protection (UTP) (IPS, Advanced Malware Protection, Application Control, URL, DNS &amp; Video Filtering, Antispam Service, and FortiCare Premium); S/N: FG1K1FTB23900370 / FG1K1FTB23900377; coterm maintenance From 10 Jun 2026 To 10 Jun 2028 (Qty:2)
(FC-10-F1K1F-211-02-12) FortiGate-1001F 4-Hour Hardware Delivery Priority RMA Service (requires Premium support); S/N: FG1K1FTB23900370 / FG1K1FTB23900377; coterm maintenance From 10 Jun 2026 To 10 Jun 2028 (Qty:2)
(FC-10-0401F-950-02-12) FortiGate-401F 1 Year Unified Threat Protection (UTP) (IPS, Advanced Malware Protection, Application Control, URL, DNS &amp; Video Filtering, Antispam Service, and FortiCare Premium); S/N: FG4H1FT923900038 / FG4H1FT923900085 / FG4H1FT923900969 / FG4H1FT923900972; coterm maintenance From 10 Jun 2026 To 10 Jun 2028 (Qty:4)
(FC-10-0401F-211-02-12) FortiGate-401F 1 Year 4-Hour Hardware Delivery Priority RMA Service (requires Premium support); S/N: FG4H1FT923900038 / FG4H1FT923900085 / FG4H1FT923900969 / FG4H1FT923900972; coterm maintenance From 10 Jun 2026 To 10 Jun 2028 (Qty:4)</t>
    </r>
  </si>
  <si>
    <t xml:space="preserve">FG-401F x 4 ; FG-1001F x 2 </t>
  </si>
  <si>
    <t>I96057, I96052</t>
  </si>
  <si>
    <t>UID-26-06-0082</t>
  </si>
  <si>
    <t>L260690145AC (L2026WB346AC)</t>
  </si>
  <si>
    <t>ZM1597781</t>
  </si>
  <si>
    <r>
      <rPr>
        <b/>
        <sz val="10"/>
        <color indexed="10"/>
        <rFont val="Arial"/>
        <family val="2"/>
      </rPr>
      <t xml:space="preserve">(S) Equipment loan services for a CPAP-SG5200-NGTP; Support Period: 1 Jul 2026 to 31 Dec 2026
1. Loan services for the CPAP-SG5200-NGTP do not include installation.
2. A spare unit will be provided for closed standby, but please note that it will not include any blades.
3. If the spare unit has a fault, only one-time swapping is permitted.
Remark:
1. Included Delivery/Pick up Charges/Administration/Handling charges.
2. Extension Fee is charged on weekly basis. If the extension period is less than one full week, it will still be charged as a full week. The cost for the extension is calculated as: HKD $1670.
3. For any physical damage or lost items will be charged at the list price of spare unit (HKD 117,624) 
</t>
    </r>
    <r>
      <rPr>
        <b/>
        <sz val="10"/>
        <color indexed="30"/>
        <rFont val="Arial"/>
        <family val="2"/>
      </rPr>
      <t>** Loan 1 x S/N: 1642BA3310, 00:1C:7F:82:2C:33 (Need to be return Datalink on 31 Dec 2026)</t>
    </r>
    <r>
      <rPr>
        <sz val="10"/>
        <rFont val="Arial"/>
        <family val="2"/>
      </rPr>
      <t xml:space="preserve">
UCID 8179661 &amp; 8357639 (Period: 1 Jun 2026 to 31 Dec 2026)
(CPCES-CO-PREMIUM) 1 Year Collaborative Premium Support for CPAP-SG5200-NGTP; S/N:1848BA3683 (00:1C:7F:8A:C9:77) / 1933BA0020 (00:1C:7F:8D:3D:93); EOS date is 01-Jan-2026 (Qty:2)
(CPCES-CO-PREMIUM) 1 Year Collaborative Premium Support for CPAP-SG5200-NGTP-HA; S/N: 1848BA3681 (00:1C:7F:8A:C9:83) / 1933BA0050 (00:1C:7F:8D:3F:37); EOS date is 01-Jan-2026 (Qty:2)
(CPCES-CO-PREMIUM) 1 Year Collaborative Premium Support for CPSM-NGSM5; S/N: 7AFC00760730 / D5DDD2D12305 (Qty:2)
(CPSB-EVS-COMP-5-1Y) SmartEvent, SmartReporter and Compliance blades for 5 gateways (Smart-1 and open server) 1 year subscription; S/N: 7AFC00760730 / D5DDD2D12305 (Qty:2)
(CPSB-NGTP-5200-1Y) Next Generation Threat Prevention Package subscription for 1 year for 5200 Appliance; S/N: 1848BA3683 (00:1C:7F:8A:C9:77) / 1933BA0020 (00:1C:7F:8D:3D:93) (Qty:2)
(CPSB-NGTP-5200-1Y-HA) Next Generation Threat Prevention Package subscription for 1 year for 5200 Appliance HA; S/N: 1848BA3681 (00:1C:7F:8A:C9:83) / 1933BA0050 (00:1C:7F:8D:3F:37) (Qty:2)
(CSSW+) 1 month 7x24 swapping Service for S/N: 1848BA3683 (00:1C:7F:8A:C9:77) / 1848BA3681 (00:1C:7F:8A:C9:83) / 1933BA0020 (00:1C:7F:8D:3D:93) / 1933BA0050 (00:1C:7F:8D:3F:37) **Support Hong Kong Area Only; Support Period: 1 Jun 2026 - 30 Jun 2026 </t>
    </r>
  </si>
  <si>
    <t>SG5200 x 4 ; CPSM-NGSM5 x2
(swap $56,325)</t>
  </si>
  <si>
    <t>J90919, D62015</t>
  </si>
  <si>
    <t>Chan, Abby NY</t>
  </si>
  <si>
    <t>UID-26-06-0099</t>
  </si>
  <si>
    <t>G260300095JI (HKPO-2600011380)</t>
  </si>
  <si>
    <t>ZM1598775</t>
  </si>
  <si>
    <t>(Part # CR-MTD) Cybereason Mobile is a privacy-first mobile threat defense (MTD) application that provides comprehensive mobile security to enterprises. It is designed to protect an employee's device and information from device, network, app, and phishing attacks.; Cybereason's on-device, machine learning-powered detection is capable of scaling with the needs of the modern workforce, securing devices against the most advanced threats. (Qty: 1,300)
(Part # CR-TS-SUP-S) A Technical Support offering ensures that you get a world class support service to match the needs of your organization.; Contract Period : 1 April 2026 to 31 March 2027 (Qty: 1)
(Comm. code: CCWY)</t>
  </si>
  <si>
    <t>SIS INTERNATIONAL LTD</t>
  </si>
  <si>
    <t>V87085</t>
  </si>
  <si>
    <t>UID-26-06-0114</t>
  </si>
  <si>
    <t>Lok Sin Tong Ku Chiu Man Secondary School</t>
  </si>
  <si>
    <t>W260690210NI (2026WB291NI)</t>
  </si>
  <si>
    <t>ZM1598466</t>
  </si>
  <si>
    <t xml:space="preserve">(FC-10-F201F-950-02-12) FortiGate-201F Unified Threat Protection (UTP) (IPS,Advanced Malware Protection, Application Control, URL, DNS &amp; Video Filtering, Antispam Service, and FortiCare Premium); S/N: FG201FT922923320; coterm maintenance From 18 Jun 2026 To 18 Jun 2029
(EDV-SWP-FG201F (8x5WOL)) 3 Year 8x5xNBD Distributor Swapping Service without On-site Labour; Pls refer to Edvance service contract for details; S/N: FG201FT922923320; Period: From 18 Jun 2026 To 18 Jun 2029
*HKT spare part can fulfil Customer contract swapping services 24x7x4 </t>
  </si>
  <si>
    <t>FG-201F x 1
(swap 3,900)</t>
  </si>
  <si>
    <t>MASS14368</t>
  </si>
  <si>
    <t>UID-26-06-0125</t>
  </si>
  <si>
    <t>Hospital Authority (EU: Kwong Wah Hospital)</t>
  </si>
  <si>
    <t>P/8187/MAMA/YT26 (PO.3110964313, ref: KCC/T/S2/058/19/KWH)</t>
  </si>
  <si>
    <t>ZM1598860</t>
  </si>
  <si>
    <t>(FC-10-F101F-950-02-12) FortiGate-101F Unified Threat Protection (UTP) (IPS, Advanced Malware Protection, Application Control, URL, DNS &amp; Video Filtering, Antispam Service, and FortiCare Premium); S/N: FG101FTK21021970 / FG101FTK21022950; Period: From 31-Mar-2026 to 31-Mar-2027 (Qty:2)</t>
  </si>
  <si>
    <t>FG-101F x 2</t>
  </si>
  <si>
    <t>I58675 (35172686)</t>
  </si>
  <si>
    <t>UID-26-06-0121</t>
  </si>
  <si>
    <t>Sun Hung Kai Real Estate Agency Ltd</t>
  </si>
  <si>
    <t>G260600091CF</t>
  </si>
  <si>
    <t>ZM1598460</t>
  </si>
  <si>
    <r>
      <rPr>
        <sz val="10"/>
        <rFont val="Arial"/>
        <family val="2"/>
      </rPr>
      <t>(grM-ENT-IO-SITE-1Y) grMail Enterprise In/Outbound Email Security Protection (1-Year for 2,000+ mailboxes); Period: From 15 Jun 2026 To 14 Jun 2027 (Qty:4,000 Mailboxes)
- Core Email Protection Module: Dynamic Reputation Filter, Anti-Virus, Anti-Spam, Anti-Phishing
- Zero-Day Protection Module: Sandboxing and URL Inspection
- BEC Protection Module with VIP x 20 on Watchlist
- aidar AI Analytics
- Threat Hunting
- Remote Browser Isolation Protection
- Integrated Managed Detection and Response
- Outbound Spam Filtering / Virus Detection
- Data Leakage Protection
- Up to 3,000 Emails / Mailbox / Day
(gr-ISO-1-X) grIsolation Subscription x 1 year - Email Isolation and Mobile Isolation; Period: From 15 Jun 2026 to 14 Jun 2027 (Qty:4,000 Mailboxes)</t>
    </r>
  </si>
  <si>
    <t>K46493, K46494</t>
  </si>
  <si>
    <t>UID-26-06-0132</t>
  </si>
  <si>
    <t>G260600017KW (PO#1120103288)</t>
  </si>
  <si>
    <t>ZM1598941</t>
  </si>
  <si>
    <t>Blue Coat</t>
  </si>
  <si>
    <t>(WEB-PROTECT-SUB) Web Protection Suite; S/N: 0070994668; Contract Period: 01-Jul-2026 to 30-Jun-2028; Prior Contract Number: 53099905</t>
  </si>
  <si>
    <t>WESTCON SOLUTIONS (HK) LTD</t>
  </si>
  <si>
    <t>I54111</t>
  </si>
  <si>
    <t>Steve Ng</t>
  </si>
  <si>
    <t>UID-26-06-0152</t>
  </si>
  <si>
    <t>ZM1598808</t>
  </si>
  <si>
    <t>(PREMIUM-PLUS) End Customer Support, 24x7x4 Hour Parts Replacement Hardware Support; S/N: 4222700006 / 4222700008 / 4222700012 / 4222700016 / 4222700044; Covered Product: SSP-S410-20B; Contract Period: 01-Jul-2026 to 30-Jun-2028; Prior Contract Number: 53099968 (Qty:5)</t>
  </si>
  <si>
    <t>SSP-S410-20B x 5</t>
  </si>
  <si>
    <t>I54421-1, F82575</t>
  </si>
  <si>
    <t>G260690217AC (PO:BI-PO00003307-2, G2026WB278AC_V3)</t>
  </si>
  <si>
    <t>ZM1598537</t>
  </si>
  <si>
    <t>(PAN-PRISMA-ACCESS-NET-ENTERPRISE) Prisma Access Net Enterprise Edition includes private app access and outbound internet security for network, premium security subscription, worldwide service locations, 5 service connections, 10 ZTNA Connectors, and standard success per Mbps per year S/N: 0124000000003550; Period: 21-Jun-26 to 31-Dec-27 (Qty:2000)
(PAN-PRISMA-ACCESS-MU-ENTERPRISE) Prisma Access User Enterprise Edition includes private app access and outbound internet security for users, premium security subscription, worldwide service locations, 5 service connections, 10 ZTNA connectors ,and standard success per user per year; S/N: 0124000000003550; Period: 21-Jun-26 to 31-Dec-27 (Qty:665)
(PAN-PRISMA-ACCESS-MU-SAAS-INLINE) Prisma Access MU SaaS Inline add-on, includes SaaS Inline Security for Prisma Access Mobile Users, Standard Success Plan per unit per year; S/N: 0124000000003550; Period: 21-Jun-26 to 31-Dec-27 (Qty:665)
(PAN-PRISMA-ACCESS-NET-SAAS-INLINE) Prisma Access NET SaaS Inline add-on, includes SaaS Inline Security for Prisma Access Network, Standard Success Plan per unit per year; S/N: 0124000000003550; Period: 21-Jun-26 to 31-Dec-27 (Qty:2000)
(PAN-PRISMA-ACCESS-NET-INTERCONCT) Prisma Access Net Interconnect add-on includes secure remote network to remote network and mobile users to remote network connectivity, and standard success per unit per year;  S/N: 0124000000003550; Period: 21-Jun-26 to 31-Dec-27 (Qty:2000)
(PAN-PRISMA-ACCESS-PREM-SUCCESS) Prisma Access Premium Success; S/N: 0124000000003550; Period: 21-Jun-26 to 31-Dec-27 (Qty:1)
(PAN-PRISMA-ACCESS-SEB-UPG) Prisma Browser Add-on to Prisma Access includes the Secure Enterprise Browser for Internet/SaaS and private app access, Enterprise DLP, AI Access security for PAB traffic only, Management Console, and Standard Success Plan per unit per year.;  S/N: 0124000000003550; Period: 21-Jun-26 to 31-Dec-27 (Qty:665)
(PAN-PRISMA-ACCESS-MU-SLS) Strata Logging Service subscription for Prisma Access Mobile Users. Includes 1 year of retention. Price per user.;  S/N: 0124000000003550; Period: 21-Jun-26 to 31-Dec-27 (Qty:665) 
(PAN-PRISMA-ACCESS-NET-SLS) Strata Logging Service subscription for Prisma Access Remote Networks. Includes 1 year of retention. Price per Mbps.;  S/N: 0124000000003550; Period: 21-Jun-26 to 31-Dec-27 (Qty:2000)
(PAN-SVC-PREM-PRA-100-R) Premium support renewal, Panorama 100 devices; S/N: 000702932818; Period: 14-Jun-26 to 31-Dec-27 (Qty:1)</t>
  </si>
  <si>
    <t>14-Jun-26
21-Jun-26</t>
  </si>
  <si>
    <t>MASS14371</t>
  </si>
  <si>
    <t>UID-26-06-0137</t>
  </si>
  <si>
    <t>Parknshop (HK) Limited</t>
  </si>
  <si>
    <t>G261000080J3 (2026WB452J3)</t>
  </si>
  <si>
    <t>ZM1602184</t>
  </si>
  <si>
    <r>
      <t xml:space="preserve">(FC-10-0060E-247-02-12) FortiGate-60E FortiCare Premium Support; S/N: FGT60ETK19099U3Q; coterm maintenance From 31 Oct 2026 To 29 Dec 2026
(EDV-SWP-FG60E (7x24WOL)) 24x7x4 Distributor Swapping Service without On-site Labour; Pls refer to Edvance service contract for details; S/N: FGT60ETK19099U3Q; Period: From 31 Oct 2026 To 29 Dec 2026
(FC-10-0060E-247-02-12) FortiGate-60E FortiCare Premium Support; S/N: FGT60ETK19042694 / FGT60ETK20024116 / FGT60ETK20020170 / FGT60ETK19099YEK / FGT60ETK19031430; coterm maintenance From 2 Dec 2025 To 29 Dec 2026 (Qty:5)
(EDV-SWP-FG60E (7x24WOL)) 24x7x4 Distributor Swapping Service without On-site Labour; Pls refer to Edvance service contract for details; S/N: FGT60ETK19042694 / FGT60ETK20024116 / FGT60ETK20020170 / FGT60ETK19099YEK / FGT60ETK19031430; Period: From 2 Dec 2025 To 29 Dec 2026 (Qty:5)
(FC-10-F201E-247-02-12) FortiExtender-201E FortiCare Premium Support; S/N: FX201E5920003893 / FX201E5920008954 / FX201E5920012787; coterm maintenance From 2 Dec 2025 To 30 Oct 2027 (Qty:3)
(FC-10-F201E-247-02-12) FortiExtender-201E FortiCare Premium Support; S/N: FX201E5920015328; coterm maintenance From 31 Oct 2026 To 30 Oct 2027
</t>
    </r>
    <r>
      <rPr>
        <b/>
        <sz val="10"/>
        <color indexed="30"/>
        <rFont val="Arial"/>
        <family val="2"/>
      </rPr>
      <t>** Parknshop Manager-Chung Yuen noted the SLA (NBD) for FX-201E by email on 8-Jul-2026</t>
    </r>
  </si>
  <si>
    <t>FG-60E x 6 ; FX-201E x 4
(swap $1,695)</t>
  </si>
  <si>
    <t>31-Oct-26
2-Dec-25</t>
  </si>
  <si>
    <t>29-Dec-26
30-Oct-27</t>
  </si>
  <si>
    <t>D83058, D22453</t>
  </si>
  <si>
    <t>UID-26-06-0168</t>
  </si>
  <si>
    <t>Fidessa Ltd</t>
  </si>
  <si>
    <t>G260200032CB (PO#19112)</t>
  </si>
  <si>
    <t>ZM1599235</t>
  </si>
  <si>
    <t>CPCES-CO-PREMIUM-ADD for CPAP-SG6200-SNBT; Key: 00:1C:7F:BD:70:F0 (S/N: 2140BA3253) / 00:1C:7F:BD:74:6A (S/N: 2140BA3240) / 00:1C:7F:BD:74:74 (S/N: 2140BA3242) / 00:1C:7F:BD:74:7E (S/N: 2140BA3241); Period: 5 Jun 2026 to 15-Feb-2027 (Qty:4)
** Customer contacts Checkpoint directly to confirm RMA statement follows this quote.</t>
  </si>
  <si>
    <t>SG6200 x 4</t>
  </si>
  <si>
    <t>I20572</t>
  </si>
  <si>
    <t>UID-26-06-0166</t>
  </si>
  <si>
    <t>G260900080CB</t>
  </si>
  <si>
    <t>ZM1599506</t>
  </si>
  <si>
    <t>1) (FC1-10-XY2KE-514-02-12) FortiProxy-2000E SWG Protection - Web &amp; Video Filtering, DNS Filtering, Application Control, DLP, IPS, AV, Botnet (IP/Domain), FortiSandbox SaaS including Virus Outbreak and Content Disarm &amp; Reconstruct. 500 User license with SWG Protection (Users:2500); S/N: FPX2KET321000007 / FPX2KET321000033; coterm maintenance for 1 Year From 23 Jun 2026 To 23 Jun 2027 (Qty:2)
2) (FC-10-XY2KE-247-02-12) FortiProxy-2000E FortiCare Premium Support; S/N: FPX2KET321000007 / FPX2KET321000033; coterm maintenance for 1 Year From 23 Jun 2026 To 23 Jun 2027 (Qty:2)
3) (FC-10-XY2KE-211-02-12) FortiProxy-2000E 4-Hour Hardware Delivery Premium RMA Service; S/N: FPX2KET321000007 / FPX2KET321000033; coterm maintenance for 1 Year From 23 Jun 2026 To 23 Jun 2027 (Qty:2)
4) (FC-10-XY2KE-301-02-12) FortiProxy-2000E Secure RMA Service; S/N: FPX2KET321000007 / FPX2KET321000033; coterm maintenance for 1 Year From 23 Jun 2026 To 23 Jun 2027 (Qty:2)
5) (FC1-10-XYVM2-514-02-12) FortiProxy-VM02 SWG Protection - Web &amp; Video Filtering, DNS Filtering, Application Control, IPS, AV, Botnet (IP/Domain), FortiSandbox SaaS including Virus Outbreak and Content Disarm &amp; Reconstruct. 100 User license with SWG Protection (Seat : 100); S/N: FPXVM2TM21000007 / FPXVM20000218164 / FPXVM20000218165 / FPXVM2TM21000008 / FPXVM2TM21000009 / FPXVM2TM21000010; coterm maintenance for 1 Year From 5 Sep 2026 To 5 Sep 2027 (Qty:6)
6) (FC1-10-XYVM2-160-02-12) Content Analysis Service. 100 User license (Users:100); S/N: FPXVM2TM21000007 / FPXVM20000218164 / FPXVM20000218165 / FPXVM2TM21000008 / FPXVM2TM21000009 / FPXVM2TM21000010; coterm maintenance for 1 Year From 5 Sep 2026 To 5 Sep 2027 (Qty:6)
7) (FC-10-XYVM2-248-02-12) FortiProxy-VM02 1 Year FortiCare Premium Support; S/N: FPXVM2TM21000007 / FPXVM20000218164 / FPXVM20000218165 / FPXVM2TM21000008 / FPXVM2TM21000009 / FPXVM2TM21000010; coterm maintenance for 1 Year From 5 Sep 2026 To 5 Sep 2027 (Qty:6)
8) (EDV-SUP (24x7x4)) Edvance Annual Local Support Service (24x7x4) - Unlimited Phone and Email Support During Office and Non-Office Hour; 24 x 7 On-Site Support for severity Level 1 issues; Pls refer to Edvance service contract for details for the above units (item 1-7)</t>
  </si>
  <si>
    <t xml:space="preserve">FPX-2000E x 2 ; FPX-VM02 x 6 </t>
  </si>
  <si>
    <t>23-Jun-26
5-Sep-26</t>
  </si>
  <si>
    <t>23-Jun-27
5-Sep-27</t>
  </si>
  <si>
    <t>V88125, V88125-1</t>
  </si>
  <si>
    <t>UID-26-06-0177</t>
  </si>
  <si>
    <t>L260600779TH (PO:3010069587 &amp; 3010069588)</t>
  </si>
  <si>
    <t>ZM1599886</t>
  </si>
  <si>
    <t>(PAN-SVC-BKLN-3410) Partner enabled premium support year 1, PA-3410; S/N: 024101012121 / 024101013375 / 024101013366 / 024101013501; End date: 24-Jan-2028 (Qty: 4)
(PAN-PA-3410-ATP-HA2) Advanced Threat Prevention subscription for device in an HA pair year 1, PA-3410; S/N: 024101012121 / 024101013375 / 024101013366 / 024101013501; End date: 24-Jan-2028 (Qty: 4)
(BD-SWAP-PRE-1YR) B&amp;Data Swapping Service - 24x7x4 (No Labour) - 1Year; S/N: 024101012121 / 024101013375 / 024101013366 / 024101013501; End date: 24-Jan-2028 (Qty: 4)
(PAN-SVC-BKLN-PRA-25-R) Partner enabled premium support renewal, Panorama 25 devices; S/N:000702690900; Period: 01-Jul-26 to 30-Jun-27</t>
  </si>
  <si>
    <t>PA-3410 x 4 ; PRA-25 x 1
(swap $65,368)</t>
  </si>
  <si>
    <t>J13226-1, I51426, I51427</t>
  </si>
  <si>
    <t>UID-26-06-0181</t>
  </si>
  <si>
    <t>G260600083CB</t>
  </si>
  <si>
    <t>ZM1599655</t>
  </si>
  <si>
    <r>
      <t xml:space="preserve">RSA Hardware Token x 50 pcs (24 months) 
(SID700-6-60-24-10) SID700-6-60-24 10 Pack (Qty:5)
(ZZZOTHERS) "Due to the rapid and substantial increase in International Courier and Freight charges as a result of the recent geopolitical situation, a temporary shipping surcharge of 3% will be imposed to all orders with physical delivery to Hong Kong SAR and Macau SAR."
</t>
    </r>
    <r>
      <rPr>
        <b/>
        <sz val="10"/>
        <color indexed="30"/>
        <rFont val="Arial"/>
        <family val="2"/>
      </rPr>
      <t>** Token x 50pcs delivered to user Mr Lewis Leung on 17-Jul-26</t>
    </r>
  </si>
  <si>
    <t>I95402</t>
  </si>
  <si>
    <t>UID-26-06-0187</t>
  </si>
  <si>
    <t>Nan Fung Real Estate Agency Limited (EU: Nan Fung Enterprises (HK) Ltd)</t>
  </si>
  <si>
    <t>G260690245TS (L2026WB313TS)</t>
  </si>
  <si>
    <t>ZM1599732</t>
  </si>
  <si>
    <r>
      <rPr>
        <sz val="10"/>
        <rFont val="Arial"/>
        <family val="2"/>
      </rPr>
      <t>(FC-10-W061F-950-02-12) FortiWiFi-61F 1 Year Unified Threat Protection (UTP) (IPS, Advanced Malware Protection, Application Control, URL, DNS &amp; Video Filtering, Antispam Service, and FortiCare Premium); S/N: FWF61FTK23000322; Coterm Maintenance From 30 Jul 2026 To 30 Jun 2027
(EDV-SWP-FWF61F (7x24WL)) 1 Year 24x7x4 Distributor Swapping Service with On-site Labour; Pls refer to Edvance service contract for details; S/N: FWF61FTK23000322; Period: From 30 Jul 2026 To 30 Jun 2027
(FC-10-W061F-950-02-12) FortiWiFi-61F 1 Year Unified Threat Protection (UTP) (IPS, Advanced Malware Protection, Application Control, URL, DNS &amp; Video Filtering, Antispam Service, and FortiCare Premium); S/N: FWF61FTK20003541; Coterm Maintenance From 9 Aug 2026 To 30 Jun 2027
(EDV-SWP-FWF61F (7x24WL)) 1 Year 24x7x4 Distributor Swapping Service with On-site Labour; Pls refer to Edvance service contract for details; S/N: FWF61FTK20003541; Period: From 9 Aug 2026 To 30 Jun 2027</t>
    </r>
  </si>
  <si>
    <t>FWF-61F x 2
(swap $1,600)</t>
  </si>
  <si>
    <t>30-Jul-26
9-Aug-26</t>
  </si>
  <si>
    <t>MASS14373, MASS14373-1</t>
  </si>
  <si>
    <t>UID-26-06-0151</t>
  </si>
  <si>
    <t>G260690247TS (L2026WB226TS)</t>
  </si>
  <si>
    <t>ZM1599722</t>
  </si>
  <si>
    <r>
      <rPr>
        <sz val="10"/>
        <rFont val="Arial"/>
        <family val="2"/>
      </rPr>
      <t>(FC-10-0061F-950-02-12) FortiGate-61F 1 Year Unified Threat Protection (UTP) (IPS, Advanced Malware Protection, Application Control, URL, DNS &amp; Video Filtering, Antispam Service, and FortiCare Premium); S/N: FGT61FTK23015870; Coterm Maintenance From 30 Jun 2026 To 30 Jun 2027
(EDV-SWP-FG61F (7x24WOL)) 1 Year 24x7x4 Distributor Swapping Service without On-site Labour; Pls refer to Edvance service contract for details; S/N: FGT61FTK23015870; Coterm Maintenance From 30 Jun 2026 To 30 Jun 2027</t>
    </r>
  </si>
  <si>
    <t>FG-61F x 1
(swap $700)</t>
  </si>
  <si>
    <t>MASS14374</t>
  </si>
  <si>
    <t>G260900064MZ</t>
  </si>
  <si>
    <t>ZM1599910</t>
  </si>
  <si>
    <t>RSA Contact SN 81203537; MOQ is renew 24 months
(S820-8-60-24-A-EL) SID Soft Token E-Dlvry 24 mo 10-250 (Qty:130)</t>
  </si>
  <si>
    <t>I87709-1 (Refer to I87709)</t>
  </si>
  <si>
    <t>UID-26-06-0218</t>
  </si>
  <si>
    <t>The University of Chicago Foundation In HK Ltd</t>
  </si>
  <si>
    <t>G260490088CB</t>
  </si>
  <si>
    <t>ZM1599861</t>
  </si>
  <si>
    <r>
      <rPr>
        <sz val="10"/>
        <rFont val="Arial"/>
        <family val="2"/>
      </rPr>
      <t>(SVC-SD-SRX340HW) Juniper Care Same Day Support for SRX340 hareware only; S/N: CY3417AF0053; Period: 1-Jul-2026 to 30-Jun-2027
(SVC-SD-SRX340HW) Juniper Care Same Day Support for SRX340 hareware only; S/N: CY5020AF0288 defective CY3817AF0644; Period: 1-Jul-2026 to 30-Jun-2027
(SVC-COR-SRX340JSB) JNPR CARE CORE SUPT SRX340-JSB; S/N: RTU00023473619; Period: 1-Jul-2026 to 30-Jun-2027
(SVC-COR-SRX340JSB) JNPR CARE CORE SUPT SRX340-JSB; S/N: RTU00023473620; Period: 1-Jul-2026 to 30-Jun-2027</t>
    </r>
  </si>
  <si>
    <t>SRX340 x 2</t>
  </si>
  <si>
    <t>J53082-1</t>
  </si>
  <si>
    <t>UID-26-06-0204</t>
  </si>
  <si>
    <t>G260600074TH (PO:3010069634 &amp; 3010069635)</t>
  </si>
  <si>
    <t>ZM1599917</t>
  </si>
  <si>
    <t>(CPCES-CO-PREMIUM-ONSITE-ADD) Quantum Force 9300 Plus Appliance with SandBlast subscription package for 1 year; Key:00:1C:7F:C5:5E:E2 (SN:2415BA1224) / 00:1C:7F:C5:6A:AE (2415BA1167); Period: 01-Jul-2026 to 30-Jun-2027 (Qty:2)
(CPCES-CO-PREMIUM-ONSITE-ADD) SFP+ transceiver for 10G Fiber Ports - short range (10GBase-SR)- for 9000/19000/29000 appliances; Key: 0507030172BB / 0B1C0A280665 / 985E4509B496 / ED922A427BB6; Period: 01-Jul-2026 to 30-Jun-2027 (Qty:4)
(CPCES-CO-PREMIUM) Security Gateway software for 8 cores with Next Generation Threat Prevention (NGTP) Package; Key: 721E8034E838; Period: 01-Jul-2026 to 30-Jun-2027
(CPCES-CO-PREMIUM) Security Gateway software for 8 cores with Next Generation Threat Prevention (NGTP) Package - HA; Key: BD6BC7EAFC53; Period: 01-Jul-2026 to 30-Jun-2027
(CPSB-NGTP-9300-PLUS-1Y) Next Generation Threat Prevention for additional 1 year for 9300 Plus Appliance; Key:00:1C:7F:C5:5E:E2 (SN:2415BA1224) / 00:1C:7F:C5:6A:AE (2415BA1167); Period: 01-Jul-2026 to 30-Jun-2027 (Qty:2)
(CPSB-NGTP-L-1Y) Next Generation Threat Prevention Package subscription for 1 year for high-end; Key: 721E8034E838; Period: 01-Jul-2026 to 30-Jun-2027 
(CPSB-NGTP-L-1Y-HA) Next Generation Threat Prevention Package subscription for 1 year for high-end- HA; Key: BD6BC7EAFC53; Period: 01-Jul-2026 to 30-Jun-2027 
(CPCES-CO-PREMIUM) Next Generation Security Management Software for 10 gateways (SmartEvent and Compliance 1 year); Key: A5CB6C98CCA4; Period: 01-Jul-2026 to 30-Jun-2027
(CPSB-EVS-10-1Y) SmartEvent and SmartReporter blade for 10 gateways (Smart-1 and open server) 1 year subscription; Key: A5CB6C98CCA4; Period: 01-Jul-2026 to 30-Jun-2027
ACW On-Going 7 x 24 Support (20-hour); New Support Period: 01-Jul-2026 to 30-Jun-2027; 1 Year Check Point subscription renewal + ACW support</t>
  </si>
  <si>
    <t>SG9300 x 2</t>
  </si>
  <si>
    <t>K46074, K46075</t>
  </si>
  <si>
    <t>UID-26-06-0196</t>
  </si>
  <si>
    <t>CCB International (Holdings) Limited</t>
  </si>
  <si>
    <t>G260600021JI</t>
  </si>
  <si>
    <t>ZM1599955</t>
  </si>
  <si>
    <t>PAN-PA-3260-ADVURL-HA2-R; S/N:16401000964 / 16401000976; Period: 30-Jun-26 to 29-Jun-27 (Qty:2)
PAN-PA-3260-ATP-HA2-R; S/N:16401000964 / 16401000976; Period: 30-Jun-26 to 29-Jun-27 (Qty:2)
PAN-PA-3260-AWF-HA2-R; S/N:16401000964 / 16401000976; Period: 30-Jun-26 to 29-Jun-27 (Qty:2)
PAN-PA-820-ADVURL-R; S/N: 12001005743 / 12001005801; Period: 30-Jun-26 to 29-Jun-27 (Qty:2)
PAN-PA-820-ATP-R; S/N: 12001005743 / 12001005801; Period: 30-Jun-26 to 29-Jun-27 (Qty:2)
PAN-PA-820-AWF-R; S/N: 12001005743 / 12001005801; Period: 30-Jun-26 to 29-Jun-27 (Qty:2)
PAN-PA-850-ADVURL-HA2-R; S/N: 11901003823 / 11901003825 / 11901003829 / 11901003870; Period: 30-Jun-26 to 29-Jun-27 (Qty:4)
PAN-PA-850-ATP-HA2-R; S/N: 11901003823 / 11901003825 / 11901003829 / 11901003870; Period: 30-Jun-26 to 29-Jun-27 (Qty:4)
PAN-PA-850-AWF-HA2-R; S/N: 11901003823 / 11901003825 / 11901003829 / 11901003870; Period: 30-Jun-26 to 29-Jun-27 (Qty:4)
PAN-PA-850-ADVURL-R; S/N:11901003423; Period: 30-Jun-26 to 29-Jun-27
PAN-PA-850-ATP-R; S/N:11901003423; Period: 30-Jun-26 to 29-Jun-27 
PAN-PA-850-AWF-R; S/N:11901003423; Period: 30-Jun-26 to 29-Jun-27
PAN-SVC-B4HR-M-300-P-25-R; S/N: 27107000610 / 27107000642; Period: 17-Aug-26 to 16-Aug-27 (Qty:2)
PAN-SVC-BKLN-3260-R; S/N: 16401000964 / 16401000976; Period: 30-Jun-26 to 29-Jun-27 (Qty:2)
PAN-SVC-BKLN-820-R; S/N: 12001005743 / 12001005801; Period: 30-Jun-26 to 29-Jun-27 (Qty:2)
PAN-SVC-BKLN-850-R; S/N:11901003423 / 11901003823 / 11901003825 / 11901003829 / 11901003870; Period: 30-Jun-26 to 29-Jun-27 (Qty:5)
B&amp;Data 24x7x4 Hardware Swapping Service for PA-3260 (With Labour); S/N: 16401000964 / 16401000976; Period: 30-Jun-26 to 29-Jun-27 (Qty:2)
B&amp;Data 24x7x4 Hardware Swapping Service for PA-820 (With Labour); S/N: 12001005743 / 12001005801; Period: 30-Jun-26 to 29-Jun-27 (Qty:2)
B&amp;Data 24x7x4 Hardware Swapping Service for PA-850 (With Labour); S/N:11901003423 / 11901003823 / 11901003825 / 11901003829 / 11901003870; Period: 30-Jun-26 to 29-Jun-27 (Qty:5)</t>
  </si>
  <si>
    <t>PA-3260 x 2 ; PA-820 x 2 ; PA-850 x 5
(swap $63,110)</t>
  </si>
  <si>
    <t>30-Jun-26
17-Aug-26</t>
  </si>
  <si>
    <t>29-Jun-27
16-Aug-27</t>
  </si>
  <si>
    <t>MASS13688, MASS13688-4</t>
  </si>
  <si>
    <t>UID-26-06-0245</t>
  </si>
  <si>
    <t>Hong Kong Optical Lens Company Limited</t>
  </si>
  <si>
    <t>G260700065CF</t>
  </si>
  <si>
    <t>ZM1600182</t>
  </si>
  <si>
    <t>(grM-ENT-IN-100-1Y) grMail Enterprise Inbound Email Security Protection (1-Year for up to 100 mailboxes); Period: From 10 Jul 2026 To 9 Jul 2027 (Qty:100)
- Core Email Protection Module: Dynamic Reputation Filter, Anti-Virus, Anti-Spam, Anti-Phishing
- Zero-Day Protection Module: Sandboxing and URL Inspection
- BEC Protection Module with VIP x 20 on Watchlist
- aidar AI Analytics
- Threat Hunting
- Remote Browser Isolation Protection
- Integrated Managed Detection and Response</t>
  </si>
  <si>
    <t>MASS12730</t>
  </si>
  <si>
    <t>UID-26-06-0230</t>
  </si>
  <si>
    <t>Computer and Technologies Solutions Ltd (EU: Water Supplies Dept)</t>
  </si>
  <si>
    <t>G260600034CP</t>
  </si>
  <si>
    <t>ZM1600135</t>
  </si>
  <si>
    <t>Cyberark</t>
  </si>
  <si>
    <t>(PRIV-STANDARD-USER-SUBS-CONVERTED) Privileged User Subscription (converted) - Credential Protection; Session Isolation; Recording; Detection; Remote VPN-less Access; Adaptive MFA and risk-based Authentication; Adaptive Application Access; For IT users. Price per user per month (Qty:30)
(P-PM001-XD-ZZ-002-OS) Professional Service Charge - CyberArk Local support Service 24x7x4; Unlimited phone and email support; On-demand Support Service with SLA; Quarter Knowledge Sharing; Quarter Product Patch Release Report; OS Patching installation assist; Plug-in Compatibility Assurance; Plug-in Compatibility Assurance for Customization</t>
  </si>
  <si>
    <t>J29818, J29818-1, J29818-2</t>
  </si>
  <si>
    <t>UID-26-06-0244</t>
  </si>
  <si>
    <t>Dah Chong Hong Ltd</t>
  </si>
  <si>
    <t>G260400033KW (PO: BI-PO00003306-2)</t>
  </si>
  <si>
    <t>ZM1601674</t>
  </si>
  <si>
    <t>PAN-PA-220-ADVURL-HA2-R; S/N: 12801047514 / 12801048029 / 12801049245 / 12801049263 / 12801089989; Period: 01-May-26 to 30-Apr-27 (Qty:5)
PAN-PA-220-ADVURL-R; S/N: 12801086452 / 12801092359 / 12801092397; Period: 01-May-26 to 30-Apr-27 (Qty:3)
PAN-PA-220-ATP-HA2-R; S/N: 12801047514 / 12801048029 / 12801049245 / 12801049263 / 12801089989; Period: 01-May-26 to 30-Apr-27 (Qty:5)
PAN-PA-220-ATP-R; S/N: 12801086452 / 12801092359 / 12801092397; Period: 01-May-26 to 30-Apr-27 (Qty:3)
PAN-SVC-PREM-220-R; S/N: 12801047514 / 12801048029 / 12801049245 / 12801049263 / 12801086452 / 12801089989 / 12801092359 / 12801092397; Period: 01-May-26 to 30-Apr-27 (Qty:8)
PAN-PA-820-ADVURL-HA2-R; S/N: 12001025426 / 12001025567;  Period: 01-May-26 to 30-Apr-27 (Qty:2)
PAN-PA-820-ATP-HA2-R; S/N: 12001025426 / 12001025567;  Period: 01-May-26 to 30-Apr-27 (Qty:2)
PAN-SVC-PREM-820-R; S/N: 12001025426 / 12001025567;  Period: 01-May-26 to 30-Apr-27 (Qty:2)</t>
  </si>
  <si>
    <t>PA-220 x 8 ; PA-820 x 2</t>
  </si>
  <si>
    <t>MASS13126, MASS13128, MASS13129, MASS13135, MASS13137</t>
  </si>
  <si>
    <t>UID-26-06-0194</t>
  </si>
  <si>
    <t>G260600035JI (PO:CMD486256)</t>
  </si>
  <si>
    <t>ZM1601595</t>
  </si>
  <si>
    <r>
      <rPr>
        <sz val="10"/>
        <rFont val="Arial"/>
        <family val="2"/>
      </rPr>
      <t>(FC-10-F200F-108-02-12) FortiGate-200F FortiGuard IPS Service;  S/N: FG200FT923901716 / FG200FT923901726; Coterm Maintenance From 26 Aug 2026 To 1 Mar 2031 (Qty:2)
(FC-10-F200F-247-02-12) FortiGate-200F FortiCare Premium Support; S/N: FG200FT923901716 / FG200FT923901726; Coterm Maintenance From 26 Aug 2026 To 1 Mar 2031 (Qty:2)
(FC-10-F200F-211-02-12) FortiGate-200F 4-Hour Hardware Delivery Priority RMA Service (Requires FortiCare Premium orFortiCare Elite); S/N: FG200FT923901716; Coterm Maintenance From 12 Dec 2026 To 1 Mar 2031
(FC-10-F200F-211-02-12) FortiGate-200F 4-Hour Hardware Delivery Priority RMA Service (Requires FortiCare Premium orFortiCare Elite); S/N: FG200FT923901726; Coterm Maintenance From 13 Dec 2026 To 1 Mar 2031</t>
    </r>
  </si>
  <si>
    <t>FG-200F x 2</t>
  </si>
  <si>
    <t>26-Aug-26
12-Dec-26
13-Dec-26</t>
  </si>
  <si>
    <t>I95364</t>
  </si>
  <si>
    <t>UID-26-07-0005</t>
  </si>
  <si>
    <t>Water Oasis Co Ltd</t>
  </si>
  <si>
    <t>G260700130CF</t>
  </si>
  <si>
    <t>ZM1601158</t>
  </si>
  <si>
    <r>
      <t xml:space="preserve">(DUO-SUB) Cisco Duo subscription (Qty:1)
(DUO-ESSENTIALS) Cisco Duo Essentials edition (formerly MFA) (Qty:28)
(SVS-DUO-SUP-B) Cisco Support Basic for Duo (Qty:1)
Period: 12-Jul-26 to 11-Jul-27
</t>
    </r>
    <r>
      <rPr>
        <b/>
        <sz val="10"/>
        <color indexed="30"/>
        <rFont val="Arial"/>
        <family val="2"/>
      </rPr>
      <t>PO was issued by Chan, Yuk-Fun (Comm code: SSCC)</t>
    </r>
  </si>
  <si>
    <t>K46094</t>
  </si>
  <si>
    <t>UID-26-07-0011</t>
  </si>
  <si>
    <t>Lo's Cleaning Services Ltd</t>
  </si>
  <si>
    <t>G260700072CF</t>
  </si>
  <si>
    <t>ZM1601601</t>
  </si>
  <si>
    <t>(FC-10-F101F-950-02-12) FortiGate-101F Unified Threat Protection (UTP) (IPS, Advanced Malware Protection, Application Control, URL, DNS &amp; Video Filtering, Antispam Service, and FortiCare Premium); S/N: FG101FTK21026736; coterm maintenance From 6 Jul 2026 To 6 Jul 2029 
(EDV-SWP-FG101F (8x5WOL)) 3 Year 8x5xNBD Distributor Swapping Service without On-site Labour; Pls refer to Edvance service contract for details; S/N: FG101FTK21026736; Period: From 6 Jul 2026 To 6 Jul 2029
**Customer contract SLA (Swap) : 7x24x4</t>
  </si>
  <si>
    <t>FG-101F x 1
(Swap $3,000)</t>
  </si>
  <si>
    <t>I51293</t>
  </si>
  <si>
    <t>UID-26-07-0018</t>
  </si>
  <si>
    <t>Pui Ching Primary School</t>
  </si>
  <si>
    <t>W260800941L3</t>
  </si>
  <si>
    <t>ZM1601695</t>
  </si>
  <si>
    <r>
      <rPr>
        <sz val="10"/>
        <rFont val="Arial"/>
        <family val="2"/>
      </rPr>
      <t>(PM-55-1Y) M5500-F-I,Premium Bundle(30 SSL VPN license, Site-to-Site IPsec VPN, FW, BM, URL filtering, Application Control, IPS, Email Security, Risk Assessment, Security Visibility, Basic Security Reporter, Engine Zero, Neural-X), 1 Year.; SN: W1XCBJ0175 (NGAF55); New maint period: 01 Sep 2026 to 31 Aug 2027 (1 Year)
(SUS55-1Y) M5500-F-I, NGAF Software Upgrade Services, 1 Year.; SN: W1XCBJ0175 (NGAF55); New maint period: 01 Sep 2026 to 31 Aug 2027 (1 Year)
(TSS-P-55-1Y) M5500-F-I, NGAF 24*7 Technical Support Services, 1 Year.; SN: W1XCBJ0175 (NGAF55); New maint period: 01 Sep 2026 to 31 Aug 2027 (1 Year)
(HRTF55-1Y) M5500-F-I, NGAF, Return to Factory (5 Business days ship after receipt), 1 Year.;  SN: W1XCBJ0175 (NGAF55); New maint period: 01 Sep 2026 to 31 Aug 2027 (1 Year)
(SANGFOR-SWAP-7X24-NGAF55) Annual 7x24x4 swapping service during non-Business Hour, Customer shall provide configuration backup file(s) for hardware recovery.; SN: W1XCBJ0175 (NGAF55); New maint period: 01 Sep 2026 to 31 Aug 2027 (1 Year)
(Delivery Fee) One Time Free Delivery</t>
    </r>
  </si>
  <si>
    <t>M5500-F-I x 1
(swap $6,000)</t>
  </si>
  <si>
    <t>I34323</t>
  </si>
  <si>
    <t>UID-26-07-0041</t>
  </si>
  <si>
    <t>Sino Administration Services Limited</t>
  </si>
  <si>
    <t>G260700090CF (2026WB369WC, Tender ref: SINO-GP-2026-075T)</t>
  </si>
  <si>
    <t>ZM1601995</t>
  </si>
  <si>
    <r>
      <t xml:space="preserve">(PAN-PA-3220-ATP-R) Advanced Threat Prevention subscription renewal, PA-3220; S/N: 016201010298; Period: 15-Jul-26 to 16-Aug-27 
(PAN-PA-3220-PAA-R) Prisma Access Agent subscription renewal, PA-3220; S/N: 016201010298; Period: 17-Aug-26 to 16-Aug-27 
(PAN-PA-3220-ADVURL-R) Subscription Advanced URL Filtering, 1-year, Renewal, PA-3220; S/N: 016201010298; Period: 15-Jul-26 to 16-Aug-27 
(PAN-SVC-BKLN-3220-R) Partner enabled premium support renewal, PA-3220; S/N: 016201010298; Period: 15-Jul-26 to 16-Aug-27 
(PAN-PA-3220-AWF-R) Advanced WildFire subscription renewal, PA-3220; S/N: 016201010298; Period: 15-Jul-26 to 16-Aug-27 
(SGPRecovery) 8x5xNBD Hardware swapping with recovery service for PA-3220 x 1 (Period 15 Jul 2026 to16 Aug 2027)
</t>
    </r>
    <r>
      <rPr>
        <b/>
        <sz val="10"/>
        <color indexed="30"/>
        <rFont val="Arial"/>
        <family val="2"/>
      </rPr>
      <t>** Customer's SLA: 7x24 Ongoing Mtce support with Swapping</t>
    </r>
  </si>
  <si>
    <t>PA-3220 x 1
(swap $15,700)</t>
  </si>
  <si>
    <t>15-Jul-26
17-Aug-26</t>
  </si>
  <si>
    <t>MASS14027</t>
  </si>
  <si>
    <t>UID-26-07-0060</t>
  </si>
  <si>
    <t>Sino Administration Services Limited (EU:Sino Estates Services Limited)</t>
  </si>
  <si>
    <t>ZM1602002</t>
  </si>
  <si>
    <t>(PAN-PA-3250-ADVURL-HA2-R) Subscription Advanced URL Filtering, 1-year, PA-3250, HA Pair Renewal; S/N: 016301008018 / 016301008083 ; Period: 7-Nov-26 to 6-Nov-27 (Qty:2) 
(PAN-PA-3250-AWF-HA2-R) Advanced WildFire subscription for device in an HA pair renewal, PA-3250; S/N: 016301008018 / 016301008083 ; Period: 7-Nov-26 to 6-Nov-27 (Qty:2) 
(PAN-SVC-BKLN-3250-R) Partner enabled premium support renewal, PA-3250; S/N: 016301008018 / 016301008083 ; Period: 7-Nov-26 to 6-Nov-27 (Qty:2) 
(PAN-PA-3250-ATP-HA2-R) Advanced Threat Prevention subscription for device in an HA pair renewal, PA-3250; S/N: 016301008018 / 016301008083 ; Period: 7-Nov-26 to 6-Nov-27 (Qty:2) 
(SGPRecovery Premium) 7x24x4 hardware swapping with recovery service for PA-3250 x 2, 1 Yr</t>
  </si>
  <si>
    <t>PA-3250 x 2
(swap $29,045)</t>
  </si>
  <si>
    <t>refer to line 158</t>
  </si>
  <si>
    <t>MASS14392</t>
  </si>
  <si>
    <t>Sino Administration Services Limited (EU:Royal Pacific Hotel &amp; Towers)</t>
  </si>
  <si>
    <t>ZM1601981</t>
  </si>
  <si>
    <r>
      <t xml:space="preserve">(PAN-PA-3410-PAA-3YR-HA2-R) PA-3410, Prisma Access Agent subscription, for one (1) device in an HA pair, 3 years (36 months) term, renewal.; S/N: 024101008314 / 024101010260 ; Period: 22-Oct-26 to 21-Oct-29 (Qty:2)
(PAN-PA-3410-BND-PRECISIONAI-3YR-R) PA-3410, Precision AI Network Security Subscription Renewal Bundle (Advanced Threat Prevention, Advanced URL Filtering, Advanced Wildfire, Advanced DNS Security, Advanced SD-WAN and Device Security), 3 years (36 months) term; S/N: 024101008314 / 024101010260 ; Period: 22-Oct-26 to 21-Oct-29 (Qty:2)
(PAN-SVC-BKLN-3410-3YR-R) Partner enabled premium support 3-year term renewal, PA-3410; S/N: 024101008314 / 024101010260 ; Period: 19-Oct-26 to 18-Oct-29 (Qty:2)
(SGPRecovery) 8x5xNBD Hardware swapping with recovery service for PA-3410 x 2, 3 YR
</t>
    </r>
    <r>
      <rPr>
        <b/>
        <sz val="10"/>
        <color indexed="30"/>
        <rFont val="Arial"/>
        <family val="2"/>
      </rPr>
      <t>** Customer's SLA: 7x24 Ongoing Mtce support with Swapping</t>
    </r>
  </si>
  <si>
    <t>PA-3410 x 2
(swap $48,670)</t>
  </si>
  <si>
    <t>22-Oct-26
19-Oct-26</t>
  </si>
  <si>
    <t>21-Oct-29
18-Oct-29</t>
  </si>
  <si>
    <t>CEB International Investment Corp Ltd</t>
  </si>
  <si>
    <t>G260700039JI</t>
  </si>
  <si>
    <t>ZM1602289</t>
  </si>
  <si>
    <r>
      <rPr>
        <sz val="10"/>
        <rFont val="Arial"/>
        <family val="2"/>
      </rPr>
      <t xml:space="preserve">(PAN-PA-3220-ADVURL-R) Subscription Advanced URL Filtering, 1-year, Renewal, PA-3220; S/N: 016201021426; Period: 23 Jul </t>
    </r>
    <r>
      <rPr>
        <sz val="10"/>
        <rFont val="Arial"/>
        <family val="2"/>
      </rPr>
      <t>26</t>
    </r>
    <r>
      <rPr>
        <sz val="10"/>
        <rFont val="Arial"/>
        <family val="2"/>
      </rPr>
      <t xml:space="preserve"> to 22 Jul </t>
    </r>
    <r>
      <rPr>
        <sz val="10"/>
        <rFont val="Arial"/>
        <family val="2"/>
      </rPr>
      <t>27</t>
    </r>
    <r>
      <rPr>
        <sz val="10"/>
        <rFont val="Arial"/>
        <family val="2"/>
      </rPr>
      <t xml:space="preserve">
(PAN-PA-3220-AWF-R) Advanced WildFire subscription renewal, PA-3220; S/N: 016201021426; Period: 23 Jul </t>
    </r>
    <r>
      <rPr>
        <sz val="10"/>
        <rFont val="Arial"/>
        <family val="2"/>
      </rPr>
      <t>26</t>
    </r>
    <r>
      <rPr>
        <sz val="10"/>
        <rFont val="Arial"/>
        <family val="2"/>
      </rPr>
      <t xml:space="preserve"> to 22 Jul </t>
    </r>
    <r>
      <rPr>
        <sz val="10"/>
        <rFont val="Arial"/>
        <family val="2"/>
      </rPr>
      <t>27</t>
    </r>
    <r>
      <rPr>
        <sz val="10"/>
        <rFont val="Arial"/>
        <family val="2"/>
      </rPr>
      <t xml:space="preserve">
(PAN-PA-3220-ATP-R) Advanced Threat Prevention subscription renewal, PA-3220; S/N: 016201021426; Period: 23 Jul </t>
    </r>
    <r>
      <rPr>
        <sz val="10"/>
        <rFont val="Arial"/>
        <family val="2"/>
      </rPr>
      <t>26</t>
    </r>
    <r>
      <rPr>
        <sz val="10"/>
        <rFont val="Arial"/>
        <family val="2"/>
      </rPr>
      <t xml:space="preserve"> to 22 Jul </t>
    </r>
    <r>
      <rPr>
        <sz val="10"/>
        <rFont val="Arial"/>
        <family val="2"/>
      </rPr>
      <t>27</t>
    </r>
    <r>
      <rPr>
        <sz val="10"/>
        <rFont val="Arial"/>
        <family val="2"/>
      </rPr>
      <t xml:space="preserve">
(PAN-SVC-BKLN-3220-R) Partner enabled premium support renewal, PA-3220; S/N: 016201021426; Period: 23 Jul </t>
    </r>
    <r>
      <rPr>
        <sz val="10"/>
        <rFont val="Arial"/>
        <family val="2"/>
      </rPr>
      <t>26</t>
    </r>
    <r>
      <rPr>
        <sz val="10"/>
        <rFont val="Arial"/>
        <family val="2"/>
      </rPr>
      <t xml:space="preserve"> to 22 Jul </t>
    </r>
    <r>
      <rPr>
        <sz val="10"/>
        <rFont val="Arial"/>
        <family val="2"/>
      </rPr>
      <t>27</t>
    </r>
    <r>
      <rPr>
        <sz val="10"/>
        <rFont val="Arial"/>
        <family val="2"/>
      </rPr>
      <t xml:space="preserve">
B&amp;Data 7x24x4 including hardware with swapping service (no labour); S/N: 016201021426; Period: 23 Jul </t>
    </r>
    <r>
      <rPr>
        <sz val="10"/>
        <rFont val="Arial"/>
        <family val="2"/>
      </rPr>
      <t>26</t>
    </r>
    <r>
      <rPr>
        <sz val="10"/>
        <rFont val="Arial"/>
        <family val="2"/>
      </rPr>
      <t xml:space="preserve"> to 22 Jul </t>
    </r>
    <r>
      <rPr>
        <sz val="10"/>
        <rFont val="Arial"/>
        <family val="2"/>
      </rPr>
      <t>27</t>
    </r>
  </si>
  <si>
    <t>PA-3220 x 1
(swap $13,000)</t>
  </si>
  <si>
    <t>D57490-3</t>
  </si>
  <si>
    <t>UID-26-07-0066</t>
  </si>
  <si>
    <t>G260700040JI</t>
  </si>
  <si>
    <t>ZM1602338</t>
  </si>
  <si>
    <r>
      <rPr>
        <sz val="10"/>
        <rFont val="Arial"/>
        <family val="2"/>
      </rPr>
      <t>UCID 8455725
(CPCES-CO-PREMIUM-ONSITE-ADD) CPAP-SG6400-PLUS</t>
    </r>
    <r>
      <rPr>
        <sz val="10"/>
        <rFont val="Arial"/>
        <family val="2"/>
      </rPr>
      <t>-</t>
    </r>
    <r>
      <rPr>
        <sz val="10"/>
        <rFont val="Arial"/>
        <family val="2"/>
      </rPr>
      <t>SNBT</t>
    </r>
    <r>
      <rPr>
        <sz val="10"/>
        <rFont val="Arial"/>
        <family val="2"/>
      </rPr>
      <t>, 6400 Plus appliance with SandBlast subscription package for 1 year</t>
    </r>
    <r>
      <rPr>
        <sz val="10"/>
        <rFont val="Arial"/>
        <family val="2"/>
      </rPr>
      <t>; Key:00:1C:7F:BF:BE:7E (S/N: 2216BA2777) / 00:1C:7F:BF:BF:82 (S/N: 2216BA2783); Period: 26-Jul-20</t>
    </r>
    <r>
      <rPr>
        <sz val="10"/>
        <rFont val="Arial"/>
        <family val="2"/>
      </rPr>
      <t>26</t>
    </r>
    <r>
      <rPr>
        <sz val="10"/>
        <rFont val="Arial"/>
        <family val="2"/>
      </rPr>
      <t xml:space="preserve"> to 25-Jul-20</t>
    </r>
    <r>
      <rPr>
        <sz val="10"/>
        <rFont val="Arial"/>
        <family val="2"/>
      </rPr>
      <t>27</t>
    </r>
    <r>
      <rPr>
        <sz val="10"/>
        <rFont val="Arial"/>
        <family val="2"/>
      </rPr>
      <t xml:space="preserve"> (Qty:2)
(CPCES-CO-PREMIUM) CPSM-NGSM5</t>
    </r>
    <r>
      <rPr>
        <sz val="10"/>
        <rFont val="Arial"/>
        <family val="2"/>
      </rPr>
      <t>,</t>
    </r>
    <r>
      <rPr>
        <sz val="10"/>
        <rFont val="Arial"/>
        <family val="2"/>
      </rPr>
      <t xml:space="preserve"> </t>
    </r>
    <r>
      <rPr>
        <sz val="10"/>
        <rFont val="Arial"/>
        <family val="2"/>
      </rPr>
      <t>Next Generation Security Management Software for 5 gateways (SmartEvent and Compliance 1 year)</t>
    </r>
    <r>
      <rPr>
        <sz val="10"/>
        <rFont val="Arial"/>
        <family val="2"/>
      </rPr>
      <t>; Key: 261FFA17619B; Period: 26-Jul-20</t>
    </r>
    <r>
      <rPr>
        <sz val="10"/>
        <rFont val="Arial"/>
        <family val="2"/>
      </rPr>
      <t>26</t>
    </r>
    <r>
      <rPr>
        <sz val="10"/>
        <rFont val="Arial"/>
        <family val="2"/>
      </rPr>
      <t xml:space="preserve"> to 25-Jul-20</t>
    </r>
    <r>
      <rPr>
        <sz val="10"/>
        <rFont val="Arial"/>
        <family val="2"/>
      </rPr>
      <t>27</t>
    </r>
    <r>
      <rPr>
        <sz val="10"/>
        <rFont val="Arial"/>
        <family val="2"/>
      </rPr>
      <t xml:space="preserve">
(CPSB-SNBT-6400-PLUS-1Y) </t>
    </r>
    <r>
      <rPr>
        <sz val="10"/>
        <rFont val="Arial"/>
        <family val="2"/>
      </rPr>
      <t>Next Generation Threat Prevention and Sandblast for additional 1 year for 6400 PLUS Appliance</t>
    </r>
    <r>
      <rPr>
        <sz val="10"/>
        <rFont val="Arial"/>
        <family val="2"/>
      </rPr>
      <t>; Key: 00:1C:7F:BF:BE:7E (S/N: 2216BA2777) / 00:1C:7F:BF:BF:82 (S/N: 2216BA2783); Period: 26-Jul-20</t>
    </r>
    <r>
      <rPr>
        <sz val="10"/>
        <rFont val="Arial"/>
        <family val="2"/>
      </rPr>
      <t>26</t>
    </r>
    <r>
      <rPr>
        <sz val="10"/>
        <rFont val="Arial"/>
        <family val="2"/>
      </rPr>
      <t xml:space="preserve"> to 25-Jul-20</t>
    </r>
    <r>
      <rPr>
        <sz val="10"/>
        <rFont val="Arial"/>
        <family val="2"/>
      </rPr>
      <t>27</t>
    </r>
    <r>
      <rPr>
        <sz val="10"/>
        <rFont val="Arial"/>
        <family val="2"/>
      </rPr>
      <t xml:space="preserve"> (Qty:2) 
(CPSB-EVS-5-1Y) </t>
    </r>
    <r>
      <rPr>
        <sz val="10"/>
        <rFont val="Arial"/>
        <family val="2"/>
      </rPr>
      <t>SmartEvent and SmartReporter blade for 5 gateways (Smart-1 and open server) 1 year subscription</t>
    </r>
    <r>
      <rPr>
        <sz val="10"/>
        <rFont val="Arial"/>
        <family val="2"/>
      </rPr>
      <t>; Key: 261FFA17619B; Period: 26-Jul-20</t>
    </r>
    <r>
      <rPr>
        <sz val="10"/>
        <rFont val="Arial"/>
        <family val="2"/>
      </rPr>
      <t>26</t>
    </r>
    <r>
      <rPr>
        <sz val="10"/>
        <rFont val="Arial"/>
        <family val="2"/>
      </rPr>
      <t xml:space="preserve"> to 25-Jul-20</t>
    </r>
    <r>
      <rPr>
        <sz val="10"/>
        <rFont val="Arial"/>
        <family val="2"/>
      </rPr>
      <t>27</t>
    </r>
    <r>
      <rPr>
        <sz val="10"/>
        <rFont val="Arial"/>
        <family val="2"/>
      </rPr>
      <t xml:space="preserve">
</t>
    </r>
    <r>
      <rPr>
        <sz val="10"/>
        <rFont val="Arial"/>
        <family val="2"/>
      </rPr>
      <t>ACW Swapping service 24x7 (logistic only) for 6400*2 units; Period: 26-Jul-2026 to 25-Jul-2027</t>
    </r>
  </si>
  <si>
    <t>SG6400 x 2 ; NGSM5 x 1</t>
  </si>
  <si>
    <t>I41271</t>
  </si>
  <si>
    <t>UID-26-07-0067</t>
  </si>
  <si>
    <t>Parkland (Hong Kong) Limited c/o The Fullerton Ocean Park Hotel Hong Kong</t>
  </si>
  <si>
    <t>P/8027/MAMA/CF25 (PO.4500095140)</t>
  </si>
  <si>
    <t>ZM1602364</t>
  </si>
  <si>
    <r>
      <rPr>
        <sz val="10"/>
        <rFont val="Arial"/>
        <family val="2"/>
      </rPr>
      <t>(COTERM-FORTINET) Fortinet Coterm service, FortiGate-401E Unified Threat Protection (UTP) (IPS, Advanced Malware Protection, Application Control, URL, DNS &amp; Video Filtering, Antispam Service, and FortiCare Premium); Supported S/N: FG4H1ETB20901910 / FG4H1ETB20901919; Contract Period: 06/14/2026 to 06/13/2028 (Qty:2)
(P-TO014-1Y-FO-001) Fortinet - 1 Year 7x24 Hardware Swapping Services, no trouble shoot; Supported S/N: FG4H1ETB20901910 / FG4H1ETB20901919; Contract Period: 06/14/2026 to 06/14/2027 (Qty:2)
(P-TO014-1Y-FO-001) Fortinet - 1 Year 7x24 Hardware Swapping Services, no trouble shoot; Supported S/N: FG4H1ETB20901910 / FG4H1ETB20901919; Contract Period: 06/14/2027 to 06/13/2028 (Qty:2)</t>
    </r>
  </si>
  <si>
    <t>FG-401E x 2
(swap $26,000)</t>
  </si>
  <si>
    <t>I01494</t>
  </si>
  <si>
    <t>UID-26-07-0068</t>
  </si>
  <si>
    <t>ZM1602346</t>
  </si>
  <si>
    <t>(PAN-PA-450-PAA-HA2-R) PA-450, Prisma Access Agent subscription, for one (1) device in an HA pair, 1 year (12 months), term, renewal; S/N:23201018467 / 23201018488; Period: 24-Jul-2026 to 23-Jul-2028 (Qty:2)
(PAN-PA-450-BND-PRECISIONAI-R) PA-450, Precision AI Network Security Subscription Renewal Bundle (Advanced Threat Prevention, Advanced URL Filtering, Advanced Wildfire, Advanced DNS Security, Advanced SD-WAN and Device Security), 1 years (12 months) term; S/N:23201018467 / 23201018488; Period: 24-Jul-2026 to 23-Jul-2028 (Qty:2)
(PAN-SVC-BKLN-450-R) PA-450, Partner enabled premium support, 1 year (12 months), term, renewal; S/N:23201018467 / 23201018488; Period: 24-Jul-2026 to 23-Jul-2028 (Qty:2)
(BD-SWAP-PRE) B&amp;Data Swapping Service - 24x7x4 (No Labour) - 1 Year; S/N:23201018467 / 23201018488; Period: 24-Jul-2026 to 23-Jul-2028 (Qty:2)</t>
  </si>
  <si>
    <t>PA-450 x 2
(swap $6,000)</t>
  </si>
  <si>
    <t>refer to line 163</t>
  </si>
  <si>
    <t>I37518</t>
  </si>
  <si>
    <t>G260700129CF</t>
  </si>
  <si>
    <t>ZM1602575</t>
  </si>
  <si>
    <t>(grM-ENT-IN-500-1Y) grMail Enterprise Inbound Email Security Protection (1-Year for up to 500 mailboxes); Period: From 29 Jul 2026 To 28 Jul 2027 (Qty: 334 Mailboxes)
- Core Email Protection Module: Dynamic Reputation Filter, Anti-Virus, Anti-Spam, Anti-Phishing
- Zero-Day Protection Module: Sandboxing and URL Inspection
- BEC Protection Module with VIP x 20 on Watchlist
- aidar AI Analytics
- Threat Hunting
- Remote Browser Isolation Protection
- Integrated Managed Detection and Response</t>
  </si>
  <si>
    <t>K46087</t>
  </si>
  <si>
    <t>UID-26-07-0078</t>
  </si>
  <si>
    <t>L260590138CB</t>
  </si>
  <si>
    <t>ZM1602645</t>
  </si>
  <si>
    <t>(CPCES-CO-PREMIUM-ADD) CPAP-SG6200-PLUS-SNBT; 6200 Plus appliance with SandBlast subscription package for 1 year; Key: 00:1C:7F:C2:12:8B (S/N:2252BA0104) / 00:1C:7F:C2:16:AF (S/N:2252BA0139) ; Period: 16-Jun-2026 to 15-Jun-2027 (Qty:2)
(CPCES-CO-PREMIUM) CPSM-NGSM10; Next Generation Security Management Software for 10 gateways (SmartEvent and Compliance 1 year); Key: 893178911E34; Period: 16-Jun-2026 to 15-Jun-2027
(CPSB-NGFW-6200-PLUS-1Y) Next Generation Firewall Package for additional 1 year for 6200 PLUS Appliance; Key: 00:1C:7F:C2:12:8B (S/N: 2252BA0104) / 00:1C:7F:C2:16:AF (S/N: 2252BA0139) ; Period: 16-Jun-2026 to 15-Jun-2027 (Qty:2)
(CPSM-NGSM10) CPSB-EVS-10-1Y; SmartEvent and SmartReporter blade for 10 gateways (Smart-1 and open server) 1 year subscription; Key: 893178911E34 ; Period: 16-Jun-2026 to 15-Jun-2027</t>
  </si>
  <si>
    <t>SG6200 x 2</t>
  </si>
  <si>
    <t>I95251 &amp; I86822-1 (Refer to I86822)</t>
  </si>
  <si>
    <t>UID-26-07-0121</t>
  </si>
  <si>
    <t>PCCW - HKT Limited</t>
  </si>
  <si>
    <t>G260500017YR</t>
  </si>
  <si>
    <t>ZM1603238</t>
  </si>
  <si>
    <t>(FC-10-00208-950-02-12) FortiGate-201E 1 Year Unified Threat Protection (UTP) (IPS, Advanced Malware Protection, Application Control, URL, DNS &amp; Video Filtering, Antispam Service, and FortiCare Premium); S/N: FG201E4Q17901709; coterm maintenance From 17 May 2026 To 17 May 2027
(EDV-SWP-FG201E (7x24WL)) 1 Year 24x7x4 Distributor Swapping Service with On-site Labour; Pls refer to Edvance service contract for details; S/N: FG201E4Q17901709; Period: From 17 May 2026 To 17 May 2027</t>
  </si>
  <si>
    <t>MASS10991</t>
  </si>
  <si>
    <t>UID-26-07-0123</t>
  </si>
  <si>
    <t>ZM1603349</t>
  </si>
  <si>
    <t>RSA Contact SN 81203537 (License SN: 5000500248931)
(S820-8-60-24-A-EL) SID Soft Token E-Dlvry 24 mo 10-250 (Qty:50)</t>
  </si>
  <si>
    <t>I87709-1</t>
  </si>
  <si>
    <t>G260500061CF</t>
  </si>
  <si>
    <t>ZM1603188</t>
  </si>
  <si>
    <t>(grA-SUITE-MO-SITE-1Y) grAwareness Suite (Managed Operations Option) 1-Year for 2,001 or more users; Phishing Simulation; Cybersecurity Awareness Training (Qty: 4,000 Users)
(grA-Onboard-Std) grAwareness Onboarding Services (Standard)</t>
  </si>
  <si>
    <t>K46360</t>
  </si>
  <si>
    <t>UID-26-07-0133</t>
  </si>
  <si>
    <t>AA Stocks.Com Limited</t>
  </si>
  <si>
    <t>G260700010CB</t>
  </si>
  <si>
    <t>ZM1603989</t>
  </si>
  <si>
    <r>
      <t xml:space="preserve">(FC-10-0080F-247-02-12) FortiGate-80F 1 Year FortiCare Premium Support; S/N: FGT80FTK21007825 / FGT80FTK21002965; Period: 14-Jul-2026 to 13-Jul-2027 (Qty:2)
(FC-MAINSTD-100) FortiGate 80 90 100 120 series annual onsite swapping service, standard 8x5xNBD, no troubleshooting included; S/N: FGT80FTK21007825 / FGT80FTK21002965; Period: 14-Jul-2026 to 13-Jul-2027 (Qty:2) 
</t>
    </r>
    <r>
      <rPr>
        <b/>
        <sz val="10"/>
        <color indexed="30"/>
        <rFont val="Arial"/>
        <family val="2"/>
      </rPr>
      <t>H/W: 26072211-100100S / 26072201-100001S</t>
    </r>
  </si>
  <si>
    <t>FG-80F x 2
(swap $4,080)</t>
  </si>
  <si>
    <t>I20267</t>
  </si>
  <si>
    <t>UID-26-07-0170</t>
  </si>
  <si>
    <t>G260200024YR</t>
  </si>
  <si>
    <t>ZM1603974</t>
  </si>
  <si>
    <t>(FC-10-F201F-928-02-12) FortiGate-201F 1 Year Advanced Threat Protection (IPS, Advanced Malware Protection Service, Application Control, and FortiCare Premium); S/N:FG201FT922918593; coterm maintnenace From 20 Feb 2026 To 20 Feb 2027
(EDV-SWP-FG201F (7x24WL)) 1 Year 24x7x4 Swapping Service with On-site Labour; One-time swap with same model; S/N: FG201FT922918593; Period: From 20 Feb 2026 To 20 Feb 2027</t>
  </si>
  <si>
    <t>FG-201F x 1 
(swap $2,000)</t>
  </si>
  <si>
    <t>MASS13944</t>
  </si>
  <si>
    <t>UID-26-07-0174</t>
  </si>
  <si>
    <t>S.K.H. Yan Laap Memorial Primary School</t>
  </si>
  <si>
    <t>W260800957L3</t>
  </si>
  <si>
    <t>ZM1604314</t>
  </si>
  <si>
    <t>(FC-10-F100F-950-02-12) FortiGate-100F 1 Year Unified Threat Protection (UTP) (IPS, Advanced Malware Protection, Application Control, URL, DNS &amp; Video Filtering, Antispam Service, and FortiCare Premium); S/N: FG100FTK21055805; Period: From 1 Aug 2026 To 1 Aug 2027
(EDV-SWP-FG100F (7x24WL)) 1 Year 24x7x4 Distributor Swapping Service with On-site Labour; Pls refer to Edvance service contract for details; S/N: FG100FTK21055805; Period: From 1 Aug 2026 To 1 Aug 2027</t>
  </si>
  <si>
    <t>I56546</t>
  </si>
  <si>
    <t>UID-26-07-0142</t>
  </si>
  <si>
    <t>G260700045JI</t>
  </si>
  <si>
    <t>ZM1605243</t>
  </si>
  <si>
    <t>Bitsight</t>
  </si>
  <si>
    <t>(BT-20127-E) SPM Essentials E; Period: 2026-08-05 to 2027-08-04 (Qty:1)
-External Attack Surface Management Foundation; Your Company Tree; Findings; Issue Tracking; Alerts; Your rating and risk vectors (2 entities); Reports; Integration Functionality
(BT-10001) Total Risk Monitoring; Period: 2026-08-05 to 2027-08-04 (Qty:15) 
-Annual subscription provides a daily updated rating, visibility into all associated risk vectors, and access to 12 months of historical data for chosen organizations. Interchangeable with Risk Monitoring subscriptions (must be purchased separately).
(BT-00008) Risk Monitoring; Period: 2026-08-05 to 2027-08-04 (Qty:5) 
-Annual subscription provides a daily updated rating and the ability to configure alerting notifications in the event of changes. Risk Monitoring subscriptions are interchangeable with Total Risk Monitoring subscriptions (must be purchased separately).</t>
  </si>
  <si>
    <t>BITSIGHT TECHNOLOGIES, INC.</t>
  </si>
  <si>
    <t>MASS14033</t>
  </si>
  <si>
    <t>UID-26-07-0194</t>
  </si>
  <si>
    <t>Nan Fung Enterprises (HK) Ltd</t>
  </si>
  <si>
    <t>G260790236TS (ref.2026WB594TS, PO.51004822)</t>
  </si>
  <si>
    <t>ZM1605485</t>
  </si>
  <si>
    <t>(FC-10-0401F-950-02-12) FortiGate-401F 1 Year Unified Threat Protection (UTP) (IPS, Advanced Malware Protection, Application Control, Antispam Service, and FortiCare Premium); S/N: FG4H1FT922903301; Coterm period: 30 Aug 2026 to 30 Aug 2027
- HKT on-site labour support Firmware Upgrade service for 1 time (Non Office Hours)</t>
  </si>
  <si>
    <t>FG-401F x 1</t>
  </si>
  <si>
    <t>MASS14414</t>
  </si>
  <si>
    <t>UID-26-07-0223</t>
  </si>
  <si>
    <t>Kbquest Hong Kong Limited</t>
  </si>
  <si>
    <t>G260690206TH</t>
  </si>
  <si>
    <t>ZM1605988</t>
  </si>
  <si>
    <r>
      <t xml:space="preserve">(FC-10-00208-950-02-12) FortiGate-201E 1 Year Unified Threat Protection (UTP) (IPS, Advanced Malware Protection, Application Control, URL, DNS &amp; Video Filtering, Antispam Service, and FortiCare Premium); SN# FG201ETK19909180; New SLA: 2026-09-15 to 2027-09-15
(FC-MAINSTD-200) FortiGate 200 series annual onsite swapping service, standard 8x5xNBD, no troubleshooting included; SN# FG201ETK19909180; New SLA: 2026-09-15 to 2027-09-15
</t>
    </r>
    <r>
      <rPr>
        <b/>
        <sz val="10"/>
        <color indexed="30"/>
        <rFont val="Arial"/>
        <family val="2"/>
      </rPr>
      <t>Customer's SLA 7x24 swapping
H/W: 26072211-200008S</t>
    </r>
  </si>
  <si>
    <t>FG-201E x 1
(swap $3,600)</t>
  </si>
  <si>
    <t>D44334</t>
  </si>
  <si>
    <t>UID-26-07-0231</t>
  </si>
  <si>
    <t>G260900060CO (IT-2026-2766-QA-001-NC / QLA073)</t>
  </si>
  <si>
    <t>ZM1606384</t>
  </si>
  <si>
    <t>(SE-T-LIC-ST) Splunk Enterprise - Term License with Standard Success Plan - 50GB/day (Renewal); Entitlement = E-0002786; Period: From 15 Sep 2026 To 14 Sep 2027</t>
  </si>
  <si>
    <t>D71161</t>
  </si>
  <si>
    <t>UID-26-07-0232</t>
  </si>
  <si>
    <t>ZM1606392</t>
  </si>
  <si>
    <t>(SE-P-ST) Splunk Enterprise - Standard Support (Renewal); Existing License Size = 5 GB/day; Entitlement = E-0016166; Period: From 31 Oct 2026 To 30 Oct 2027</t>
  </si>
  <si>
    <t>J27529</t>
  </si>
  <si>
    <t>ZM1606389</t>
  </si>
  <si>
    <t>(SE-P-ST) Splunk Enterprise - Standard Support (Renewal); Existing License Size = 50 GB/day; Entitlement = E-0009164; Period: From 3 Nov 2026 To 2 Nov 2027</t>
  </si>
  <si>
    <t>J78719</t>
  </si>
  <si>
    <t>Citychamp Watch &amp; Jewellery Group Ltd</t>
  </si>
  <si>
    <t>G260700051TH</t>
  </si>
  <si>
    <t>ZM1606263</t>
  </si>
  <si>
    <t>(FC-10-0061F-950-02-12) FortiGate-61F 1 Year Unified Threat Protection (UTP) (IPS, Advanced Malware Protection, Application Control, URL, DNS &amp; Video Filtering, Antispam Service, and FortiCare Premium); S/N: FGT61FTK22062225; Period: From 21 Jul 2026 To 21 Jul 2027
(EDV-SWP-FG61F (7x24WL)) 1 Year 24x7x4 Distributor Swapping Service with On-site Labour; Pls refer to our Edvance contract for details; S/N:FGT61FTK22062225; Period: From 21 Jul 2026 To 21 Jul 2027</t>
  </si>
  <si>
    <t>FG-61F x 1
(swap $800)</t>
  </si>
  <si>
    <t>I95352</t>
  </si>
  <si>
    <t>UID-26-07-0233</t>
  </si>
  <si>
    <t>Elegante Arts Packaging Co Ltd</t>
  </si>
  <si>
    <t>G260800042CF</t>
  </si>
  <si>
    <t>ZM1606169</t>
  </si>
  <si>
    <r>
      <rPr>
        <sz val="10"/>
        <rFont val="Arial"/>
        <family val="2"/>
      </rPr>
      <t>(FC-10-F100F-950-02-12) FortiGate-100F 1 Year Unified Threat Protection (UTP) (IPS, Advanced Malware Protection, Application Control, URL, DNS &amp; Video Filtering, Antispam Service, and FortiCare Premium); S/N: FG100FTK21056645; Period: From 9 Aug 2026 To 9 Aug 2027
(EDV-SWP-FG100F (7x24WOL)) 1 Year 24x7x4 Distributor Swapping Service without On-site Labour; Pls refer to Edvance service contract for details; S/N: FG100FTK21056645; Period: From 9 Aug 2026 To 9 Aug 2027</t>
    </r>
  </si>
  <si>
    <t>I67512</t>
  </si>
  <si>
    <t>UID-26-07-0253</t>
  </si>
  <si>
    <t>PCCW - HKT Teleservices Int'l Ltd</t>
  </si>
  <si>
    <t>G260500037YR</t>
  </si>
  <si>
    <r>
      <rPr>
        <sz val="10"/>
        <color indexed="10"/>
        <rFont val="Arial"/>
        <family val="2"/>
      </rPr>
      <t>ZF</t>
    </r>
    <r>
      <rPr>
        <sz val="10"/>
        <rFont val="Arial"/>
        <family val="2"/>
      </rPr>
      <t>1605709</t>
    </r>
  </si>
  <si>
    <r>
      <rPr>
        <b/>
        <sz val="10"/>
        <color indexed="30"/>
        <rFont val="Arial"/>
        <family val="2"/>
      </rPr>
      <t>**PO handled by Chan, Zoe S</t>
    </r>
    <r>
      <rPr>
        <b/>
        <sz val="10"/>
        <color indexed="30"/>
        <rFont val="Arial"/>
        <family val="2"/>
      </rPr>
      <t xml:space="preserve"> (Code: C058I)</t>
    </r>
    <r>
      <rPr>
        <sz val="10"/>
        <rFont val="Arial"/>
        <family val="2"/>
      </rPr>
      <t xml:space="preserve">
Period: 10-Sep-2026 to 9-Sep-2027
(Qty:250) (Q-S-VMDR) Qualys VMDR Bundle; Vulnerability Management, Detection, and Response, includes the following Qualys Modules: Cloud Agent VM, includes VM scanning Internal &amp; External. Qualys PCI is bundled at no additional cost with External IPs only. Threat Protection Continuous Monitoring Patch Detection Cloud Agent SCA - includes authenticated scanning Standard API - Application Programming Interface Virtual Scanner (Unlimited) CertView Internal &amp; External Global IT Asset Inventory Cloud Inventory Container Inventory Secure Enterprise Mobility (Inventory) Qualys Gateway Service Passive Network Sensor
(Qty:11) (Q-X-FIM) Qualys File Integrity Monitoring (FIM) - Express *Detect changes in files and policies on global IT systems.
(Qty:5) (Q-S-TotalAppSec) Qualys TotalAppSec offers web application security testing, API security testing, and web malware detection. The quantity purchased can be applied interchangeably to either web application security testing or API security testing, providing flexibility to meet your specific security needs.</t>
    </r>
  </si>
  <si>
    <t>QUALYS INC</t>
  </si>
  <si>
    <t>MASS14073</t>
  </si>
  <si>
    <t>UID-26-08-0003</t>
  </si>
  <si>
    <t>Unam International Management Svc Ltd</t>
  </si>
  <si>
    <t>G260800086CB</t>
  </si>
  <si>
    <t>ZM1606577</t>
  </si>
  <si>
    <r>
      <rPr>
        <sz val="10"/>
        <rFont val="Arial"/>
        <family val="2"/>
      </rPr>
      <t xml:space="preserve">UCID# 8461774
</t>
    </r>
    <r>
      <rPr>
        <sz val="10"/>
        <rFont val="Arial"/>
        <family val="2"/>
      </rPr>
      <t xml:space="preserve">(CPCES-CO-PREMIUM) </t>
    </r>
    <r>
      <rPr>
        <sz val="10"/>
        <rFont val="Arial"/>
        <family val="2"/>
      </rPr>
      <t xml:space="preserve">1 Year Collaborative Premium Support for CPAP-SG6200-PLUS-SNBT; Key:00:1C:7F:BF:E1:56 (S/N:2220BA0708); Coverage period: </t>
    </r>
    <r>
      <rPr>
        <sz val="10"/>
        <rFont val="Arial"/>
        <family val="2"/>
      </rPr>
      <t>8</t>
    </r>
    <r>
      <rPr>
        <sz val="10"/>
        <rFont val="Arial"/>
        <family val="2"/>
      </rPr>
      <t xml:space="preserve"> Aug 20</t>
    </r>
    <r>
      <rPr>
        <sz val="10"/>
        <rFont val="Arial"/>
        <family val="2"/>
      </rPr>
      <t>26</t>
    </r>
    <r>
      <rPr>
        <sz val="10"/>
        <rFont val="Arial"/>
        <family val="2"/>
      </rPr>
      <t xml:space="preserve"> to 7 Aug 20</t>
    </r>
    <r>
      <rPr>
        <sz val="10"/>
        <rFont val="Arial"/>
        <family val="2"/>
      </rPr>
      <t>27
(CPSB-NGTP-6200-PLUS-1Y) Next Generation Threat Prevention for additional 1 year for 6200 PLUS Appliance; Key:00:1C:7F:BF:E1:56 (S/N:2220BA0708); Coverage period: 8 Aug 2026 to 7 Aug 2027
(CSSW) 1 Year 5x8 on-site Swapping Service for CPAP-SG6200-PLUS-SNBT **Support Hong Kong Area Only; Key:00:1C:7F:BF:E1:56 (S/N:2220BA0708); Coverage period: 8 Aug 2026 to 7 Aug 2027</t>
    </r>
    <r>
      <rPr>
        <sz val="10"/>
        <rFont val="Arial"/>
        <family val="2"/>
      </rPr>
      <t/>
    </r>
  </si>
  <si>
    <t>SG6200 x 1
(swap $7,875)</t>
  </si>
  <si>
    <t>D23125</t>
  </si>
  <si>
    <t>UID-26-07-0287</t>
  </si>
  <si>
    <t>G260700121KW &amp; G260700122KW</t>
  </si>
  <si>
    <t>ZM1606796</t>
  </si>
  <si>
    <t>(PAN-PA-220-ATP-R) Advanced Threat Prevention subscription renewal, PA-220 ; S/N:012801053866 / 012801053700; Period: 31-Aug-26 to 30-Aug-27 (Qty:2)
(PAN-SVC-B4HR-220-R) Partner enabled 4-Hour Premium support renewal, PA-220 ; S/N:012801053866 / 012801053700; Period: 31-Aug-26 to 30-Aug-27 (Qty:2)</t>
  </si>
  <si>
    <t>PA-220 x 2</t>
  </si>
  <si>
    <t>J72225, J72225-1</t>
  </si>
  <si>
    <t>UID-26-08-0023</t>
  </si>
  <si>
    <t>G260890068IL</t>
  </si>
  <si>
    <t>ZM1606756</t>
  </si>
  <si>
    <r>
      <rPr>
        <sz val="10"/>
        <rFont val="Arial"/>
        <family val="2"/>
      </rPr>
      <t>(FC-10-F6H1E-247-02-12) FortiGate-601E 24x7 FortiCare Contract; S/N: FG6H1ETB21909452 / FG6H1ETB21909886; Coterm maintenance From 9 Dec 2026 To 9 Dec 2027 (Qty:2)
(FC-10-F6H1E-211-02-12) FortiGate-601E 4-Hour Hardware Delivery Premium RMA Service (Requires 24x7 or ASE FortiCare); S/N: FG6H1ETB21909452 / FG6H1ETB21909886; Coterm maintenance From 9 Dec 2026 To 9 Dec 2027 (Qty:2)
(FC-10-F6H1E-247-02-12) FortiGate-601E 24x7 FortiCare Contract; S/N: FG6H1ETB21909598 / FG6H1ETB21909447; Coterm maintenance From 27 Oct 2026 To 27 Oct 2027 (Qty:2)
(FC-10-F6H1E-211-02-12) FortiGate-601E 4-Hour Hardware Delivery Premium RMA Service (Requires 24x7 or ASE FortiCare); S/N: FG6H1ETB21909598 / FG6H1ETB21909447; Coterm maintenance From 27 Oct 2026 To 27 Oct 2027 (Qty:2)</t>
    </r>
  </si>
  <si>
    <t>FG-601E x 4</t>
  </si>
  <si>
    <t>(5th Yr - last yr for Committed tender price) Product House Ken Lam approved they will absorb HK$23,550.60 as cost recover</t>
  </si>
  <si>
    <t>9-Dec-26
27-Oct-26</t>
  </si>
  <si>
    <t>9-Dec-27
27-Oct-27</t>
  </si>
  <si>
    <t>I37164, I37164-1</t>
  </si>
  <si>
    <t>UID-26-08-0025</t>
  </si>
  <si>
    <t>AJ Securities Ltd</t>
  </si>
  <si>
    <t>G260800030CB</t>
  </si>
  <si>
    <t>ZM1606964</t>
  </si>
  <si>
    <t>(grM-PRO-IN-100-1Y) grMail Professional Inbound Email Security Protection (1-Year for up to 100 mailboxes); Period: From 14 Aug 2026 To 15 Dec 2027 (Qty: 32 Mailboxes)
- Core Email Protection Module: Dynamic Reputation Filter, Anti-Virus, Anti-Spam, Anti-Phishing
- Zero-Day Protection Module: Sandboxing and URL Inspection
- BEC Protection Module with VIP x 20 on Watchlist
- aidar AI Analytics
- Threat Hunting
- Integrated Managed Detection and Response
(grM-PRO-IN-100-1Y) grMail Professional Inbound Email Security Protection (1-Year for up to 100 mailboxes) (add-on); Period: From 14 Aug 2026 To 15 Dec 2027 (Qty: 3 Mailboxes)
- Core Email Protection Module: Dynamic Reputation Filter, Anti-Virus, Anti-Spam, Anti-Phishing
- Zero-Day Protection Module: Sandboxing and URL Inspection
- BEC Protection Module with VIP x 20 on Watchlist
- aidar AI Analytics
- Threat Hunting
- Integrated Managed Detection and Response</t>
  </si>
  <si>
    <t>I67922</t>
  </si>
  <si>
    <t>UID-26-08-0026</t>
  </si>
  <si>
    <t>G260890067IL</t>
  </si>
  <si>
    <t>ZM1607025</t>
  </si>
  <si>
    <r>
      <rPr>
        <sz val="10"/>
        <rFont val="Arial"/>
        <family val="2"/>
      </rPr>
      <t xml:space="preserve">(FC-10-F1K1F-928-02-12) FortiGate-1001F 1 Year Advanced Threat Protection (IPS, Advanced Malware Protection Service, Application Control, and FortiCare Premium Contract); S/N: FG1K1FTB23901345; Period: From 15 Dec 2026 To 15 Dec 2027
(FC-10-F1K1F-211-02-12) FortiGate-1001F 1 Year 4-Hour Hardware Delivery Priority RMA Service (Requires FortiCare Premium or FortiCare Elite); S/N: FG1K1FTB23901345; Period: From 19 Jan 2027 To 19 Jan 2028
(FC-10-F1K1F-928-02-12) FortiGate-1001F 1 Year Advanced Threat Protection (IPS, Advanced Malware Protection Service, Application Control, and FortiCare Premium Contract); S/N: FG1K1FTB23901082; Period: From </t>
    </r>
    <r>
      <rPr>
        <sz val="10"/>
        <rFont val="Arial"/>
        <family val="2"/>
      </rPr>
      <t>27</t>
    </r>
    <r>
      <rPr>
        <sz val="10"/>
        <rFont val="Arial"/>
        <family val="2"/>
      </rPr>
      <t xml:space="preserve"> Nov 2026 To 27 Nov 2027
(FC-10-F1K1F-211-02-12) FortiGate-1001F 1 Year 4-Hour Hardware Delivery Priority RMA Service (Requires FortiCare Premium or FortiCare Elite); S/N: FG1K1FTB23901082; Period: From </t>
    </r>
    <r>
      <rPr>
        <sz val="10"/>
        <rFont val="Arial"/>
        <family val="2"/>
      </rPr>
      <t>27</t>
    </r>
    <r>
      <rPr>
        <sz val="10"/>
        <rFont val="Arial"/>
        <family val="2"/>
      </rPr>
      <t xml:space="preserve"> Nov 2026 To 27 Nov 2027</t>
    </r>
  </si>
  <si>
    <t>FG-1001F x 2
(RMA $35,337)</t>
  </si>
  <si>
    <t>15-Dec-26
19-Jan-27
27-Nov-26</t>
  </si>
  <si>
    <t>15-Dec-27
19-Jan-28
27-Nov-27</t>
  </si>
  <si>
    <t>R80245, R80245-1, R80245-2</t>
  </si>
  <si>
    <t>UID-26-08-0028</t>
  </si>
  <si>
    <t>G260590256CB</t>
  </si>
  <si>
    <t>ZM1606941</t>
  </si>
  <si>
    <t>Palo Alto Networks PA-5410: renewal co-term to 31-Aug-2027, details refer to the quotation # PA_260507_HKT_The University of Hong Kong - Li Ka Shing Faculty of Medicine_Q-5538743
S/N: 025209001244 / 025209001254
(PAN-PA-5410-ADVURL-R) PA-5410, Advanced URL Filtering subscription, 1 year (12 months) term, renewal.
(PAN-PA-5410-AWF-R) PA-5410, Advanced WildFire subscription, 1 year (12 months) term, renewal.
(PAN-PA-5410-ATP-R) Advanced Threat Prevention subscription renewal, PA-5410
(PAN-PA-5410-ADNS-R) Advanced DNS Security subscription renewal, PA-5410
(PAN-SVC-B4HR-5410-R) Partner enabled 4-Hour Premium support renewal, PA-5410; For device deployed in the city of POK FU LAM,HK Island within the postal code of 0, only.</t>
  </si>
  <si>
    <t>PA-5410 x 2</t>
  </si>
  <si>
    <t>K05117</t>
  </si>
  <si>
    <t>Steve Ng (CFO)</t>
  </si>
  <si>
    <t>UID-26-08-0063</t>
  </si>
  <si>
    <t>G260890100YR (2026WB061YR)</t>
  </si>
  <si>
    <r>
      <rPr>
        <sz val="10"/>
        <color indexed="10"/>
        <rFont val="Arial"/>
        <family val="2"/>
      </rPr>
      <t>ZF</t>
    </r>
    <r>
      <rPr>
        <sz val="10"/>
        <rFont val="Arial"/>
        <family val="2"/>
      </rPr>
      <t>1606954</t>
    </r>
  </si>
  <si>
    <r>
      <rPr>
        <b/>
        <sz val="10"/>
        <color indexed="30"/>
        <rFont val="Arial"/>
        <family val="2"/>
      </rPr>
      <t xml:space="preserve">** PO issued by </t>
    </r>
    <r>
      <rPr>
        <b/>
        <sz val="10"/>
        <color indexed="30"/>
        <rFont val="Arial"/>
        <family val="2"/>
      </rPr>
      <t xml:space="preserve">Lee, Sandra WT (Code: C058I)
</t>
    </r>
    <r>
      <rPr>
        <sz val="10"/>
        <rFont val="Arial"/>
        <family val="2"/>
      </rPr>
      <t>Internal and External Penetration Test (Network and System Layer) conducted 6 months after the annual test (Reference Quotation HKT-25005) 
- Same scope as the annual exercise
Deliverable (for each item):
- Finding List x 1 
- Penetration Test Report x 1</t>
    </r>
  </si>
  <si>
    <t>MASS14423</t>
  </si>
  <si>
    <t>UID-26-08-0064</t>
  </si>
  <si>
    <t>** Winback case, a one-time service</t>
  </si>
  <si>
    <t>Tony Kan &amp; Co Solicitors &amp; Notaries</t>
  </si>
  <si>
    <t>G260900099CF</t>
  </si>
  <si>
    <t>ZM1607607</t>
  </si>
  <si>
    <r>
      <rPr>
        <sz val="10"/>
        <rFont val="Arial"/>
        <family val="2"/>
      </rPr>
      <t>(FC-10-00208-950-02-12) FortiGate-201E Unified Threat Protection (UTP) (IPS, Advanced Malware Protection, Application Control, URL, DNS &amp; Video Filtering, Antispam Service, and FortiCare Premium); S/N: FG201ETK19902037; coterm maintenance From 19 Sep 2026 To 19 Sep 2028
(EDV-SWP-FG201E (7x24WOL)) 2 Year 24x7x4 Distributor Swapping Service without On-site Labour; Pls refer to Edvance service contract for details; S/N: FG201ETK19902037; Period: From 19 Sep 2026 To 19 Sep 2028</t>
    </r>
  </si>
  <si>
    <t>FG-201E x 1
(swap $4,400)</t>
  </si>
  <si>
    <t>D37056</t>
  </si>
  <si>
    <t>UID-26-08-0071</t>
  </si>
  <si>
    <t>New World Corporate Services Ltd.</t>
  </si>
  <si>
    <t>G260590259KW (L260590259KW)</t>
  </si>
  <si>
    <t>ZM1607784</t>
  </si>
  <si>
    <t>(PAN-SVC-BKLN-PRA-25-R) Partner enabled premium support renewal, Panorama 25 devices; S/N: 000702977450; Period: 1-Sep-26 to 31-Aug-27</t>
  </si>
  <si>
    <t>MASS12795</t>
  </si>
  <si>
    <t>UID-26-08-0093</t>
  </si>
  <si>
    <t>Lingnan Secondary School</t>
  </si>
  <si>
    <t>W260800922L3</t>
  </si>
  <si>
    <t>ZM1607705</t>
  </si>
  <si>
    <t>(FC-10-F101F-950-02-12) FortiGate-101F 1 Year Unified Threat Protection (UTP) (IPS, Advanced Malware Protection, Application Control, URL, DNS &amp; Video Filtering, Antispam Service, and FortiCare Premium); S/N: FG101FTK21023293; Period: From 14 Aug 2026 To 14 Aug 2027
(EDV-SWP-FG101F (8x5WL)) 1 Year 8x5xNBD Distributor Swapping Service with On-site Labour; Pls refer to Edvance service contract for details; S/N: FG101FTK21023293; Period: From 14 Aug 2026 To 14 Aug 2027</t>
  </si>
  <si>
    <t>FG-101F x 1
(swap $1,200)</t>
  </si>
  <si>
    <t>I56665</t>
  </si>
  <si>
    <t>UID-26-08-0103</t>
  </si>
  <si>
    <t>G260590256CB (PO.HKU00369028)</t>
  </si>
  <si>
    <t>ZM1607873</t>
  </si>
  <si>
    <r>
      <rPr>
        <sz val="10"/>
        <rFont val="Arial"/>
        <family val="2"/>
      </rPr>
      <t>(FC-10-F3K1F-950-02-12) FortiGate-3001F 1 Year Unified Threat Protection (UTP) (IPS, Advanced Malware Protection, Application Control, URL, DNS &amp; Video Filtering, Antispam Service, and FortiCare Premium); S/N: FG3K1FTB24900294 / FG3K1FTB24900335; coterm maintenance to 2027-08-31 (From 21 Aug 2026 To 31 Aug 2027)
(FC-10-F3K1F-211-02-12) FortiGate-3001F 1 Year 4-Hour Hardware Delivery Priority RMA Service (Requires FortiCare Premium or FortiCare Elite); S/N: FG3K1FTB24900294 / FG3K1FTB24900335; coterm maintenance to 2027-08-31 (From 21 Aug 2026 To 31 Aug 2027)
(FC1-10-M3004-248-02-12) FortiManager - VM FortiCare Premium Support 1 Year; FortiCare Premium Support (1 - 10 devices/Virtual Domains); S/N: FMG-VMTM25011663; coterm maintenance to 2027-08-31 (From 27 Aug 2026 To 31 Aug 2027)</t>
    </r>
  </si>
  <si>
    <t>FG-3001F x 2 ; VM x 1</t>
  </si>
  <si>
    <t>21-Aug-26
27-Aug-26</t>
  </si>
  <si>
    <t>The University of Hong Kong (EU: LKS Faculty of Medicine)</t>
  </si>
  <si>
    <t>ZM1608384</t>
  </si>
  <si>
    <t>FireEye</t>
  </si>
  <si>
    <r>
      <t xml:space="preserve">(NWNX2WECE-AT-AA) Network Sec NX Ed (Mbps) 2W 1:1TE(T); 17961454-NAI; Period: 30-Aug-26 to 31-Aug-27 (Qty:1,000)
(THRIVE-ELITEA) Thrive Elite Prepaid; Period: 30-Aug-26 to 31-Aug-27 (Qty:1)
(THRIVE-FLEXA) Flex Credits; Period: 30-Aug-26 to 31-Aug-27 (Qty:14)
(CW-SDPL-TR) Cyberworld 24x7x4 On-loan Parts forTrellix; S/N: FM2512TA008 / FM2516TA002; Period: 30-Aug-26 to 31-Aug-27 (Qty:2)
SoW: Provide NX5500 for replacementservice, labour service only forhardware replacement. Not for on-sitetroubleshooting.)
(CW-SER-SD-TR) Cyberworld 24x7x4 on-site supportservices for Trellix; S/N: FM2512TA008 / FM2516TA002; Period: 30-Aug-26 to 31-Aug-27 (Qty:2)
(CW-P&amp;E-SD-TR) Cyberworld 24x7 Phone &amp; Email supportfor Trellix; 17961454-NAI; Period: 30-Aug-26 to 31-Aug-27 (Qty:1)
(CW-SER-ST-OH-TR) Cyberworld technical support for specifictask (Office Hour) (Need to specific scopeof work); S/N: FM2512TA008 / FM2516TA002; Period: 30-Aug-26 to 31-Aug-27 (Qty:2)
SoW: Health check and report (Two times peryear office hour only
</t>
    </r>
    <r>
      <rPr>
        <b/>
        <sz val="10"/>
        <color indexed="30"/>
        <rFont val="Arial"/>
        <family val="2"/>
      </rPr>
      <t>Renewal Grant No.:</t>
    </r>
  </si>
  <si>
    <t>NW-6600A x 2</t>
  </si>
  <si>
    <t>K09389</t>
  </si>
  <si>
    <t>United Asia Finance Limited</t>
  </si>
  <si>
    <t>G261100065JI</t>
  </si>
  <si>
    <t>ZM1608713</t>
  </si>
  <si>
    <t>RankEZ</t>
  </si>
  <si>
    <r>
      <t xml:space="preserve">(PAM-OP-SUSR-T3) PAM "Standard User" Annual Subscription (On-Premises); Tier (no. of users): 51-100; Period: From 8 Sep 2026 To 7 Sep 2027 (Qty: 60)
</t>
    </r>
    <r>
      <rPr>
        <sz val="10"/>
        <rFont val="Arial"/>
        <family val="2"/>
      </rPr>
      <t>(PAM-OP-AI) PAM AI Functions Annual Subscription (On-Premises); Period: From 8 Sep 2026 To 7 Sep 2027 (Qty: 1)
(CLM-OP-T1) Certificate Lifecycle Management Annual Subscription (On-Premises); Period: From 8 Sep 2026 To 7 Sep 2027 (Qty: 20)
(EDV-PATCH (Office-Hour)) Edvance Software Patching Service During Office Hour; Software Patching Service must be conducted within the maintenance support period; any unused service will be forfeited without prior notice.; Period: From 8 Sep 2026 To 7 Sep 2027 (Qty: 4)
(EDV-SUP (24x7x4)) Edvance Annual Local Support Service (24x7x4); Unlimited Phone and Email Support During Office and Non-Office Hour; 24 x 7 On-Site Support for severity Level 1 issues; Pls refer to Edvance service contract for details; Period: From 8 Sep 2026 To 7 Sep 2027 (Qty: 1)</t>
    </r>
  </si>
  <si>
    <t>V90355</t>
  </si>
  <si>
    <t>UID-26-08-0134</t>
  </si>
  <si>
    <t>G260890176TS (2026WB617TS, PO.2000014944)</t>
  </si>
  <si>
    <t>ZM1609314</t>
  </si>
  <si>
    <t>FortiToken Mobile</t>
  </si>
  <si>
    <r>
      <t xml:space="preserve">(FTM-ELIC-50) FortiTokenMobile (Electronic License) Software one-time password tokens for iOS, Android and Windows Phone mobile devices. Perpetual licenses for 50 users. Electronic license certificate. (Qty:1)
</t>
    </r>
    <r>
      <rPr>
        <sz val="10"/>
        <color indexed="30"/>
        <rFont val="Arial"/>
        <family val="2"/>
      </rPr>
      <t>Renewal license S/N:EFTM050131087313</t>
    </r>
    <r>
      <rPr>
        <sz val="10"/>
        <rFont val="Arial"/>
        <family val="2"/>
      </rPr>
      <t xml:space="preserve">
(FTM-ELIC-25) FortiTokenMobile (Electronic License) Software one-time password (OTP) tokens for iOS, Android and Windows devices.License registered to a single Fortinet appliance (nontransferrable), enabling provision of tokens for up to 25 users (Qty:1) </t>
    </r>
    <r>
      <rPr>
        <sz val="10"/>
        <color indexed="30"/>
        <rFont val="Arial"/>
        <family val="2"/>
      </rPr>
      <t xml:space="preserve">
Renewal license S/N:EFTM025131087314</t>
    </r>
    <r>
      <rPr>
        <sz val="10"/>
        <rFont val="Arial"/>
        <family val="2"/>
      </rPr>
      <t xml:space="preserve">
(FAC-VM-Base) VM Base License supports 100 users. Expand user support to 1 million plus users by using FortiAuthenticator VM Upgrade License. Unlimited vCPU. Supporting VMware ESXi / ESX, Microsoft Hyper-V, Linux Kernel-based Virtual Machine (KVM) on Virtual Machine Manager and QEMU 2.5.0, and Xen Virtual Machine platforms (Qty:2)
</t>
    </r>
    <r>
      <rPr>
        <sz val="10"/>
        <color indexed="30"/>
        <rFont val="Arial"/>
        <family val="2"/>
      </rPr>
      <t>Renewal license S/N:FACVM4715779025 / FACVM4715779024</t>
    </r>
    <r>
      <rPr>
        <sz val="10"/>
        <rFont val="Arial"/>
        <family val="2"/>
      </rPr>
      <t xml:space="preserve">
(FC1-10-0ACVM-248-02-12) FortiAuthenticator - VM License 1 Year FortiCare Premium Support (1 - 500 USERS) (Qty:2)</t>
    </r>
  </si>
  <si>
    <t>MASS14428</t>
  </si>
  <si>
    <t>UID-26-08-0114</t>
  </si>
  <si>
    <t>ZM1608567</t>
  </si>
  <si>
    <t>RSA Contact SN 81203537 (Renewal license S/N 5000500253106); MOQ is renew 24 months
(S820-8-60-24-A-EL) SID Soft Token E-Dlvry 24 mo 10-250 (Qty:30)</t>
  </si>
  <si>
    <t>G261100066WW</t>
  </si>
  <si>
    <t>ZM1609391</t>
  </si>
  <si>
    <r>
      <rPr>
        <sz val="10"/>
        <rFont val="Arial"/>
        <family val="2"/>
      </rPr>
      <t>(FC-10-F201F-950-02-12) FortiGate-201F 1 Year Unified Threat Protection (UTP) (IPS, Advanced Malware Protection, Application Control, URL, DNS &amp; Video Filtering, Antispam Service, and FortiCare Premium); S/N: FG201FT922911519 / FG201FT922911518; coterm maintenance From 10 Nov 2026 To 10 Nov 2027 (Qty:2)
(FC-10-F201F-211-02-12) FortiGate-201F 1 Year 4-Hour Hardware Delivery Priority RMA Service (requires Premium support); S/N: FG201FT922911519 / FG201FT922911518; coterm maintenance From 10 Nov 2026 To 10 Nov 2027 (Qty:2)</t>
    </r>
  </si>
  <si>
    <t>I68492</t>
  </si>
  <si>
    <t>UID-26-08-0189</t>
  </si>
  <si>
    <t>Lanson Place (Causeway Bay) Hong Kong</t>
  </si>
  <si>
    <t>G270100025TH (LPHK-ITS-PO-000222)</t>
  </si>
  <si>
    <t>ZM1609694</t>
  </si>
  <si>
    <r>
      <t>(</t>
    </r>
    <r>
      <rPr>
        <sz val="10"/>
        <rFont val="Arial"/>
        <family val="2"/>
      </rPr>
      <t>PAN-PA-1410-BND-PRECISIONAI-3YR-R) PA-1410, Precision AI Network Security Subscription Renewal Bundle (Advanced Threat Prevention, Advanced URL Filtering, Advanced Wildfire, Advanced DNS Security, Advanced SD-WAN and Device Security), 3 years (36 months) term; S/N: 26701009016 / 26701010068; Period: 25-Sep-26 to 24-Sep-29 (Qty:2)
(PAN-SVC-BKLN-1410-3YR) PA-1410, Partner enabled premium support, 3 years (36 months) term.; S/N: 26701009016 / 26701010068; Period: 12-Sep-26 to 24-Sep-29 (Qty:2)
(BD-SWAP-PRE-3YR) 24x7x4 Swapping Service (No Labour), 3 years; S/N: 26701009016 / 26701010068; Period: 12-Sep-26 to 24-Sep-29 (Qty:2)</t>
    </r>
  </si>
  <si>
    <t>PA-1410 x 2
(Swap 26,363)</t>
  </si>
  <si>
    <t>25-Sep-26
12-Sep-26</t>
  </si>
  <si>
    <t>D91688</t>
  </si>
  <si>
    <t>UID-26-08-0198</t>
  </si>
  <si>
    <t>MyTV Super Limited (EU:TVB)</t>
  </si>
  <si>
    <t>G260800057CB (PO.ETVB-ADM26-078)</t>
  </si>
  <si>
    <t>ZM1609588</t>
  </si>
  <si>
    <r>
      <rPr>
        <b/>
        <sz val="10"/>
        <color indexed="10"/>
        <rFont val="Arial"/>
        <family val="2"/>
      </rPr>
      <t>** Fully B2B - B&amp;Data will provide the on-site labour</t>
    </r>
    <r>
      <rPr>
        <b/>
        <sz val="10"/>
        <rFont val="Arial"/>
        <family val="2"/>
      </rPr>
      <t xml:space="preserve">
</t>
    </r>
    <r>
      <rPr>
        <sz val="10"/>
        <rFont val="Arial"/>
        <family val="2"/>
      </rPr>
      <t>(PAN-SVC-BKLN-3410-R) Partner enabled premium support renewal, PA-3410; S/N: 024101002243 / 024101005112; Period: 23-Aug-26 to 22-Aug-27 (Qty:2)
(PAN-PA-3410-ATP-HA2-R) Advanced Threat Prevention subscription for device in an HA pair renewal, PA-3410; S/N: 024101002243 / 024101005112; Period: 23-Aug-26 to 22-Aug-27 (Qty:2)
(PAN-PA-3410-ADVURL-HA2-R) PA-3410, Advanced URL Filtering subscription, for one (1) device in an HA pair, 1 year (12 months) term, renewal.; S/N: 024101002243 / 024101005112; Period: 23-Aug-26 to 22-Aug-27 (Qty:2)
(PAN-PA-3410-AWF-HA2-R) PA-3410, Advanced WildFire subscription, for one (1) device in an HA pair, 1 year (12 months) term, renewal.; S/N: 024101002243 / 024101005112; Period: 23-Aug-26 to 22-Aug-27 (Qty:2)</t>
    </r>
    <r>
      <rPr>
        <b/>
        <sz val="10"/>
        <rFont val="Arial"/>
        <family val="2"/>
      </rPr>
      <t xml:space="preserve">
</t>
    </r>
    <r>
      <rPr>
        <sz val="10"/>
        <rFont val="Arial"/>
        <family val="2"/>
      </rPr>
      <t>(PAN-PA-3410-PAA-HA2-R) PA-3410, Prisma Access Agent subscription, for one (1) device in an HA pair, 1 year (12 months) term, renewal.; S/N: 024101002243 / 024101005112; Period: 23-Aug-26 to 22-Aug-27 (Qty:2)
(BD-SWAP-ONSITE-1YR) 24x7x4 Onsite Swapping Service for PA-3410, 1 year; S/N: 024101002243 / 024101005112; Period: 23-Aug-26 to 22-Aug-27 (Qty:2)</t>
    </r>
  </si>
  <si>
    <t>PA-3410 x 2</t>
  </si>
  <si>
    <t>I54252</t>
  </si>
  <si>
    <t>UID-26-08-0213</t>
  </si>
  <si>
    <t>Union Hospital</t>
  </si>
  <si>
    <t>G260800087YT</t>
  </si>
  <si>
    <t>ZM1609623</t>
  </si>
  <si>
    <t>(FC-10-F101F-950-02-12) FortiGate-101F 1 Year Unified Threat Protection (UTP) (IPS, Advanced Malware Protection, Application Control, URL, DNS &amp; Video Filtering, Antispam Service, and FortiCare Premium); S/N: FG101FTK22006653; coterm maintenance From 22 Aug 2026 To 22 Aug 2027
(EDV-SWP-FG101F (7x24WL) 1 Year 24x7x4 Swapping Service with On-site Labour - One-time swap with same model; S/N: FG101FTK22006653; Period: From 22 Aug 2026 To 22 Aug 2027</t>
  </si>
  <si>
    <t>FG-101F x 1
(swap $2,000)</t>
  </si>
  <si>
    <t>I56041</t>
  </si>
  <si>
    <t>UID-26-08-0252</t>
  </si>
  <si>
    <t>Fung Kai Innovative School</t>
  </si>
  <si>
    <t>W260800878L3</t>
  </si>
  <si>
    <t>ZM1609795</t>
  </si>
  <si>
    <r>
      <t>(</t>
    </r>
    <r>
      <rPr>
        <sz val="10"/>
        <rFont val="Arial"/>
        <family val="2"/>
      </rPr>
      <t>FC-10-0401E-950-02-12) FortiGate-401E 1 Year Unified Threat Protection (UTP) (IPS, Advanced Malware Protection, Application Control, URL, DNS &amp; Video Filtering, Antispam Service, and FortiCare Premium); S/N: FG4H1ETB20900205; coterm maintenance From 25 Aug 2026 To 25 Aug 2027
(FC-10-0401E-211-02-12) FortiGate-401E 1 Year 4-Hour Hardware Delivery Priority RMA Service (Requires FortiCare Premium or FortiCare Elite); S/N: FG4H1ETB20900205; coterm maintenance From 25 Aug 2026 To 25 Aug 2027
(EDV-LABOUR (24x7x4)) Edvance Swapping Service - Labour Only (24x7x4)- Service period is aligned with vendor maintenance period; S/N: FG4H1ETB20900205; Period: From 25 Aug 2026 To 25 Aug 2027</t>
    </r>
  </si>
  <si>
    <t>FG-401E x 1
(swap $2,200)</t>
  </si>
  <si>
    <t>D86897</t>
  </si>
  <si>
    <t>UID-26-08-0261</t>
  </si>
  <si>
    <t>G260700087TH</t>
  </si>
  <si>
    <t>ZM1609846</t>
  </si>
  <si>
    <r>
      <t xml:space="preserve">(FC-10-0080F-950-02-12) FortiGate-80F 1 Year Unified Threat Protection (UTP) (IPS, Advanced Malware Protection, Application Control, URL, DNS &amp; Video Filtering, Antispam Service, and FortiCare Premium); S/N: FGT80FTK23040529 / FGT80FTK23058957; Period: From 23 Jul 2026 To 23 Jul 2027 (Qty:2)
</t>
    </r>
    <r>
      <rPr>
        <b/>
        <sz val="10"/>
        <color indexed="30"/>
        <rFont val="Arial"/>
        <family val="2"/>
      </rPr>
      <t>** Swapping &amp; On-site service are excluded in customer contract</t>
    </r>
  </si>
  <si>
    <t>FG-80F x 2</t>
  </si>
  <si>
    <t>R94531</t>
  </si>
  <si>
    <t>UID-26-08-0236</t>
  </si>
  <si>
    <t>Horman Holdings Ltd (C/O The Otto Hotel)</t>
  </si>
  <si>
    <t>P/8237/MAMA/CF26</t>
  </si>
  <si>
    <t>ZM1609835</t>
  </si>
  <si>
    <r>
      <rPr>
        <sz val="10"/>
        <rFont val="Arial"/>
        <family val="2"/>
      </rPr>
      <t xml:space="preserve">(PAN-PA-445-BND-PRECISIONAI) PA-445, Precision AI Network Security Subscription Bundle (Advanced Threat Prevention, Advanced URL Filtering, Advanced Wildfire, Advanced DNS Security, Advanced SD-WAN and Device Security), 1 years (12 months) term; S/N: 028101002709; Period: </t>
    </r>
    <r>
      <rPr>
        <sz val="10"/>
        <rFont val="Arial"/>
        <family val="2"/>
      </rPr>
      <t>28</t>
    </r>
    <r>
      <rPr>
        <sz val="10"/>
        <rFont val="Arial"/>
        <family val="2"/>
      </rPr>
      <t xml:space="preserve">-Aug-2027 to </t>
    </r>
    <r>
      <rPr>
        <sz val="10"/>
        <rFont val="Arial"/>
        <family val="2"/>
      </rPr>
      <t>27</t>
    </r>
    <r>
      <rPr>
        <sz val="10"/>
        <rFont val="Arial"/>
        <family val="2"/>
      </rPr>
      <t xml:space="preserve">-Aug-2028
(PAN-SVC-BKLN-445-R) PA-445, Partner enabled premium support, 1 year (12 months) term, renewal.; S/N: 028101002709; Period: </t>
    </r>
    <r>
      <rPr>
        <sz val="10"/>
        <rFont val="Arial"/>
        <family val="2"/>
      </rPr>
      <t>28</t>
    </r>
    <r>
      <rPr>
        <sz val="10"/>
        <rFont val="Arial"/>
        <family val="2"/>
      </rPr>
      <t xml:space="preserve">-Aug-2027 to </t>
    </r>
    <r>
      <rPr>
        <sz val="10"/>
        <rFont val="Arial"/>
        <family val="2"/>
      </rPr>
      <t>27</t>
    </r>
    <r>
      <rPr>
        <sz val="10"/>
        <rFont val="Arial"/>
        <family val="2"/>
      </rPr>
      <t xml:space="preserve">-Aug-2028
(BD-SWAP-PRE-1YR) B&amp;Data Swapping Service - 24x7x4 (No Labour); S/N: 028101002709; Period: </t>
    </r>
    <r>
      <rPr>
        <sz val="10"/>
        <rFont val="Arial"/>
        <family val="2"/>
      </rPr>
      <t>28</t>
    </r>
    <r>
      <rPr>
        <sz val="10"/>
        <rFont val="Arial"/>
        <family val="2"/>
      </rPr>
      <t xml:space="preserve">-Aug-2027 to </t>
    </r>
    <r>
      <rPr>
        <sz val="10"/>
        <rFont val="Arial"/>
        <family val="2"/>
      </rPr>
      <t>27</t>
    </r>
    <r>
      <rPr>
        <sz val="10"/>
        <rFont val="Arial"/>
        <family val="2"/>
      </rPr>
      <t>-Aug-2028</t>
    </r>
  </si>
  <si>
    <t>PA-445 x 1
(swap $1,174)</t>
  </si>
  <si>
    <t>D91670</t>
  </si>
  <si>
    <t>UID-26-08-0266</t>
  </si>
  <si>
    <t>G260900082CB</t>
  </si>
  <si>
    <t>ZM1610116</t>
  </si>
  <si>
    <t>(ICS-CU-S-GLD-A) Ivanti Connect Secure VPN Concurrent User Subscription Gold Assurance; Period: 9-Sep-2026 to 8-Sep-2027 (Qty: 10CU x 14)</t>
  </si>
  <si>
    <t>V88243, I97360</t>
  </si>
  <si>
    <t>UID-26-09-0011</t>
  </si>
  <si>
    <t>G260990012TS (Ref. 2026WB633TS)</t>
  </si>
  <si>
    <t>ZM1610339</t>
  </si>
  <si>
    <r>
      <t xml:space="preserve">(FC-10-0401F-950-02-12) FortiGate-401F 1 Year Unified Threat Protection (UTP) (IPS, Advanced Malware Protection, Application Control, URL, DNS &amp; Video Filtering, Antispam Service, and FortiCare Premium); S/N: FG4H1FT922903385; Period: From 30 Aug 2026 to 30 Aug 2027
- HKT on-site labour support Firmware Upgrade service for 1 time (Non Office Hours)
</t>
    </r>
    <r>
      <rPr>
        <sz val="10"/>
        <color indexed="30"/>
        <rFont val="Arial"/>
        <family val="2"/>
      </rPr>
      <t>** Refer to Edvance record, the mtce still to</t>
    </r>
    <r>
      <rPr>
        <sz val="10"/>
        <color indexed="30"/>
        <rFont val="Arial"/>
        <family val="2"/>
      </rPr>
      <t xml:space="preserve"> </t>
    </r>
    <r>
      <rPr>
        <sz val="10"/>
        <color indexed="30"/>
        <rFont val="Arial"/>
        <family val="2"/>
      </rPr>
      <t>10-Oct-27, so no need to buy BTB in this PO</t>
    </r>
    <r>
      <rPr>
        <sz val="10"/>
        <color indexed="30"/>
        <rFont val="Arial"/>
        <family val="2"/>
      </rPr>
      <t xml:space="preserve"> (FC-10-0401F-211-02-12)</t>
    </r>
    <r>
      <rPr>
        <sz val="10"/>
        <color indexed="30"/>
        <rFont val="Arial"/>
        <family val="2"/>
      </rPr>
      <t xml:space="preserve">
FortiGate-401F 1 Year 4-Hour Hardware Delivery Priority RMA Service (Requires FortiCare Premium or FortiCare Elite) </t>
    </r>
  </si>
  <si>
    <t>MASS14447</t>
  </si>
  <si>
    <t>UID-26-09-0021</t>
  </si>
  <si>
    <t>Buddhist Chan Wing Kan Memorial School</t>
  </si>
  <si>
    <t>W260800969L3</t>
  </si>
  <si>
    <t>ZM1610296</t>
  </si>
  <si>
    <r>
      <rPr>
        <sz val="10"/>
        <rFont val="Arial"/>
        <family val="2"/>
      </rPr>
      <t>(PM-54-1Y) M5400-F-I,Premium Bundle(30 SSL VPN license, Site-to-Site IPsec VPN, FW, BM, URL filtering, Application Control, IPS, Email Security, Risk Assessment, Security Visibility, Basic Security Reporter, Engine Zero, Neural-X), 1 Year.; SN: W1XDCJ0111 (NGAF54); Period: 30 Aug 2026 to 29 Aug 2027 (1 Year) 
(SUS54-1Y) M5400-F-I, NGAF Software Upgrade Services,1 Year.; SN: W1XDCJ0111 (NGAF54); Period: 30 Aug 2026 to 29 Aug 2027 (1 Year) 
(TSS-P-54-1Y) M5400-F-I, NGAF 24*7 Technical Support Services, 1 Year.; SN: W1XDCJ0111 (NGAF54); Period: 30 Aug 2026 to 29 Aug 2027 (1 Year) 
(HSDS-54-1Y) M5400-F-I, NGAF, SDS Hardware Service, 1 Year.; SN: W1XDCJ0111 (NGAF54); Period: 30 Aug 2026 to 29 Aug 2027 (1 Year) 
(SANGFOR-SWAP-7X24-NGAF54) Annual 7x24x4 swapping service during non-Business Hour, Customer shall provide configuration backup file(s) for hardware recovery.; SN: W1XDCJ0111 (NGAF54); Period: 30 Aug 2026 to 29 Aug 2027 (1 Year) 
(Delivery Fee) One Time Free Delivery</t>
    </r>
  </si>
  <si>
    <t>G71083</t>
  </si>
  <si>
    <t>UID-26-09-0034</t>
  </si>
  <si>
    <t>Social Welfare Department</t>
  </si>
  <si>
    <t>G260990028NI (SWD/C065/2026, ref.2026WB573NI)</t>
  </si>
  <si>
    <t>ZM1611057</t>
  </si>
  <si>
    <t>(FC-10-0061F-247-02-12) FortiGate-61F FortiCare Premium Support; S/N: FGT61FTK21008268 / FGT61FTK21008779 / FGT61FTK21008292 / FGT61FTK21008798 / FGT61FTK21008309 / FGT61FTK21008808 / FGT61FTK21008330 / FGT61FTK21008817 / FGT61FTK21008349 / FGT61FTK21008818 / FGT61FTK21008356 / FGT61FTK21008850 / FGT61FTK21008379 / FGT61FTK21008924 / FGT61FTK21008385 / FGT61FTK21008934 / FGT61FTK21008430 / FGT61FTK21008936 / FGT61FTK21008438 / FGT61FTK21008951 / FGT61FTK21008469 / FGT61FTK21008973 / FGT61FTK21008507 / FGT61FTK21008975 / FGT61FTK21008602 / FGT61FTK21009096 / FGT61FTK21008650 / FGT61FTK21009160 / FGT61FTK21008670 / FGT61FTK21009165 / FGT61FTK21008671 / FGT61FTK21009168 / FGT61FTK21008693 / FGT61FTK21009187 / FGT61FTK21008696 / FGT61FTK21009196 / FGT61FTK21008742 / FGT61FTK21009208 / FGT61FTK21008751; align the New End date to 2027-08-31; coterm maintenance From 1 Jan 2026 To 31 Aug 2027 (Qty:39)
(FC-10-0061F-247-02-12) FortiGate-61F FortiCare Premium Support; S/N: FGT61FTK21008324 / FGT61FTK21008388; align the New End date to 2027-08-31; coterm maintenance From 3 Jun 2026 To 31 Aug 2027 (Qty:2)
(FC-10-0061F-247-02-12) FortiGate-61F FortiCare Premium Support; S/N: FGT61FTK21008253 / FGT61FTK21009170; align the New End date to 2027-08-31; coterm maintenance From 11 Jun 2026 To 31 Aug 2027 (Qty:2)
(FC-10-0061F-247-02-12) FortiGate-61F FortiCare Premium Support; S/N: FGT61FTK21008651 / FGT61FTK21008851; align the New End date to 2027-08-31; coterm maintenance From 24 Jun 2026 To 31 Aug 2027 (Qty:2)</t>
  </si>
  <si>
    <t>FG-61F x 45</t>
  </si>
  <si>
    <t>1-Jan-26
3-Jun-26
11-Jun-26
24-Jun-26</t>
  </si>
  <si>
    <t>I36380-1</t>
  </si>
  <si>
    <t>UID-26-09-0053</t>
  </si>
  <si>
    <t>G260900049CO (PO.Q20270252)</t>
  </si>
  <si>
    <t>ZM1610618</t>
  </si>
  <si>
    <r>
      <rPr>
        <b/>
        <sz val="10"/>
        <color indexed="30"/>
        <rFont val="Arial"/>
        <family val="2"/>
      </rPr>
      <t>** Our previous PO# 1417216 - the service support till to 27/12/26</t>
    </r>
    <r>
      <rPr>
        <sz val="10"/>
        <rFont val="Arial"/>
        <family val="2"/>
      </rPr>
      <t xml:space="preserve">
(PAN-PA-1410-ATP-3YR-HA2-R) PA-1410, Advanced Threat, for one (1) device in an HA pair, 3 years (36 months) term, renewal.; S/N: 26701006127 / 26701006244 / 26701006128 / 26701006247; Period: 28-Dec-2026 to 31-Dec-2029 (Qty:4)
(PAN-SVC-BKLN-1410-3YR-R) PA-1410, Partner enabled premium support, 3 years (36 months) term, renewal.; S/N: 26701006127 / 26701006244 / 26701006128 / 26701006247; Period: 28-Dec-2026 to 31-Dec-2029 (Qty:4)
(BD-SWAP-PRE-3YR) B&amp;Data Swapping Service - 24x7x4 (No Labour) - 3 Year , PA1410; S/N: 26701006127 / 26701006244 / 26701006128 / 26701006247; Period: 28-Dec-2026 to 31-Dec-2029 (Qty:4)
(PAN-SVC-BKLN-460-3YR-R) PA-460, Partner enabled premium support, 3 years (36 months), term, renewal.; S/N: 023001021376 / 023001021310 / 023001021314 / 023001021391; Period: 28-Dec-2026 to 31-Dec-2029 (Qty:4)
(BD-SWAP-PRE-3YR) B&amp;Data Swapping Service - 24x7x4 (No Labour) - 3 Year , PA460; S/N: 023001021376 / 023001021310 / 023001021314 / 023001021391; Period: 28-Dec-2026 to 31-Dec-2029 (Qty:4)</t>
    </r>
  </si>
  <si>
    <t>PA-1410 x 4 ; PA-460 x 4
(swap $121,055)</t>
  </si>
  <si>
    <t>I56037</t>
  </si>
  <si>
    <t>UID-26-09-0052</t>
  </si>
  <si>
    <t>Skechers China Limited (c/o Skechers Hong Kong Limited)</t>
  </si>
  <si>
    <t>G260900084CF</t>
  </si>
  <si>
    <t>(grM-PRO-IN-500-3Y) grMail Professional Inbound Email Security Protection (3-Year for up to 500 mailboxes); Period: From 1 Oct 2026 To 30 Sep 2029 (Qty:120 Mailboxes)
- Core Email Protection Module: Dynamic Reputation Filter, Anti-Virus, Anti-Spam, Anti-Phishing
- Zero-Day Protection Module: Sandboxing and URL Inspection
- BEC Protection Module with VIP x 20 on Watchlist
- aidar AI Analytics
- Threat Hunting
- Integrated Managed Detection and Response</t>
  </si>
  <si>
    <t>MASS13283</t>
  </si>
  <si>
    <t>waiting approval</t>
  </si>
  <si>
    <t>UID-26-09-0073</t>
  </si>
  <si>
    <t>The HK University of Science &amp; Technology</t>
  </si>
  <si>
    <t>G261100031CB (PO.HKUST-P100332070)</t>
  </si>
  <si>
    <t>ZM1610967</t>
  </si>
  <si>
    <r>
      <t xml:space="preserve">(FC-10-00208-950-02-12) FortiGate-201E 1 Year Unified Threat Protection (UTP) (IPS, Advanced Malware Protection, Application Control, URL, DNS &amp; Video Filtering, Antispam Service, and FortiCare Premium); SN: FG201ETK19904185; Period: 2026-11-29 to 2027-11-29
</t>
    </r>
    <r>
      <rPr>
        <b/>
        <sz val="10"/>
        <color indexed="30"/>
        <rFont val="Arial"/>
        <family val="2"/>
      </rPr>
      <t>** Use HKT spare part to support customer contract 8x5xNBD swapping service</t>
    </r>
  </si>
  <si>
    <t>D61106</t>
  </si>
  <si>
    <t>UID-26-09-0022</t>
  </si>
  <si>
    <t>G260790088KW (PO.1120105033)</t>
  </si>
  <si>
    <t>ZM1610957</t>
  </si>
  <si>
    <r>
      <t xml:space="preserve">(SECURE-ACCESS-SUB) Cisco Secure Access Subscription; Period: 16 Oct 2026 to 15 Oct 2027 (Qty:1)
(SVS-SECA-SUP-E) Cisco Support Standard for Secure Access; Period: 16 Oct 2026 to 15 Oct 2027 (Qty:1)
(SA-DNS-ESS-K9) Cisco Secure Access DNS Essentials; Period: 16 Oct 2026 to 15 Oct 2027 (Qty:12,618)
</t>
    </r>
    <r>
      <rPr>
        <b/>
        <sz val="10"/>
        <color indexed="30"/>
        <rFont val="Arial"/>
        <family val="2"/>
      </rPr>
      <t>PO was issued by Chan, Yuk-Fun (Comm code: SSCC)</t>
    </r>
  </si>
  <si>
    <t>Umbrella license</t>
  </si>
  <si>
    <t>I54434</t>
  </si>
  <si>
    <t>UID-26-09-0084</t>
  </si>
  <si>
    <t>ZM1610956</t>
  </si>
  <si>
    <r>
      <t xml:space="preserve">Cisco Secure Access Subscription (CSA) for BOCHK; Period:16-Nov-2026 to 15-Nov-2027
1 Year Maintenance on-site support service (24x7x4)
- Unlimited Phone and Email Support
- On-Site or Remote Support for issues that business operations are severely impacted 
</t>
    </r>
    <r>
      <rPr>
        <b/>
        <sz val="10"/>
        <color indexed="30"/>
        <rFont val="Arial"/>
        <family val="2"/>
      </rPr>
      <t>PO was issued by Chan, Yuk-Fun (Comm code: SSCC)</t>
    </r>
  </si>
  <si>
    <t>on-site support</t>
  </si>
  <si>
    <t>refer to line 211</t>
  </si>
  <si>
    <t>Luen Thai Int'l Development Ltd</t>
  </si>
  <si>
    <t>G260900070CF</t>
  </si>
  <si>
    <t>ZM1611787</t>
  </si>
  <si>
    <r>
      <rPr>
        <sz val="10"/>
        <rFont val="Arial"/>
        <family val="2"/>
      </rPr>
      <t>(FC-10-0061F-950-02-12) FortiGate-61F 1 Year Unified Threat Protection (UTP) (IPS, Advanced Malware Protection, Application Control, URL, DNS &amp; Video Filtering, Antispam Service, and FortiCare Premium); S/N: FGT61FTK22009506; Period: 09/14/2026 to 09/14/2027
(P-TO014-1Y-FO-001) 24x7x4 Support (Hardware Swapping only, service not included) - 1 year; Hardware Swapping Service includes (1) onsite collection of malfunction hardware, (2) provision of a hardware replacement (same model/equivalent), (3) sending malfunction hardware to vendor, and (4) return of fixed hardware to Customer (if applicable). Service may vary according to vendor's warranty.; Service hours: 24 hours a day, 7 days a week, with an average 4 hour response time; Hardware Swapping Service will be provided and only if the malfunction hardware is under warranty by the vendor, with valid supporting document.; Troubleshooting and reconfiguration services are NOT included. Separate quotation can be provided.; Service request should be made by phone or email.; Any on-site service work shall be less than 2 meters above the ground.; S/N: FGT61FTK22009506; Period: 09/14/2026 to 09/14/2027</t>
    </r>
  </si>
  <si>
    <t>FG-61F x 1
(swap $1,800)</t>
  </si>
  <si>
    <t>I51037</t>
  </si>
  <si>
    <t>UID-26-09-0098</t>
  </si>
  <si>
    <t>Hakuto Enterprises Ltd</t>
  </si>
  <si>
    <t>G260900050CF</t>
  </si>
  <si>
    <t>ZM1611980</t>
  </si>
  <si>
    <r>
      <t xml:space="preserve">(EPESCECE-AA) Endpoint Essentials Cloud 1:1TE; Period: 20-Sep-26 to 19-Sep-27 (Qty:90)
(CDBECE-AT) Trellix Data Encryption Suite - Subscription; Period: 20-Sep-26 to 19-Sep-27 (Qty:90)
(CWBECE-AB) Trellix Cloud Workload Security - Basic Subscription; Period: 20-Sep-26 to 19-Sep-27 (Qty:5)
</t>
    </r>
    <r>
      <rPr>
        <b/>
        <sz val="10"/>
        <color indexed="30"/>
        <rFont val="Arial"/>
        <family val="2"/>
      </rPr>
      <t>(Commodity code: CCWY)</t>
    </r>
    <r>
      <rPr>
        <sz val="10"/>
        <rFont val="Arial"/>
        <family val="2"/>
      </rPr>
      <t xml:space="preserve">
</t>
    </r>
    <r>
      <rPr>
        <b/>
        <sz val="10"/>
        <color indexed="30"/>
        <rFont val="Arial"/>
        <family val="2"/>
      </rPr>
      <t xml:space="preserve">Renew Grant No.: </t>
    </r>
  </si>
  <si>
    <t>I20422</t>
  </si>
  <si>
    <t>UID-26-09-0104</t>
  </si>
  <si>
    <t>G260900087JI (HKPO-2600013323)</t>
  </si>
  <si>
    <t>(PAN-SOFTWARE-NGFW-CR) Software NGFW Credits to deploy AI Runtime Security, VM-Series, CN-Series, Subscription Services, Strata Cloud Manager and Virtual Panorama to manage Software Firewalls (Qty:133)
Notes: Subscription Services, and Virtual Panorama to manage Software Firewalls included PA 7 x 24 remote trouble shoot; Period:13 Sep 2026 to 12 Sep 2027</t>
  </si>
  <si>
    <t>V87921</t>
  </si>
  <si>
    <t>UID-26-09-0183</t>
  </si>
  <si>
    <t>UCID:8733378; co-premium Support till 26 Sep 2027
(CPCES-CO-PREMIUM) Support for Software Gateways (Support) (Qty:1)
(CPSB-EVS-COMP-5-1Y) Annuity Blades (Smart-1 Software) (Qty:2)
(CPSG-VSEC-AZURE-BUN-NGTX-REN-1Y) Annuity Blades (Cloud Firewall) (Qty:2)
Period: 27-Sep-2026 to 26-Sep-2027</t>
  </si>
  <si>
    <t>V87941</t>
  </si>
</sst>
</file>

<file path=xl/styles.xml><?xml version="1.0" encoding="utf-8"?>
<styleSheet xmlns="http://schemas.openxmlformats.org/spreadsheetml/2006/main">
  <numFmts count="3">
    <numFmt numFmtId="179" formatCode="&quot;$&quot;#,##0.00"/>
    <numFmt numFmtId="180" formatCode="00000000"/>
    <numFmt numFmtId="183" formatCode="General_)"/>
  </numFmts>
  <fonts count="14">
    <font>
      <sz val="11"/>
      <color theme="1"/>
      <name val="新細明體"/>
      <family val="2"/>
      <charset val="136"/>
      <scheme val="minor"/>
    </font>
    <font>
      <sz val="10"/>
      <name val="Arial"/>
      <family val="2"/>
    </font>
    <font>
      <b/>
      <sz val="10"/>
      <name val="Arial"/>
      <family val="2"/>
    </font>
    <font>
      <sz val="10"/>
      <color indexed="10"/>
      <name val="Arial"/>
      <family val="2"/>
    </font>
    <font>
      <b/>
      <sz val="10"/>
      <color indexed="10"/>
      <name val="Arial"/>
      <family val="2"/>
    </font>
    <font>
      <sz val="10"/>
      <color indexed="8"/>
      <name val="Arial"/>
      <family val="2"/>
    </font>
    <font>
      <sz val="10"/>
      <color indexed="30"/>
      <name val="Arial"/>
      <family val="2"/>
    </font>
    <font>
      <b/>
      <sz val="10"/>
      <color indexed="30"/>
      <name val="Arial"/>
      <family val="2"/>
    </font>
    <font>
      <sz val="12"/>
      <name val="新細明體"/>
      <family val="1"/>
      <charset val="136"/>
    </font>
    <font>
      <sz val="10"/>
      <name val="細明體"/>
      <family val="3"/>
      <charset val="136"/>
    </font>
    <font>
      <sz val="13"/>
      <name val="Helv"/>
      <family val="2"/>
    </font>
    <font>
      <b/>
      <sz val="12"/>
      <name val="Arial"/>
      <family val="2"/>
    </font>
    <font>
      <sz val="11"/>
      <color theme="1"/>
      <name val="新細明體"/>
      <family val="1"/>
      <charset val="136"/>
      <scheme val="minor"/>
    </font>
    <font>
      <sz val="9"/>
      <name val="新細明體"/>
      <family val="2"/>
      <charset val="136"/>
      <scheme val="minor"/>
    </font>
  </fonts>
  <fills count="5">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0" tint="-0.249977111117893"/>
        <bgColor indexed="64"/>
      </patternFill>
    </fill>
  </fills>
  <borders count="1">
    <border>
      <left/>
      <right/>
      <top/>
      <bottom/>
      <diagonal/>
    </border>
  </borders>
  <cellStyleXfs count="19">
    <xf numFmtId="0" fontId="0" fillId="0" borderId="0">
      <alignment vertical="center"/>
    </xf>
    <xf numFmtId="0" fontId="1" fillId="0" borderId="0"/>
    <xf numFmtId="0" fontId="8" fillId="0" borderId="0"/>
    <xf numFmtId="183" fontId="10" fillId="0" borderId="0"/>
    <xf numFmtId="0" fontId="1" fillId="0" borderId="0"/>
    <xf numFmtId="0" fontId="1" fillId="0" borderId="0"/>
    <xf numFmtId="0" fontId="12" fillId="0" borderId="0">
      <alignment vertical="center"/>
    </xf>
    <xf numFmtId="0" fontId="1" fillId="0" borderId="0"/>
    <xf numFmtId="0" fontId="5" fillId="0" borderId="0"/>
    <xf numFmtId="0" fontId="12" fillId="0" borderId="0">
      <alignment vertical="center"/>
    </xf>
    <xf numFmtId="0" fontId="1" fillId="0" borderId="0"/>
    <xf numFmtId="0" fontId="12" fillId="0" borderId="0">
      <alignment vertical="center"/>
    </xf>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cellStyleXfs>
  <cellXfs count="74">
    <xf numFmtId="0" fontId="0" fillId="0" borderId="0" xfId="0">
      <alignment vertical="center"/>
    </xf>
    <xf numFmtId="0" fontId="1" fillId="0" borderId="0" xfId="1"/>
    <xf numFmtId="0" fontId="1" fillId="0" borderId="0" xfId="1" applyBorder="1" applyAlignment="1">
      <alignment horizontal="center"/>
    </xf>
    <xf numFmtId="0" fontId="1" fillId="0" borderId="0" xfId="1" applyBorder="1" applyAlignment="1">
      <alignment horizontal="center" wrapText="1"/>
    </xf>
    <xf numFmtId="0" fontId="2" fillId="2" borderId="0" xfId="1" applyFont="1" applyFill="1" applyBorder="1" applyAlignment="1">
      <alignment horizontal="center"/>
    </xf>
    <xf numFmtId="0" fontId="2" fillId="2" borderId="0" xfId="1" applyFont="1" applyFill="1" applyBorder="1" applyAlignment="1">
      <alignment horizontal="center" wrapText="1"/>
    </xf>
    <xf numFmtId="15" fontId="2" fillId="2" borderId="0" xfId="1" applyNumberFormat="1" applyFont="1" applyFill="1" applyBorder="1" applyAlignment="1">
      <alignment horizontal="center"/>
    </xf>
    <xf numFmtId="0" fontId="2" fillId="2" borderId="0" xfId="1" applyFont="1" applyFill="1" applyBorder="1" applyAlignment="1">
      <alignment horizontal="left" wrapText="1"/>
    </xf>
    <xf numFmtId="0" fontId="2" fillId="0" borderId="0" xfId="1" applyFont="1" applyBorder="1" applyAlignment="1">
      <alignment horizontal="center"/>
    </xf>
    <xf numFmtId="17" fontId="2" fillId="0" borderId="0" xfId="1" applyNumberFormat="1" applyFont="1" applyBorder="1" applyAlignment="1">
      <alignment horizontal="center"/>
    </xf>
    <xf numFmtId="0" fontId="2" fillId="2" borderId="0" xfId="1" applyFont="1" applyFill="1" applyBorder="1" applyAlignment="1">
      <alignment horizontal="left"/>
    </xf>
    <xf numFmtId="15" fontId="3" fillId="0" borderId="0" xfId="1" applyNumberFormat="1" applyFont="1" applyFill="1" applyBorder="1" applyAlignment="1">
      <alignment horizontal="center"/>
    </xf>
    <xf numFmtId="0" fontId="2" fillId="0" borderId="0" xfId="1" applyFont="1" applyBorder="1" applyAlignment="1">
      <alignment horizontal="left"/>
    </xf>
    <xf numFmtId="15" fontId="2" fillId="0" borderId="0" xfId="1" applyNumberFormat="1" applyFont="1" applyBorder="1" applyAlignment="1">
      <alignment horizontal="left"/>
    </xf>
    <xf numFmtId="179" fontId="1" fillId="0" borderId="0" xfId="1" applyNumberFormat="1" applyFont="1" applyFill="1" applyBorder="1" applyAlignment="1">
      <alignment horizontal="right"/>
    </xf>
    <xf numFmtId="0" fontId="1" fillId="0" borderId="0" xfId="1" applyFont="1" applyFill="1" applyBorder="1" applyAlignment="1">
      <alignment horizontal="center"/>
    </xf>
    <xf numFmtId="15" fontId="1" fillId="0" borderId="0" xfId="1" applyNumberFormat="1" applyFont="1" applyFill="1" applyBorder="1" applyAlignment="1">
      <alignment horizontal="center"/>
    </xf>
    <xf numFmtId="179" fontId="1" fillId="0" borderId="0" xfId="1" applyNumberFormat="1" applyFont="1" applyFill="1" applyBorder="1" applyAlignment="1">
      <alignment horizontal="right" wrapText="1"/>
    </xf>
    <xf numFmtId="17" fontId="1" fillId="0" borderId="0" xfId="1" applyNumberFormat="1" applyFont="1" applyFill="1" applyBorder="1" applyAlignment="1">
      <alignment horizontal="center"/>
    </xf>
    <xf numFmtId="0" fontId="1" fillId="0" borderId="0" xfId="1" applyFont="1" applyFill="1" applyBorder="1" applyAlignment="1">
      <alignment horizontal="left" wrapText="1"/>
    </xf>
    <xf numFmtId="0" fontId="2" fillId="0" borderId="0" xfId="1" applyFont="1" applyFill="1" applyBorder="1" applyAlignment="1">
      <alignment horizontal="center"/>
    </xf>
    <xf numFmtId="0" fontId="1" fillId="0" borderId="0" xfId="1" applyFont="1" applyBorder="1" applyAlignment="1">
      <alignment horizontal="left"/>
    </xf>
    <xf numFmtId="15" fontId="1" fillId="0" borderId="0" xfId="1" applyNumberFormat="1" applyFont="1" applyBorder="1" applyAlignment="1">
      <alignment horizontal="center" wrapText="1"/>
    </xf>
    <xf numFmtId="179" fontId="1" fillId="0" borderId="0" xfId="1" applyNumberFormat="1" applyFont="1" applyBorder="1" applyAlignment="1">
      <alignment horizontal="right" wrapText="1"/>
    </xf>
    <xf numFmtId="15" fontId="1" fillId="0" borderId="0" xfId="1" applyNumberFormat="1" applyFont="1" applyFill="1" applyBorder="1" applyAlignment="1">
      <alignment horizontal="center" wrapText="1"/>
    </xf>
    <xf numFmtId="0" fontId="1" fillId="0" borderId="0" xfId="4" applyFont="1" applyFill="1" applyBorder="1" applyAlignment="1">
      <alignment horizontal="center" wrapText="1"/>
    </xf>
    <xf numFmtId="0" fontId="1" fillId="0" borderId="0" xfId="4" applyFont="1" applyBorder="1" applyAlignment="1">
      <alignment horizontal="center" wrapText="1"/>
    </xf>
    <xf numFmtId="15" fontId="1" fillId="2" borderId="0" xfId="1" applyNumberFormat="1" applyFont="1" applyFill="1" applyBorder="1" applyAlignment="1">
      <alignment horizontal="center"/>
    </xf>
    <xf numFmtId="15" fontId="1" fillId="3" borderId="0" xfId="1" applyNumberFormat="1" applyFont="1" applyFill="1" applyBorder="1" applyAlignment="1">
      <alignment horizontal="center"/>
    </xf>
    <xf numFmtId="0" fontId="1" fillId="3" borderId="0" xfId="1" applyFont="1" applyFill="1" applyBorder="1" applyAlignment="1">
      <alignment horizontal="center"/>
    </xf>
    <xf numFmtId="179" fontId="1" fillId="3" borderId="0" xfId="1" applyNumberFormat="1" applyFont="1" applyFill="1" applyBorder="1" applyAlignment="1">
      <alignment horizontal="right"/>
    </xf>
    <xf numFmtId="9" fontId="1" fillId="0" borderId="0" xfId="13" applyFont="1" applyFill="1" applyBorder="1" applyAlignment="1">
      <alignment horizontal="center"/>
    </xf>
    <xf numFmtId="0" fontId="1" fillId="0" borderId="0" xfId="1" applyFont="1"/>
    <xf numFmtId="0" fontId="1" fillId="0" borderId="0" xfId="1" applyFont="1" applyAlignment="1">
      <alignment wrapText="1"/>
    </xf>
    <xf numFmtId="179" fontId="2" fillId="2" borderId="0" xfId="1" applyNumberFormat="1" applyFont="1" applyFill="1" applyBorder="1" applyAlignment="1">
      <alignment horizontal="center" wrapText="1"/>
    </xf>
    <xf numFmtId="179" fontId="2" fillId="4" borderId="0" xfId="1" applyNumberFormat="1" applyFont="1" applyFill="1" applyBorder="1" applyAlignment="1">
      <alignment horizontal="center" wrapText="1"/>
    </xf>
    <xf numFmtId="0" fontId="1" fillId="0" borderId="0" xfId="1" applyFont="1" applyFill="1" applyAlignment="1">
      <alignment wrapText="1"/>
    </xf>
    <xf numFmtId="9" fontId="1" fillId="4" borderId="0" xfId="13" applyFont="1" applyFill="1" applyBorder="1" applyAlignment="1">
      <alignment horizontal="center"/>
    </xf>
    <xf numFmtId="180" fontId="1" fillId="0" borderId="0" xfId="1" quotePrefix="1" applyNumberFormat="1" applyFont="1" applyFill="1" applyBorder="1" applyAlignment="1">
      <alignment horizontal="center"/>
    </xf>
    <xf numFmtId="15" fontId="1" fillId="0" borderId="0" xfId="1" applyNumberFormat="1" applyFill="1" applyBorder="1" applyAlignment="1">
      <alignment horizontal="center"/>
    </xf>
    <xf numFmtId="0" fontId="1" fillId="0" borderId="0" xfId="1" applyFill="1" applyBorder="1" applyAlignment="1">
      <alignment horizontal="left" wrapText="1"/>
    </xf>
    <xf numFmtId="0" fontId="1" fillId="0" borderId="0" xfId="1" applyBorder="1" applyAlignment="1">
      <alignment horizontal="left"/>
    </xf>
    <xf numFmtId="0" fontId="1" fillId="0" borderId="0" xfId="1" applyBorder="1" applyAlignment="1">
      <alignment horizontal="left" wrapText="1"/>
    </xf>
    <xf numFmtId="0" fontId="1" fillId="0" borderId="0" xfId="1" applyAlignment="1">
      <alignment wrapText="1"/>
    </xf>
    <xf numFmtId="0" fontId="1" fillId="0" borderId="0" xfId="1" applyFill="1" applyBorder="1" applyAlignment="1">
      <alignment horizontal="center" wrapText="1"/>
    </xf>
    <xf numFmtId="15" fontId="1" fillId="0" borderId="0" xfId="1" applyNumberFormat="1" applyBorder="1" applyAlignment="1">
      <alignment horizontal="center" wrapText="1"/>
    </xf>
    <xf numFmtId="0" fontId="1" fillId="0" borderId="0" xfId="1" applyFill="1" applyAlignment="1">
      <alignment wrapText="1"/>
    </xf>
    <xf numFmtId="0" fontId="1" fillId="0" borderId="0" xfId="1" applyFill="1" applyBorder="1" applyAlignment="1">
      <alignment horizontal="center"/>
    </xf>
    <xf numFmtId="179" fontId="1" fillId="0" borderId="0" xfId="1" applyNumberFormat="1" applyFill="1" applyBorder="1" applyAlignment="1">
      <alignment horizontal="right"/>
    </xf>
    <xf numFmtId="15" fontId="2" fillId="2" borderId="0" xfId="1" applyNumberFormat="1" applyFont="1" applyFill="1" applyBorder="1" applyAlignment="1">
      <alignment horizontal="left" wrapText="1"/>
    </xf>
    <xf numFmtId="9" fontId="1" fillId="4" borderId="0" xfId="13" applyFont="1" applyFill="1" applyBorder="1" applyAlignment="1">
      <alignment horizontal="center" wrapText="1"/>
    </xf>
    <xf numFmtId="15" fontId="3" fillId="3" borderId="0" xfId="1" applyNumberFormat="1" applyFont="1" applyFill="1" applyBorder="1" applyAlignment="1">
      <alignment horizontal="center"/>
    </xf>
    <xf numFmtId="0" fontId="1" fillId="0" borderId="0" xfId="10" applyFont="1" applyFill="1" applyAlignment="1">
      <alignment wrapText="1"/>
    </xf>
    <xf numFmtId="0" fontId="1" fillId="0" borderId="0" xfId="10" applyFont="1" applyFill="1" applyBorder="1" applyAlignment="1">
      <alignment horizontal="center"/>
    </xf>
    <xf numFmtId="0" fontId="1" fillId="0" borderId="0" xfId="10" applyBorder="1" applyAlignment="1">
      <alignment horizontal="left"/>
    </xf>
    <xf numFmtId="0" fontId="2" fillId="0" borderId="0" xfId="1" applyNumberFormat="1" applyFont="1" applyFill="1" applyBorder="1" applyAlignment="1">
      <alignment horizontal="center"/>
    </xf>
    <xf numFmtId="0" fontId="1" fillId="0" borderId="0" xfId="10" quotePrefix="1" applyNumberFormat="1" applyFont="1" applyFill="1" applyBorder="1" applyAlignment="1">
      <alignment horizontal="center"/>
    </xf>
    <xf numFmtId="0" fontId="1" fillId="0" borderId="0" xfId="10" quotePrefix="1" applyNumberFormat="1" applyFill="1" applyBorder="1" applyAlignment="1">
      <alignment horizontal="center"/>
    </xf>
    <xf numFmtId="0" fontId="1" fillId="0" borderId="0" xfId="1" quotePrefix="1" applyNumberFormat="1" applyFont="1" applyFill="1" applyBorder="1" applyAlignment="1">
      <alignment horizontal="center"/>
    </xf>
    <xf numFmtId="0" fontId="11" fillId="0" borderId="0" xfId="1" applyFont="1" applyAlignment="1">
      <alignment horizontal="right"/>
    </xf>
    <xf numFmtId="179" fontId="11" fillId="0" borderId="0" xfId="1" applyNumberFormat="1" applyFont="1" applyBorder="1" applyAlignment="1">
      <alignment horizontal="right" wrapText="1"/>
    </xf>
    <xf numFmtId="0" fontId="1" fillId="0" borderId="0" xfId="1" applyAlignment="1">
      <alignment horizontal="center" wrapText="1"/>
    </xf>
    <xf numFmtId="15" fontId="1" fillId="2" borderId="0" xfId="1" applyNumberFormat="1" applyFont="1" applyFill="1" applyBorder="1" applyAlignment="1">
      <alignment horizontal="left" wrapText="1"/>
    </xf>
    <xf numFmtId="15" fontId="1" fillId="0" borderId="0" xfId="12" applyNumberFormat="1" applyFont="1" applyFill="1" applyBorder="1" applyAlignment="1">
      <alignment horizontal="center"/>
    </xf>
    <xf numFmtId="0" fontId="1" fillId="0" borderId="0" xfId="12" applyBorder="1" applyAlignment="1">
      <alignment horizontal="left"/>
    </xf>
    <xf numFmtId="0" fontId="1" fillId="0" borderId="0" xfId="12" applyFont="1" applyAlignment="1">
      <alignment wrapText="1"/>
    </xf>
    <xf numFmtId="0" fontId="1" fillId="0" borderId="0" xfId="1" applyAlignment="1">
      <alignment vertical="center"/>
    </xf>
    <xf numFmtId="17" fontId="1" fillId="3" borderId="0" xfId="1" applyNumberFormat="1" applyFont="1" applyFill="1" applyBorder="1" applyAlignment="1">
      <alignment horizontal="center"/>
    </xf>
    <xf numFmtId="0" fontId="1" fillId="0" borderId="0" xfId="1" applyAlignment="1">
      <alignment vertical="center" wrapText="1"/>
    </xf>
    <xf numFmtId="0" fontId="1" fillId="0" borderId="0" xfId="1" applyFont="1" applyAlignment="1">
      <alignment vertical="center" wrapText="1"/>
    </xf>
    <xf numFmtId="0" fontId="1" fillId="0" borderId="0" xfId="1" applyFill="1" applyAlignment="1">
      <alignment vertical="center" wrapText="1"/>
    </xf>
    <xf numFmtId="0" fontId="1" fillId="0" borderId="0" xfId="1" applyFill="1" applyAlignment="1">
      <alignment vertical="center"/>
    </xf>
    <xf numFmtId="0" fontId="7" fillId="0" borderId="0" xfId="1" applyFont="1" applyAlignment="1">
      <alignment wrapText="1"/>
    </xf>
    <xf numFmtId="0" fontId="1" fillId="2" borderId="0" xfId="1" applyFill="1" applyBorder="1" applyAlignment="1">
      <alignment horizontal="left"/>
    </xf>
  </cellXfs>
  <cellStyles count="19">
    <cellStyle name="_x000d__x000a_JournalTemplate=C:\COMFO\CTALK\JOURSTD.TPL_x000d__x000a_LbStateAddress=3 3 0 251 1 89 2 311_x000d__x000a_LbStateJou" xfId="2"/>
    <cellStyle name="??_x000c_&quot;?_x001b__x000d__x0015_??$_x000b_?_x0007__x0001__x0001_" xfId="3"/>
    <cellStyle name="Normal" xfId="0" builtinId="0"/>
    <cellStyle name="Normal 10" xfId="1"/>
    <cellStyle name="Normal 2" xfId="4"/>
    <cellStyle name="Normal 3" xfId="5"/>
    <cellStyle name="Normal 4" xfId="6"/>
    <cellStyle name="Normal 5" xfId="7"/>
    <cellStyle name="Normal 57" xfId="8"/>
    <cellStyle name="Normal 6" xfId="9"/>
    <cellStyle name="Normal 7" xfId="10"/>
    <cellStyle name="Normal 8" xfId="11"/>
    <cellStyle name="Normal 9" xfId="12"/>
    <cellStyle name="Percent 2" xfId="14"/>
    <cellStyle name="Percent 3" xfId="15"/>
    <cellStyle name="Percent 4" xfId="16"/>
    <cellStyle name="Percent 5" xfId="13"/>
    <cellStyle name="Style 1" xfId="17"/>
    <cellStyle name="Style 1 2" xfId="18"/>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240"/>
  <sheetViews>
    <sheetView tabSelected="1" workbookViewId="0">
      <pane ySplit="2" topLeftCell="A3" activePane="bottomLeft" state="frozen"/>
      <selection pane="bottomLeft" activeCell="B5" sqref="B5"/>
    </sheetView>
  </sheetViews>
  <sheetFormatPr defaultRowHeight="15.75"/>
  <cols>
    <col min="2" max="2" width="35.7109375" customWidth="1"/>
    <col min="3" max="3" width="36.42578125" customWidth="1"/>
    <col min="4" max="9" width="15.28515625" customWidth="1"/>
    <col min="10" max="10" width="75.5703125" customWidth="1"/>
    <col min="11" max="11" width="24.7109375" customWidth="1"/>
    <col min="12" max="12" width="21.28515625" customWidth="1"/>
    <col min="13" max="13" width="23.140625" customWidth="1"/>
    <col min="14" max="14" width="18.7109375" customWidth="1"/>
    <col min="15" max="15" width="19.140625" customWidth="1"/>
    <col min="16" max="16" width="19" customWidth="1"/>
    <col min="17" max="17" width="22.140625" customWidth="1"/>
    <col min="18" max="18" width="32.5703125" customWidth="1"/>
    <col min="19" max="20" width="18" customWidth="1"/>
    <col min="21" max="24" width="18.28515625" customWidth="1"/>
    <col min="25" max="25" width="21" customWidth="1"/>
    <col min="26" max="27" width="16.85546875" customWidth="1"/>
    <col min="28" max="31" width="19.5703125" customWidth="1"/>
  </cols>
  <sheetData>
    <row r="1" spans="1:31">
      <c r="A1" s="1"/>
      <c r="B1" s="1"/>
      <c r="C1" s="1"/>
      <c r="D1" s="1"/>
      <c r="E1" s="1"/>
      <c r="F1" s="1"/>
      <c r="G1" s="1"/>
      <c r="H1" s="1"/>
      <c r="I1" s="1"/>
      <c r="J1" s="1"/>
      <c r="K1" s="59" t="s">
        <v>0</v>
      </c>
      <c r="L1" s="60">
        <f>SUM(L3:L246)</f>
        <v>45541911.859999985</v>
      </c>
      <c r="M1" s="1"/>
      <c r="N1" s="1"/>
      <c r="O1" s="1"/>
      <c r="P1" s="1"/>
      <c r="Q1" s="1"/>
      <c r="R1" s="1"/>
      <c r="S1" s="1"/>
      <c r="T1" s="1"/>
      <c r="U1" s="1"/>
      <c r="V1" s="1"/>
      <c r="W1" s="1"/>
      <c r="X1" s="1"/>
      <c r="Y1" s="1"/>
      <c r="Z1" s="1"/>
      <c r="AA1" s="1"/>
      <c r="AB1" s="1"/>
      <c r="AC1" s="1"/>
      <c r="AD1" s="1"/>
      <c r="AE1" s="1"/>
    </row>
    <row r="2" spans="1:31" ht="63.75">
      <c r="A2" s="8" t="s">
        <v>1</v>
      </c>
      <c r="B2" s="5" t="s">
        <v>2</v>
      </c>
      <c r="C2" s="73" t="s">
        <v>3</v>
      </c>
      <c r="D2" s="4" t="s">
        <v>4</v>
      </c>
      <c r="E2" s="49" t="s">
        <v>5</v>
      </c>
      <c r="F2" s="62" t="s">
        <v>6</v>
      </c>
      <c r="G2" s="4" t="s">
        <v>7</v>
      </c>
      <c r="H2" s="6" t="s">
        <v>8</v>
      </c>
      <c r="I2" s="6" t="s">
        <v>9</v>
      </c>
      <c r="J2" s="7" t="s">
        <v>10</v>
      </c>
      <c r="K2" s="7" t="s">
        <v>11</v>
      </c>
      <c r="L2" s="34" t="s">
        <v>12</v>
      </c>
      <c r="M2" s="34" t="s">
        <v>13</v>
      </c>
      <c r="N2" s="34" t="s">
        <v>14</v>
      </c>
      <c r="O2" s="34" t="s">
        <v>15</v>
      </c>
      <c r="P2" s="34" t="s">
        <v>16</v>
      </c>
      <c r="Q2" s="35" t="s">
        <v>17</v>
      </c>
      <c r="R2" s="10" t="s">
        <v>18</v>
      </c>
      <c r="S2" s="20" t="s">
        <v>19</v>
      </c>
      <c r="T2" s="55" t="s">
        <v>20</v>
      </c>
      <c r="U2" s="27" t="s">
        <v>21</v>
      </c>
      <c r="V2" s="6" t="s">
        <v>22</v>
      </c>
      <c r="W2" s="6" t="s">
        <v>23</v>
      </c>
      <c r="X2" s="9" t="s">
        <v>24</v>
      </c>
      <c r="Y2" s="12" t="s">
        <v>25</v>
      </c>
      <c r="Z2" s="12" t="s">
        <v>26</v>
      </c>
      <c r="AA2" s="8" t="s">
        <v>27</v>
      </c>
      <c r="AB2" s="13" t="s">
        <v>28</v>
      </c>
      <c r="AC2" s="8" t="s">
        <v>29</v>
      </c>
      <c r="AD2" s="8" t="s">
        <v>30</v>
      </c>
      <c r="AE2" s="8" t="s">
        <v>31</v>
      </c>
    </row>
    <row r="3" spans="1:31" ht="229.5">
      <c r="A3" s="15">
        <v>1</v>
      </c>
      <c r="B3" s="3" t="s">
        <v>32</v>
      </c>
      <c r="C3" s="2" t="s">
        <v>33</v>
      </c>
      <c r="D3" s="15">
        <v>6252174</v>
      </c>
      <c r="E3" s="16">
        <v>46024</v>
      </c>
      <c r="F3" s="18">
        <v>46023</v>
      </c>
      <c r="G3" s="47" t="s">
        <v>34</v>
      </c>
      <c r="H3" s="16">
        <v>46029</v>
      </c>
      <c r="I3" s="39" t="s">
        <v>35</v>
      </c>
      <c r="J3" s="46" t="s">
        <v>36</v>
      </c>
      <c r="K3" s="43"/>
      <c r="L3" s="23">
        <v>967793.14</v>
      </c>
      <c r="M3" s="23">
        <v>967793.14</v>
      </c>
      <c r="N3" s="14"/>
      <c r="O3" s="14">
        <v>1017300</v>
      </c>
      <c r="P3" s="31">
        <v>0.95133504374324196</v>
      </c>
      <c r="Q3" s="37" t="s">
        <v>37</v>
      </c>
      <c r="R3" s="41" t="s">
        <v>38</v>
      </c>
      <c r="S3" s="53">
        <v>645613</v>
      </c>
      <c r="T3" s="56" t="s">
        <v>39</v>
      </c>
      <c r="U3" s="11">
        <v>46099</v>
      </c>
      <c r="V3" s="22">
        <v>46048</v>
      </c>
      <c r="W3" s="22">
        <v>46477</v>
      </c>
      <c r="X3" s="18">
        <v>46023</v>
      </c>
      <c r="Y3" s="40" t="s">
        <v>40</v>
      </c>
      <c r="Z3" s="47" t="s">
        <v>41</v>
      </c>
      <c r="AA3" s="47" t="s">
        <v>42</v>
      </c>
      <c r="AB3" s="16">
        <v>46052</v>
      </c>
      <c r="AC3" s="2" t="s">
        <v>43</v>
      </c>
      <c r="AD3" s="3" t="s">
        <v>44</v>
      </c>
      <c r="AE3" s="1"/>
    </row>
    <row r="4" spans="1:31" ht="191.25">
      <c r="A4" s="15">
        <v>2</v>
      </c>
      <c r="B4" s="3" t="s">
        <v>45</v>
      </c>
      <c r="C4" s="2" t="s">
        <v>46</v>
      </c>
      <c r="D4" s="15">
        <v>6252186</v>
      </c>
      <c r="E4" s="16">
        <v>46024</v>
      </c>
      <c r="F4" s="18">
        <v>46023</v>
      </c>
      <c r="G4" s="47" t="s">
        <v>47</v>
      </c>
      <c r="H4" s="16">
        <v>46027</v>
      </c>
      <c r="I4" s="63" t="s">
        <v>48</v>
      </c>
      <c r="J4" s="33" t="s">
        <v>49</v>
      </c>
      <c r="K4" s="43" t="s">
        <v>50</v>
      </c>
      <c r="L4" s="23">
        <v>270728</v>
      </c>
      <c r="M4" s="23">
        <v>270728</v>
      </c>
      <c r="N4" s="14"/>
      <c r="O4" s="14">
        <v>364403</v>
      </c>
      <c r="P4" s="31">
        <v>0.74293570579825086</v>
      </c>
      <c r="Q4" s="37">
        <v>2.8799999999999999E-2</v>
      </c>
      <c r="R4" s="64" t="s">
        <v>51</v>
      </c>
      <c r="S4" s="53">
        <v>645613</v>
      </c>
      <c r="T4" s="56" t="s">
        <v>39</v>
      </c>
      <c r="U4" s="11">
        <v>46044</v>
      </c>
      <c r="V4" s="45" t="s">
        <v>52</v>
      </c>
      <c r="W4" s="22">
        <v>46752</v>
      </c>
      <c r="X4" s="18">
        <v>46023</v>
      </c>
      <c r="Y4" s="40" t="s">
        <v>53</v>
      </c>
      <c r="Z4" s="47" t="s">
        <v>41</v>
      </c>
      <c r="AA4" s="47" t="s">
        <v>54</v>
      </c>
      <c r="AB4" s="16">
        <v>46034</v>
      </c>
      <c r="AC4" s="2" t="s">
        <v>43</v>
      </c>
      <c r="AD4" s="3" t="s">
        <v>55</v>
      </c>
      <c r="AE4" s="21" t="s">
        <v>56</v>
      </c>
    </row>
    <row r="5" spans="1:31" ht="63.75">
      <c r="A5" s="15">
        <v>3</v>
      </c>
      <c r="B5" s="44" t="s">
        <v>57</v>
      </c>
      <c r="C5" s="3" t="s">
        <v>58</v>
      </c>
      <c r="D5" s="15">
        <v>6252507</v>
      </c>
      <c r="E5" s="16">
        <v>46027</v>
      </c>
      <c r="F5" s="18">
        <v>46023</v>
      </c>
      <c r="G5" s="47" t="s">
        <v>59</v>
      </c>
      <c r="H5" s="16">
        <v>46028</v>
      </c>
      <c r="I5" s="39" t="s">
        <v>48</v>
      </c>
      <c r="J5" s="43" t="s">
        <v>60</v>
      </c>
      <c r="K5" s="46" t="s">
        <v>61</v>
      </c>
      <c r="L5" s="23">
        <v>23480</v>
      </c>
      <c r="M5" s="23">
        <v>23480</v>
      </c>
      <c r="N5" s="14"/>
      <c r="O5" s="14">
        <v>29350</v>
      </c>
      <c r="P5" s="31">
        <v>0.8</v>
      </c>
      <c r="Q5" s="37">
        <v>0</v>
      </c>
      <c r="R5" s="41" t="s">
        <v>51</v>
      </c>
      <c r="S5" s="53">
        <v>645613</v>
      </c>
      <c r="T5" s="56" t="s">
        <v>39</v>
      </c>
      <c r="U5" s="11">
        <v>46149</v>
      </c>
      <c r="V5" s="22">
        <v>45828</v>
      </c>
      <c r="W5" s="22">
        <v>46193</v>
      </c>
      <c r="X5" s="18">
        <v>46023</v>
      </c>
      <c r="Y5" s="40" t="s">
        <v>62</v>
      </c>
      <c r="Z5" s="47" t="s">
        <v>63</v>
      </c>
      <c r="AA5" s="47" t="s">
        <v>64</v>
      </c>
      <c r="AB5" s="16">
        <v>46028</v>
      </c>
      <c r="AC5" s="2" t="s">
        <v>43</v>
      </c>
      <c r="AD5" s="3" t="s">
        <v>65</v>
      </c>
      <c r="AE5" s="21" t="s">
        <v>56</v>
      </c>
    </row>
    <row r="6" spans="1:31" ht="76.5">
      <c r="A6" s="15">
        <v>4</v>
      </c>
      <c r="B6" s="3" t="s">
        <v>66</v>
      </c>
      <c r="C6" s="2" t="s">
        <v>67</v>
      </c>
      <c r="D6" s="15">
        <v>6252612</v>
      </c>
      <c r="E6" s="16">
        <v>46027</v>
      </c>
      <c r="F6" s="18">
        <v>46023</v>
      </c>
      <c r="G6" s="47" t="s">
        <v>68</v>
      </c>
      <c r="H6" s="16">
        <v>46028</v>
      </c>
      <c r="I6" s="39" t="s">
        <v>48</v>
      </c>
      <c r="J6" s="46" t="s">
        <v>69</v>
      </c>
      <c r="K6" s="43" t="s">
        <v>70</v>
      </c>
      <c r="L6" s="23">
        <v>4567.3999999999996</v>
      </c>
      <c r="M6" s="23">
        <v>4567.3999999999996</v>
      </c>
      <c r="N6" s="14"/>
      <c r="O6" s="14">
        <v>2640</v>
      </c>
      <c r="P6" s="31" t="s">
        <v>71</v>
      </c>
      <c r="Q6" s="37" t="s">
        <v>71</v>
      </c>
      <c r="R6" s="41" t="s">
        <v>72</v>
      </c>
      <c r="S6" s="53">
        <v>645613</v>
      </c>
      <c r="T6" s="58" t="s">
        <v>73</v>
      </c>
      <c r="U6" s="11">
        <v>46069</v>
      </c>
      <c r="V6" s="22">
        <v>46023</v>
      </c>
      <c r="W6" s="22">
        <v>46387</v>
      </c>
      <c r="X6" s="18">
        <v>46023</v>
      </c>
      <c r="Y6" s="42" t="s">
        <v>74</v>
      </c>
      <c r="Z6" s="2" t="s">
        <v>63</v>
      </c>
      <c r="AA6" s="2" t="s">
        <v>75</v>
      </c>
      <c r="AB6" s="16">
        <v>46052</v>
      </c>
      <c r="AC6" s="2" t="s">
        <v>43</v>
      </c>
      <c r="AD6" s="3" t="s">
        <v>76</v>
      </c>
      <c r="AE6" s="21" t="s">
        <v>77</v>
      </c>
    </row>
    <row r="7" spans="1:31" ht="216.75">
      <c r="A7" s="15">
        <v>5</v>
      </c>
      <c r="B7" s="44" t="s">
        <v>78</v>
      </c>
      <c r="C7" s="2" t="s">
        <v>79</v>
      </c>
      <c r="D7" s="15">
        <v>6252623</v>
      </c>
      <c r="E7" s="16">
        <v>46027</v>
      </c>
      <c r="F7" s="18">
        <v>46023</v>
      </c>
      <c r="G7" s="47" t="s">
        <v>80</v>
      </c>
      <c r="H7" s="16">
        <v>46034</v>
      </c>
      <c r="I7" s="39" t="s">
        <v>35</v>
      </c>
      <c r="J7" s="43" t="s">
        <v>81</v>
      </c>
      <c r="K7" s="43" t="s">
        <v>82</v>
      </c>
      <c r="L7" s="23">
        <v>1703665.33</v>
      </c>
      <c r="M7" s="23">
        <v>1703665.33</v>
      </c>
      <c r="N7" s="14"/>
      <c r="O7" s="14">
        <v>2132270</v>
      </c>
      <c r="P7" s="31">
        <v>0.79899137069883275</v>
      </c>
      <c r="Q7" s="37">
        <v>0.11210000000000001</v>
      </c>
      <c r="R7" s="41" t="s">
        <v>38</v>
      </c>
      <c r="S7" s="53">
        <v>645613</v>
      </c>
      <c r="T7" s="56" t="s">
        <v>39</v>
      </c>
      <c r="U7" s="11">
        <v>46093</v>
      </c>
      <c r="V7" s="45" t="s">
        <v>83</v>
      </c>
      <c r="W7" s="45" t="s">
        <v>84</v>
      </c>
      <c r="X7" s="18">
        <v>46054</v>
      </c>
      <c r="Y7" s="42" t="s">
        <v>85</v>
      </c>
      <c r="Z7" s="2" t="s">
        <v>86</v>
      </c>
      <c r="AA7" s="2" t="s">
        <v>87</v>
      </c>
      <c r="AB7" s="16">
        <v>46064</v>
      </c>
      <c r="AC7" s="2" t="s">
        <v>43</v>
      </c>
      <c r="AD7" s="3" t="s">
        <v>88</v>
      </c>
      <c r="AE7" s="1"/>
    </row>
    <row r="8" spans="1:31" ht="51">
      <c r="A8" s="15">
        <v>6</v>
      </c>
      <c r="B8" s="44" t="s">
        <v>89</v>
      </c>
      <c r="C8" s="3" t="s">
        <v>90</v>
      </c>
      <c r="D8" s="15">
        <v>6253168</v>
      </c>
      <c r="E8" s="16">
        <v>46028</v>
      </c>
      <c r="F8" s="18">
        <v>46023</v>
      </c>
      <c r="G8" s="47" t="s">
        <v>91</v>
      </c>
      <c r="H8" s="16">
        <v>46042</v>
      </c>
      <c r="I8" s="39" t="s">
        <v>92</v>
      </c>
      <c r="J8" s="43" t="s">
        <v>93</v>
      </c>
      <c r="K8" s="43"/>
      <c r="L8" s="23">
        <v>194089</v>
      </c>
      <c r="M8" s="23">
        <v>194089</v>
      </c>
      <c r="N8" s="14"/>
      <c r="O8" s="14">
        <v>199990</v>
      </c>
      <c r="P8" s="31">
        <v>0.97049352467623384</v>
      </c>
      <c r="Q8" s="37" t="s">
        <v>37</v>
      </c>
      <c r="R8" s="41" t="s">
        <v>94</v>
      </c>
      <c r="S8" s="53">
        <v>645613</v>
      </c>
      <c r="T8" s="56" t="s">
        <v>39</v>
      </c>
      <c r="U8" s="11">
        <v>46057</v>
      </c>
      <c r="V8" s="22">
        <v>46023</v>
      </c>
      <c r="W8" s="24">
        <v>46387</v>
      </c>
      <c r="X8" s="18">
        <v>46023</v>
      </c>
      <c r="Y8" s="40" t="s">
        <v>95</v>
      </c>
      <c r="Z8" s="47" t="s">
        <v>63</v>
      </c>
      <c r="AA8" s="47" t="s">
        <v>96</v>
      </c>
      <c r="AB8" s="16">
        <v>46042</v>
      </c>
      <c r="AC8" s="2" t="s">
        <v>43</v>
      </c>
      <c r="AD8" s="3" t="s">
        <v>97</v>
      </c>
      <c r="AE8" s="21" t="s">
        <v>56</v>
      </c>
    </row>
    <row r="9" spans="1:31" ht="51">
      <c r="A9" s="15">
        <v>7</v>
      </c>
      <c r="B9" s="3" t="s">
        <v>98</v>
      </c>
      <c r="C9" s="2" t="s">
        <v>99</v>
      </c>
      <c r="D9" s="15">
        <v>6253250</v>
      </c>
      <c r="E9" s="16">
        <v>46034</v>
      </c>
      <c r="F9" s="18">
        <v>46023</v>
      </c>
      <c r="G9" s="47" t="s">
        <v>100</v>
      </c>
      <c r="H9" s="16">
        <v>46037</v>
      </c>
      <c r="I9" s="39" t="s">
        <v>101</v>
      </c>
      <c r="J9" s="43" t="s">
        <v>102</v>
      </c>
      <c r="K9" s="43"/>
      <c r="L9" s="23">
        <v>0</v>
      </c>
      <c r="M9" s="23"/>
      <c r="N9" s="23">
        <v>0</v>
      </c>
      <c r="O9" s="1"/>
      <c r="P9" s="31" t="s">
        <v>103</v>
      </c>
      <c r="Q9" s="37" t="s">
        <v>37</v>
      </c>
      <c r="R9" s="41" t="s">
        <v>104</v>
      </c>
      <c r="S9" s="53">
        <v>645613</v>
      </c>
      <c r="T9" s="56" t="s">
        <v>39</v>
      </c>
      <c r="U9" s="51"/>
      <c r="V9" s="22">
        <v>46056</v>
      </c>
      <c r="W9" s="22">
        <v>46420</v>
      </c>
      <c r="X9" s="18">
        <v>46023</v>
      </c>
      <c r="Y9" s="42" t="s">
        <v>105</v>
      </c>
      <c r="Z9" s="2" t="s">
        <v>63</v>
      </c>
      <c r="AA9" s="47" t="s">
        <v>106</v>
      </c>
      <c r="AB9" s="16">
        <v>46038</v>
      </c>
      <c r="AC9" s="2" t="s">
        <v>107</v>
      </c>
      <c r="AD9" s="3" t="s">
        <v>108</v>
      </c>
      <c r="AE9" s="1"/>
    </row>
    <row r="10" spans="1:31" ht="89.25">
      <c r="A10" s="15">
        <v>8</v>
      </c>
      <c r="B10" s="3" t="s">
        <v>98</v>
      </c>
      <c r="C10" s="2" t="s">
        <v>99</v>
      </c>
      <c r="D10" s="15">
        <v>6255348</v>
      </c>
      <c r="E10" s="16">
        <v>46034</v>
      </c>
      <c r="F10" s="18">
        <v>46023</v>
      </c>
      <c r="G10" s="47" t="s">
        <v>109</v>
      </c>
      <c r="H10" s="16">
        <v>46037</v>
      </c>
      <c r="I10" s="39" t="s">
        <v>101</v>
      </c>
      <c r="J10" s="33" t="s">
        <v>110</v>
      </c>
      <c r="K10" s="43"/>
      <c r="L10" s="23">
        <v>106393.16</v>
      </c>
      <c r="M10" s="14"/>
      <c r="N10" s="14">
        <v>13685.24</v>
      </c>
      <c r="O10" s="14">
        <v>121014</v>
      </c>
      <c r="P10" s="31">
        <v>0.87918059067545906</v>
      </c>
      <c r="Q10" s="37" t="s">
        <v>37</v>
      </c>
      <c r="R10" s="41" t="s">
        <v>104</v>
      </c>
      <c r="S10" s="53">
        <v>645613</v>
      </c>
      <c r="T10" s="56" t="s">
        <v>39</v>
      </c>
      <c r="U10" s="11">
        <v>46080</v>
      </c>
      <c r="V10" s="22">
        <v>46056</v>
      </c>
      <c r="W10" s="22">
        <v>46420</v>
      </c>
      <c r="X10" s="18">
        <v>46023</v>
      </c>
      <c r="Y10" s="42" t="s">
        <v>105</v>
      </c>
      <c r="Z10" s="2" t="s">
        <v>63</v>
      </c>
      <c r="AA10" s="47" t="s">
        <v>106</v>
      </c>
      <c r="AB10" s="16">
        <v>46041</v>
      </c>
      <c r="AC10" s="2" t="s">
        <v>43</v>
      </c>
      <c r="AD10" s="3" t="s">
        <v>108</v>
      </c>
      <c r="AE10" s="1"/>
    </row>
    <row r="11" spans="1:31" ht="114.75">
      <c r="A11" s="15">
        <v>9</v>
      </c>
      <c r="B11" s="44" t="s">
        <v>78</v>
      </c>
      <c r="C11" s="2" t="s">
        <v>111</v>
      </c>
      <c r="D11" s="15">
        <v>6253732</v>
      </c>
      <c r="E11" s="16">
        <v>46029</v>
      </c>
      <c r="F11" s="18">
        <v>46023</v>
      </c>
      <c r="G11" s="47" t="s">
        <v>112</v>
      </c>
      <c r="H11" s="16">
        <v>46030</v>
      </c>
      <c r="I11" s="25" t="s">
        <v>113</v>
      </c>
      <c r="J11" s="46" t="s">
        <v>114</v>
      </c>
      <c r="K11" s="46" t="s">
        <v>115</v>
      </c>
      <c r="L11" s="17">
        <v>21391</v>
      </c>
      <c r="M11" s="14"/>
      <c r="N11" s="14">
        <v>2751.5</v>
      </c>
      <c r="O11" s="14">
        <v>36950</v>
      </c>
      <c r="P11" s="31">
        <v>0.5789174560216509</v>
      </c>
      <c r="Q11" s="37">
        <v>0.57999999999999996</v>
      </c>
      <c r="R11" s="41" t="s">
        <v>116</v>
      </c>
      <c r="S11" s="53">
        <v>645613</v>
      </c>
      <c r="T11" s="56" t="s">
        <v>39</v>
      </c>
      <c r="U11" s="11">
        <v>46161</v>
      </c>
      <c r="V11" s="22">
        <v>46023</v>
      </c>
      <c r="W11" s="22">
        <v>46387</v>
      </c>
      <c r="X11" s="18">
        <v>46023</v>
      </c>
      <c r="Y11" s="40" t="s">
        <v>117</v>
      </c>
      <c r="Z11" s="47" t="s">
        <v>63</v>
      </c>
      <c r="AA11" s="47" t="s">
        <v>87</v>
      </c>
      <c r="AB11" s="16">
        <v>46036</v>
      </c>
      <c r="AC11" s="2" t="s">
        <v>43</v>
      </c>
      <c r="AD11" s="3" t="s">
        <v>118</v>
      </c>
      <c r="AE11" s="1"/>
    </row>
    <row r="12" spans="1:31" ht="89.25">
      <c r="A12" s="15">
        <v>10</v>
      </c>
      <c r="B12" s="44" t="s">
        <v>119</v>
      </c>
      <c r="C12" s="2" t="s">
        <v>120</v>
      </c>
      <c r="D12" s="15">
        <v>6253746</v>
      </c>
      <c r="E12" s="16">
        <v>46029</v>
      </c>
      <c r="F12" s="18">
        <v>46023</v>
      </c>
      <c r="G12" s="47" t="s">
        <v>121</v>
      </c>
      <c r="H12" s="16">
        <v>46034</v>
      </c>
      <c r="I12" s="39" t="s">
        <v>48</v>
      </c>
      <c r="J12" s="36" t="s">
        <v>122</v>
      </c>
      <c r="K12" s="40" t="s">
        <v>123</v>
      </c>
      <c r="L12" s="23">
        <v>29692</v>
      </c>
      <c r="M12" s="23">
        <v>29692</v>
      </c>
      <c r="N12" s="14"/>
      <c r="O12" s="14">
        <v>33390</v>
      </c>
      <c r="P12" s="31">
        <v>0.88924827792752326</v>
      </c>
      <c r="Q12" s="37">
        <v>0.1197</v>
      </c>
      <c r="R12" s="41" t="s">
        <v>51</v>
      </c>
      <c r="S12" s="53">
        <v>645613</v>
      </c>
      <c r="T12" s="56" t="s">
        <v>39</v>
      </c>
      <c r="U12" s="11">
        <v>46069</v>
      </c>
      <c r="V12" s="22">
        <v>46036</v>
      </c>
      <c r="W12" s="22">
        <v>47118</v>
      </c>
      <c r="X12" s="18">
        <v>46023</v>
      </c>
      <c r="Y12" s="42" t="s">
        <v>124</v>
      </c>
      <c r="Z12" s="2" t="s">
        <v>63</v>
      </c>
      <c r="AA12" s="2" t="s">
        <v>125</v>
      </c>
      <c r="AB12" s="16">
        <v>46038</v>
      </c>
      <c r="AC12" s="2" t="s">
        <v>43</v>
      </c>
      <c r="AD12" s="3" t="s">
        <v>126</v>
      </c>
      <c r="AE12" s="21" t="s">
        <v>56</v>
      </c>
    </row>
    <row r="13" spans="1:31" ht="89.25">
      <c r="A13" s="15">
        <v>11</v>
      </c>
      <c r="B13" s="44" t="s">
        <v>127</v>
      </c>
      <c r="C13" s="2" t="s">
        <v>128</v>
      </c>
      <c r="D13" s="15">
        <v>6254773</v>
      </c>
      <c r="E13" s="16">
        <v>46031</v>
      </c>
      <c r="F13" s="18">
        <v>46023</v>
      </c>
      <c r="G13" s="47" t="s">
        <v>129</v>
      </c>
      <c r="H13" s="16">
        <v>46038</v>
      </c>
      <c r="I13" s="39" t="s">
        <v>48</v>
      </c>
      <c r="J13" s="36" t="s">
        <v>130</v>
      </c>
      <c r="K13" s="43" t="s">
        <v>131</v>
      </c>
      <c r="L13" s="23">
        <v>5758</v>
      </c>
      <c r="M13" s="23">
        <v>5758</v>
      </c>
      <c r="N13" s="14"/>
      <c r="O13" s="14">
        <v>7486</v>
      </c>
      <c r="P13" s="31">
        <v>0.76916911568260748</v>
      </c>
      <c r="Q13" s="37">
        <v>0.2137</v>
      </c>
      <c r="R13" s="41" t="s">
        <v>51</v>
      </c>
      <c r="S13" s="53">
        <v>645613</v>
      </c>
      <c r="T13" s="56" t="s">
        <v>39</v>
      </c>
      <c r="U13" s="11">
        <v>46091</v>
      </c>
      <c r="V13" s="22">
        <v>46060</v>
      </c>
      <c r="W13" s="22">
        <v>46425</v>
      </c>
      <c r="X13" s="18">
        <v>46023</v>
      </c>
      <c r="Y13" s="42" t="s">
        <v>132</v>
      </c>
      <c r="Z13" s="2" t="s">
        <v>63</v>
      </c>
      <c r="AA13" s="2" t="s">
        <v>133</v>
      </c>
      <c r="AB13" s="16">
        <v>46041</v>
      </c>
      <c r="AC13" s="2" t="s">
        <v>43</v>
      </c>
      <c r="AD13" s="3" t="s">
        <v>134</v>
      </c>
      <c r="AE13" s="1"/>
    </row>
    <row r="14" spans="1:31" ht="89.25">
      <c r="A14" s="15">
        <v>12</v>
      </c>
      <c r="B14" s="44" t="s">
        <v>135</v>
      </c>
      <c r="C14" s="2" t="s">
        <v>136</v>
      </c>
      <c r="D14" s="15">
        <v>6254783</v>
      </c>
      <c r="E14" s="16">
        <v>46031</v>
      </c>
      <c r="F14" s="18">
        <v>46023</v>
      </c>
      <c r="G14" s="47" t="s">
        <v>137</v>
      </c>
      <c r="H14" s="16">
        <v>46038</v>
      </c>
      <c r="I14" s="39" t="s">
        <v>48</v>
      </c>
      <c r="J14" s="36" t="s">
        <v>138</v>
      </c>
      <c r="K14" s="43" t="s">
        <v>139</v>
      </c>
      <c r="L14" s="23">
        <v>155029.24</v>
      </c>
      <c r="M14" s="23">
        <v>155029.24</v>
      </c>
      <c r="N14" s="14"/>
      <c r="O14" s="14">
        <v>209630</v>
      </c>
      <c r="P14" s="31">
        <v>0.76259999999999994</v>
      </c>
      <c r="Q14" s="37">
        <v>0.74</v>
      </c>
      <c r="R14" s="41" t="s">
        <v>140</v>
      </c>
      <c r="S14" s="53">
        <v>645613</v>
      </c>
      <c r="T14" s="56" t="s">
        <v>39</v>
      </c>
      <c r="U14" s="11">
        <v>46099</v>
      </c>
      <c r="V14" s="22">
        <v>46048</v>
      </c>
      <c r="W14" s="22">
        <v>46413</v>
      </c>
      <c r="X14" s="18">
        <v>46054</v>
      </c>
      <c r="Y14" s="40" t="s">
        <v>141</v>
      </c>
      <c r="Z14" s="47" t="s">
        <v>63</v>
      </c>
      <c r="AA14" s="47" t="s">
        <v>142</v>
      </c>
      <c r="AB14" s="16">
        <v>46059</v>
      </c>
      <c r="AC14" s="2" t="s">
        <v>43</v>
      </c>
      <c r="AD14" s="3" t="s">
        <v>143</v>
      </c>
      <c r="AE14" s="1"/>
    </row>
    <row r="15" spans="1:31" ht="63.75">
      <c r="A15" s="15">
        <v>13</v>
      </c>
      <c r="B15" s="44" t="s">
        <v>135</v>
      </c>
      <c r="C15" s="2" t="s">
        <v>144</v>
      </c>
      <c r="D15" s="15">
        <v>6254797</v>
      </c>
      <c r="E15" s="16">
        <v>46031</v>
      </c>
      <c r="F15" s="18">
        <v>46023</v>
      </c>
      <c r="G15" s="47" t="s">
        <v>145</v>
      </c>
      <c r="H15" s="16">
        <v>46038</v>
      </c>
      <c r="I15" s="39" t="s">
        <v>48</v>
      </c>
      <c r="J15" s="43" t="s">
        <v>146</v>
      </c>
      <c r="K15" s="43" t="s">
        <v>147</v>
      </c>
      <c r="L15" s="23">
        <v>4839</v>
      </c>
      <c r="M15" s="23">
        <v>4839</v>
      </c>
      <c r="N15" s="14"/>
      <c r="O15" s="14"/>
      <c r="P15" s="31" t="s">
        <v>148</v>
      </c>
      <c r="Q15" s="37"/>
      <c r="R15" s="41" t="s">
        <v>51</v>
      </c>
      <c r="S15" s="53">
        <v>645613</v>
      </c>
      <c r="T15" s="38">
        <v>244757</v>
      </c>
      <c r="U15" s="11">
        <v>46107</v>
      </c>
      <c r="V15" s="22">
        <v>46048</v>
      </c>
      <c r="W15" s="22">
        <v>46413</v>
      </c>
      <c r="X15" s="18">
        <v>46082</v>
      </c>
      <c r="Y15" s="40" t="s">
        <v>141</v>
      </c>
      <c r="Z15" s="47" t="s">
        <v>63</v>
      </c>
      <c r="AA15" s="47" t="s">
        <v>142</v>
      </c>
      <c r="AB15" s="16">
        <v>46087</v>
      </c>
      <c r="AC15" s="2" t="s">
        <v>43</v>
      </c>
      <c r="AD15" s="3" t="s">
        <v>143</v>
      </c>
      <c r="AE15" s="1"/>
    </row>
    <row r="16" spans="1:31" ht="178.5">
      <c r="A16" s="15">
        <v>14</v>
      </c>
      <c r="B16" s="3" t="s">
        <v>149</v>
      </c>
      <c r="C16" s="2" t="s">
        <v>150</v>
      </c>
      <c r="D16" s="15">
        <v>6254931</v>
      </c>
      <c r="E16" s="16">
        <v>46034</v>
      </c>
      <c r="F16" s="18">
        <v>46023</v>
      </c>
      <c r="G16" s="47" t="s">
        <v>151</v>
      </c>
      <c r="H16" s="16">
        <v>46037</v>
      </c>
      <c r="I16" s="39" t="s">
        <v>48</v>
      </c>
      <c r="J16" s="33" t="s">
        <v>152</v>
      </c>
      <c r="K16" s="43" t="s">
        <v>153</v>
      </c>
      <c r="L16" s="23">
        <v>90500</v>
      </c>
      <c r="M16" s="23">
        <v>90500</v>
      </c>
      <c r="N16" s="14"/>
      <c r="O16" s="14">
        <v>306011</v>
      </c>
      <c r="P16" s="31">
        <v>0.29574100277441007</v>
      </c>
      <c r="Q16" s="37">
        <v>1.5599999999999999E-2</v>
      </c>
      <c r="R16" s="41" t="s">
        <v>51</v>
      </c>
      <c r="S16" s="53">
        <v>645613</v>
      </c>
      <c r="T16" s="56" t="s">
        <v>39</v>
      </c>
      <c r="U16" s="11">
        <v>46056</v>
      </c>
      <c r="V16" s="45" t="s">
        <v>154</v>
      </c>
      <c r="W16" s="45" t="s">
        <v>155</v>
      </c>
      <c r="X16" s="18">
        <v>46023</v>
      </c>
      <c r="Y16" s="40" t="s">
        <v>156</v>
      </c>
      <c r="Z16" s="47" t="s">
        <v>63</v>
      </c>
      <c r="AA16" s="47" t="s">
        <v>96</v>
      </c>
      <c r="AB16" s="16">
        <v>46041</v>
      </c>
      <c r="AC16" s="47" t="s">
        <v>43</v>
      </c>
      <c r="AD16" s="3" t="s">
        <v>157</v>
      </c>
      <c r="AE16" s="1"/>
    </row>
    <row r="17" spans="1:31" ht="102">
      <c r="A17" s="15">
        <v>15</v>
      </c>
      <c r="B17" s="3" t="s">
        <v>158</v>
      </c>
      <c r="C17" s="2" t="s">
        <v>159</v>
      </c>
      <c r="D17" s="15">
        <v>6256173</v>
      </c>
      <c r="E17" s="16">
        <v>46036</v>
      </c>
      <c r="F17" s="18">
        <v>46023</v>
      </c>
      <c r="G17" s="47" t="s">
        <v>160</v>
      </c>
      <c r="H17" s="16">
        <v>46038</v>
      </c>
      <c r="I17" s="39" t="s">
        <v>161</v>
      </c>
      <c r="J17" s="43" t="s">
        <v>162</v>
      </c>
      <c r="K17" s="46" t="s">
        <v>163</v>
      </c>
      <c r="L17" s="23">
        <v>125765</v>
      </c>
      <c r="M17" s="23">
        <v>125765</v>
      </c>
      <c r="N17" s="14"/>
      <c r="O17" s="14">
        <v>157523</v>
      </c>
      <c r="P17" s="31">
        <v>0.79839134602565975</v>
      </c>
      <c r="Q17" s="37">
        <v>0</v>
      </c>
      <c r="R17" s="41" t="s">
        <v>51</v>
      </c>
      <c r="S17" s="53">
        <v>645613</v>
      </c>
      <c r="T17" s="56" t="s">
        <v>39</v>
      </c>
      <c r="U17" s="11">
        <v>46129</v>
      </c>
      <c r="V17" s="22">
        <v>46050</v>
      </c>
      <c r="W17" s="22">
        <v>46387</v>
      </c>
      <c r="X17" s="18">
        <v>46023</v>
      </c>
      <c r="Y17" s="40" t="s">
        <v>164</v>
      </c>
      <c r="Z17" s="47" t="s">
        <v>63</v>
      </c>
      <c r="AA17" s="47" t="s">
        <v>106</v>
      </c>
      <c r="AB17" s="16">
        <v>46041</v>
      </c>
      <c r="AC17" s="47" t="s">
        <v>43</v>
      </c>
      <c r="AD17" s="3" t="s">
        <v>165</v>
      </c>
      <c r="AE17" s="1"/>
    </row>
    <row r="18" spans="1:31" ht="255">
      <c r="A18" s="15">
        <v>16</v>
      </c>
      <c r="B18" s="3" t="s">
        <v>166</v>
      </c>
      <c r="C18" s="2" t="s">
        <v>167</v>
      </c>
      <c r="D18" s="15">
        <v>6256185</v>
      </c>
      <c r="E18" s="16">
        <v>46036</v>
      </c>
      <c r="F18" s="18">
        <v>46023</v>
      </c>
      <c r="G18" s="47" t="s">
        <v>168</v>
      </c>
      <c r="H18" s="16">
        <v>46041</v>
      </c>
      <c r="I18" s="25" t="s">
        <v>35</v>
      </c>
      <c r="J18" s="43" t="s">
        <v>169</v>
      </c>
      <c r="K18" s="43" t="s">
        <v>170</v>
      </c>
      <c r="L18" s="23">
        <v>157264.09</v>
      </c>
      <c r="M18" s="14"/>
      <c r="N18" s="14">
        <v>20228.7</v>
      </c>
      <c r="O18" s="14">
        <v>172416</v>
      </c>
      <c r="P18" s="31">
        <v>0.91212004686340009</v>
      </c>
      <c r="Q18" s="37">
        <v>0</v>
      </c>
      <c r="R18" s="54" t="s">
        <v>171</v>
      </c>
      <c r="S18" s="53">
        <v>645613</v>
      </c>
      <c r="T18" s="56" t="s">
        <v>39</v>
      </c>
      <c r="U18" s="11">
        <v>46149</v>
      </c>
      <c r="V18" s="22">
        <v>46023</v>
      </c>
      <c r="W18" s="22">
        <v>46387</v>
      </c>
      <c r="X18" s="18">
        <v>46082</v>
      </c>
      <c r="Y18" s="40" t="s">
        <v>172</v>
      </c>
      <c r="Z18" s="47" t="s">
        <v>63</v>
      </c>
      <c r="AA18" s="47" t="s">
        <v>106</v>
      </c>
      <c r="AB18" s="16">
        <v>46111</v>
      </c>
      <c r="AC18" s="47" t="s">
        <v>43</v>
      </c>
      <c r="AD18" s="3" t="s">
        <v>173</v>
      </c>
      <c r="AE18" s="1"/>
    </row>
    <row r="19" spans="1:31" ht="153">
      <c r="A19" s="15">
        <v>17</v>
      </c>
      <c r="B19" s="3" t="s">
        <v>174</v>
      </c>
      <c r="C19" s="2" t="s">
        <v>175</v>
      </c>
      <c r="D19" s="15">
        <v>6256584</v>
      </c>
      <c r="E19" s="16">
        <v>46037</v>
      </c>
      <c r="F19" s="18">
        <v>46023</v>
      </c>
      <c r="G19" s="47" t="s">
        <v>176</v>
      </c>
      <c r="H19" s="16">
        <v>46044</v>
      </c>
      <c r="I19" s="25" t="s">
        <v>177</v>
      </c>
      <c r="J19" s="43" t="s">
        <v>178</v>
      </c>
      <c r="K19" s="66"/>
      <c r="L19" s="23">
        <v>231370</v>
      </c>
      <c r="M19" s="23">
        <v>231370</v>
      </c>
      <c r="N19" s="14"/>
      <c r="O19" s="14">
        <v>268000</v>
      </c>
      <c r="P19" s="31">
        <v>0.86332089552238811</v>
      </c>
      <c r="Q19" s="37">
        <v>0</v>
      </c>
      <c r="R19" s="41" t="s">
        <v>140</v>
      </c>
      <c r="S19" s="53">
        <v>645613</v>
      </c>
      <c r="T19" s="56" t="s">
        <v>39</v>
      </c>
      <c r="U19" s="11">
        <v>46097</v>
      </c>
      <c r="V19" s="22">
        <v>46058</v>
      </c>
      <c r="W19" s="22">
        <v>46422</v>
      </c>
      <c r="X19" s="18">
        <v>46054</v>
      </c>
      <c r="Y19" s="40" t="s">
        <v>179</v>
      </c>
      <c r="Z19" s="47" t="s">
        <v>41</v>
      </c>
      <c r="AA19" s="47" t="s">
        <v>180</v>
      </c>
      <c r="AB19" s="16">
        <v>46057</v>
      </c>
      <c r="AC19" s="2" t="s">
        <v>43</v>
      </c>
      <c r="AD19" s="3" t="s">
        <v>181</v>
      </c>
      <c r="AE19" s="1"/>
    </row>
    <row r="20" spans="1:31" ht="89.25">
      <c r="A20" s="15">
        <v>18</v>
      </c>
      <c r="B20" s="3" t="s">
        <v>182</v>
      </c>
      <c r="C20" s="2" t="s">
        <v>183</v>
      </c>
      <c r="D20" s="15">
        <v>6256994</v>
      </c>
      <c r="E20" s="16">
        <v>46038</v>
      </c>
      <c r="F20" s="18">
        <v>46023</v>
      </c>
      <c r="G20" s="47" t="s">
        <v>184</v>
      </c>
      <c r="H20" s="16">
        <v>46043</v>
      </c>
      <c r="I20" s="39" t="s">
        <v>48</v>
      </c>
      <c r="J20" s="33" t="s">
        <v>185</v>
      </c>
      <c r="K20" s="43" t="s">
        <v>186</v>
      </c>
      <c r="L20" s="23">
        <v>13970</v>
      </c>
      <c r="M20" s="23">
        <v>13970</v>
      </c>
      <c r="N20" s="14"/>
      <c r="O20" s="14">
        <v>16900</v>
      </c>
      <c r="P20" s="31">
        <v>0.8266272189349112</v>
      </c>
      <c r="Q20" s="37">
        <v>0.1065</v>
      </c>
      <c r="R20" s="41" t="s">
        <v>51</v>
      </c>
      <c r="S20" s="53">
        <v>645613</v>
      </c>
      <c r="T20" s="56" t="s">
        <v>39</v>
      </c>
      <c r="U20" s="11">
        <v>46091</v>
      </c>
      <c r="V20" s="22">
        <v>46075</v>
      </c>
      <c r="W20" s="22">
        <v>46440</v>
      </c>
      <c r="X20" s="18">
        <v>46023</v>
      </c>
      <c r="Y20" s="40" t="s">
        <v>187</v>
      </c>
      <c r="Z20" s="47" t="s">
        <v>63</v>
      </c>
      <c r="AA20" s="47" t="s">
        <v>188</v>
      </c>
      <c r="AB20" s="16">
        <v>46049</v>
      </c>
      <c r="AC20" s="2" t="s">
        <v>43</v>
      </c>
      <c r="AD20" s="3" t="s">
        <v>189</v>
      </c>
      <c r="AE20" s="1"/>
    </row>
    <row r="21" spans="1:31" ht="25.5">
      <c r="A21" s="15">
        <v>19</v>
      </c>
      <c r="B21" s="44" t="s">
        <v>190</v>
      </c>
      <c r="C21" s="2" t="s">
        <v>191</v>
      </c>
      <c r="D21" s="15">
        <v>6258185</v>
      </c>
      <c r="E21" s="16">
        <v>46042</v>
      </c>
      <c r="F21" s="18">
        <v>46023</v>
      </c>
      <c r="G21" s="47" t="s">
        <v>192</v>
      </c>
      <c r="H21" s="16">
        <v>46044</v>
      </c>
      <c r="I21" s="25" t="s">
        <v>113</v>
      </c>
      <c r="J21" s="43" t="s">
        <v>193</v>
      </c>
      <c r="K21" s="46" t="s">
        <v>194</v>
      </c>
      <c r="L21" s="23">
        <v>6413.8</v>
      </c>
      <c r="M21" s="14"/>
      <c r="N21" s="14">
        <v>825</v>
      </c>
      <c r="O21" s="14">
        <v>10700</v>
      </c>
      <c r="P21" s="31">
        <v>0.59942056074766359</v>
      </c>
      <c r="Q21" s="37">
        <v>0.6</v>
      </c>
      <c r="R21" s="41" t="s">
        <v>116</v>
      </c>
      <c r="S21" s="53">
        <v>645613</v>
      </c>
      <c r="T21" s="56" t="s">
        <v>39</v>
      </c>
      <c r="U21" s="11">
        <v>46105</v>
      </c>
      <c r="V21" s="22">
        <v>46033</v>
      </c>
      <c r="W21" s="22">
        <v>46397</v>
      </c>
      <c r="X21" s="18">
        <v>46023</v>
      </c>
      <c r="Y21" s="40" t="s">
        <v>195</v>
      </c>
      <c r="Z21" s="2" t="s">
        <v>63</v>
      </c>
      <c r="AA21" s="2" t="s">
        <v>106</v>
      </c>
      <c r="AB21" s="16">
        <v>46049</v>
      </c>
      <c r="AC21" s="2" t="s">
        <v>43</v>
      </c>
      <c r="AD21" s="3" t="s">
        <v>196</v>
      </c>
      <c r="AE21" s="1"/>
    </row>
    <row r="22" spans="1:31" ht="178.5">
      <c r="A22" s="15">
        <v>20</v>
      </c>
      <c r="B22" s="3" t="s">
        <v>197</v>
      </c>
      <c r="C22" s="2" t="s">
        <v>198</v>
      </c>
      <c r="D22" s="15">
        <v>6258206</v>
      </c>
      <c r="E22" s="16">
        <v>46042</v>
      </c>
      <c r="F22" s="18">
        <v>46023</v>
      </c>
      <c r="G22" s="47" t="s">
        <v>199</v>
      </c>
      <c r="H22" s="16">
        <v>46044</v>
      </c>
      <c r="I22" s="39" t="s">
        <v>48</v>
      </c>
      <c r="J22" s="33" t="s">
        <v>200</v>
      </c>
      <c r="K22" s="46" t="s">
        <v>201</v>
      </c>
      <c r="L22" s="23">
        <v>26300</v>
      </c>
      <c r="M22" s="23">
        <v>26300</v>
      </c>
      <c r="N22" s="14"/>
      <c r="O22" s="14">
        <v>39555</v>
      </c>
      <c r="P22" s="31">
        <v>0.66489697889015298</v>
      </c>
      <c r="Q22" s="37">
        <v>6.3200000000000006E-2</v>
      </c>
      <c r="R22" s="41" t="s">
        <v>51</v>
      </c>
      <c r="S22" s="53">
        <v>645613</v>
      </c>
      <c r="T22" s="56" t="s">
        <v>39</v>
      </c>
      <c r="U22" s="11">
        <v>46091</v>
      </c>
      <c r="V22" s="22">
        <v>45901</v>
      </c>
      <c r="W22" s="22">
        <v>46218</v>
      </c>
      <c r="X22" s="18">
        <v>46023</v>
      </c>
      <c r="Y22" s="40" t="s">
        <v>202</v>
      </c>
      <c r="Z22" s="47" t="s">
        <v>41</v>
      </c>
      <c r="AA22" s="47" t="s">
        <v>203</v>
      </c>
      <c r="AB22" s="16">
        <v>46048</v>
      </c>
      <c r="AC22" s="2" t="s">
        <v>43</v>
      </c>
      <c r="AD22" s="3" t="s">
        <v>204</v>
      </c>
      <c r="AE22" s="1"/>
    </row>
    <row r="23" spans="1:31" ht="51">
      <c r="A23" s="15">
        <v>21</v>
      </c>
      <c r="B23" s="3" t="s">
        <v>205</v>
      </c>
      <c r="C23" s="2" t="s">
        <v>206</v>
      </c>
      <c r="D23" s="15">
        <v>6258749</v>
      </c>
      <c r="E23" s="16">
        <v>46044</v>
      </c>
      <c r="F23" s="18">
        <v>46023</v>
      </c>
      <c r="G23" s="47" t="s">
        <v>207</v>
      </c>
      <c r="H23" s="16">
        <v>46052</v>
      </c>
      <c r="I23" s="39" t="s">
        <v>208</v>
      </c>
      <c r="J23" s="43" t="s">
        <v>209</v>
      </c>
      <c r="K23" s="66"/>
      <c r="L23" s="23">
        <v>336606</v>
      </c>
      <c r="M23" s="23">
        <v>336606</v>
      </c>
      <c r="N23" s="14"/>
      <c r="O23" s="14">
        <v>390000</v>
      </c>
      <c r="P23" s="31">
        <v>0.86309230769230771</v>
      </c>
      <c r="Q23" s="37" t="s">
        <v>37</v>
      </c>
      <c r="R23" s="41" t="s">
        <v>51</v>
      </c>
      <c r="S23" s="53">
        <v>645613</v>
      </c>
      <c r="T23" s="56" t="s">
        <v>39</v>
      </c>
      <c r="U23" s="11">
        <v>46091</v>
      </c>
      <c r="V23" s="22">
        <v>46036</v>
      </c>
      <c r="W23" s="22">
        <v>46400</v>
      </c>
      <c r="X23" s="18">
        <v>46054</v>
      </c>
      <c r="Y23" s="42" t="s">
        <v>210</v>
      </c>
      <c r="Z23" s="2" t="s">
        <v>41</v>
      </c>
      <c r="AA23" s="2" t="s">
        <v>87</v>
      </c>
      <c r="AB23" s="16">
        <v>46055</v>
      </c>
      <c r="AC23" s="2" t="s">
        <v>43</v>
      </c>
      <c r="AD23" s="3" t="s">
        <v>211</v>
      </c>
      <c r="AE23" s="1"/>
    </row>
    <row r="24" spans="1:31" ht="51">
      <c r="A24" s="15">
        <v>22</v>
      </c>
      <c r="B24" s="44" t="s">
        <v>212</v>
      </c>
      <c r="C24" s="2" t="s">
        <v>213</v>
      </c>
      <c r="D24" s="15">
        <v>6259044</v>
      </c>
      <c r="E24" s="16">
        <v>46044</v>
      </c>
      <c r="F24" s="18">
        <v>46023</v>
      </c>
      <c r="G24" s="47" t="s">
        <v>214</v>
      </c>
      <c r="H24" s="16">
        <v>46051</v>
      </c>
      <c r="I24" s="39" t="s">
        <v>48</v>
      </c>
      <c r="J24" s="43" t="s">
        <v>215</v>
      </c>
      <c r="K24" s="43" t="s">
        <v>216</v>
      </c>
      <c r="L24" s="23">
        <v>31213</v>
      </c>
      <c r="M24" s="23">
        <v>31213</v>
      </c>
      <c r="N24" s="14"/>
      <c r="O24" s="14">
        <v>35000</v>
      </c>
      <c r="P24" s="31">
        <v>0.89180000000000004</v>
      </c>
      <c r="Q24" s="37">
        <v>0</v>
      </c>
      <c r="R24" s="41" t="s">
        <v>51</v>
      </c>
      <c r="S24" s="53">
        <v>645613</v>
      </c>
      <c r="T24" s="56" t="s">
        <v>39</v>
      </c>
      <c r="U24" s="11">
        <v>46129</v>
      </c>
      <c r="V24" s="22">
        <v>46045</v>
      </c>
      <c r="W24" s="22">
        <v>47141</v>
      </c>
      <c r="X24" s="18">
        <v>46023</v>
      </c>
      <c r="Y24" s="42" t="s">
        <v>217</v>
      </c>
      <c r="Z24" s="2" t="s">
        <v>63</v>
      </c>
      <c r="AA24" s="2" t="s">
        <v>188</v>
      </c>
      <c r="AB24" s="16">
        <v>46052</v>
      </c>
      <c r="AC24" s="47" t="s">
        <v>43</v>
      </c>
      <c r="AD24" s="3" t="s">
        <v>218</v>
      </c>
      <c r="AE24" s="1"/>
    </row>
    <row r="25" spans="1:31" ht="51">
      <c r="A25" s="15">
        <v>23</v>
      </c>
      <c r="B25" s="44" t="s">
        <v>219</v>
      </c>
      <c r="C25" s="2" t="s">
        <v>220</v>
      </c>
      <c r="D25" s="15">
        <v>6259045</v>
      </c>
      <c r="E25" s="16">
        <v>46044</v>
      </c>
      <c r="F25" s="18">
        <v>46023</v>
      </c>
      <c r="G25" s="47" t="s">
        <v>221</v>
      </c>
      <c r="H25" s="16">
        <v>46048</v>
      </c>
      <c r="I25" s="39" t="s">
        <v>48</v>
      </c>
      <c r="J25" s="43" t="s">
        <v>222</v>
      </c>
      <c r="K25" s="43" t="s">
        <v>223</v>
      </c>
      <c r="L25" s="23">
        <v>24255</v>
      </c>
      <c r="M25" s="23">
        <v>24255</v>
      </c>
      <c r="N25" s="14"/>
      <c r="O25" s="14">
        <v>28832</v>
      </c>
      <c r="P25" s="31">
        <v>0.84125277469478354</v>
      </c>
      <c r="Q25" s="37">
        <v>0</v>
      </c>
      <c r="R25" s="41" t="s">
        <v>51</v>
      </c>
      <c r="S25" s="53">
        <v>645613</v>
      </c>
      <c r="T25" s="56" t="s">
        <v>39</v>
      </c>
      <c r="U25" s="11">
        <v>46091</v>
      </c>
      <c r="V25" s="22">
        <v>46058</v>
      </c>
      <c r="W25" s="22">
        <v>46423</v>
      </c>
      <c r="X25" s="18">
        <v>46023</v>
      </c>
      <c r="Y25" s="40" t="s">
        <v>224</v>
      </c>
      <c r="Z25" s="47" t="s">
        <v>63</v>
      </c>
      <c r="AA25" s="47" t="s">
        <v>188</v>
      </c>
      <c r="AB25" s="16">
        <v>46049</v>
      </c>
      <c r="AC25" s="47" t="s">
        <v>43</v>
      </c>
      <c r="AD25" s="3" t="s">
        <v>225</v>
      </c>
      <c r="AE25" s="1"/>
    </row>
    <row r="26" spans="1:31" ht="165.75">
      <c r="A26" s="15">
        <v>24</v>
      </c>
      <c r="B26" s="3" t="s">
        <v>226</v>
      </c>
      <c r="C26" s="2" t="s">
        <v>227</v>
      </c>
      <c r="D26" s="15">
        <v>6259712</v>
      </c>
      <c r="E26" s="16">
        <v>46048</v>
      </c>
      <c r="F26" s="18">
        <v>46023</v>
      </c>
      <c r="G26" s="47" t="s">
        <v>228</v>
      </c>
      <c r="H26" s="16">
        <v>46051</v>
      </c>
      <c r="I26" s="39" t="s">
        <v>229</v>
      </c>
      <c r="J26" s="33" t="s">
        <v>230</v>
      </c>
      <c r="K26" s="43"/>
      <c r="L26" s="23">
        <v>398491.8</v>
      </c>
      <c r="M26" s="23">
        <v>398491.8</v>
      </c>
      <c r="N26" s="14"/>
      <c r="O26" s="14">
        <v>497000</v>
      </c>
      <c r="P26" s="31">
        <v>0.80179436619718303</v>
      </c>
      <c r="Q26" s="37">
        <v>0</v>
      </c>
      <c r="R26" s="41" t="s">
        <v>51</v>
      </c>
      <c r="S26" s="53">
        <v>645613</v>
      </c>
      <c r="T26" s="56" t="s">
        <v>39</v>
      </c>
      <c r="U26" s="11">
        <v>46091</v>
      </c>
      <c r="V26" s="22">
        <v>46053</v>
      </c>
      <c r="W26" s="22">
        <v>46417</v>
      </c>
      <c r="X26" s="18">
        <v>46023</v>
      </c>
      <c r="Y26" s="42" t="s">
        <v>231</v>
      </c>
      <c r="Z26" s="2" t="s">
        <v>41</v>
      </c>
      <c r="AA26" s="2" t="s">
        <v>232</v>
      </c>
      <c r="AB26" s="16">
        <v>46052</v>
      </c>
      <c r="AC26" s="47" t="s">
        <v>43</v>
      </c>
      <c r="AD26" s="3" t="s">
        <v>233</v>
      </c>
      <c r="AE26" s="1"/>
    </row>
    <row r="27" spans="1:31" ht="89.25">
      <c r="A27" s="15">
        <v>25</v>
      </c>
      <c r="B27" s="3" t="s">
        <v>234</v>
      </c>
      <c r="C27" s="2" t="s">
        <v>235</v>
      </c>
      <c r="D27" s="15">
        <v>6259812</v>
      </c>
      <c r="E27" s="16">
        <v>46048</v>
      </c>
      <c r="F27" s="18">
        <v>46023</v>
      </c>
      <c r="G27" s="47" t="s">
        <v>236</v>
      </c>
      <c r="H27" s="16">
        <v>46052</v>
      </c>
      <c r="I27" s="39" t="s">
        <v>48</v>
      </c>
      <c r="J27" s="46" t="s">
        <v>237</v>
      </c>
      <c r="K27" s="43" t="s">
        <v>238</v>
      </c>
      <c r="L27" s="23">
        <v>5022</v>
      </c>
      <c r="M27" s="23">
        <v>5022</v>
      </c>
      <c r="N27" s="14"/>
      <c r="O27" s="14">
        <v>49999</v>
      </c>
      <c r="P27" s="31" t="s">
        <v>239</v>
      </c>
      <c r="Q27" s="37" t="s">
        <v>239</v>
      </c>
      <c r="R27" s="41" t="s">
        <v>51</v>
      </c>
      <c r="S27" s="53">
        <v>645613</v>
      </c>
      <c r="T27" s="56" t="s">
        <v>39</v>
      </c>
      <c r="U27" s="11">
        <v>46091</v>
      </c>
      <c r="V27" s="22">
        <v>46030</v>
      </c>
      <c r="W27" s="45" t="s">
        <v>240</v>
      </c>
      <c r="X27" s="18">
        <v>46054</v>
      </c>
      <c r="Y27" s="40" t="s">
        <v>241</v>
      </c>
      <c r="Z27" s="47" t="s">
        <v>63</v>
      </c>
      <c r="AA27" s="47" t="s">
        <v>180</v>
      </c>
      <c r="AB27" s="16">
        <v>46064</v>
      </c>
      <c r="AC27" s="47" t="s">
        <v>43</v>
      </c>
      <c r="AD27" s="3" t="s">
        <v>242</v>
      </c>
      <c r="AE27" s="1"/>
    </row>
    <row r="28" spans="1:31" ht="153">
      <c r="A28" s="15">
        <v>26</v>
      </c>
      <c r="B28" s="44" t="s">
        <v>243</v>
      </c>
      <c r="C28" s="2" t="s">
        <v>244</v>
      </c>
      <c r="D28" s="15">
        <v>6259923</v>
      </c>
      <c r="E28" s="16">
        <v>46049</v>
      </c>
      <c r="F28" s="18">
        <v>46023</v>
      </c>
      <c r="G28" s="47" t="s">
        <v>245</v>
      </c>
      <c r="H28" s="16">
        <v>46062</v>
      </c>
      <c r="I28" s="39" t="s">
        <v>35</v>
      </c>
      <c r="J28" s="43" t="s">
        <v>246</v>
      </c>
      <c r="K28" s="43" t="s">
        <v>247</v>
      </c>
      <c r="L28" s="23">
        <v>153514.49</v>
      </c>
      <c r="M28" s="23">
        <v>153514.49</v>
      </c>
      <c r="N28" s="14"/>
      <c r="O28" s="14">
        <v>162850</v>
      </c>
      <c r="P28" s="31">
        <v>0.94267417869204784</v>
      </c>
      <c r="Q28" s="37">
        <v>0.13389999999999999</v>
      </c>
      <c r="R28" s="41" t="s">
        <v>38</v>
      </c>
      <c r="S28" s="53">
        <v>645613</v>
      </c>
      <c r="T28" s="56" t="s">
        <v>39</v>
      </c>
      <c r="U28" s="11">
        <v>46101</v>
      </c>
      <c r="V28" s="22">
        <v>46027</v>
      </c>
      <c r="W28" s="22">
        <v>46391</v>
      </c>
      <c r="X28" s="18">
        <v>46054</v>
      </c>
      <c r="Y28" s="42" t="s">
        <v>248</v>
      </c>
      <c r="Z28" s="2" t="s">
        <v>63</v>
      </c>
      <c r="AA28" s="2" t="s">
        <v>42</v>
      </c>
      <c r="AB28" s="16">
        <v>46064</v>
      </c>
      <c r="AC28" s="2" t="s">
        <v>43</v>
      </c>
      <c r="AD28" s="3" t="s">
        <v>249</v>
      </c>
      <c r="AE28" s="1"/>
    </row>
    <row r="29" spans="1:31" ht="38.25">
      <c r="A29" s="15">
        <v>27</v>
      </c>
      <c r="B29" s="3" t="s">
        <v>250</v>
      </c>
      <c r="C29" s="2" t="s">
        <v>251</v>
      </c>
      <c r="D29" s="15">
        <v>6259931</v>
      </c>
      <c r="E29" s="16">
        <v>46049</v>
      </c>
      <c r="F29" s="18">
        <v>46023</v>
      </c>
      <c r="G29" s="47" t="s">
        <v>252</v>
      </c>
      <c r="H29" s="16">
        <v>46055</v>
      </c>
      <c r="I29" s="25" t="s">
        <v>253</v>
      </c>
      <c r="J29" s="40" t="s">
        <v>254</v>
      </c>
      <c r="K29" s="43"/>
      <c r="L29" s="23">
        <v>19600</v>
      </c>
      <c r="M29" s="23">
        <v>19600</v>
      </c>
      <c r="N29" s="14"/>
      <c r="O29" s="14">
        <v>24550</v>
      </c>
      <c r="P29" s="31">
        <v>0.79837067209775969</v>
      </c>
      <c r="Q29" s="37" t="s">
        <v>37</v>
      </c>
      <c r="R29" s="41" t="s">
        <v>255</v>
      </c>
      <c r="S29" s="53">
        <v>645613</v>
      </c>
      <c r="T29" s="56" t="s">
        <v>39</v>
      </c>
      <c r="U29" s="11">
        <v>46101</v>
      </c>
      <c r="V29" s="22">
        <v>46023</v>
      </c>
      <c r="W29" s="22">
        <v>46387</v>
      </c>
      <c r="X29" s="18">
        <v>46054</v>
      </c>
      <c r="Y29" s="40" t="s">
        <v>256</v>
      </c>
      <c r="Z29" s="47" t="s">
        <v>63</v>
      </c>
      <c r="AA29" s="47" t="s">
        <v>203</v>
      </c>
      <c r="AB29" s="16">
        <v>46057</v>
      </c>
      <c r="AC29" s="2" t="s">
        <v>43</v>
      </c>
      <c r="AD29" s="3" t="s">
        <v>257</v>
      </c>
      <c r="AE29" s="1"/>
    </row>
    <row r="30" spans="1:31" ht="76.5">
      <c r="A30" s="15">
        <v>28</v>
      </c>
      <c r="B30" s="44" t="s">
        <v>258</v>
      </c>
      <c r="C30" s="2" t="s">
        <v>259</v>
      </c>
      <c r="D30" s="15">
        <v>6260070</v>
      </c>
      <c r="E30" s="16">
        <v>46049</v>
      </c>
      <c r="F30" s="18">
        <v>46023</v>
      </c>
      <c r="G30" s="15" t="s">
        <v>260</v>
      </c>
      <c r="H30" s="16">
        <v>46055</v>
      </c>
      <c r="I30" s="39" t="s">
        <v>48</v>
      </c>
      <c r="J30" s="43" t="s">
        <v>261</v>
      </c>
      <c r="K30" s="43" t="s">
        <v>262</v>
      </c>
      <c r="L30" s="23">
        <v>14900</v>
      </c>
      <c r="M30" s="23">
        <v>14900</v>
      </c>
      <c r="N30" s="14"/>
      <c r="O30" s="14">
        <v>18930</v>
      </c>
      <c r="P30" s="31">
        <v>0.78711040676175381</v>
      </c>
      <c r="Q30" s="37">
        <v>0.79</v>
      </c>
      <c r="R30" s="41" t="s">
        <v>51</v>
      </c>
      <c r="S30" s="53">
        <v>645613</v>
      </c>
      <c r="T30" s="56" t="s">
        <v>39</v>
      </c>
      <c r="U30" s="11">
        <v>46091</v>
      </c>
      <c r="V30" s="22">
        <v>45975</v>
      </c>
      <c r="W30" s="22">
        <v>46387</v>
      </c>
      <c r="X30" s="18">
        <v>46054</v>
      </c>
      <c r="Y30" s="40" t="s">
        <v>263</v>
      </c>
      <c r="Z30" s="47" t="s">
        <v>63</v>
      </c>
      <c r="AA30" s="47" t="s">
        <v>264</v>
      </c>
      <c r="AB30" s="16">
        <v>46059</v>
      </c>
      <c r="AC30" s="47" t="s">
        <v>43</v>
      </c>
      <c r="AD30" s="3" t="s">
        <v>265</v>
      </c>
      <c r="AE30" s="1"/>
    </row>
    <row r="31" spans="1:31" ht="89.25">
      <c r="A31" s="15">
        <v>29</v>
      </c>
      <c r="B31" s="44" t="s">
        <v>266</v>
      </c>
      <c r="C31" s="2" t="s">
        <v>267</v>
      </c>
      <c r="D31" s="15">
        <v>6260632</v>
      </c>
      <c r="E31" s="16">
        <v>46051</v>
      </c>
      <c r="F31" s="18">
        <v>46023</v>
      </c>
      <c r="G31" s="47" t="s">
        <v>268</v>
      </c>
      <c r="H31" s="16">
        <v>46057</v>
      </c>
      <c r="I31" s="25" t="s">
        <v>269</v>
      </c>
      <c r="J31" s="43" t="s">
        <v>270</v>
      </c>
      <c r="K31" s="43"/>
      <c r="L31" s="23">
        <v>96000</v>
      </c>
      <c r="M31" s="23">
        <v>96000</v>
      </c>
      <c r="N31" s="14"/>
      <c r="O31" s="14">
        <v>112000</v>
      </c>
      <c r="P31" s="31">
        <v>0.8571428571428571</v>
      </c>
      <c r="Q31" s="37" t="s">
        <v>37</v>
      </c>
      <c r="R31" s="41" t="s">
        <v>38</v>
      </c>
      <c r="S31" s="53">
        <v>645613</v>
      </c>
      <c r="T31" s="56" t="s">
        <v>39</v>
      </c>
      <c r="U31" s="11">
        <v>46128</v>
      </c>
      <c r="V31" s="22">
        <v>46054</v>
      </c>
      <c r="W31" s="22">
        <v>46418</v>
      </c>
      <c r="X31" s="18">
        <v>46054</v>
      </c>
      <c r="Y31" s="40" t="s">
        <v>271</v>
      </c>
      <c r="Z31" s="47" t="s">
        <v>63</v>
      </c>
      <c r="AA31" s="47" t="s">
        <v>106</v>
      </c>
      <c r="AB31" s="16">
        <v>46057</v>
      </c>
      <c r="AC31" s="2" t="s">
        <v>43</v>
      </c>
      <c r="AD31" s="3" t="s">
        <v>272</v>
      </c>
      <c r="AE31" s="1"/>
    </row>
    <row r="32" spans="1:31" ht="114.75">
      <c r="A32" s="15">
        <v>30</v>
      </c>
      <c r="B32" s="3" t="s">
        <v>273</v>
      </c>
      <c r="C32" s="3" t="s">
        <v>274</v>
      </c>
      <c r="D32" s="15">
        <v>6260641</v>
      </c>
      <c r="E32" s="16">
        <v>46051</v>
      </c>
      <c r="F32" s="18">
        <v>46023</v>
      </c>
      <c r="G32" s="47" t="s">
        <v>275</v>
      </c>
      <c r="H32" s="16">
        <v>46056</v>
      </c>
      <c r="I32" s="39" t="s">
        <v>48</v>
      </c>
      <c r="J32" s="33" t="s">
        <v>276</v>
      </c>
      <c r="K32" s="43" t="s">
        <v>223</v>
      </c>
      <c r="L32" s="23">
        <v>60546</v>
      </c>
      <c r="M32" s="23">
        <v>60546</v>
      </c>
      <c r="N32" s="14"/>
      <c r="O32" s="14">
        <v>67273</v>
      </c>
      <c r="P32" s="31">
        <v>0.90000445944138063</v>
      </c>
      <c r="Q32" s="37">
        <v>0.9</v>
      </c>
      <c r="R32" s="41" t="s">
        <v>51</v>
      </c>
      <c r="S32" s="53">
        <v>645613</v>
      </c>
      <c r="T32" s="56" t="s">
        <v>39</v>
      </c>
      <c r="U32" s="11">
        <v>46129</v>
      </c>
      <c r="V32" s="22">
        <v>46068</v>
      </c>
      <c r="W32" s="22">
        <v>46798</v>
      </c>
      <c r="X32" s="18">
        <v>46054</v>
      </c>
      <c r="Y32" s="42" t="s">
        <v>277</v>
      </c>
      <c r="Z32" s="2" t="s">
        <v>63</v>
      </c>
      <c r="AA32" s="2" t="s">
        <v>278</v>
      </c>
      <c r="AB32" s="16">
        <v>46078</v>
      </c>
      <c r="AC32" s="2" t="s">
        <v>43</v>
      </c>
      <c r="AD32" s="3" t="s">
        <v>279</v>
      </c>
      <c r="AE32" s="21" t="s">
        <v>56</v>
      </c>
    </row>
    <row r="33" spans="1:31" ht="51">
      <c r="A33" s="15">
        <v>31</v>
      </c>
      <c r="B33" s="44" t="s">
        <v>280</v>
      </c>
      <c r="C33" s="2" t="s">
        <v>281</v>
      </c>
      <c r="D33" s="15">
        <v>6260892</v>
      </c>
      <c r="E33" s="16">
        <v>46051</v>
      </c>
      <c r="F33" s="18">
        <v>46023</v>
      </c>
      <c r="G33" s="47" t="s">
        <v>282</v>
      </c>
      <c r="H33" s="16">
        <v>46055</v>
      </c>
      <c r="I33" s="39" t="s">
        <v>48</v>
      </c>
      <c r="J33" s="43" t="s">
        <v>283</v>
      </c>
      <c r="K33" s="43" t="s">
        <v>223</v>
      </c>
      <c r="L33" s="23">
        <v>22862</v>
      </c>
      <c r="M33" s="23">
        <v>22862</v>
      </c>
      <c r="N33" s="14"/>
      <c r="O33" s="14">
        <v>38990</v>
      </c>
      <c r="P33" s="31">
        <v>0.58635547576301617</v>
      </c>
      <c r="Q33" s="37">
        <v>0</v>
      </c>
      <c r="R33" s="41" t="s">
        <v>51</v>
      </c>
      <c r="S33" s="53">
        <v>645613</v>
      </c>
      <c r="T33" s="56" t="s">
        <v>39</v>
      </c>
      <c r="U33" s="11">
        <v>46108</v>
      </c>
      <c r="V33" s="22">
        <v>46099</v>
      </c>
      <c r="W33" s="22">
        <v>46464</v>
      </c>
      <c r="X33" s="18">
        <v>46054</v>
      </c>
      <c r="Y33" s="40" t="s">
        <v>284</v>
      </c>
      <c r="Z33" s="2" t="s">
        <v>63</v>
      </c>
      <c r="AA33" s="2" t="s">
        <v>142</v>
      </c>
      <c r="AB33" s="16">
        <v>46064</v>
      </c>
      <c r="AC33" s="2" t="s">
        <v>43</v>
      </c>
      <c r="AD33" s="3" t="s">
        <v>285</v>
      </c>
      <c r="AE33" s="1"/>
    </row>
    <row r="34" spans="1:31" ht="51">
      <c r="A34" s="15">
        <v>32</v>
      </c>
      <c r="B34" s="44" t="s">
        <v>89</v>
      </c>
      <c r="C34" s="2" t="s">
        <v>286</v>
      </c>
      <c r="D34" s="15">
        <v>6262192</v>
      </c>
      <c r="E34" s="16">
        <v>46056</v>
      </c>
      <c r="F34" s="18">
        <v>46054</v>
      </c>
      <c r="G34" s="47" t="s">
        <v>287</v>
      </c>
      <c r="H34" s="16">
        <v>46057</v>
      </c>
      <c r="I34" s="39" t="s">
        <v>288</v>
      </c>
      <c r="J34" s="43" t="s">
        <v>289</v>
      </c>
      <c r="K34" s="43"/>
      <c r="L34" s="23">
        <v>54179.199999999997</v>
      </c>
      <c r="M34" s="23">
        <v>54179.199999999997</v>
      </c>
      <c r="N34" s="14"/>
      <c r="O34" s="14">
        <v>74600</v>
      </c>
      <c r="P34" s="31">
        <v>0.72626273458445034</v>
      </c>
      <c r="Q34" s="37" t="s">
        <v>37</v>
      </c>
      <c r="R34" s="41" t="s">
        <v>290</v>
      </c>
      <c r="S34" s="53">
        <v>645613</v>
      </c>
      <c r="T34" s="56" t="s">
        <v>39</v>
      </c>
      <c r="U34" s="11">
        <v>46105</v>
      </c>
      <c r="V34" s="22">
        <v>46055</v>
      </c>
      <c r="W34" s="45">
        <v>46785</v>
      </c>
      <c r="X34" s="18">
        <v>46054</v>
      </c>
      <c r="Y34" s="40" t="s">
        <v>291</v>
      </c>
      <c r="Z34" s="47" t="s">
        <v>63</v>
      </c>
      <c r="AA34" s="47" t="s">
        <v>75</v>
      </c>
      <c r="AB34" s="16">
        <v>46059</v>
      </c>
      <c r="AC34" s="2" t="s">
        <v>43</v>
      </c>
      <c r="AD34" s="3" t="s">
        <v>292</v>
      </c>
      <c r="AE34" s="1"/>
    </row>
    <row r="35" spans="1:31" ht="63.75">
      <c r="A35" s="15">
        <v>33</v>
      </c>
      <c r="B35" s="3" t="s">
        <v>293</v>
      </c>
      <c r="C35" s="3" t="s">
        <v>294</v>
      </c>
      <c r="D35" s="15">
        <v>6262346</v>
      </c>
      <c r="E35" s="16">
        <v>46056</v>
      </c>
      <c r="F35" s="18">
        <v>46054</v>
      </c>
      <c r="G35" s="47" t="s">
        <v>295</v>
      </c>
      <c r="H35" s="16">
        <v>46058</v>
      </c>
      <c r="I35" s="39" t="s">
        <v>113</v>
      </c>
      <c r="J35" s="43" t="s">
        <v>296</v>
      </c>
      <c r="K35" s="43" t="s">
        <v>297</v>
      </c>
      <c r="L35" s="23">
        <v>5990.08</v>
      </c>
      <c r="M35" s="14"/>
      <c r="N35" s="14">
        <v>767.96</v>
      </c>
      <c r="O35" s="14"/>
      <c r="P35" s="31" t="s">
        <v>298</v>
      </c>
      <c r="Q35" s="37"/>
      <c r="R35" s="41" t="s">
        <v>116</v>
      </c>
      <c r="S35" s="53">
        <v>645613</v>
      </c>
      <c r="T35" s="58" t="s">
        <v>73</v>
      </c>
      <c r="U35" s="11">
        <v>46154</v>
      </c>
      <c r="V35" s="22">
        <v>45870</v>
      </c>
      <c r="W35" s="22">
        <v>46234</v>
      </c>
      <c r="X35" s="18">
        <v>46082</v>
      </c>
      <c r="Y35" s="40" t="s">
        <v>299</v>
      </c>
      <c r="Z35" s="47" t="s">
        <v>63</v>
      </c>
      <c r="AA35" s="44" t="s">
        <v>300</v>
      </c>
      <c r="AB35" s="16">
        <v>46087</v>
      </c>
      <c r="AC35" s="2" t="s">
        <v>43</v>
      </c>
      <c r="AD35" s="61" t="s">
        <v>301</v>
      </c>
      <c r="AE35" s="21" t="s">
        <v>302</v>
      </c>
    </row>
    <row r="36" spans="1:31" ht="229.5">
      <c r="A36" s="15">
        <v>34</v>
      </c>
      <c r="B36" s="3" t="s">
        <v>303</v>
      </c>
      <c r="C36" s="2" t="s">
        <v>304</v>
      </c>
      <c r="D36" s="15">
        <v>6262383</v>
      </c>
      <c r="E36" s="16">
        <v>46056</v>
      </c>
      <c r="F36" s="18">
        <v>46054</v>
      </c>
      <c r="G36" s="47" t="s">
        <v>305</v>
      </c>
      <c r="H36" s="16">
        <v>46057</v>
      </c>
      <c r="I36" s="39" t="s">
        <v>48</v>
      </c>
      <c r="J36" s="33" t="s">
        <v>306</v>
      </c>
      <c r="K36" s="43" t="s">
        <v>307</v>
      </c>
      <c r="L36" s="23">
        <v>4500</v>
      </c>
      <c r="M36" s="23">
        <v>4500</v>
      </c>
      <c r="N36" s="14"/>
      <c r="O36" s="14">
        <v>5400</v>
      </c>
      <c r="P36" s="31">
        <v>0.83333333333333337</v>
      </c>
      <c r="Q36" s="37">
        <v>0.1111</v>
      </c>
      <c r="R36" s="41" t="s">
        <v>140</v>
      </c>
      <c r="S36" s="53">
        <v>645613</v>
      </c>
      <c r="T36" s="56" t="s">
        <v>39</v>
      </c>
      <c r="U36" s="11">
        <v>46169</v>
      </c>
      <c r="V36" s="22">
        <v>46031</v>
      </c>
      <c r="W36" s="22">
        <v>46396</v>
      </c>
      <c r="X36" s="18">
        <v>46082</v>
      </c>
      <c r="Y36" s="40" t="s">
        <v>308</v>
      </c>
      <c r="Z36" s="47" t="s">
        <v>63</v>
      </c>
      <c r="AA36" s="47" t="s">
        <v>142</v>
      </c>
      <c r="AB36" s="16">
        <v>46097</v>
      </c>
      <c r="AC36" s="2" t="s">
        <v>43</v>
      </c>
      <c r="AD36" s="61" t="s">
        <v>309</v>
      </c>
      <c r="AE36" s="1"/>
    </row>
    <row r="37" spans="1:31" ht="102">
      <c r="A37" s="15">
        <v>35</v>
      </c>
      <c r="B37" s="44" t="s">
        <v>310</v>
      </c>
      <c r="C37" s="2" t="s">
        <v>311</v>
      </c>
      <c r="D37" s="15">
        <v>6262769</v>
      </c>
      <c r="E37" s="16">
        <v>46057</v>
      </c>
      <c r="F37" s="18">
        <v>46054</v>
      </c>
      <c r="G37" s="47" t="s">
        <v>312</v>
      </c>
      <c r="H37" s="16">
        <v>46065</v>
      </c>
      <c r="I37" s="25" t="s">
        <v>208</v>
      </c>
      <c r="J37" s="43" t="s">
        <v>313</v>
      </c>
      <c r="K37" s="43"/>
      <c r="L37" s="23">
        <v>518984</v>
      </c>
      <c r="M37" s="23">
        <v>518984</v>
      </c>
      <c r="N37" s="14"/>
      <c r="O37" s="14">
        <v>637527</v>
      </c>
      <c r="P37" s="31">
        <v>0.81405807126600127</v>
      </c>
      <c r="Q37" s="37">
        <v>0</v>
      </c>
      <c r="R37" s="41" t="s">
        <v>51</v>
      </c>
      <c r="S37" s="53">
        <v>645613</v>
      </c>
      <c r="T37" s="56" t="s">
        <v>39</v>
      </c>
      <c r="U37" s="11">
        <v>46108</v>
      </c>
      <c r="V37" s="22">
        <v>46110</v>
      </c>
      <c r="W37" s="22">
        <v>46840</v>
      </c>
      <c r="X37" s="18">
        <v>46082</v>
      </c>
      <c r="Y37" s="40" t="s">
        <v>314</v>
      </c>
      <c r="Z37" s="2" t="s">
        <v>41</v>
      </c>
      <c r="AA37" s="2" t="s">
        <v>315</v>
      </c>
      <c r="AB37" s="16">
        <v>46084</v>
      </c>
      <c r="AC37" s="2" t="s">
        <v>43</v>
      </c>
      <c r="AD37" s="61" t="s">
        <v>316</v>
      </c>
      <c r="AE37" s="1"/>
    </row>
    <row r="38" spans="1:31" ht="89.25">
      <c r="A38" s="15">
        <v>36</v>
      </c>
      <c r="B38" s="3" t="s">
        <v>317</v>
      </c>
      <c r="C38" s="2" t="s">
        <v>318</v>
      </c>
      <c r="D38" s="15">
        <v>6262781</v>
      </c>
      <c r="E38" s="16">
        <v>46057</v>
      </c>
      <c r="F38" s="18">
        <v>46054</v>
      </c>
      <c r="G38" s="47" t="s">
        <v>319</v>
      </c>
      <c r="H38" s="16">
        <v>46058</v>
      </c>
      <c r="I38" s="39" t="s">
        <v>48</v>
      </c>
      <c r="J38" s="33" t="s">
        <v>320</v>
      </c>
      <c r="K38" s="46" t="s">
        <v>321</v>
      </c>
      <c r="L38" s="23">
        <v>51533</v>
      </c>
      <c r="M38" s="23">
        <v>51533</v>
      </c>
      <c r="N38" s="14"/>
      <c r="O38" s="14">
        <v>89850</v>
      </c>
      <c r="P38" s="31">
        <v>0.57354479688369508</v>
      </c>
      <c r="Q38" s="37">
        <v>0.05</v>
      </c>
      <c r="R38" s="41" t="s">
        <v>51</v>
      </c>
      <c r="S38" s="53">
        <v>645613</v>
      </c>
      <c r="T38" s="56" t="s">
        <v>39</v>
      </c>
      <c r="U38" s="11">
        <v>46129</v>
      </c>
      <c r="V38" s="22">
        <v>46112</v>
      </c>
      <c r="W38" s="22">
        <v>47208</v>
      </c>
      <c r="X38" s="18">
        <v>46054</v>
      </c>
      <c r="Y38" s="40" t="s">
        <v>322</v>
      </c>
      <c r="Z38" s="47" t="s">
        <v>63</v>
      </c>
      <c r="AA38" s="47" t="s">
        <v>142</v>
      </c>
      <c r="AB38" s="16">
        <v>46064</v>
      </c>
      <c r="AC38" s="2" t="s">
        <v>43</v>
      </c>
      <c r="AD38" s="61" t="s">
        <v>323</v>
      </c>
      <c r="AE38" s="1"/>
    </row>
    <row r="39" spans="1:31" ht="38.25">
      <c r="A39" s="15">
        <v>37</v>
      </c>
      <c r="B39" s="44" t="s">
        <v>324</v>
      </c>
      <c r="C39" s="2" t="s">
        <v>325</v>
      </c>
      <c r="D39" s="15">
        <v>6262789</v>
      </c>
      <c r="E39" s="16">
        <v>46057</v>
      </c>
      <c r="F39" s="18">
        <v>46054</v>
      </c>
      <c r="G39" s="47" t="s">
        <v>326</v>
      </c>
      <c r="H39" s="16">
        <v>46064</v>
      </c>
      <c r="I39" s="39" t="s">
        <v>48</v>
      </c>
      <c r="J39" s="46" t="s">
        <v>327</v>
      </c>
      <c r="K39" s="43" t="s">
        <v>328</v>
      </c>
      <c r="L39" s="23">
        <v>4374</v>
      </c>
      <c r="M39" s="23">
        <v>4374</v>
      </c>
      <c r="N39" s="14"/>
      <c r="O39" s="14">
        <v>12552</v>
      </c>
      <c r="P39" s="31">
        <v>0.34847036328871894</v>
      </c>
      <c r="Q39" s="37">
        <v>0</v>
      </c>
      <c r="R39" s="41" t="s">
        <v>329</v>
      </c>
      <c r="S39" s="53">
        <v>645613</v>
      </c>
      <c r="T39" s="56" t="s">
        <v>39</v>
      </c>
      <c r="U39" s="11">
        <v>46108</v>
      </c>
      <c r="V39" s="22">
        <v>46023</v>
      </c>
      <c r="W39" s="24">
        <v>46752</v>
      </c>
      <c r="X39" s="18">
        <v>46054</v>
      </c>
      <c r="Y39" s="40" t="s">
        <v>330</v>
      </c>
      <c r="Z39" s="47" t="s">
        <v>63</v>
      </c>
      <c r="AA39" s="47" t="s">
        <v>133</v>
      </c>
      <c r="AB39" s="16">
        <v>46080</v>
      </c>
      <c r="AC39" s="2" t="s">
        <v>43</v>
      </c>
      <c r="AD39" s="61" t="s">
        <v>331</v>
      </c>
      <c r="AE39" s="1"/>
    </row>
    <row r="40" spans="1:31" ht="51">
      <c r="A40" s="15">
        <v>38</v>
      </c>
      <c r="B40" s="44" t="s">
        <v>205</v>
      </c>
      <c r="C40" s="3" t="s">
        <v>332</v>
      </c>
      <c r="D40" s="15">
        <v>6263534</v>
      </c>
      <c r="E40" s="16">
        <v>46058</v>
      </c>
      <c r="F40" s="18">
        <v>46054</v>
      </c>
      <c r="G40" s="47" t="s">
        <v>333</v>
      </c>
      <c r="H40" s="16">
        <v>46064</v>
      </c>
      <c r="I40" s="39" t="s">
        <v>334</v>
      </c>
      <c r="J40" s="46" t="s">
        <v>335</v>
      </c>
      <c r="K40" s="43"/>
      <c r="L40" s="23">
        <v>9743</v>
      </c>
      <c r="M40" s="23">
        <v>9743</v>
      </c>
      <c r="N40" s="14"/>
      <c r="O40" s="14">
        <v>30159</v>
      </c>
      <c r="P40" s="31">
        <v>0.32305447793361847</v>
      </c>
      <c r="Q40" s="37" t="s">
        <v>37</v>
      </c>
      <c r="R40" s="41" t="s">
        <v>336</v>
      </c>
      <c r="S40" s="53">
        <v>645613</v>
      </c>
      <c r="T40" s="56" t="s">
        <v>39</v>
      </c>
      <c r="U40" s="11">
        <v>46101</v>
      </c>
      <c r="V40" s="45">
        <v>46080</v>
      </c>
      <c r="W40" s="22">
        <v>46445</v>
      </c>
      <c r="X40" s="18">
        <v>46054</v>
      </c>
      <c r="Y40" s="40" t="s">
        <v>337</v>
      </c>
      <c r="Z40" s="47" t="s">
        <v>63</v>
      </c>
      <c r="AA40" s="47" t="s">
        <v>87</v>
      </c>
      <c r="AB40" s="16">
        <v>46069</v>
      </c>
      <c r="AC40" s="2" t="s">
        <v>43</v>
      </c>
      <c r="AD40" s="3" t="s">
        <v>338</v>
      </c>
      <c r="AE40" s="1"/>
    </row>
    <row r="41" spans="1:31" ht="204">
      <c r="A41" s="15">
        <v>39</v>
      </c>
      <c r="B41" s="3" t="s">
        <v>258</v>
      </c>
      <c r="C41" s="2" t="s">
        <v>339</v>
      </c>
      <c r="D41" s="15">
        <v>6263863</v>
      </c>
      <c r="E41" s="16">
        <v>46059</v>
      </c>
      <c r="F41" s="18">
        <v>46054</v>
      </c>
      <c r="G41" s="47" t="s">
        <v>340</v>
      </c>
      <c r="H41" s="16">
        <v>46064</v>
      </c>
      <c r="I41" s="25" t="s">
        <v>253</v>
      </c>
      <c r="J41" s="46" t="s">
        <v>341</v>
      </c>
      <c r="K41" s="66"/>
      <c r="L41" s="23">
        <v>426690</v>
      </c>
      <c r="M41" s="23">
        <v>426690</v>
      </c>
      <c r="N41" s="14"/>
      <c r="O41" s="14">
        <v>492730</v>
      </c>
      <c r="P41" s="31">
        <v>0.8659712215615043</v>
      </c>
      <c r="Q41" s="37" t="s">
        <v>37</v>
      </c>
      <c r="R41" s="41" t="s">
        <v>342</v>
      </c>
      <c r="S41" s="53">
        <v>645613</v>
      </c>
      <c r="T41" s="56" t="s">
        <v>39</v>
      </c>
      <c r="U41" s="11">
        <v>46114</v>
      </c>
      <c r="V41" s="22">
        <v>46089</v>
      </c>
      <c r="W41" s="22">
        <v>46819</v>
      </c>
      <c r="X41" s="18">
        <v>46082</v>
      </c>
      <c r="Y41" s="40" t="s">
        <v>343</v>
      </c>
      <c r="Z41" s="47" t="s">
        <v>63</v>
      </c>
      <c r="AA41" s="47" t="s">
        <v>133</v>
      </c>
      <c r="AB41" s="16">
        <v>46087</v>
      </c>
      <c r="AC41" s="2" t="s">
        <v>43</v>
      </c>
      <c r="AD41" s="61" t="s">
        <v>344</v>
      </c>
      <c r="AE41" s="1"/>
    </row>
    <row r="42" spans="1:31" ht="63.75">
      <c r="A42" s="15">
        <v>40</v>
      </c>
      <c r="B42" s="3" t="s">
        <v>345</v>
      </c>
      <c r="C42" s="2" t="s">
        <v>346</v>
      </c>
      <c r="D42" s="15">
        <v>6264538</v>
      </c>
      <c r="E42" s="16">
        <v>46062</v>
      </c>
      <c r="F42" s="18">
        <v>46054</v>
      </c>
      <c r="G42" s="47" t="s">
        <v>347</v>
      </c>
      <c r="H42" s="16">
        <v>46066</v>
      </c>
      <c r="I42" s="25" t="s">
        <v>113</v>
      </c>
      <c r="J42" s="46" t="s">
        <v>348</v>
      </c>
      <c r="K42" s="46" t="s">
        <v>349</v>
      </c>
      <c r="L42" s="23">
        <v>3562.81</v>
      </c>
      <c r="M42" s="14"/>
      <c r="N42" s="14">
        <v>456.77</v>
      </c>
      <c r="O42" s="14">
        <v>4710</v>
      </c>
      <c r="P42" s="31">
        <v>0.75643524416135877</v>
      </c>
      <c r="Q42" s="37">
        <v>0.76</v>
      </c>
      <c r="R42" s="41" t="s">
        <v>116</v>
      </c>
      <c r="S42" s="53">
        <v>645613</v>
      </c>
      <c r="T42" s="56" t="s">
        <v>39</v>
      </c>
      <c r="U42" s="11">
        <v>46104</v>
      </c>
      <c r="V42" s="22">
        <v>46063</v>
      </c>
      <c r="W42" s="22">
        <v>46427</v>
      </c>
      <c r="X42" s="18">
        <v>46054</v>
      </c>
      <c r="Y42" s="40" t="s">
        <v>350</v>
      </c>
      <c r="Z42" s="47" t="s">
        <v>63</v>
      </c>
      <c r="AA42" s="47" t="s">
        <v>188</v>
      </c>
      <c r="AB42" s="16">
        <v>46076</v>
      </c>
      <c r="AC42" s="2" t="s">
        <v>43</v>
      </c>
      <c r="AD42" s="61" t="s">
        <v>351</v>
      </c>
      <c r="AE42" s="1"/>
    </row>
    <row r="43" spans="1:31" ht="89.25">
      <c r="A43" s="15">
        <v>41</v>
      </c>
      <c r="B43" s="3" t="s">
        <v>352</v>
      </c>
      <c r="C43" s="2" t="s">
        <v>353</v>
      </c>
      <c r="D43" s="15">
        <v>6264926</v>
      </c>
      <c r="E43" s="16">
        <v>46063</v>
      </c>
      <c r="F43" s="18">
        <v>46054</v>
      </c>
      <c r="G43" s="47" t="s">
        <v>354</v>
      </c>
      <c r="H43" s="16">
        <v>46069</v>
      </c>
      <c r="I43" s="39" t="s">
        <v>48</v>
      </c>
      <c r="J43" s="33" t="s">
        <v>355</v>
      </c>
      <c r="K43" s="43" t="s">
        <v>356</v>
      </c>
      <c r="L43" s="23">
        <v>27277</v>
      </c>
      <c r="M43" s="23">
        <v>27277</v>
      </c>
      <c r="N43" s="14"/>
      <c r="O43" s="14">
        <v>42961</v>
      </c>
      <c r="P43" s="31">
        <v>0.63492469914573679</v>
      </c>
      <c r="Q43" s="37">
        <v>0.06</v>
      </c>
      <c r="R43" s="41" t="s">
        <v>140</v>
      </c>
      <c r="S43" s="53">
        <v>645613</v>
      </c>
      <c r="T43" s="56" t="s">
        <v>39</v>
      </c>
      <c r="U43" s="11">
        <v>46146</v>
      </c>
      <c r="V43" s="22">
        <v>46098</v>
      </c>
      <c r="W43" s="22">
        <v>46463</v>
      </c>
      <c r="X43" s="18">
        <v>46082</v>
      </c>
      <c r="Y43" s="40" t="s">
        <v>357</v>
      </c>
      <c r="Z43" s="47" t="s">
        <v>63</v>
      </c>
      <c r="AA43" s="47" t="s">
        <v>133</v>
      </c>
      <c r="AB43" s="16">
        <v>46097</v>
      </c>
      <c r="AC43" s="2" t="s">
        <v>43</v>
      </c>
      <c r="AD43" s="61" t="s">
        <v>358</v>
      </c>
      <c r="AE43" s="1"/>
    </row>
    <row r="44" spans="1:31" ht="114.75">
      <c r="A44" s="15">
        <v>42</v>
      </c>
      <c r="B44" s="3" t="s">
        <v>359</v>
      </c>
      <c r="C44" s="2" t="s">
        <v>360</v>
      </c>
      <c r="D44" s="15">
        <v>6264931</v>
      </c>
      <c r="E44" s="16">
        <v>46063</v>
      </c>
      <c r="F44" s="18">
        <v>46054</v>
      </c>
      <c r="G44" s="47" t="s">
        <v>361</v>
      </c>
      <c r="H44" s="16">
        <v>46066</v>
      </c>
      <c r="I44" s="25" t="s">
        <v>362</v>
      </c>
      <c r="J44" s="43" t="s">
        <v>363</v>
      </c>
      <c r="K44" s="43"/>
      <c r="L44" s="23">
        <v>75600</v>
      </c>
      <c r="M44" s="23">
        <v>75600</v>
      </c>
      <c r="N44" s="14"/>
      <c r="O44" s="14">
        <v>102980</v>
      </c>
      <c r="P44" s="31">
        <v>0.73412313070499124</v>
      </c>
      <c r="Q44" s="37" t="s">
        <v>37</v>
      </c>
      <c r="R44" s="41" t="s">
        <v>51</v>
      </c>
      <c r="S44" s="53">
        <v>645613</v>
      </c>
      <c r="T44" s="56" t="s">
        <v>39</v>
      </c>
      <c r="U44" s="11">
        <v>46150</v>
      </c>
      <c r="V44" s="22">
        <v>46103</v>
      </c>
      <c r="W44" s="22">
        <v>47198</v>
      </c>
      <c r="X44" s="18">
        <v>46054</v>
      </c>
      <c r="Y44" s="40" t="s">
        <v>364</v>
      </c>
      <c r="Z44" s="47" t="s">
        <v>63</v>
      </c>
      <c r="AA44" s="47" t="s">
        <v>142</v>
      </c>
      <c r="AB44" s="16">
        <v>46077</v>
      </c>
      <c r="AC44" s="2" t="s">
        <v>43</v>
      </c>
      <c r="AD44" s="61" t="s">
        <v>365</v>
      </c>
      <c r="AE44" s="1"/>
    </row>
    <row r="45" spans="1:31" ht="153">
      <c r="A45" s="15">
        <v>43</v>
      </c>
      <c r="B45" s="44" t="s">
        <v>366</v>
      </c>
      <c r="C45" s="2" t="s">
        <v>367</v>
      </c>
      <c r="D45" s="15">
        <v>6265745</v>
      </c>
      <c r="E45" s="16">
        <v>46065</v>
      </c>
      <c r="F45" s="18">
        <v>46054</v>
      </c>
      <c r="G45" s="47" t="s">
        <v>368</v>
      </c>
      <c r="H45" s="16">
        <v>46065</v>
      </c>
      <c r="I45" s="39" t="s">
        <v>48</v>
      </c>
      <c r="J45" s="33" t="s">
        <v>369</v>
      </c>
      <c r="K45" s="43" t="s">
        <v>370</v>
      </c>
      <c r="L45" s="23">
        <v>69499</v>
      </c>
      <c r="M45" s="23">
        <v>69499</v>
      </c>
      <c r="N45" s="14"/>
      <c r="O45" s="14">
        <v>86450</v>
      </c>
      <c r="P45" s="31">
        <v>0.80392134181607866</v>
      </c>
      <c r="Q45" s="37">
        <v>7.0000000000000007E-2</v>
      </c>
      <c r="R45" s="41" t="s">
        <v>51</v>
      </c>
      <c r="S45" s="53">
        <v>645613</v>
      </c>
      <c r="T45" s="56" t="s">
        <v>39</v>
      </c>
      <c r="U45" s="11">
        <v>46175</v>
      </c>
      <c r="V45" s="45" t="s">
        <v>371</v>
      </c>
      <c r="W45" s="45" t="s">
        <v>372</v>
      </c>
      <c r="X45" s="18">
        <v>46054</v>
      </c>
      <c r="Y45" s="40" t="s">
        <v>373</v>
      </c>
      <c r="Z45" s="2" t="s">
        <v>63</v>
      </c>
      <c r="AA45" s="2" t="s">
        <v>374</v>
      </c>
      <c r="AB45" s="16">
        <v>46076</v>
      </c>
      <c r="AC45" s="2" t="s">
        <v>43</v>
      </c>
      <c r="AD45" s="61" t="s">
        <v>375</v>
      </c>
      <c r="AE45" s="21" t="s">
        <v>56</v>
      </c>
    </row>
    <row r="46" spans="1:31" ht="89.25">
      <c r="A46" s="15">
        <v>44</v>
      </c>
      <c r="B46" s="44" t="s">
        <v>376</v>
      </c>
      <c r="C46" s="2" t="s">
        <v>377</v>
      </c>
      <c r="D46" s="15">
        <v>6266361</v>
      </c>
      <c r="E46" s="16">
        <v>46066</v>
      </c>
      <c r="F46" s="18">
        <v>46054</v>
      </c>
      <c r="G46" s="47" t="s">
        <v>378</v>
      </c>
      <c r="H46" s="16">
        <v>46069</v>
      </c>
      <c r="I46" s="39" t="s">
        <v>48</v>
      </c>
      <c r="J46" s="33" t="s">
        <v>379</v>
      </c>
      <c r="K46" s="43" t="s">
        <v>380</v>
      </c>
      <c r="L46" s="23">
        <v>10782</v>
      </c>
      <c r="M46" s="23">
        <v>10782</v>
      </c>
      <c r="N46" s="14"/>
      <c r="O46" s="14">
        <v>12800</v>
      </c>
      <c r="P46" s="31">
        <v>0.84234374999999995</v>
      </c>
      <c r="Q46" s="37">
        <v>6.25E-2</v>
      </c>
      <c r="R46" s="41" t="s">
        <v>51</v>
      </c>
      <c r="S46" s="53">
        <v>645613</v>
      </c>
      <c r="T46" s="56" t="s">
        <v>39</v>
      </c>
      <c r="U46" s="11">
        <v>46129</v>
      </c>
      <c r="V46" s="22">
        <v>46074</v>
      </c>
      <c r="W46" s="22">
        <v>46439</v>
      </c>
      <c r="X46" s="18">
        <v>46054</v>
      </c>
      <c r="Y46" s="40" t="s">
        <v>381</v>
      </c>
      <c r="Z46" s="47" t="s">
        <v>63</v>
      </c>
      <c r="AA46" s="47" t="s">
        <v>188</v>
      </c>
      <c r="AB46" s="16">
        <v>46076</v>
      </c>
      <c r="AC46" s="2" t="s">
        <v>43</v>
      </c>
      <c r="AD46" s="61" t="s">
        <v>382</v>
      </c>
      <c r="AE46" s="1"/>
    </row>
    <row r="47" spans="1:31" ht="89.25">
      <c r="A47" s="15">
        <v>45</v>
      </c>
      <c r="B47" s="2" t="s">
        <v>66</v>
      </c>
      <c r="C47" s="2" t="s">
        <v>383</v>
      </c>
      <c r="D47" s="15">
        <v>6266606</v>
      </c>
      <c r="E47" s="16">
        <v>46069</v>
      </c>
      <c r="F47" s="18">
        <v>46054</v>
      </c>
      <c r="G47" s="47" t="s">
        <v>384</v>
      </c>
      <c r="H47" s="16">
        <v>46073</v>
      </c>
      <c r="I47" s="39" t="s">
        <v>48</v>
      </c>
      <c r="J47" s="43" t="s">
        <v>385</v>
      </c>
      <c r="K47" s="68" t="s">
        <v>386</v>
      </c>
      <c r="L47" s="23">
        <v>148759.01999999999</v>
      </c>
      <c r="M47" s="23">
        <v>148759.01999999999</v>
      </c>
      <c r="N47" s="14"/>
      <c r="O47" s="14">
        <v>235000</v>
      </c>
      <c r="P47" s="31">
        <v>0.6330171063829787</v>
      </c>
      <c r="Q47" s="37">
        <v>0.13320000000000001</v>
      </c>
      <c r="R47" s="41" t="s">
        <v>140</v>
      </c>
      <c r="S47" s="53">
        <v>645613</v>
      </c>
      <c r="T47" s="56" t="s">
        <v>39</v>
      </c>
      <c r="U47" s="11">
        <v>46107</v>
      </c>
      <c r="V47" s="22">
        <v>46080</v>
      </c>
      <c r="W47" s="22">
        <v>46445</v>
      </c>
      <c r="X47" s="18">
        <v>46082</v>
      </c>
      <c r="Y47" s="42" t="s">
        <v>387</v>
      </c>
      <c r="Z47" s="2" t="s">
        <v>63</v>
      </c>
      <c r="AA47" s="2" t="s">
        <v>96</v>
      </c>
      <c r="AB47" s="16">
        <v>46097</v>
      </c>
      <c r="AC47" s="2" t="s">
        <v>43</v>
      </c>
      <c r="AD47" s="61" t="s">
        <v>388</v>
      </c>
      <c r="AE47" s="21" t="s">
        <v>56</v>
      </c>
    </row>
    <row r="48" spans="1:31" ht="114.75">
      <c r="A48" s="15">
        <v>46</v>
      </c>
      <c r="B48" s="3" t="s">
        <v>389</v>
      </c>
      <c r="C48" s="2" t="s">
        <v>390</v>
      </c>
      <c r="D48" s="15">
        <v>6267119</v>
      </c>
      <c r="E48" s="16">
        <v>46076</v>
      </c>
      <c r="F48" s="18">
        <v>46054</v>
      </c>
      <c r="G48" s="47" t="s">
        <v>391</v>
      </c>
      <c r="H48" s="16">
        <v>46076</v>
      </c>
      <c r="I48" s="25" t="s">
        <v>392</v>
      </c>
      <c r="J48" s="65" t="s">
        <v>393</v>
      </c>
      <c r="K48" s="43" t="s">
        <v>394</v>
      </c>
      <c r="L48" s="23">
        <v>45000</v>
      </c>
      <c r="M48" s="23">
        <v>45000</v>
      </c>
      <c r="N48" s="14"/>
      <c r="O48" s="14">
        <v>653594</v>
      </c>
      <c r="P48" s="31" t="s">
        <v>239</v>
      </c>
      <c r="Q48" s="37">
        <v>0</v>
      </c>
      <c r="R48" s="64" t="s">
        <v>395</v>
      </c>
      <c r="S48" s="53">
        <v>645613</v>
      </c>
      <c r="T48" s="57" t="s">
        <v>39</v>
      </c>
      <c r="U48" s="11">
        <v>46086</v>
      </c>
      <c r="V48" s="45" t="s">
        <v>396</v>
      </c>
      <c r="W48" s="22">
        <v>46387</v>
      </c>
      <c r="X48" s="18">
        <v>46054</v>
      </c>
      <c r="Y48" s="40" t="s">
        <v>397</v>
      </c>
      <c r="Z48" s="47" t="s">
        <v>63</v>
      </c>
      <c r="AA48" s="47" t="s">
        <v>315</v>
      </c>
      <c r="AB48" s="16">
        <v>46076</v>
      </c>
      <c r="AC48" s="2" t="s">
        <v>43</v>
      </c>
      <c r="AD48" s="61" t="s">
        <v>398</v>
      </c>
      <c r="AE48" s="1"/>
    </row>
    <row r="49" spans="1:31" ht="25.5">
      <c r="A49" s="15">
        <v>47</v>
      </c>
      <c r="B49" s="44" t="s">
        <v>399</v>
      </c>
      <c r="C49" s="2" t="s">
        <v>400</v>
      </c>
      <c r="D49" s="15">
        <v>6266884</v>
      </c>
      <c r="E49" s="16">
        <v>46073</v>
      </c>
      <c r="F49" s="18">
        <v>46054</v>
      </c>
      <c r="G49" s="47" t="s">
        <v>401</v>
      </c>
      <c r="H49" s="16">
        <v>46080</v>
      </c>
      <c r="I49" s="39" t="s">
        <v>113</v>
      </c>
      <c r="J49" s="43" t="s">
        <v>402</v>
      </c>
      <c r="K49" s="43" t="s">
        <v>403</v>
      </c>
      <c r="L49" s="23">
        <v>2111.62</v>
      </c>
      <c r="M49" s="14"/>
      <c r="N49" s="14">
        <v>270.72000000000003</v>
      </c>
      <c r="O49" s="14">
        <v>57358</v>
      </c>
      <c r="P49" s="31">
        <v>3.6814742494508175E-2</v>
      </c>
      <c r="Q49" s="37">
        <v>0.04</v>
      </c>
      <c r="R49" s="41" t="s">
        <v>116</v>
      </c>
      <c r="S49" s="53">
        <v>645613</v>
      </c>
      <c r="T49" s="56" t="s">
        <v>39</v>
      </c>
      <c r="U49" s="11">
        <v>46146</v>
      </c>
      <c r="V49" s="22">
        <v>46107</v>
      </c>
      <c r="W49" s="22">
        <v>46471</v>
      </c>
      <c r="X49" s="18">
        <v>46082</v>
      </c>
      <c r="Y49" s="40" t="s">
        <v>404</v>
      </c>
      <c r="Z49" s="47" t="s">
        <v>63</v>
      </c>
      <c r="AA49" s="47" t="s">
        <v>188</v>
      </c>
      <c r="AB49" s="16">
        <v>46085</v>
      </c>
      <c r="AC49" s="2" t="s">
        <v>43</v>
      </c>
      <c r="AD49" s="61" t="s">
        <v>405</v>
      </c>
      <c r="AE49" s="1"/>
    </row>
    <row r="50" spans="1:31" ht="76.5">
      <c r="A50" s="15">
        <v>48</v>
      </c>
      <c r="B50" s="44" t="s">
        <v>406</v>
      </c>
      <c r="C50" s="2" t="s">
        <v>407</v>
      </c>
      <c r="D50" s="15">
        <v>6267406</v>
      </c>
      <c r="E50" s="16">
        <v>46076</v>
      </c>
      <c r="F50" s="18">
        <v>46054</v>
      </c>
      <c r="G50" s="47" t="s">
        <v>408</v>
      </c>
      <c r="H50" s="16">
        <v>46079</v>
      </c>
      <c r="I50" s="39" t="s">
        <v>409</v>
      </c>
      <c r="J50" s="43" t="s">
        <v>410</v>
      </c>
      <c r="K50" s="66"/>
      <c r="L50" s="23">
        <v>62653.5</v>
      </c>
      <c r="M50" s="14"/>
      <c r="N50" s="14">
        <v>8032.5</v>
      </c>
      <c r="O50" s="14">
        <v>71654</v>
      </c>
      <c r="P50" s="31">
        <v>0.87438942696848743</v>
      </c>
      <c r="Q50" s="37" t="s">
        <v>37</v>
      </c>
      <c r="R50" s="41" t="s">
        <v>116</v>
      </c>
      <c r="S50" s="53">
        <v>645613</v>
      </c>
      <c r="T50" s="56" t="s">
        <v>39</v>
      </c>
      <c r="U50" s="11">
        <v>46146</v>
      </c>
      <c r="V50" s="22">
        <v>46085</v>
      </c>
      <c r="W50" s="22">
        <v>46449</v>
      </c>
      <c r="X50" s="18">
        <v>46082</v>
      </c>
      <c r="Y50" s="40" t="s">
        <v>411</v>
      </c>
      <c r="Z50" s="47" t="s">
        <v>63</v>
      </c>
      <c r="AA50" s="47" t="s">
        <v>106</v>
      </c>
      <c r="AB50" s="16">
        <v>46083</v>
      </c>
      <c r="AC50" s="47" t="s">
        <v>43</v>
      </c>
      <c r="AD50" s="61" t="s">
        <v>412</v>
      </c>
      <c r="AE50" s="1"/>
    </row>
    <row r="51" spans="1:31" ht="102">
      <c r="A51" s="15">
        <v>49</v>
      </c>
      <c r="B51" s="44" t="s">
        <v>310</v>
      </c>
      <c r="C51" s="2" t="s">
        <v>413</v>
      </c>
      <c r="D51" s="15">
        <v>6267962</v>
      </c>
      <c r="E51" s="16">
        <v>46078</v>
      </c>
      <c r="F51" s="18">
        <v>46054</v>
      </c>
      <c r="G51" s="47" t="s">
        <v>414</v>
      </c>
      <c r="H51" s="16">
        <v>46083</v>
      </c>
      <c r="I51" s="39" t="s">
        <v>48</v>
      </c>
      <c r="J51" s="43" t="s">
        <v>415</v>
      </c>
      <c r="K51" s="43" t="s">
        <v>416</v>
      </c>
      <c r="L51" s="23">
        <v>38754</v>
      </c>
      <c r="M51" s="23">
        <v>38754</v>
      </c>
      <c r="N51" s="14"/>
      <c r="O51" s="14">
        <v>53631</v>
      </c>
      <c r="P51" s="31">
        <v>0.72260446383621413</v>
      </c>
      <c r="Q51" s="37">
        <v>0.13420000000000001</v>
      </c>
      <c r="R51" s="41" t="s">
        <v>329</v>
      </c>
      <c r="S51" s="53">
        <v>645613</v>
      </c>
      <c r="T51" s="56" t="s">
        <v>39</v>
      </c>
      <c r="U51" s="11">
        <v>46175</v>
      </c>
      <c r="V51" s="22">
        <v>46163</v>
      </c>
      <c r="W51" s="22">
        <v>46527</v>
      </c>
      <c r="X51" s="18">
        <v>46143</v>
      </c>
      <c r="Y51" s="40" t="s">
        <v>417</v>
      </c>
      <c r="Z51" s="2" t="s">
        <v>63</v>
      </c>
      <c r="AA51" s="2" t="s">
        <v>315</v>
      </c>
      <c r="AB51" s="16">
        <v>46156</v>
      </c>
      <c r="AC51" s="47" t="s">
        <v>43</v>
      </c>
      <c r="AD51" s="61" t="s">
        <v>418</v>
      </c>
      <c r="AE51" s="1"/>
    </row>
    <row r="52" spans="1:31" ht="51">
      <c r="A52" s="15">
        <v>50</v>
      </c>
      <c r="B52" s="3" t="s">
        <v>258</v>
      </c>
      <c r="C52" s="2" t="s">
        <v>419</v>
      </c>
      <c r="D52" s="15">
        <v>6268003</v>
      </c>
      <c r="E52" s="16">
        <v>46078</v>
      </c>
      <c r="F52" s="18">
        <v>46054</v>
      </c>
      <c r="G52" s="47" t="s">
        <v>420</v>
      </c>
      <c r="H52" s="16">
        <v>46079</v>
      </c>
      <c r="I52" s="25" t="s">
        <v>288</v>
      </c>
      <c r="J52" s="43" t="s">
        <v>421</v>
      </c>
      <c r="K52" s="43"/>
      <c r="L52" s="23">
        <v>10427.98</v>
      </c>
      <c r="M52" s="23">
        <v>10427.98</v>
      </c>
      <c r="N52" s="14"/>
      <c r="O52" s="14">
        <v>10240</v>
      </c>
      <c r="P52" s="31" t="s">
        <v>71</v>
      </c>
      <c r="Q52" s="37" t="s">
        <v>37</v>
      </c>
      <c r="R52" s="41" t="s">
        <v>290</v>
      </c>
      <c r="S52" s="53">
        <v>645613</v>
      </c>
      <c r="T52" s="56" t="s">
        <v>39</v>
      </c>
      <c r="U52" s="11">
        <v>46161</v>
      </c>
      <c r="V52" s="22">
        <v>46023</v>
      </c>
      <c r="W52" s="22">
        <v>46387</v>
      </c>
      <c r="X52" s="18">
        <v>46082</v>
      </c>
      <c r="Y52" s="40" t="s">
        <v>422</v>
      </c>
      <c r="Z52" s="47" t="s">
        <v>63</v>
      </c>
      <c r="AA52" s="47" t="s">
        <v>133</v>
      </c>
      <c r="AB52" s="16">
        <v>46087</v>
      </c>
      <c r="AC52" s="47" t="s">
        <v>43</v>
      </c>
      <c r="AD52" s="61" t="s">
        <v>423</v>
      </c>
      <c r="AE52" s="1"/>
    </row>
    <row r="53" spans="1:31" ht="140.25">
      <c r="A53" s="15">
        <v>51</v>
      </c>
      <c r="B53" s="3" t="s">
        <v>258</v>
      </c>
      <c r="C53" s="2" t="s">
        <v>419</v>
      </c>
      <c r="D53" s="15">
        <v>6268007</v>
      </c>
      <c r="E53" s="16">
        <v>46078</v>
      </c>
      <c r="F53" s="18">
        <v>46054</v>
      </c>
      <c r="G53" s="47" t="s">
        <v>424</v>
      </c>
      <c r="H53" s="16">
        <v>46079</v>
      </c>
      <c r="I53" s="25" t="s">
        <v>288</v>
      </c>
      <c r="J53" s="43" t="s">
        <v>425</v>
      </c>
      <c r="K53" s="66"/>
      <c r="L53" s="23">
        <v>41273.480000000003</v>
      </c>
      <c r="M53" s="23">
        <v>41273.480000000003</v>
      </c>
      <c r="N53" s="14"/>
      <c r="O53" s="14">
        <v>49830</v>
      </c>
      <c r="P53" s="31">
        <v>0.82828577162352002</v>
      </c>
      <c r="Q53" s="37" t="s">
        <v>37</v>
      </c>
      <c r="R53" s="41" t="s">
        <v>290</v>
      </c>
      <c r="S53" s="53">
        <v>645613</v>
      </c>
      <c r="T53" s="56" t="s">
        <v>39</v>
      </c>
      <c r="U53" s="11">
        <v>46161</v>
      </c>
      <c r="V53" s="45" t="s">
        <v>426</v>
      </c>
      <c r="W53" s="45" t="s">
        <v>427</v>
      </c>
      <c r="X53" s="18">
        <v>46082</v>
      </c>
      <c r="Y53" s="42" t="s">
        <v>428</v>
      </c>
      <c r="Z53" s="2" t="s">
        <v>63</v>
      </c>
      <c r="AA53" s="2" t="s">
        <v>133</v>
      </c>
      <c r="AB53" s="16">
        <v>46097</v>
      </c>
      <c r="AC53" s="47" t="s">
        <v>43</v>
      </c>
      <c r="AD53" s="61" t="s">
        <v>423</v>
      </c>
      <c r="AE53" s="1"/>
    </row>
    <row r="54" spans="1:31" ht="191.25">
      <c r="A54" s="15">
        <v>52</v>
      </c>
      <c r="B54" s="44" t="s">
        <v>243</v>
      </c>
      <c r="C54" s="2" t="s">
        <v>429</v>
      </c>
      <c r="D54" s="15">
        <v>6268147</v>
      </c>
      <c r="E54" s="16">
        <v>46078</v>
      </c>
      <c r="F54" s="18">
        <v>46054</v>
      </c>
      <c r="G54" s="47" t="s">
        <v>430</v>
      </c>
      <c r="H54" s="16">
        <v>46085</v>
      </c>
      <c r="I54" s="39" t="s">
        <v>431</v>
      </c>
      <c r="J54" s="43" t="s">
        <v>432</v>
      </c>
      <c r="K54" s="66"/>
      <c r="L54" s="23">
        <v>41710</v>
      </c>
      <c r="M54" s="23">
        <v>41710</v>
      </c>
      <c r="N54" s="14"/>
      <c r="O54" s="14">
        <v>41710</v>
      </c>
      <c r="P54" s="31">
        <v>1</v>
      </c>
      <c r="Q54" s="37">
        <v>0</v>
      </c>
      <c r="R54" s="41" t="s">
        <v>433</v>
      </c>
      <c r="S54" s="53">
        <v>645613</v>
      </c>
      <c r="T54" s="56" t="s">
        <v>39</v>
      </c>
      <c r="U54" s="51"/>
      <c r="V54" s="45" t="s">
        <v>434</v>
      </c>
      <c r="W54" s="45" t="s">
        <v>434</v>
      </c>
      <c r="X54" s="67"/>
      <c r="Y54" s="42" t="s">
        <v>435</v>
      </c>
      <c r="Z54" s="2" t="s">
        <v>63</v>
      </c>
      <c r="AA54" s="2" t="s">
        <v>42</v>
      </c>
      <c r="AB54" s="28"/>
      <c r="AC54" s="2" t="s">
        <v>436</v>
      </c>
      <c r="AD54" s="61" t="s">
        <v>437</v>
      </c>
      <c r="AE54" s="21" t="s">
        <v>438</v>
      </c>
    </row>
    <row r="55" spans="1:31" ht="229.5">
      <c r="A55" s="15">
        <v>53</v>
      </c>
      <c r="B55" s="3" t="s">
        <v>439</v>
      </c>
      <c r="C55" s="3" t="s">
        <v>440</v>
      </c>
      <c r="D55" s="15">
        <v>6268699</v>
      </c>
      <c r="E55" s="16">
        <v>46079</v>
      </c>
      <c r="F55" s="18">
        <v>46054</v>
      </c>
      <c r="G55" s="47" t="s">
        <v>441</v>
      </c>
      <c r="H55" s="16">
        <v>46083</v>
      </c>
      <c r="I55" s="39" t="s">
        <v>48</v>
      </c>
      <c r="J55" s="33" t="s">
        <v>442</v>
      </c>
      <c r="K55" s="43" t="s">
        <v>443</v>
      </c>
      <c r="L55" s="23">
        <v>238800</v>
      </c>
      <c r="M55" s="23">
        <v>238800</v>
      </c>
      <c r="N55" s="14"/>
      <c r="O55" s="14">
        <v>259999</v>
      </c>
      <c r="P55" s="31">
        <v>0.91846507101950392</v>
      </c>
      <c r="Q55" s="37">
        <v>0.03</v>
      </c>
      <c r="R55" s="41" t="s">
        <v>51</v>
      </c>
      <c r="S55" s="53">
        <v>645613</v>
      </c>
      <c r="T55" s="56" t="s">
        <v>39</v>
      </c>
      <c r="U55" s="11">
        <v>46108</v>
      </c>
      <c r="V55" s="45" t="s">
        <v>444</v>
      </c>
      <c r="W55" s="22">
        <v>47087</v>
      </c>
      <c r="X55" s="18">
        <v>46082</v>
      </c>
      <c r="Y55" s="40" t="s">
        <v>445</v>
      </c>
      <c r="Z55" s="47" t="s">
        <v>41</v>
      </c>
      <c r="AA55" s="47" t="s">
        <v>96</v>
      </c>
      <c r="AB55" s="16">
        <v>46086</v>
      </c>
      <c r="AC55" s="2" t="s">
        <v>43</v>
      </c>
      <c r="AD55" s="61" t="s">
        <v>446</v>
      </c>
      <c r="AE55" s="21" t="s">
        <v>56</v>
      </c>
    </row>
    <row r="56" spans="1:31" ht="89.25">
      <c r="A56" s="15">
        <v>54</v>
      </c>
      <c r="B56" s="44" t="s">
        <v>447</v>
      </c>
      <c r="C56" s="2" t="s">
        <v>448</v>
      </c>
      <c r="D56" s="15">
        <v>6268702</v>
      </c>
      <c r="E56" s="16">
        <v>46079</v>
      </c>
      <c r="F56" s="18">
        <v>46054</v>
      </c>
      <c r="G56" s="47" t="s">
        <v>449</v>
      </c>
      <c r="H56" s="16">
        <v>46080</v>
      </c>
      <c r="I56" s="39" t="s">
        <v>48</v>
      </c>
      <c r="J56" s="43" t="s">
        <v>450</v>
      </c>
      <c r="K56" s="43" t="s">
        <v>380</v>
      </c>
      <c r="L56" s="23">
        <v>10960</v>
      </c>
      <c r="M56" s="23">
        <v>10960</v>
      </c>
      <c r="N56" s="14"/>
      <c r="O56" s="14">
        <v>12900</v>
      </c>
      <c r="P56" s="31">
        <v>0.84961240310077524</v>
      </c>
      <c r="Q56" s="37">
        <v>6.2E-2</v>
      </c>
      <c r="R56" s="41" t="s">
        <v>51</v>
      </c>
      <c r="S56" s="53">
        <v>645613</v>
      </c>
      <c r="T56" s="56" t="s">
        <v>39</v>
      </c>
      <c r="U56" s="11">
        <v>46108</v>
      </c>
      <c r="V56" s="22">
        <v>46093</v>
      </c>
      <c r="W56" s="22">
        <v>46458</v>
      </c>
      <c r="X56" s="18">
        <v>46082</v>
      </c>
      <c r="Y56" s="42" t="s">
        <v>451</v>
      </c>
      <c r="Z56" s="2" t="s">
        <v>63</v>
      </c>
      <c r="AA56" s="2" t="s">
        <v>188</v>
      </c>
      <c r="AB56" s="16">
        <v>46084</v>
      </c>
      <c r="AC56" s="2" t="s">
        <v>43</v>
      </c>
      <c r="AD56" s="61" t="s">
        <v>452</v>
      </c>
      <c r="AE56" s="1"/>
    </row>
    <row r="57" spans="1:31" ht="89.25">
      <c r="A57" s="15">
        <v>55</v>
      </c>
      <c r="B57" s="3" t="s">
        <v>453</v>
      </c>
      <c r="C57" s="2" t="s">
        <v>454</v>
      </c>
      <c r="D57" s="15">
        <v>6269416</v>
      </c>
      <c r="E57" s="16">
        <v>46083</v>
      </c>
      <c r="F57" s="18">
        <v>46082</v>
      </c>
      <c r="G57" s="47" t="s">
        <v>455</v>
      </c>
      <c r="H57" s="16">
        <v>46090</v>
      </c>
      <c r="I57" s="39" t="s">
        <v>48</v>
      </c>
      <c r="J57" s="43" t="s">
        <v>456</v>
      </c>
      <c r="K57" s="43" t="s">
        <v>380</v>
      </c>
      <c r="L57" s="23">
        <v>11780</v>
      </c>
      <c r="M57" s="23">
        <v>11780</v>
      </c>
      <c r="N57" s="14"/>
      <c r="O57" s="14">
        <v>14175</v>
      </c>
      <c r="P57" s="31">
        <v>0.83104056437389773</v>
      </c>
      <c r="Q57" s="37">
        <v>5.6399999999999999E-2</v>
      </c>
      <c r="R57" s="41" t="s">
        <v>51</v>
      </c>
      <c r="S57" s="53">
        <v>645613</v>
      </c>
      <c r="T57" s="56" t="s">
        <v>39</v>
      </c>
      <c r="U57" s="11">
        <v>46120</v>
      </c>
      <c r="V57" s="22">
        <v>46097</v>
      </c>
      <c r="W57" s="22">
        <v>46462</v>
      </c>
      <c r="X57" s="18">
        <v>46082</v>
      </c>
      <c r="Y57" s="40" t="s">
        <v>457</v>
      </c>
      <c r="Z57" s="47" t="s">
        <v>63</v>
      </c>
      <c r="AA57" s="47" t="s">
        <v>458</v>
      </c>
      <c r="AB57" s="16">
        <v>46093</v>
      </c>
      <c r="AC57" s="2" t="s">
        <v>43</v>
      </c>
      <c r="AD57" s="61" t="s">
        <v>459</v>
      </c>
      <c r="AE57" s="1"/>
    </row>
    <row r="58" spans="1:31" ht="51">
      <c r="A58" s="15">
        <v>56</v>
      </c>
      <c r="B58" s="3" t="s">
        <v>460</v>
      </c>
      <c r="C58" s="2" t="s">
        <v>461</v>
      </c>
      <c r="D58" s="15">
        <v>6269450</v>
      </c>
      <c r="E58" s="16">
        <v>46083</v>
      </c>
      <c r="F58" s="18">
        <v>46082</v>
      </c>
      <c r="G58" s="47" t="s">
        <v>462</v>
      </c>
      <c r="H58" s="16">
        <v>46084</v>
      </c>
      <c r="I58" s="25" t="s">
        <v>463</v>
      </c>
      <c r="J58" s="43" t="s">
        <v>464</v>
      </c>
      <c r="K58" s="43"/>
      <c r="L58" s="23">
        <v>49669</v>
      </c>
      <c r="M58" s="23">
        <v>49669</v>
      </c>
      <c r="N58" s="14"/>
      <c r="O58" s="14">
        <v>60575</v>
      </c>
      <c r="P58" s="31">
        <v>0.81995872884853482</v>
      </c>
      <c r="Q58" s="37" t="s">
        <v>37</v>
      </c>
      <c r="R58" s="41" t="s">
        <v>51</v>
      </c>
      <c r="S58" s="53">
        <v>645613</v>
      </c>
      <c r="T58" s="56" t="s">
        <v>39</v>
      </c>
      <c r="U58" s="11">
        <v>46129</v>
      </c>
      <c r="V58" s="22">
        <v>46106</v>
      </c>
      <c r="W58" s="22">
        <v>46470</v>
      </c>
      <c r="X58" s="18">
        <v>46082</v>
      </c>
      <c r="Y58" s="40" t="s">
        <v>465</v>
      </c>
      <c r="Z58" s="47" t="s">
        <v>63</v>
      </c>
      <c r="AA58" s="47" t="s">
        <v>466</v>
      </c>
      <c r="AB58" s="16">
        <v>46085</v>
      </c>
      <c r="AC58" s="2" t="s">
        <v>43</v>
      </c>
      <c r="AD58" s="61" t="s">
        <v>467</v>
      </c>
      <c r="AE58" s="1"/>
    </row>
    <row r="59" spans="1:31" ht="140.25">
      <c r="A59" s="15">
        <v>57</v>
      </c>
      <c r="B59" s="44" t="s">
        <v>468</v>
      </c>
      <c r="C59" s="2" t="s">
        <v>469</v>
      </c>
      <c r="D59" s="15">
        <v>6270386</v>
      </c>
      <c r="E59" s="16">
        <v>46085</v>
      </c>
      <c r="F59" s="18">
        <v>46082</v>
      </c>
      <c r="G59" s="47" t="s">
        <v>470</v>
      </c>
      <c r="H59" s="16">
        <v>46091</v>
      </c>
      <c r="I59" s="39" t="s">
        <v>35</v>
      </c>
      <c r="J59" s="46" t="s">
        <v>471</v>
      </c>
      <c r="K59" s="46" t="s">
        <v>472</v>
      </c>
      <c r="L59" s="17">
        <v>27631.35</v>
      </c>
      <c r="M59" s="17">
        <v>27631.35</v>
      </c>
      <c r="N59" s="14"/>
      <c r="O59" s="14">
        <v>31776.1</v>
      </c>
      <c r="P59" s="31">
        <v>0.86956391753550621</v>
      </c>
      <c r="Q59" s="37">
        <v>9.5000000000000001E-2</v>
      </c>
      <c r="R59" s="41" t="s">
        <v>38</v>
      </c>
      <c r="S59" s="53">
        <v>645613</v>
      </c>
      <c r="T59" s="56" t="s">
        <v>39</v>
      </c>
      <c r="U59" s="11">
        <v>46178</v>
      </c>
      <c r="V59" s="45" t="s">
        <v>473</v>
      </c>
      <c r="W59" s="22">
        <v>46513</v>
      </c>
      <c r="X59" s="18">
        <v>46082</v>
      </c>
      <c r="Y59" s="40" t="s">
        <v>474</v>
      </c>
      <c r="Z59" s="47" t="s">
        <v>63</v>
      </c>
      <c r="AA59" s="47" t="s">
        <v>475</v>
      </c>
      <c r="AB59" s="16">
        <v>46097</v>
      </c>
      <c r="AC59" s="2" t="s">
        <v>107</v>
      </c>
      <c r="AD59" s="61" t="s">
        <v>476</v>
      </c>
      <c r="AE59" s="1"/>
    </row>
    <row r="60" spans="1:31" ht="63.75">
      <c r="A60" s="15">
        <v>58</v>
      </c>
      <c r="B60" s="3" t="s">
        <v>45</v>
      </c>
      <c r="C60" s="2" t="s">
        <v>477</v>
      </c>
      <c r="D60" s="15">
        <v>6270776</v>
      </c>
      <c r="E60" s="16">
        <v>46086</v>
      </c>
      <c r="F60" s="18">
        <v>46082</v>
      </c>
      <c r="G60" s="47" t="s">
        <v>478</v>
      </c>
      <c r="H60" s="16">
        <v>46092</v>
      </c>
      <c r="I60" s="39" t="s">
        <v>48</v>
      </c>
      <c r="J60" s="43" t="s">
        <v>479</v>
      </c>
      <c r="K60" s="43" t="s">
        <v>480</v>
      </c>
      <c r="L60" s="23">
        <v>30891</v>
      </c>
      <c r="M60" s="23">
        <v>30891</v>
      </c>
      <c r="N60" s="14"/>
      <c r="O60" s="14">
        <v>40884</v>
      </c>
      <c r="P60" s="31">
        <v>0.75557675374229527</v>
      </c>
      <c r="Q60" s="37">
        <v>0.76</v>
      </c>
      <c r="R60" s="41" t="s">
        <v>51</v>
      </c>
      <c r="S60" s="53">
        <v>645613</v>
      </c>
      <c r="T60" s="56" t="s">
        <v>39</v>
      </c>
      <c r="U60" s="11">
        <v>46108</v>
      </c>
      <c r="V60" s="22">
        <v>46077</v>
      </c>
      <c r="W60" s="22">
        <v>46806</v>
      </c>
      <c r="X60" s="18">
        <v>46082</v>
      </c>
      <c r="Y60" s="42" t="s">
        <v>481</v>
      </c>
      <c r="Z60" s="2" t="s">
        <v>63</v>
      </c>
      <c r="AA60" s="2" t="s">
        <v>54</v>
      </c>
      <c r="AB60" s="16">
        <v>46101</v>
      </c>
      <c r="AC60" s="2" t="s">
        <v>43</v>
      </c>
      <c r="AD60" s="61" t="s">
        <v>482</v>
      </c>
      <c r="AE60" s="1"/>
    </row>
    <row r="61" spans="1:31" ht="25.5">
      <c r="A61" s="15">
        <v>59</v>
      </c>
      <c r="B61" s="3" t="s">
        <v>293</v>
      </c>
      <c r="C61" s="2" t="s">
        <v>483</v>
      </c>
      <c r="D61" s="15">
        <v>6271021</v>
      </c>
      <c r="E61" s="16">
        <v>46086</v>
      </c>
      <c r="F61" s="18">
        <v>46082</v>
      </c>
      <c r="G61" s="47" t="s">
        <v>484</v>
      </c>
      <c r="H61" s="16">
        <v>46094</v>
      </c>
      <c r="I61" s="39" t="s">
        <v>485</v>
      </c>
      <c r="J61" s="43" t="s">
        <v>486</v>
      </c>
      <c r="K61" s="66"/>
      <c r="L61" s="23">
        <v>892416</v>
      </c>
      <c r="M61" s="23">
        <v>892416</v>
      </c>
      <c r="N61" s="14"/>
      <c r="O61" s="14">
        <v>934016</v>
      </c>
      <c r="P61" s="31">
        <v>0.95546114841715779</v>
      </c>
      <c r="Q61" s="37" t="s">
        <v>37</v>
      </c>
      <c r="R61" s="41" t="s">
        <v>487</v>
      </c>
      <c r="S61" s="53">
        <v>645613</v>
      </c>
      <c r="T61" s="56" t="s">
        <v>39</v>
      </c>
      <c r="U61" s="11">
        <v>46218</v>
      </c>
      <c r="V61" s="22">
        <v>46143</v>
      </c>
      <c r="W61" s="22">
        <v>46507</v>
      </c>
      <c r="X61" s="18">
        <v>46174</v>
      </c>
      <c r="Y61" s="40" t="s">
        <v>488</v>
      </c>
      <c r="Z61" s="47" t="s">
        <v>41</v>
      </c>
      <c r="AA61" s="47" t="s">
        <v>106</v>
      </c>
      <c r="AB61" s="16">
        <v>46202</v>
      </c>
      <c r="AC61" s="2" t="s">
        <v>43</v>
      </c>
      <c r="AD61" s="61" t="s">
        <v>489</v>
      </c>
      <c r="AE61" s="1"/>
    </row>
    <row r="62" spans="1:31" ht="63.75">
      <c r="A62" s="15">
        <v>60</v>
      </c>
      <c r="B62" s="44" t="s">
        <v>490</v>
      </c>
      <c r="C62" s="2" t="s">
        <v>491</v>
      </c>
      <c r="D62" s="15">
        <v>6271115</v>
      </c>
      <c r="E62" s="16">
        <v>46086</v>
      </c>
      <c r="F62" s="18">
        <v>46082</v>
      </c>
      <c r="G62" s="47" t="s">
        <v>492</v>
      </c>
      <c r="H62" s="16">
        <v>46091</v>
      </c>
      <c r="I62" s="25" t="s">
        <v>463</v>
      </c>
      <c r="J62" s="43" t="s">
        <v>493</v>
      </c>
      <c r="K62" s="66"/>
      <c r="L62" s="23">
        <v>72039</v>
      </c>
      <c r="M62" s="23">
        <v>72039</v>
      </c>
      <c r="N62" s="14"/>
      <c r="O62" s="14">
        <v>77500</v>
      </c>
      <c r="P62" s="31">
        <v>0.92953548387096774</v>
      </c>
      <c r="Q62" s="37" t="s">
        <v>37</v>
      </c>
      <c r="R62" s="41" t="s">
        <v>51</v>
      </c>
      <c r="S62" s="53">
        <v>645613</v>
      </c>
      <c r="T62" s="56" t="s">
        <v>39</v>
      </c>
      <c r="U62" s="11">
        <v>46120</v>
      </c>
      <c r="V62" s="22">
        <v>46082</v>
      </c>
      <c r="W62" s="22">
        <v>46446</v>
      </c>
      <c r="X62" s="18">
        <v>46082</v>
      </c>
      <c r="Y62" s="40" t="s">
        <v>494</v>
      </c>
      <c r="Z62" s="47" t="s">
        <v>63</v>
      </c>
      <c r="AA62" s="47" t="s">
        <v>142</v>
      </c>
      <c r="AB62" s="16">
        <v>46092</v>
      </c>
      <c r="AC62" s="2" t="s">
        <v>43</v>
      </c>
      <c r="AD62" s="61" t="s">
        <v>495</v>
      </c>
      <c r="AE62" s="1"/>
    </row>
    <row r="63" spans="1:31" ht="25.5">
      <c r="A63" s="15">
        <v>61</v>
      </c>
      <c r="B63" s="3" t="s">
        <v>496</v>
      </c>
      <c r="C63" s="2" t="s">
        <v>497</v>
      </c>
      <c r="D63" s="15">
        <v>6271627</v>
      </c>
      <c r="E63" s="16">
        <v>46087</v>
      </c>
      <c r="F63" s="18">
        <v>46082</v>
      </c>
      <c r="G63" s="47" t="s">
        <v>498</v>
      </c>
      <c r="H63" s="16">
        <v>46092</v>
      </c>
      <c r="I63" s="39" t="s">
        <v>499</v>
      </c>
      <c r="J63" s="43" t="s">
        <v>500</v>
      </c>
      <c r="K63" s="43"/>
      <c r="L63" s="23">
        <v>425235</v>
      </c>
      <c r="M63" s="23">
        <v>425235</v>
      </c>
      <c r="N63" s="14"/>
      <c r="O63" s="14">
        <v>450450</v>
      </c>
      <c r="P63" s="31">
        <v>0.94402264402264402</v>
      </c>
      <c r="Q63" s="37" t="s">
        <v>37</v>
      </c>
      <c r="R63" s="41" t="s">
        <v>342</v>
      </c>
      <c r="S63" s="53">
        <v>645613</v>
      </c>
      <c r="T63" s="56" t="s">
        <v>39</v>
      </c>
      <c r="U63" s="11">
        <v>46199</v>
      </c>
      <c r="V63" s="22">
        <v>46128</v>
      </c>
      <c r="W63" s="22">
        <v>46492</v>
      </c>
      <c r="X63" s="18">
        <v>46082</v>
      </c>
      <c r="Y63" s="42" t="s">
        <v>501</v>
      </c>
      <c r="Z63" s="2" t="s">
        <v>41</v>
      </c>
      <c r="AA63" s="2" t="s">
        <v>75</v>
      </c>
      <c r="AB63" s="16">
        <v>46099</v>
      </c>
      <c r="AC63" s="2" t="s">
        <v>43</v>
      </c>
      <c r="AD63" s="61" t="s">
        <v>502</v>
      </c>
      <c r="AE63" s="1"/>
    </row>
    <row r="64" spans="1:31" ht="51">
      <c r="A64" s="15">
        <v>62</v>
      </c>
      <c r="B64" s="3" t="s">
        <v>503</v>
      </c>
      <c r="C64" s="2" t="s">
        <v>504</v>
      </c>
      <c r="D64" s="15">
        <v>6273755</v>
      </c>
      <c r="E64" s="16">
        <v>46093</v>
      </c>
      <c r="F64" s="18">
        <v>46082</v>
      </c>
      <c r="G64" s="47" t="s">
        <v>505</v>
      </c>
      <c r="H64" s="16">
        <v>46097</v>
      </c>
      <c r="I64" s="25" t="s">
        <v>269</v>
      </c>
      <c r="J64" s="40" t="s">
        <v>506</v>
      </c>
      <c r="K64" s="43"/>
      <c r="L64" s="23">
        <v>30131.25</v>
      </c>
      <c r="M64" s="23">
        <v>30131.25</v>
      </c>
      <c r="N64" s="14"/>
      <c r="O64" s="14">
        <v>37980</v>
      </c>
      <c r="P64" s="31">
        <v>0.79334518167456558</v>
      </c>
      <c r="Q64" s="37" t="s">
        <v>37</v>
      </c>
      <c r="R64" s="41" t="s">
        <v>38</v>
      </c>
      <c r="S64" s="53">
        <v>645613</v>
      </c>
      <c r="T64" s="56" t="s">
        <v>39</v>
      </c>
      <c r="U64" s="11">
        <v>46161</v>
      </c>
      <c r="V64" s="22">
        <v>46101</v>
      </c>
      <c r="W64" s="22">
        <v>46465</v>
      </c>
      <c r="X64" s="18">
        <v>46082</v>
      </c>
      <c r="Y64" s="40" t="s">
        <v>507</v>
      </c>
      <c r="Z64" s="47" t="s">
        <v>63</v>
      </c>
      <c r="AA64" s="47" t="s">
        <v>142</v>
      </c>
      <c r="AB64" s="16">
        <v>46099</v>
      </c>
      <c r="AC64" s="2" t="s">
        <v>43</v>
      </c>
      <c r="AD64" s="61" t="s">
        <v>508</v>
      </c>
      <c r="AE64" s="1"/>
    </row>
    <row r="65" spans="1:30" ht="267.75">
      <c r="A65" s="15">
        <v>63</v>
      </c>
      <c r="B65" s="3" t="s">
        <v>509</v>
      </c>
      <c r="C65" s="3" t="s">
        <v>510</v>
      </c>
      <c r="D65" s="15">
        <v>6273762</v>
      </c>
      <c r="E65" s="16">
        <v>46093</v>
      </c>
      <c r="F65" s="18">
        <v>46082</v>
      </c>
      <c r="G65" s="47" t="s">
        <v>511</v>
      </c>
      <c r="H65" s="16">
        <v>46100</v>
      </c>
      <c r="I65" s="25" t="s">
        <v>512</v>
      </c>
      <c r="J65" s="43" t="s">
        <v>513</v>
      </c>
      <c r="K65" s="43" t="s">
        <v>514</v>
      </c>
      <c r="L65" s="23">
        <v>417876.81</v>
      </c>
      <c r="M65" s="14"/>
      <c r="N65" s="14">
        <v>53442.400000000001</v>
      </c>
      <c r="O65" s="14">
        <v>495000</v>
      </c>
      <c r="P65" s="31" t="s">
        <v>239</v>
      </c>
      <c r="Q65" s="37" t="s">
        <v>37</v>
      </c>
      <c r="R65" s="41" t="s">
        <v>116</v>
      </c>
      <c r="S65" s="53">
        <v>645613</v>
      </c>
      <c r="T65" s="56" t="s">
        <v>39</v>
      </c>
      <c r="U65" s="11">
        <v>46146</v>
      </c>
      <c r="V65" s="22">
        <v>46104</v>
      </c>
      <c r="W65" s="22">
        <v>46468</v>
      </c>
      <c r="X65" s="18">
        <v>46082</v>
      </c>
      <c r="Y65" s="40" t="s">
        <v>515</v>
      </c>
      <c r="Z65" s="47" t="s">
        <v>63</v>
      </c>
      <c r="AA65" s="47" t="s">
        <v>315</v>
      </c>
      <c r="AB65" s="16">
        <v>46104</v>
      </c>
      <c r="AC65" s="2" t="s">
        <v>43</v>
      </c>
      <c r="AD65" s="61" t="s">
        <v>516</v>
      </c>
    </row>
    <row r="66" spans="1:30" ht="114.75">
      <c r="A66" s="15">
        <v>64</v>
      </c>
      <c r="B66" s="44" t="s">
        <v>517</v>
      </c>
      <c r="C66" s="2" t="s">
        <v>518</v>
      </c>
      <c r="D66" s="15">
        <v>6274912</v>
      </c>
      <c r="E66" s="16">
        <v>46098</v>
      </c>
      <c r="F66" s="18">
        <v>46082</v>
      </c>
      <c r="G66" s="47" t="s">
        <v>519</v>
      </c>
      <c r="H66" s="16">
        <v>46101</v>
      </c>
      <c r="I66" s="25" t="s">
        <v>362</v>
      </c>
      <c r="J66" s="68" t="s">
        <v>520</v>
      </c>
      <c r="K66" s="66"/>
      <c r="L66" s="23">
        <v>22246.26</v>
      </c>
      <c r="M66" s="23">
        <v>22246.26</v>
      </c>
      <c r="N66" s="14"/>
      <c r="O66" s="14">
        <v>25500</v>
      </c>
      <c r="P66" s="31">
        <v>0.87240235294117641</v>
      </c>
      <c r="Q66" s="37" t="s">
        <v>37</v>
      </c>
      <c r="R66" s="41" t="s">
        <v>51</v>
      </c>
      <c r="S66" s="53">
        <v>645613</v>
      </c>
      <c r="T66" s="56" t="s">
        <v>39</v>
      </c>
      <c r="U66" s="11">
        <v>46147</v>
      </c>
      <c r="V66" s="22">
        <v>46114</v>
      </c>
      <c r="W66" s="22">
        <v>47209</v>
      </c>
      <c r="X66" s="18">
        <v>46113</v>
      </c>
      <c r="Y66" s="40" t="s">
        <v>521</v>
      </c>
      <c r="Z66" s="47" t="s">
        <v>63</v>
      </c>
      <c r="AA66" s="47" t="s">
        <v>142</v>
      </c>
      <c r="AB66" s="16">
        <v>46126</v>
      </c>
      <c r="AC66" s="2" t="s">
        <v>43</v>
      </c>
      <c r="AD66" s="61" t="s">
        <v>522</v>
      </c>
    </row>
    <row r="67" spans="1:30" ht="114.75">
      <c r="A67" s="15">
        <v>65</v>
      </c>
      <c r="B67" s="44" t="s">
        <v>523</v>
      </c>
      <c r="C67" s="2" t="s">
        <v>524</v>
      </c>
      <c r="D67" s="15">
        <v>6275283</v>
      </c>
      <c r="E67" s="16">
        <v>46099</v>
      </c>
      <c r="F67" s="18">
        <v>46082</v>
      </c>
      <c r="G67" s="47" t="s">
        <v>525</v>
      </c>
      <c r="H67" s="16">
        <v>46101</v>
      </c>
      <c r="I67" s="39" t="s">
        <v>526</v>
      </c>
      <c r="J67" s="69" t="s">
        <v>527</v>
      </c>
      <c r="K67" s="43" t="s">
        <v>528</v>
      </c>
      <c r="L67" s="23">
        <v>155983.46</v>
      </c>
      <c r="M67" s="23">
        <v>155983.46</v>
      </c>
      <c r="N67" s="14"/>
      <c r="O67" s="14">
        <v>214319</v>
      </c>
      <c r="P67" s="31">
        <v>0.72780976021724619</v>
      </c>
      <c r="Q67" s="37">
        <v>0.73</v>
      </c>
      <c r="R67" s="41" t="s">
        <v>290</v>
      </c>
      <c r="S67" s="53">
        <v>645613</v>
      </c>
      <c r="T67" s="56" t="s">
        <v>39</v>
      </c>
      <c r="U67" s="11">
        <v>46134</v>
      </c>
      <c r="V67" s="22">
        <v>46120</v>
      </c>
      <c r="W67" s="22">
        <v>46484</v>
      </c>
      <c r="X67" s="18">
        <v>46113</v>
      </c>
      <c r="Y67" s="40" t="s">
        <v>529</v>
      </c>
      <c r="Z67" s="47" t="s">
        <v>63</v>
      </c>
      <c r="AA67" s="47" t="s">
        <v>106</v>
      </c>
      <c r="AB67" s="16">
        <v>46126</v>
      </c>
      <c r="AC67" s="2" t="s">
        <v>43</v>
      </c>
      <c r="AD67" s="61" t="s">
        <v>530</v>
      </c>
    </row>
    <row r="68" spans="1:30" ht="140.25">
      <c r="A68" s="15">
        <v>66</v>
      </c>
      <c r="B68" s="44" t="s">
        <v>523</v>
      </c>
      <c r="C68" s="2" t="s">
        <v>524</v>
      </c>
      <c r="D68" s="15">
        <v>6275295</v>
      </c>
      <c r="E68" s="16">
        <v>46099</v>
      </c>
      <c r="F68" s="18">
        <v>46082</v>
      </c>
      <c r="G68" s="47" t="s">
        <v>531</v>
      </c>
      <c r="H68" s="16">
        <v>46104</v>
      </c>
      <c r="I68" s="39" t="s">
        <v>526</v>
      </c>
      <c r="J68" s="69" t="s">
        <v>532</v>
      </c>
      <c r="K68" s="43" t="s">
        <v>533</v>
      </c>
      <c r="L68" s="23">
        <v>40819.58</v>
      </c>
      <c r="M68" s="14">
        <v>40819.58</v>
      </c>
      <c r="N68" s="14"/>
      <c r="O68" s="14">
        <v>66277</v>
      </c>
      <c r="P68" s="31">
        <v>0.61589359808078215</v>
      </c>
      <c r="Q68" s="37">
        <v>0.62</v>
      </c>
      <c r="R68" s="41" t="s">
        <v>290</v>
      </c>
      <c r="S68" s="53">
        <v>645613</v>
      </c>
      <c r="T68" s="56" t="s">
        <v>39</v>
      </c>
      <c r="U68" s="11">
        <v>46134</v>
      </c>
      <c r="V68" s="22">
        <v>46120</v>
      </c>
      <c r="W68" s="22">
        <v>46484</v>
      </c>
      <c r="X68" s="18">
        <v>46113</v>
      </c>
      <c r="Y68" s="42" t="s">
        <v>534</v>
      </c>
      <c r="Z68" s="2" t="s">
        <v>63</v>
      </c>
      <c r="AA68" s="2" t="s">
        <v>106</v>
      </c>
      <c r="AB68" s="16">
        <v>46126</v>
      </c>
      <c r="AC68" s="2" t="s">
        <v>43</v>
      </c>
      <c r="AD68" s="61" t="s">
        <v>530</v>
      </c>
    </row>
    <row r="69" spans="1:30" ht="51">
      <c r="A69" s="15">
        <v>67</v>
      </c>
      <c r="B69" s="44" t="s">
        <v>535</v>
      </c>
      <c r="C69" s="2" t="s">
        <v>536</v>
      </c>
      <c r="D69" s="15">
        <v>6275315</v>
      </c>
      <c r="E69" s="16">
        <v>46099</v>
      </c>
      <c r="F69" s="18">
        <v>46082</v>
      </c>
      <c r="G69" s="47" t="s">
        <v>537</v>
      </c>
      <c r="H69" s="16">
        <v>46107</v>
      </c>
      <c r="I69" s="39" t="s">
        <v>48</v>
      </c>
      <c r="J69" s="68" t="s">
        <v>538</v>
      </c>
      <c r="K69" s="43" t="s">
        <v>539</v>
      </c>
      <c r="L69" s="23">
        <v>40700</v>
      </c>
      <c r="M69" s="23">
        <v>40700</v>
      </c>
      <c r="N69" s="14"/>
      <c r="O69" s="14">
        <v>40736</v>
      </c>
      <c r="P69" s="31">
        <v>0.99911626080125693</v>
      </c>
      <c r="Q69" s="37" t="s">
        <v>37</v>
      </c>
      <c r="R69" s="41" t="s">
        <v>51</v>
      </c>
      <c r="S69" s="53">
        <v>645613</v>
      </c>
      <c r="T69" s="56" t="s">
        <v>39</v>
      </c>
      <c r="U69" s="11">
        <v>46147</v>
      </c>
      <c r="V69" s="22">
        <v>46039</v>
      </c>
      <c r="W69" s="22">
        <v>46404</v>
      </c>
      <c r="X69" s="18">
        <v>46113</v>
      </c>
      <c r="Y69" s="42" t="s">
        <v>540</v>
      </c>
      <c r="Z69" s="2" t="s">
        <v>63</v>
      </c>
      <c r="AA69" s="2" t="s">
        <v>42</v>
      </c>
      <c r="AB69" s="16">
        <v>46132</v>
      </c>
      <c r="AC69" s="2" t="s">
        <v>43</v>
      </c>
      <c r="AD69" s="61" t="s">
        <v>541</v>
      </c>
    </row>
    <row r="70" spans="1:30" ht="89.25">
      <c r="A70" s="15">
        <v>68</v>
      </c>
      <c r="B70" s="3" t="s">
        <v>542</v>
      </c>
      <c r="C70" s="2" t="s">
        <v>543</v>
      </c>
      <c r="D70" s="15">
        <v>6275326</v>
      </c>
      <c r="E70" s="16">
        <v>46099</v>
      </c>
      <c r="F70" s="18">
        <v>46082</v>
      </c>
      <c r="G70" s="47" t="s">
        <v>544</v>
      </c>
      <c r="H70" s="16">
        <v>46101</v>
      </c>
      <c r="I70" s="39" t="s">
        <v>48</v>
      </c>
      <c r="J70" s="69" t="s">
        <v>545</v>
      </c>
      <c r="K70" s="43" t="s">
        <v>546</v>
      </c>
      <c r="L70" s="23">
        <v>17795</v>
      </c>
      <c r="M70" s="23">
        <v>17795</v>
      </c>
      <c r="N70" s="14"/>
      <c r="O70" s="14">
        <v>35000</v>
      </c>
      <c r="P70" s="31">
        <v>0.50842857142857145</v>
      </c>
      <c r="Q70" s="37">
        <v>5.7099999999999998E-2</v>
      </c>
      <c r="R70" s="41" t="s">
        <v>51</v>
      </c>
      <c r="S70" s="53">
        <v>645613</v>
      </c>
      <c r="T70" s="56" t="s">
        <v>39</v>
      </c>
      <c r="U70" s="11">
        <v>46129</v>
      </c>
      <c r="V70" s="22">
        <v>46127</v>
      </c>
      <c r="W70" s="22">
        <v>46492</v>
      </c>
      <c r="X70" s="18">
        <v>46082</v>
      </c>
      <c r="Y70" s="40" t="s">
        <v>547</v>
      </c>
      <c r="Z70" s="47" t="s">
        <v>63</v>
      </c>
      <c r="AA70" s="47" t="s">
        <v>188</v>
      </c>
      <c r="AB70" s="16">
        <v>46105</v>
      </c>
      <c r="AC70" s="47" t="s">
        <v>43</v>
      </c>
      <c r="AD70" s="61" t="s">
        <v>548</v>
      </c>
    </row>
    <row r="71" spans="1:30" ht="89.25">
      <c r="A71" s="15">
        <v>69</v>
      </c>
      <c r="B71" s="44" t="s">
        <v>549</v>
      </c>
      <c r="C71" s="2" t="s">
        <v>550</v>
      </c>
      <c r="D71" s="15">
        <v>6275831</v>
      </c>
      <c r="E71" s="16">
        <v>46100</v>
      </c>
      <c r="F71" s="18">
        <v>46082</v>
      </c>
      <c r="G71" s="47" t="s">
        <v>551</v>
      </c>
      <c r="H71" s="16">
        <v>46106</v>
      </c>
      <c r="I71" s="39" t="s">
        <v>35</v>
      </c>
      <c r="J71" s="68" t="s">
        <v>552</v>
      </c>
      <c r="K71" s="43" t="s">
        <v>553</v>
      </c>
      <c r="L71" s="23">
        <v>68070.899999999994</v>
      </c>
      <c r="M71" s="23">
        <v>68070.899999999994</v>
      </c>
      <c r="N71" s="14"/>
      <c r="O71" s="14">
        <v>76000</v>
      </c>
      <c r="P71" s="31">
        <v>0.89566973684210516</v>
      </c>
      <c r="Q71" s="37" t="s">
        <v>37</v>
      </c>
      <c r="R71" s="41" t="s">
        <v>38</v>
      </c>
      <c r="S71" s="53">
        <v>645613</v>
      </c>
      <c r="T71" s="56" t="s">
        <v>39</v>
      </c>
      <c r="U71" s="11">
        <v>46214</v>
      </c>
      <c r="V71" s="45" t="s">
        <v>554</v>
      </c>
      <c r="W71" s="22">
        <v>46750</v>
      </c>
      <c r="X71" s="18">
        <v>46143</v>
      </c>
      <c r="Y71" s="42" t="s">
        <v>555</v>
      </c>
      <c r="Z71" s="2" t="s">
        <v>86</v>
      </c>
      <c r="AA71" s="2" t="s">
        <v>475</v>
      </c>
      <c r="AB71" s="16">
        <v>46155</v>
      </c>
      <c r="AC71" s="2" t="s">
        <v>43</v>
      </c>
      <c r="AD71" s="61" t="s">
        <v>556</v>
      </c>
    </row>
    <row r="72" spans="1:30" ht="89.25">
      <c r="A72" s="15">
        <v>70</v>
      </c>
      <c r="B72" s="3" t="s">
        <v>258</v>
      </c>
      <c r="C72" s="2" t="s">
        <v>557</v>
      </c>
      <c r="D72" s="15">
        <v>6276694</v>
      </c>
      <c r="E72" s="16">
        <v>46104</v>
      </c>
      <c r="F72" s="18">
        <v>46082</v>
      </c>
      <c r="G72" s="47" t="s">
        <v>558</v>
      </c>
      <c r="H72" s="16">
        <v>46107</v>
      </c>
      <c r="I72" s="39" t="s">
        <v>463</v>
      </c>
      <c r="J72" s="68" t="s">
        <v>559</v>
      </c>
      <c r="K72" s="66"/>
      <c r="L72" s="23">
        <v>62926</v>
      </c>
      <c r="M72" s="23">
        <v>62926</v>
      </c>
      <c r="N72" s="14"/>
      <c r="O72" s="14">
        <v>69652</v>
      </c>
      <c r="P72" s="31">
        <v>0.90343421581576988</v>
      </c>
      <c r="Q72" s="37" t="s">
        <v>37</v>
      </c>
      <c r="R72" s="41" t="s">
        <v>51</v>
      </c>
      <c r="S72" s="53">
        <v>645613</v>
      </c>
      <c r="T72" s="56" t="s">
        <v>39</v>
      </c>
      <c r="U72" s="11">
        <v>46149</v>
      </c>
      <c r="V72" s="45">
        <v>46146</v>
      </c>
      <c r="W72" s="22">
        <v>46510</v>
      </c>
      <c r="X72" s="18">
        <v>46113</v>
      </c>
      <c r="Y72" s="40" t="s">
        <v>560</v>
      </c>
      <c r="Z72" s="2" t="s">
        <v>63</v>
      </c>
      <c r="AA72" s="2" t="s">
        <v>133</v>
      </c>
      <c r="AB72" s="16">
        <v>46113</v>
      </c>
      <c r="AC72" s="2" t="s">
        <v>43</v>
      </c>
      <c r="AD72" s="61" t="s">
        <v>561</v>
      </c>
    </row>
    <row r="73" spans="1:30" ht="51">
      <c r="A73" s="15">
        <v>71</v>
      </c>
      <c r="B73" s="44" t="s">
        <v>562</v>
      </c>
      <c r="C73" s="2" t="s">
        <v>563</v>
      </c>
      <c r="D73" s="15">
        <v>6276884</v>
      </c>
      <c r="E73" s="16">
        <v>46105</v>
      </c>
      <c r="F73" s="18">
        <v>46082</v>
      </c>
      <c r="G73" s="47" t="s">
        <v>564</v>
      </c>
      <c r="H73" s="16">
        <v>46106</v>
      </c>
      <c r="I73" s="39" t="s">
        <v>208</v>
      </c>
      <c r="J73" s="70" t="s">
        <v>565</v>
      </c>
      <c r="K73" s="71"/>
      <c r="L73" s="17">
        <v>119677.64</v>
      </c>
      <c r="M73" s="17">
        <v>119677.64</v>
      </c>
      <c r="N73" s="14"/>
      <c r="O73" s="14">
        <v>155642</v>
      </c>
      <c r="P73" s="31">
        <v>0.76892895233934289</v>
      </c>
      <c r="Q73" s="37" t="s">
        <v>37</v>
      </c>
      <c r="R73" s="41" t="s">
        <v>51</v>
      </c>
      <c r="S73" s="53">
        <v>645613</v>
      </c>
      <c r="T73" s="56" t="s">
        <v>39</v>
      </c>
      <c r="U73" s="11">
        <v>46162</v>
      </c>
      <c r="V73" s="22">
        <v>46113</v>
      </c>
      <c r="W73" s="22">
        <v>46477</v>
      </c>
      <c r="X73" s="18">
        <v>46082</v>
      </c>
      <c r="Y73" s="40" t="s">
        <v>566</v>
      </c>
      <c r="Z73" s="47" t="s">
        <v>63</v>
      </c>
      <c r="AA73" s="47" t="s">
        <v>466</v>
      </c>
      <c r="AB73" s="16">
        <v>46108</v>
      </c>
      <c r="AC73" s="2" t="s">
        <v>43</v>
      </c>
      <c r="AD73" s="61" t="s">
        <v>567</v>
      </c>
    </row>
    <row r="74" spans="1:30" ht="63.75">
      <c r="A74" s="15">
        <v>72</v>
      </c>
      <c r="B74" s="3" t="s">
        <v>568</v>
      </c>
      <c r="C74" s="2" t="s">
        <v>569</v>
      </c>
      <c r="D74" s="15">
        <v>6277516</v>
      </c>
      <c r="E74" s="16">
        <v>46106</v>
      </c>
      <c r="F74" s="18">
        <v>46082</v>
      </c>
      <c r="G74" s="47" t="s">
        <v>570</v>
      </c>
      <c r="H74" s="16">
        <v>46107</v>
      </c>
      <c r="I74" s="39" t="s">
        <v>48</v>
      </c>
      <c r="J74" s="52" t="s">
        <v>571</v>
      </c>
      <c r="K74" s="43" t="s">
        <v>572</v>
      </c>
      <c r="L74" s="23">
        <v>1450</v>
      </c>
      <c r="M74" s="23">
        <v>1450</v>
      </c>
      <c r="N74" s="14"/>
      <c r="O74" s="14">
        <v>2893</v>
      </c>
      <c r="P74" s="31">
        <v>0.50120981679917043</v>
      </c>
      <c r="Q74" s="37">
        <v>0</v>
      </c>
      <c r="R74" s="41" t="s">
        <v>51</v>
      </c>
      <c r="S74" s="53">
        <v>645613</v>
      </c>
      <c r="T74" s="56" t="s">
        <v>39</v>
      </c>
      <c r="U74" s="11">
        <v>46147</v>
      </c>
      <c r="V74" s="22">
        <v>46091</v>
      </c>
      <c r="W74" s="22">
        <v>46218</v>
      </c>
      <c r="X74" s="18">
        <v>46113</v>
      </c>
      <c r="Y74" s="40" t="s">
        <v>573</v>
      </c>
      <c r="Z74" s="47" t="s">
        <v>63</v>
      </c>
      <c r="AA74" s="47" t="s">
        <v>106</v>
      </c>
      <c r="AB74" s="16">
        <v>46113</v>
      </c>
      <c r="AC74" s="2" t="s">
        <v>43</v>
      </c>
      <c r="AD74" s="61" t="s">
        <v>574</v>
      </c>
    </row>
    <row r="75" spans="1:30" ht="204">
      <c r="A75" s="15">
        <v>73</v>
      </c>
      <c r="B75" s="3" t="s">
        <v>575</v>
      </c>
      <c r="C75" s="2" t="s">
        <v>576</v>
      </c>
      <c r="D75" s="15">
        <v>6277520</v>
      </c>
      <c r="E75" s="16">
        <v>46106</v>
      </c>
      <c r="F75" s="18">
        <v>46082</v>
      </c>
      <c r="G75" s="47" t="s">
        <v>577</v>
      </c>
      <c r="H75" s="16">
        <v>46112</v>
      </c>
      <c r="I75" s="39" t="s">
        <v>35</v>
      </c>
      <c r="J75" s="68" t="s">
        <v>578</v>
      </c>
      <c r="K75" s="46" t="s">
        <v>579</v>
      </c>
      <c r="L75" s="23">
        <v>187679.04</v>
      </c>
      <c r="M75" s="23">
        <v>187679.04</v>
      </c>
      <c r="N75" s="14"/>
      <c r="O75" s="14">
        <v>231000</v>
      </c>
      <c r="P75" s="31">
        <v>0.81246337662337664</v>
      </c>
      <c r="Q75" s="37">
        <v>0.18890000000000001</v>
      </c>
      <c r="R75" s="41" t="s">
        <v>38</v>
      </c>
      <c r="S75" s="53">
        <v>645613</v>
      </c>
      <c r="T75" s="56" t="s">
        <v>39</v>
      </c>
      <c r="U75" s="11">
        <v>46147</v>
      </c>
      <c r="V75" s="22">
        <v>46112</v>
      </c>
      <c r="W75" s="22">
        <v>46476</v>
      </c>
      <c r="X75" s="18">
        <v>46113</v>
      </c>
      <c r="Y75" s="40" t="s">
        <v>580</v>
      </c>
      <c r="Z75" s="47" t="s">
        <v>63</v>
      </c>
      <c r="AA75" s="47" t="s">
        <v>142</v>
      </c>
      <c r="AB75" s="16">
        <v>46114</v>
      </c>
      <c r="AC75" s="2" t="s">
        <v>43</v>
      </c>
      <c r="AD75" s="61" t="s">
        <v>581</v>
      </c>
    </row>
    <row r="76" spans="1:30" ht="89.25">
      <c r="A76" s="15">
        <v>74</v>
      </c>
      <c r="B76" s="3" t="s">
        <v>352</v>
      </c>
      <c r="C76" s="2" t="s">
        <v>582</v>
      </c>
      <c r="D76" s="15">
        <v>6277531</v>
      </c>
      <c r="E76" s="16">
        <v>46106</v>
      </c>
      <c r="F76" s="18">
        <v>46082</v>
      </c>
      <c r="G76" s="47" t="s">
        <v>583</v>
      </c>
      <c r="H76" s="16">
        <v>46107</v>
      </c>
      <c r="I76" s="25" t="s">
        <v>584</v>
      </c>
      <c r="J76" s="43" t="s">
        <v>585</v>
      </c>
      <c r="K76" s="43" t="s">
        <v>586</v>
      </c>
      <c r="L76" s="23">
        <v>125523.5</v>
      </c>
      <c r="M76" s="23">
        <v>125523.5</v>
      </c>
      <c r="N76" s="14"/>
      <c r="O76" s="14">
        <v>173596</v>
      </c>
      <c r="P76" s="31">
        <v>0.72307829673494783</v>
      </c>
      <c r="Q76" s="37">
        <v>0.72</v>
      </c>
      <c r="R76" s="41" t="s">
        <v>587</v>
      </c>
      <c r="S76" s="53">
        <v>645613</v>
      </c>
      <c r="T76" s="56" t="s">
        <v>39</v>
      </c>
      <c r="U76" s="11">
        <v>46227</v>
      </c>
      <c r="V76" s="22">
        <v>46098</v>
      </c>
      <c r="W76" s="22">
        <v>46462</v>
      </c>
      <c r="X76" s="18">
        <v>46082</v>
      </c>
      <c r="Y76" s="40" t="s">
        <v>588</v>
      </c>
      <c r="Z76" s="2" t="s">
        <v>63</v>
      </c>
      <c r="AA76" s="2" t="s">
        <v>133</v>
      </c>
      <c r="AB76" s="39">
        <v>46111</v>
      </c>
      <c r="AC76" s="2" t="s">
        <v>43</v>
      </c>
      <c r="AD76" s="61" t="s">
        <v>589</v>
      </c>
    </row>
    <row r="77" spans="1:30" ht="153">
      <c r="A77" s="15">
        <v>75</v>
      </c>
      <c r="B77" s="3" t="s">
        <v>590</v>
      </c>
      <c r="C77" s="2" t="s">
        <v>591</v>
      </c>
      <c r="D77" s="15">
        <v>6277665</v>
      </c>
      <c r="E77" s="16">
        <v>46107</v>
      </c>
      <c r="F77" s="18">
        <v>46082</v>
      </c>
      <c r="G77" s="47" t="s">
        <v>592</v>
      </c>
      <c r="H77" s="16">
        <v>46111</v>
      </c>
      <c r="I77" s="39" t="s">
        <v>35</v>
      </c>
      <c r="J77" s="68" t="s">
        <v>593</v>
      </c>
      <c r="K77" s="43" t="s">
        <v>594</v>
      </c>
      <c r="L77" s="23">
        <v>278953.32</v>
      </c>
      <c r="M77" s="23">
        <v>278953.32</v>
      </c>
      <c r="N77" s="14"/>
      <c r="O77" s="14">
        <v>307144</v>
      </c>
      <c r="P77" s="31">
        <v>0.90821673221681043</v>
      </c>
      <c r="Q77" s="37">
        <v>0</v>
      </c>
      <c r="R77" s="41" t="s">
        <v>38</v>
      </c>
      <c r="S77" s="53">
        <v>645613</v>
      </c>
      <c r="T77" s="56" t="s">
        <v>39</v>
      </c>
      <c r="U77" s="11">
        <v>46147</v>
      </c>
      <c r="V77" s="45" t="s">
        <v>595</v>
      </c>
      <c r="W77" s="45" t="s">
        <v>596</v>
      </c>
      <c r="X77" s="18">
        <v>46082</v>
      </c>
      <c r="Y77" s="40" t="s">
        <v>597</v>
      </c>
      <c r="Z77" s="47" t="s">
        <v>41</v>
      </c>
      <c r="AA77" s="47" t="s">
        <v>142</v>
      </c>
      <c r="AB77" s="16">
        <v>46112</v>
      </c>
      <c r="AC77" s="2" t="s">
        <v>43</v>
      </c>
      <c r="AD77" s="61" t="s">
        <v>598</v>
      </c>
    </row>
    <row r="78" spans="1:30" ht="216.75">
      <c r="A78" s="15">
        <v>76</v>
      </c>
      <c r="B78" s="3" t="s">
        <v>590</v>
      </c>
      <c r="C78" s="2" t="s">
        <v>599</v>
      </c>
      <c r="D78" s="15">
        <v>6278038</v>
      </c>
      <c r="E78" s="16">
        <v>46107</v>
      </c>
      <c r="F78" s="18">
        <v>46082</v>
      </c>
      <c r="G78" s="47" t="s">
        <v>600</v>
      </c>
      <c r="H78" s="16">
        <v>46111</v>
      </c>
      <c r="I78" s="39" t="s">
        <v>35</v>
      </c>
      <c r="J78" s="69" t="s">
        <v>601</v>
      </c>
      <c r="K78" s="43" t="s">
        <v>602</v>
      </c>
      <c r="L78" s="23">
        <v>598646.36</v>
      </c>
      <c r="M78" s="23">
        <v>598646.36</v>
      </c>
      <c r="N78" s="14"/>
      <c r="O78" s="14">
        <v>758436</v>
      </c>
      <c r="P78" s="31">
        <v>0.7893169100622861</v>
      </c>
      <c r="Q78" s="37">
        <v>0</v>
      </c>
      <c r="R78" s="41" t="s">
        <v>38</v>
      </c>
      <c r="S78" s="53">
        <v>645613</v>
      </c>
      <c r="T78" s="56" t="s">
        <v>39</v>
      </c>
      <c r="U78" s="11">
        <v>46147</v>
      </c>
      <c r="V78" s="45" t="s">
        <v>603</v>
      </c>
      <c r="W78" s="45" t="s">
        <v>604</v>
      </c>
      <c r="X78" s="18">
        <v>46113</v>
      </c>
      <c r="Y78" s="40" t="s">
        <v>605</v>
      </c>
      <c r="Z78" s="47" t="s">
        <v>41</v>
      </c>
      <c r="AA78" s="47" t="s">
        <v>142</v>
      </c>
      <c r="AB78" s="16">
        <v>46113</v>
      </c>
      <c r="AC78" s="2" t="s">
        <v>43</v>
      </c>
      <c r="AD78" s="61" t="s">
        <v>606</v>
      </c>
    </row>
    <row r="79" spans="1:30" ht="51">
      <c r="A79" s="15">
        <v>77</v>
      </c>
      <c r="B79" s="3" t="s">
        <v>590</v>
      </c>
      <c r="C79" s="2" t="s">
        <v>607</v>
      </c>
      <c r="D79" s="15">
        <v>6277840</v>
      </c>
      <c r="E79" s="16">
        <v>46107</v>
      </c>
      <c r="F79" s="18">
        <v>46082</v>
      </c>
      <c r="G79" s="47" t="s">
        <v>608</v>
      </c>
      <c r="H79" s="16">
        <v>46108</v>
      </c>
      <c r="I79" s="25" t="s">
        <v>101</v>
      </c>
      <c r="J79" s="46" t="s">
        <v>609</v>
      </c>
      <c r="K79" s="43" t="s">
        <v>610</v>
      </c>
      <c r="L79" s="23">
        <v>51685.22</v>
      </c>
      <c r="M79" s="14"/>
      <c r="N79" s="14">
        <v>6610.04</v>
      </c>
      <c r="O79" s="14">
        <v>89632</v>
      </c>
      <c r="P79" s="31">
        <v>0.57663803106033562</v>
      </c>
      <c r="Q79" s="37">
        <v>0</v>
      </c>
      <c r="R79" s="41" t="s">
        <v>104</v>
      </c>
      <c r="S79" s="53">
        <v>645613</v>
      </c>
      <c r="T79" s="56" t="s">
        <v>39</v>
      </c>
      <c r="U79" s="11">
        <v>46188</v>
      </c>
      <c r="V79" s="24">
        <v>46113</v>
      </c>
      <c r="W79" s="24">
        <v>46295</v>
      </c>
      <c r="X79" s="18">
        <v>46082</v>
      </c>
      <c r="Y79" s="40" t="s">
        <v>611</v>
      </c>
      <c r="Z79" s="47" t="s">
        <v>63</v>
      </c>
      <c r="AA79" s="47" t="s">
        <v>142</v>
      </c>
      <c r="AB79" s="16">
        <v>46108</v>
      </c>
      <c r="AC79" s="2" t="s">
        <v>43</v>
      </c>
      <c r="AD79" s="3" t="s">
        <v>612</v>
      </c>
    </row>
    <row r="80" spans="1:30" ht="63.75">
      <c r="A80" s="15">
        <v>78</v>
      </c>
      <c r="B80" s="3" t="s">
        <v>590</v>
      </c>
      <c r="C80" s="2" t="s">
        <v>607</v>
      </c>
      <c r="D80" s="15">
        <v>6277854</v>
      </c>
      <c r="E80" s="16">
        <v>46107</v>
      </c>
      <c r="F80" s="18">
        <v>46082</v>
      </c>
      <c r="G80" s="47" t="s">
        <v>613</v>
      </c>
      <c r="H80" s="16">
        <v>46108</v>
      </c>
      <c r="I80" s="25" t="s">
        <v>101</v>
      </c>
      <c r="J80" s="46" t="s">
        <v>614</v>
      </c>
      <c r="K80" s="43" t="s">
        <v>615</v>
      </c>
      <c r="L80" s="23">
        <v>76245.179999999993</v>
      </c>
      <c r="M80" s="14"/>
      <c r="N80" s="14">
        <v>9751.02</v>
      </c>
      <c r="O80" s="14"/>
      <c r="P80" s="31" t="s">
        <v>616</v>
      </c>
      <c r="Q80" s="37" t="s">
        <v>37</v>
      </c>
      <c r="R80" s="41" t="s">
        <v>104</v>
      </c>
      <c r="S80" s="53">
        <v>645613</v>
      </c>
      <c r="T80" s="56" t="s">
        <v>39</v>
      </c>
      <c r="U80" s="11">
        <v>46176</v>
      </c>
      <c r="V80" s="22">
        <v>46113</v>
      </c>
      <c r="W80" s="24">
        <v>46295</v>
      </c>
      <c r="X80" s="18">
        <v>46082</v>
      </c>
      <c r="Y80" s="40" t="s">
        <v>611</v>
      </c>
      <c r="Z80" s="47" t="s">
        <v>63</v>
      </c>
      <c r="AA80" s="47" t="s">
        <v>142</v>
      </c>
      <c r="AB80" s="16">
        <v>46108</v>
      </c>
      <c r="AC80" s="2" t="s">
        <v>43</v>
      </c>
      <c r="AD80" s="3" t="s">
        <v>612</v>
      </c>
    </row>
    <row r="81" spans="1:31" ht="102">
      <c r="A81" s="15">
        <v>79</v>
      </c>
      <c r="B81" s="44" t="s">
        <v>617</v>
      </c>
      <c r="C81" s="2" t="s">
        <v>618</v>
      </c>
      <c r="D81" s="15">
        <v>6278048</v>
      </c>
      <c r="E81" s="16">
        <v>46107</v>
      </c>
      <c r="F81" s="18">
        <v>46082</v>
      </c>
      <c r="G81" s="47" t="s">
        <v>619</v>
      </c>
      <c r="H81" s="16">
        <v>46112</v>
      </c>
      <c r="I81" s="39" t="s">
        <v>48</v>
      </c>
      <c r="J81" s="46" t="s">
        <v>620</v>
      </c>
      <c r="K81" s="43" t="s">
        <v>621</v>
      </c>
      <c r="L81" s="23">
        <v>34632</v>
      </c>
      <c r="M81" s="23">
        <v>34632</v>
      </c>
      <c r="N81" s="14"/>
      <c r="O81" s="14">
        <v>216000</v>
      </c>
      <c r="P81" s="31" t="s">
        <v>239</v>
      </c>
      <c r="Q81" s="37" t="s">
        <v>239</v>
      </c>
      <c r="R81" s="41" t="s">
        <v>329</v>
      </c>
      <c r="S81" s="53">
        <v>645613</v>
      </c>
      <c r="T81" s="56" t="s">
        <v>39</v>
      </c>
      <c r="U81" s="11">
        <v>46147</v>
      </c>
      <c r="V81" s="22">
        <v>46174</v>
      </c>
      <c r="W81" s="22">
        <v>46538</v>
      </c>
      <c r="X81" s="18">
        <v>46113</v>
      </c>
      <c r="Y81" s="40" t="s">
        <v>622</v>
      </c>
      <c r="Z81" s="47" t="s">
        <v>63</v>
      </c>
      <c r="AA81" s="47" t="s">
        <v>466</v>
      </c>
      <c r="AB81" s="16">
        <v>46132</v>
      </c>
      <c r="AC81" s="2" t="s">
        <v>43</v>
      </c>
      <c r="AD81" s="3" t="s">
        <v>623</v>
      </c>
      <c r="AE81" s="1"/>
    </row>
    <row r="82" spans="1:31" ht="63.75">
      <c r="A82" s="15">
        <v>80</v>
      </c>
      <c r="B82" s="3" t="s">
        <v>624</v>
      </c>
      <c r="C82" s="3" t="s">
        <v>625</v>
      </c>
      <c r="D82" s="15">
        <v>6279362</v>
      </c>
      <c r="E82" s="16">
        <v>46112</v>
      </c>
      <c r="F82" s="18">
        <v>46082</v>
      </c>
      <c r="G82" s="47" t="s">
        <v>626</v>
      </c>
      <c r="H82" s="16">
        <v>46114</v>
      </c>
      <c r="I82" s="39" t="s">
        <v>627</v>
      </c>
      <c r="J82" s="68" t="s">
        <v>628</v>
      </c>
      <c r="K82" s="43"/>
      <c r="L82" s="23">
        <v>90138.48</v>
      </c>
      <c r="M82" s="23">
        <v>90138.48</v>
      </c>
      <c r="N82" s="14"/>
      <c r="O82" s="14">
        <v>288105</v>
      </c>
      <c r="P82" s="31">
        <v>0.31286676732441299</v>
      </c>
      <c r="Q82" s="37">
        <v>0</v>
      </c>
      <c r="R82" s="41" t="s">
        <v>255</v>
      </c>
      <c r="S82" s="53">
        <v>645613</v>
      </c>
      <c r="T82" s="57" t="s">
        <v>39</v>
      </c>
      <c r="U82" s="51"/>
      <c r="V82" s="22">
        <v>46113</v>
      </c>
      <c r="W82" s="22">
        <v>46477</v>
      </c>
      <c r="X82" s="18">
        <v>46113</v>
      </c>
      <c r="Y82" s="40" t="s">
        <v>629</v>
      </c>
      <c r="Z82" s="47" t="s">
        <v>63</v>
      </c>
      <c r="AA82" s="47" t="s">
        <v>64</v>
      </c>
      <c r="AB82" s="16">
        <v>46135</v>
      </c>
      <c r="AC82" s="2" t="s">
        <v>107</v>
      </c>
      <c r="AD82" s="3" t="s">
        <v>630</v>
      </c>
      <c r="AE82" s="21" t="s">
        <v>56</v>
      </c>
    </row>
    <row r="83" spans="1:31" ht="140.25">
      <c r="A83" s="15">
        <v>81</v>
      </c>
      <c r="B83" s="44" t="s">
        <v>631</v>
      </c>
      <c r="C83" s="2" t="s">
        <v>632</v>
      </c>
      <c r="D83" s="15">
        <v>6280955</v>
      </c>
      <c r="E83" s="16">
        <v>46120</v>
      </c>
      <c r="F83" s="18">
        <v>46113</v>
      </c>
      <c r="G83" s="47" t="s">
        <v>633</v>
      </c>
      <c r="H83" s="16">
        <v>46121</v>
      </c>
      <c r="I83" s="39" t="s">
        <v>584</v>
      </c>
      <c r="J83" s="68" t="s">
        <v>634</v>
      </c>
      <c r="K83" s="43" t="s">
        <v>635</v>
      </c>
      <c r="L83" s="23">
        <v>14891</v>
      </c>
      <c r="M83" s="23">
        <v>14891</v>
      </c>
      <c r="N83" s="14"/>
      <c r="O83" s="14">
        <v>17870</v>
      </c>
      <c r="P83" s="31">
        <v>0.83329602686066029</v>
      </c>
      <c r="Q83" s="37">
        <v>0.1678</v>
      </c>
      <c r="R83" s="41" t="s">
        <v>587</v>
      </c>
      <c r="S83" s="53">
        <v>645613</v>
      </c>
      <c r="T83" s="56" t="s">
        <v>39</v>
      </c>
      <c r="U83" s="51"/>
      <c r="V83" s="22">
        <v>46179</v>
      </c>
      <c r="W83" s="22">
        <v>46543</v>
      </c>
      <c r="X83" s="18">
        <v>46113</v>
      </c>
      <c r="Y83" s="40" t="s">
        <v>636</v>
      </c>
      <c r="Z83" s="47" t="s">
        <v>63</v>
      </c>
      <c r="AA83" s="47" t="s">
        <v>188</v>
      </c>
      <c r="AB83" s="16">
        <v>46128</v>
      </c>
      <c r="AC83" s="2" t="s">
        <v>107</v>
      </c>
      <c r="AD83" s="3" t="s">
        <v>637</v>
      </c>
      <c r="AE83" s="1"/>
    </row>
    <row r="84" spans="1:31" ht="51">
      <c r="A84" s="15">
        <v>82</v>
      </c>
      <c r="B84" s="3" t="s">
        <v>638</v>
      </c>
      <c r="C84" s="2" t="s">
        <v>639</v>
      </c>
      <c r="D84" s="15">
        <v>6280961</v>
      </c>
      <c r="E84" s="16">
        <v>46120</v>
      </c>
      <c r="F84" s="18">
        <v>46113</v>
      </c>
      <c r="G84" s="47" t="s">
        <v>640</v>
      </c>
      <c r="H84" s="16">
        <v>46121</v>
      </c>
      <c r="I84" s="39" t="s">
        <v>35</v>
      </c>
      <c r="J84" s="46" t="s">
        <v>641</v>
      </c>
      <c r="K84" s="43"/>
      <c r="L84" s="23">
        <v>23538.12</v>
      </c>
      <c r="M84" s="23">
        <v>23538.12</v>
      </c>
      <c r="N84" s="14"/>
      <c r="O84" s="14">
        <v>29629</v>
      </c>
      <c r="P84" s="31">
        <v>0.79442843160417154</v>
      </c>
      <c r="Q84" s="37" t="s">
        <v>37</v>
      </c>
      <c r="R84" s="41" t="s">
        <v>38</v>
      </c>
      <c r="S84" s="53">
        <v>645613</v>
      </c>
      <c r="T84" s="56" t="s">
        <v>39</v>
      </c>
      <c r="U84" s="11">
        <v>46188</v>
      </c>
      <c r="V84" s="22">
        <v>46131</v>
      </c>
      <c r="W84" s="22">
        <v>46495</v>
      </c>
      <c r="X84" s="18">
        <v>46113</v>
      </c>
      <c r="Y84" s="40" t="s">
        <v>642</v>
      </c>
      <c r="Z84" s="47" t="s">
        <v>63</v>
      </c>
      <c r="AA84" s="47" t="s">
        <v>133</v>
      </c>
      <c r="AB84" s="16">
        <v>46126</v>
      </c>
      <c r="AC84" s="2" t="s">
        <v>43</v>
      </c>
      <c r="AD84" s="3" t="s">
        <v>643</v>
      </c>
      <c r="AE84" s="1"/>
    </row>
    <row r="85" spans="1:31" ht="51">
      <c r="A85" s="15">
        <v>83</v>
      </c>
      <c r="B85" s="3" t="s">
        <v>523</v>
      </c>
      <c r="C85" s="2" t="s">
        <v>644</v>
      </c>
      <c r="D85" s="15">
        <v>6284346</v>
      </c>
      <c r="E85" s="16">
        <v>46132</v>
      </c>
      <c r="F85" s="18">
        <v>46113</v>
      </c>
      <c r="G85" s="47" t="s">
        <v>645</v>
      </c>
      <c r="H85" s="16">
        <v>46134</v>
      </c>
      <c r="I85" s="39" t="s">
        <v>526</v>
      </c>
      <c r="J85" s="46" t="s">
        <v>646</v>
      </c>
      <c r="K85" s="43" t="s">
        <v>647</v>
      </c>
      <c r="L85" s="23">
        <v>88005.84</v>
      </c>
      <c r="M85" s="23">
        <v>88005.84</v>
      </c>
      <c r="N85" s="14"/>
      <c r="O85" s="14">
        <v>120556</v>
      </c>
      <c r="P85" s="31">
        <v>0.72999966820398821</v>
      </c>
      <c r="Q85" s="37">
        <v>0.73</v>
      </c>
      <c r="R85" s="41" t="s">
        <v>290</v>
      </c>
      <c r="S85" s="53">
        <v>645613</v>
      </c>
      <c r="T85" s="56" t="s">
        <v>39</v>
      </c>
      <c r="U85" s="11">
        <v>46176</v>
      </c>
      <c r="V85" s="22">
        <v>46144</v>
      </c>
      <c r="W85" s="22">
        <v>46508</v>
      </c>
      <c r="X85" s="18">
        <v>46143</v>
      </c>
      <c r="Y85" s="42" t="s">
        <v>648</v>
      </c>
      <c r="Z85" s="2" t="s">
        <v>63</v>
      </c>
      <c r="AA85" s="2" t="s">
        <v>106</v>
      </c>
      <c r="AB85" s="16">
        <v>46147</v>
      </c>
      <c r="AC85" s="2" t="s">
        <v>43</v>
      </c>
      <c r="AD85" s="3" t="s">
        <v>649</v>
      </c>
      <c r="AE85" s="21"/>
    </row>
    <row r="86" spans="1:31" ht="102">
      <c r="A86" s="15">
        <v>84</v>
      </c>
      <c r="B86" s="44" t="s">
        <v>650</v>
      </c>
      <c r="C86" s="2" t="s">
        <v>651</v>
      </c>
      <c r="D86" s="15">
        <v>6285381</v>
      </c>
      <c r="E86" s="16">
        <v>46134</v>
      </c>
      <c r="F86" s="18">
        <v>46113</v>
      </c>
      <c r="G86" s="47" t="s">
        <v>652</v>
      </c>
      <c r="H86" s="16">
        <v>46141</v>
      </c>
      <c r="I86" s="39" t="s">
        <v>35</v>
      </c>
      <c r="J86" s="68" t="s">
        <v>653</v>
      </c>
      <c r="K86" s="43" t="s">
        <v>654</v>
      </c>
      <c r="L86" s="23">
        <v>10596.45</v>
      </c>
      <c r="M86" s="23">
        <v>10596.45</v>
      </c>
      <c r="N86" s="14"/>
      <c r="O86" s="14">
        <v>14900</v>
      </c>
      <c r="P86" s="31">
        <v>0.71117114093959732</v>
      </c>
      <c r="Q86" s="37">
        <v>0.08</v>
      </c>
      <c r="R86" s="41" t="s">
        <v>38</v>
      </c>
      <c r="S86" s="53">
        <v>645613</v>
      </c>
      <c r="T86" s="56" t="s">
        <v>39</v>
      </c>
      <c r="U86" s="11">
        <v>46176</v>
      </c>
      <c r="V86" s="22">
        <v>46137</v>
      </c>
      <c r="W86" s="22">
        <v>46503</v>
      </c>
      <c r="X86" s="18">
        <v>46113</v>
      </c>
      <c r="Y86" s="40" t="s">
        <v>655</v>
      </c>
      <c r="Z86" s="47" t="s">
        <v>63</v>
      </c>
      <c r="AA86" s="47" t="s">
        <v>142</v>
      </c>
      <c r="AB86" s="16">
        <v>46142</v>
      </c>
      <c r="AC86" s="2" t="s">
        <v>43</v>
      </c>
      <c r="AD86" s="3" t="s">
        <v>656</v>
      </c>
      <c r="AE86" s="1"/>
    </row>
    <row r="87" spans="1:31" ht="178.5">
      <c r="A87" s="15">
        <v>85</v>
      </c>
      <c r="B87" s="44" t="s">
        <v>657</v>
      </c>
      <c r="C87" s="2" t="s">
        <v>658</v>
      </c>
      <c r="D87" s="15">
        <v>6285679</v>
      </c>
      <c r="E87" s="16">
        <v>46135</v>
      </c>
      <c r="F87" s="18">
        <v>46113</v>
      </c>
      <c r="G87" s="47" t="s">
        <v>659</v>
      </c>
      <c r="H87" s="16">
        <v>46139</v>
      </c>
      <c r="I87" s="39" t="s">
        <v>48</v>
      </c>
      <c r="J87" s="69" t="s">
        <v>660</v>
      </c>
      <c r="K87" s="43" t="s">
        <v>661</v>
      </c>
      <c r="L87" s="23">
        <v>306968</v>
      </c>
      <c r="M87" s="23">
        <v>306968</v>
      </c>
      <c r="N87" s="14"/>
      <c r="O87" s="14">
        <v>435495</v>
      </c>
      <c r="P87" s="31">
        <v>0.70487146809951895</v>
      </c>
      <c r="Q87" s="37">
        <v>0.1075</v>
      </c>
      <c r="R87" s="41" t="s">
        <v>51</v>
      </c>
      <c r="S87" s="53">
        <v>645613</v>
      </c>
      <c r="T87" s="56" t="s">
        <v>39</v>
      </c>
      <c r="U87" s="11">
        <v>46188</v>
      </c>
      <c r="V87" s="22">
        <v>46142</v>
      </c>
      <c r="W87" s="22">
        <v>46507</v>
      </c>
      <c r="X87" s="18">
        <v>46113</v>
      </c>
      <c r="Y87" s="40" t="s">
        <v>662</v>
      </c>
      <c r="Z87" s="47" t="s">
        <v>41</v>
      </c>
      <c r="AA87" s="47" t="s">
        <v>133</v>
      </c>
      <c r="AB87" s="16">
        <v>46141</v>
      </c>
      <c r="AC87" s="47" t="s">
        <v>43</v>
      </c>
      <c r="AD87" s="3" t="s">
        <v>663</v>
      </c>
      <c r="AE87" s="1"/>
    </row>
    <row r="88" spans="1:31" ht="178.5">
      <c r="A88" s="15">
        <v>86</v>
      </c>
      <c r="B88" s="44" t="s">
        <v>664</v>
      </c>
      <c r="C88" s="2" t="s">
        <v>658</v>
      </c>
      <c r="D88" s="15">
        <v>6286151</v>
      </c>
      <c r="E88" s="16">
        <v>46136</v>
      </c>
      <c r="F88" s="18">
        <v>46113</v>
      </c>
      <c r="G88" s="47" t="s">
        <v>665</v>
      </c>
      <c r="H88" s="16">
        <v>46139</v>
      </c>
      <c r="I88" s="39" t="s">
        <v>35</v>
      </c>
      <c r="J88" s="68" t="s">
        <v>666</v>
      </c>
      <c r="K88" s="43" t="s">
        <v>667</v>
      </c>
      <c r="L88" s="23">
        <v>622071.80000000005</v>
      </c>
      <c r="M88" s="23">
        <v>622071.80000000005</v>
      </c>
      <c r="N88" s="14"/>
      <c r="O88" s="14">
        <v>839796</v>
      </c>
      <c r="P88" s="31">
        <v>0.74074156104577782</v>
      </c>
      <c r="Q88" s="37">
        <v>0.74</v>
      </c>
      <c r="R88" s="41" t="s">
        <v>38</v>
      </c>
      <c r="S88" s="53">
        <v>645613</v>
      </c>
      <c r="T88" s="56" t="s">
        <v>39</v>
      </c>
      <c r="U88" s="11">
        <v>46179</v>
      </c>
      <c r="V88" s="22">
        <v>46143</v>
      </c>
      <c r="W88" s="22">
        <v>46507</v>
      </c>
      <c r="X88" s="18">
        <v>46143</v>
      </c>
      <c r="Y88" s="40" t="s">
        <v>668</v>
      </c>
      <c r="Z88" s="47" t="s">
        <v>41</v>
      </c>
      <c r="AA88" s="47" t="s">
        <v>133</v>
      </c>
      <c r="AB88" s="16">
        <v>46149</v>
      </c>
      <c r="AC88" s="47" t="s">
        <v>43</v>
      </c>
      <c r="AD88" s="3" t="s">
        <v>663</v>
      </c>
      <c r="AE88" s="1"/>
    </row>
    <row r="89" spans="1:31" ht="76.5">
      <c r="A89" s="15">
        <v>87</v>
      </c>
      <c r="B89" s="44" t="s">
        <v>664</v>
      </c>
      <c r="C89" s="2" t="s">
        <v>658</v>
      </c>
      <c r="D89" s="15">
        <v>6285923</v>
      </c>
      <c r="E89" s="16">
        <v>46136</v>
      </c>
      <c r="F89" s="18">
        <v>46113</v>
      </c>
      <c r="G89" s="47" t="s">
        <v>669</v>
      </c>
      <c r="H89" s="16">
        <v>46140</v>
      </c>
      <c r="I89" s="39" t="s">
        <v>670</v>
      </c>
      <c r="J89" s="68" t="s">
        <v>671</v>
      </c>
      <c r="K89" s="43"/>
      <c r="L89" s="23">
        <v>411071</v>
      </c>
      <c r="M89" s="23">
        <v>411071</v>
      </c>
      <c r="N89" s="14"/>
      <c r="O89" s="14">
        <v>472855</v>
      </c>
      <c r="P89" s="31">
        <v>0.86933838068752578</v>
      </c>
      <c r="Q89" s="37" t="s">
        <v>37</v>
      </c>
      <c r="R89" s="41" t="s">
        <v>51</v>
      </c>
      <c r="S89" s="53">
        <v>645613</v>
      </c>
      <c r="T89" s="56" t="s">
        <v>39</v>
      </c>
      <c r="U89" s="11">
        <v>46188</v>
      </c>
      <c r="V89" s="45" t="s">
        <v>672</v>
      </c>
      <c r="W89" s="45" t="s">
        <v>673</v>
      </c>
      <c r="X89" s="18">
        <v>46143</v>
      </c>
      <c r="Y89" s="40" t="s">
        <v>674</v>
      </c>
      <c r="Z89" s="47" t="s">
        <v>41</v>
      </c>
      <c r="AA89" s="47" t="s">
        <v>133</v>
      </c>
      <c r="AB89" s="16">
        <v>46146</v>
      </c>
      <c r="AC89" s="2" t="s">
        <v>43</v>
      </c>
      <c r="AD89" s="3" t="s">
        <v>663</v>
      </c>
      <c r="AE89" s="1"/>
    </row>
    <row r="90" spans="1:31" ht="38.25">
      <c r="A90" s="15">
        <v>88</v>
      </c>
      <c r="B90" s="3" t="s">
        <v>675</v>
      </c>
      <c r="C90" s="2" t="s">
        <v>676</v>
      </c>
      <c r="D90" s="15">
        <v>6285962</v>
      </c>
      <c r="E90" s="16">
        <v>46136</v>
      </c>
      <c r="F90" s="18">
        <v>46113</v>
      </c>
      <c r="G90" s="47" t="s">
        <v>677</v>
      </c>
      <c r="H90" s="16">
        <v>46139</v>
      </c>
      <c r="I90" s="39" t="s">
        <v>678</v>
      </c>
      <c r="J90" s="40" t="s">
        <v>679</v>
      </c>
      <c r="K90" s="43"/>
      <c r="L90" s="23">
        <v>4257.18</v>
      </c>
      <c r="M90" s="23">
        <v>4257.18</v>
      </c>
      <c r="N90" s="14"/>
      <c r="O90" s="14">
        <v>280500</v>
      </c>
      <c r="P90" s="31">
        <v>1.5177112299465242E-2</v>
      </c>
      <c r="Q90" s="37" t="s">
        <v>37</v>
      </c>
      <c r="R90" s="41" t="s">
        <v>38</v>
      </c>
      <c r="S90" s="53">
        <v>645613</v>
      </c>
      <c r="T90" s="56" t="s">
        <v>39</v>
      </c>
      <c r="U90" s="11">
        <v>46176</v>
      </c>
      <c r="V90" s="22">
        <v>46096</v>
      </c>
      <c r="W90" s="22">
        <v>46460</v>
      </c>
      <c r="X90" s="18">
        <v>46113</v>
      </c>
      <c r="Y90" s="40" t="s">
        <v>680</v>
      </c>
      <c r="Z90" s="47" t="s">
        <v>63</v>
      </c>
      <c r="AA90" s="47" t="s">
        <v>42</v>
      </c>
      <c r="AB90" s="16">
        <v>46141</v>
      </c>
      <c r="AC90" s="2" t="s">
        <v>43</v>
      </c>
      <c r="AD90" s="3" t="s">
        <v>681</v>
      </c>
      <c r="AE90" s="1"/>
    </row>
    <row r="91" spans="1:31" ht="89.25">
      <c r="A91" s="15">
        <v>89</v>
      </c>
      <c r="B91" s="3" t="s">
        <v>226</v>
      </c>
      <c r="C91" s="2" t="s">
        <v>682</v>
      </c>
      <c r="D91" s="15">
        <v>6286427</v>
      </c>
      <c r="E91" s="16">
        <v>46139</v>
      </c>
      <c r="F91" s="18">
        <v>46113</v>
      </c>
      <c r="G91" s="47" t="s">
        <v>683</v>
      </c>
      <c r="H91" s="16">
        <v>46140</v>
      </c>
      <c r="I91" s="25" t="s">
        <v>269</v>
      </c>
      <c r="J91" s="68" t="s">
        <v>684</v>
      </c>
      <c r="K91" s="43"/>
      <c r="L91" s="23">
        <v>55795.199999999997</v>
      </c>
      <c r="M91" s="23">
        <v>55795.199999999997</v>
      </c>
      <c r="N91" s="14"/>
      <c r="O91" s="14">
        <v>61992</v>
      </c>
      <c r="P91" s="31">
        <v>0.90003871467286101</v>
      </c>
      <c r="Q91" s="37" t="s">
        <v>37</v>
      </c>
      <c r="R91" s="41" t="s">
        <v>38</v>
      </c>
      <c r="S91" s="53">
        <v>645613</v>
      </c>
      <c r="T91" s="56" t="s">
        <v>39</v>
      </c>
      <c r="U91" s="51"/>
      <c r="V91" s="22">
        <v>46142</v>
      </c>
      <c r="W91" s="22">
        <v>46506</v>
      </c>
      <c r="X91" s="18">
        <v>46143</v>
      </c>
      <c r="Y91" s="40" t="s">
        <v>685</v>
      </c>
      <c r="Z91" s="47" t="s">
        <v>63</v>
      </c>
      <c r="AA91" s="47" t="s">
        <v>232</v>
      </c>
      <c r="AB91" s="16">
        <v>46146</v>
      </c>
      <c r="AC91" s="2" t="s">
        <v>107</v>
      </c>
      <c r="AD91" s="3" t="s">
        <v>686</v>
      </c>
      <c r="AE91" s="1"/>
    </row>
    <row r="92" spans="1:31" ht="25.5">
      <c r="A92" s="15">
        <v>90</v>
      </c>
      <c r="B92" s="44" t="s">
        <v>687</v>
      </c>
      <c r="C92" s="2" t="s">
        <v>688</v>
      </c>
      <c r="D92" s="15">
        <v>6286756</v>
      </c>
      <c r="E92" s="16">
        <v>46139</v>
      </c>
      <c r="F92" s="18">
        <v>46113</v>
      </c>
      <c r="G92" s="47" t="s">
        <v>689</v>
      </c>
      <c r="H92" s="16">
        <v>46141</v>
      </c>
      <c r="I92" s="25" t="s">
        <v>208</v>
      </c>
      <c r="J92" s="68" t="s">
        <v>690</v>
      </c>
      <c r="K92" s="43"/>
      <c r="L92" s="23">
        <v>64997.5</v>
      </c>
      <c r="M92" s="23">
        <v>64997.5</v>
      </c>
      <c r="N92" s="14"/>
      <c r="O92" s="14">
        <v>72798</v>
      </c>
      <c r="P92" s="31">
        <v>0.89284733097063107</v>
      </c>
      <c r="Q92" s="37" t="s">
        <v>37</v>
      </c>
      <c r="R92" s="41" t="s">
        <v>51</v>
      </c>
      <c r="S92" s="53">
        <v>645613</v>
      </c>
      <c r="T92" s="56" t="s">
        <v>39</v>
      </c>
      <c r="U92" s="11">
        <v>46245</v>
      </c>
      <c r="V92" s="22">
        <v>46143</v>
      </c>
      <c r="W92" s="22">
        <v>46507</v>
      </c>
      <c r="X92" s="18">
        <v>46143</v>
      </c>
      <c r="Y92" s="42" t="s">
        <v>691</v>
      </c>
      <c r="Z92" s="2" t="s">
        <v>63</v>
      </c>
      <c r="AA92" s="2" t="s">
        <v>180</v>
      </c>
      <c r="AB92" s="16">
        <v>46146</v>
      </c>
      <c r="AC92" s="2" t="s">
        <v>43</v>
      </c>
      <c r="AD92" s="3" t="s">
        <v>692</v>
      </c>
      <c r="AE92" s="1"/>
    </row>
    <row r="93" spans="1:31" ht="76.5">
      <c r="A93" s="15">
        <v>91</v>
      </c>
      <c r="B93" s="2" t="s">
        <v>693</v>
      </c>
      <c r="C93" s="2" t="s">
        <v>694</v>
      </c>
      <c r="D93" s="15">
        <v>6286765</v>
      </c>
      <c r="E93" s="16">
        <v>46139</v>
      </c>
      <c r="F93" s="18">
        <v>46113</v>
      </c>
      <c r="G93" s="47" t="s">
        <v>695</v>
      </c>
      <c r="H93" s="16">
        <v>46141</v>
      </c>
      <c r="I93" s="39" t="s">
        <v>48</v>
      </c>
      <c r="J93" s="68" t="s">
        <v>696</v>
      </c>
      <c r="K93" s="46" t="s">
        <v>697</v>
      </c>
      <c r="L93" s="23">
        <v>8800</v>
      </c>
      <c r="M93" s="23">
        <v>8800</v>
      </c>
      <c r="N93" s="14"/>
      <c r="O93" s="14">
        <v>14125</v>
      </c>
      <c r="P93" s="31">
        <v>0.62300884955752212</v>
      </c>
      <c r="Q93" s="37">
        <v>0</v>
      </c>
      <c r="R93" s="41" t="s">
        <v>51</v>
      </c>
      <c r="S93" s="53">
        <v>645613</v>
      </c>
      <c r="T93" s="56" t="s">
        <v>39</v>
      </c>
      <c r="U93" s="11">
        <v>46217</v>
      </c>
      <c r="V93" s="22">
        <v>46130</v>
      </c>
      <c r="W93" s="22">
        <v>46495</v>
      </c>
      <c r="X93" s="18">
        <v>46143</v>
      </c>
      <c r="Y93" s="40" t="s">
        <v>698</v>
      </c>
      <c r="Z93" s="47" t="s">
        <v>63</v>
      </c>
      <c r="AA93" s="47" t="s">
        <v>203</v>
      </c>
      <c r="AB93" s="16">
        <v>46149</v>
      </c>
      <c r="AC93" s="2" t="s">
        <v>43</v>
      </c>
      <c r="AD93" s="3" t="s">
        <v>699</v>
      </c>
      <c r="AE93" s="1"/>
    </row>
    <row r="94" spans="1:31" ht="178.5">
      <c r="A94" s="15">
        <v>92</v>
      </c>
      <c r="B94" s="44" t="s">
        <v>243</v>
      </c>
      <c r="C94" s="2" t="s">
        <v>700</v>
      </c>
      <c r="D94" s="15">
        <v>6287662</v>
      </c>
      <c r="E94" s="16">
        <v>46141</v>
      </c>
      <c r="F94" s="18">
        <v>46113</v>
      </c>
      <c r="G94" s="47" t="s">
        <v>701</v>
      </c>
      <c r="H94" s="16">
        <v>46150</v>
      </c>
      <c r="I94" s="39" t="s">
        <v>35</v>
      </c>
      <c r="J94" s="68" t="s">
        <v>702</v>
      </c>
      <c r="K94" s="43" t="s">
        <v>703</v>
      </c>
      <c r="L94" s="23">
        <v>363000</v>
      </c>
      <c r="M94" s="23">
        <v>363000</v>
      </c>
      <c r="N94" s="14"/>
      <c r="O94" s="14">
        <v>364537.5</v>
      </c>
      <c r="P94" s="31">
        <v>0.99578232692109869</v>
      </c>
      <c r="Q94" s="37">
        <v>0.14430000000000001</v>
      </c>
      <c r="R94" s="41" t="s">
        <v>38</v>
      </c>
      <c r="S94" s="53">
        <v>645613</v>
      </c>
      <c r="T94" s="56" t="s">
        <v>39</v>
      </c>
      <c r="U94" s="11">
        <v>46179</v>
      </c>
      <c r="V94" s="22">
        <v>46139</v>
      </c>
      <c r="W94" s="22">
        <v>46503</v>
      </c>
      <c r="X94" s="18">
        <v>46143</v>
      </c>
      <c r="Y94" s="42" t="s">
        <v>704</v>
      </c>
      <c r="Z94" s="2" t="s">
        <v>63</v>
      </c>
      <c r="AA94" s="2" t="s">
        <v>42</v>
      </c>
      <c r="AB94" s="16">
        <v>46157</v>
      </c>
      <c r="AC94" s="2" t="s">
        <v>43</v>
      </c>
      <c r="AD94" s="3" t="s">
        <v>705</v>
      </c>
      <c r="AE94" s="1"/>
    </row>
    <row r="95" spans="1:31" ht="114.75">
      <c r="A95" s="15">
        <v>93</v>
      </c>
      <c r="B95" s="3" t="s">
        <v>706</v>
      </c>
      <c r="C95" s="2" t="s">
        <v>707</v>
      </c>
      <c r="D95" s="15">
        <v>6287813</v>
      </c>
      <c r="E95" s="16">
        <v>46141</v>
      </c>
      <c r="F95" s="18">
        <v>46113</v>
      </c>
      <c r="G95" s="47" t="s">
        <v>708</v>
      </c>
      <c r="H95" s="16">
        <v>46142</v>
      </c>
      <c r="I95" s="39" t="s">
        <v>48</v>
      </c>
      <c r="J95" s="68" t="s">
        <v>709</v>
      </c>
      <c r="K95" s="43" t="s">
        <v>710</v>
      </c>
      <c r="L95" s="23">
        <v>6537</v>
      </c>
      <c r="M95" s="23">
        <v>6537</v>
      </c>
      <c r="N95" s="14"/>
      <c r="O95" s="14">
        <v>130000</v>
      </c>
      <c r="P95" s="31" t="s">
        <v>239</v>
      </c>
      <c r="Q95" s="37" t="s">
        <v>239</v>
      </c>
      <c r="R95" s="41" t="s">
        <v>51</v>
      </c>
      <c r="S95" s="53">
        <v>645613</v>
      </c>
      <c r="T95" s="56" t="s">
        <v>39</v>
      </c>
      <c r="U95" s="11">
        <v>46246</v>
      </c>
      <c r="V95" s="22">
        <v>46148</v>
      </c>
      <c r="W95" s="45" t="s">
        <v>711</v>
      </c>
      <c r="X95" s="18">
        <v>46143</v>
      </c>
      <c r="Y95" s="40" t="s">
        <v>712</v>
      </c>
      <c r="Z95" s="47" t="s">
        <v>63</v>
      </c>
      <c r="AA95" s="47" t="s">
        <v>142</v>
      </c>
      <c r="AB95" s="16">
        <v>46147</v>
      </c>
      <c r="AC95" s="47" t="s">
        <v>43</v>
      </c>
      <c r="AD95" s="3" t="s">
        <v>713</v>
      </c>
      <c r="AE95" s="1"/>
    </row>
    <row r="96" spans="1:31" ht="25.5">
      <c r="A96" s="15">
        <v>94</v>
      </c>
      <c r="B96" s="3" t="s">
        <v>714</v>
      </c>
      <c r="C96" s="2" t="s">
        <v>715</v>
      </c>
      <c r="D96" s="15">
        <v>6289063</v>
      </c>
      <c r="E96" s="16">
        <v>46147</v>
      </c>
      <c r="F96" s="18">
        <v>46143</v>
      </c>
      <c r="G96" s="47" t="s">
        <v>716</v>
      </c>
      <c r="H96" s="16">
        <v>46148</v>
      </c>
      <c r="I96" s="39" t="s">
        <v>334</v>
      </c>
      <c r="J96" s="43" t="s">
        <v>717</v>
      </c>
      <c r="K96" s="43"/>
      <c r="L96" s="23">
        <v>35700</v>
      </c>
      <c r="M96" s="23">
        <v>35700</v>
      </c>
      <c r="N96" s="14"/>
      <c r="O96" s="14">
        <v>38556</v>
      </c>
      <c r="P96" s="31">
        <v>0.92592592592592593</v>
      </c>
      <c r="Q96" s="37" t="s">
        <v>37</v>
      </c>
      <c r="R96" s="41" t="s">
        <v>718</v>
      </c>
      <c r="S96" s="53">
        <v>645613</v>
      </c>
      <c r="T96" s="56" t="s">
        <v>39</v>
      </c>
      <c r="U96" s="11">
        <v>46227</v>
      </c>
      <c r="V96" s="22">
        <v>46088</v>
      </c>
      <c r="W96" s="22">
        <v>46453</v>
      </c>
      <c r="X96" s="18">
        <v>46143</v>
      </c>
      <c r="Y96" s="40" t="s">
        <v>719</v>
      </c>
      <c r="Z96" s="47" t="s">
        <v>63</v>
      </c>
      <c r="AA96" s="47" t="s">
        <v>475</v>
      </c>
      <c r="AB96" s="16">
        <v>46150</v>
      </c>
      <c r="AC96" s="47" t="s">
        <v>43</v>
      </c>
      <c r="AD96" s="3" t="s">
        <v>720</v>
      </c>
      <c r="AE96" s="1"/>
    </row>
    <row r="97" spans="1:31" ht="409.5">
      <c r="A97" s="15">
        <v>95</v>
      </c>
      <c r="B97" s="3" t="s">
        <v>714</v>
      </c>
      <c r="C97" s="2" t="s">
        <v>715</v>
      </c>
      <c r="D97" s="15">
        <v>6289103</v>
      </c>
      <c r="E97" s="16">
        <v>46147</v>
      </c>
      <c r="F97" s="18">
        <v>46143</v>
      </c>
      <c r="G97" s="47" t="s">
        <v>721</v>
      </c>
      <c r="H97" s="16">
        <v>46149</v>
      </c>
      <c r="I97" s="39" t="s">
        <v>48</v>
      </c>
      <c r="J97" s="43" t="s">
        <v>722</v>
      </c>
      <c r="K97" s="43" t="s">
        <v>723</v>
      </c>
      <c r="L97" s="23">
        <v>615855</v>
      </c>
      <c r="M97" s="23">
        <v>615855</v>
      </c>
      <c r="N97" s="14"/>
      <c r="O97" s="14">
        <v>665123.4</v>
      </c>
      <c r="P97" s="31">
        <v>0.92592592592592593</v>
      </c>
      <c r="Q97" s="37">
        <v>0.93</v>
      </c>
      <c r="R97" s="41" t="s">
        <v>51</v>
      </c>
      <c r="S97" s="53">
        <v>645613</v>
      </c>
      <c r="T97" s="56" t="s">
        <v>39</v>
      </c>
      <c r="U97" s="11">
        <v>46179</v>
      </c>
      <c r="V97" s="45" t="s">
        <v>724</v>
      </c>
      <c r="W97" s="45" t="s">
        <v>725</v>
      </c>
      <c r="X97" s="18">
        <v>46143</v>
      </c>
      <c r="Y97" s="40" t="s">
        <v>726</v>
      </c>
      <c r="Z97" s="2" t="s">
        <v>41</v>
      </c>
      <c r="AA97" s="2" t="s">
        <v>475</v>
      </c>
      <c r="AB97" s="16">
        <v>46155</v>
      </c>
      <c r="AC97" s="47" t="s">
        <v>43</v>
      </c>
      <c r="AD97" s="3" t="s">
        <v>720</v>
      </c>
      <c r="AE97" s="1"/>
    </row>
    <row r="98" spans="1:31" ht="114.75">
      <c r="A98" s="15">
        <v>96</v>
      </c>
      <c r="B98" s="44" t="s">
        <v>727</v>
      </c>
      <c r="C98" s="2" t="s">
        <v>728</v>
      </c>
      <c r="D98" s="15">
        <v>6289172</v>
      </c>
      <c r="E98" s="16">
        <v>46147</v>
      </c>
      <c r="F98" s="18">
        <v>46143</v>
      </c>
      <c r="G98" s="47" t="s">
        <v>729</v>
      </c>
      <c r="H98" s="16">
        <v>46155</v>
      </c>
      <c r="I98" s="39" t="s">
        <v>35</v>
      </c>
      <c r="J98" s="43" t="s">
        <v>730</v>
      </c>
      <c r="K98" s="43" t="s">
        <v>731</v>
      </c>
      <c r="L98" s="23">
        <v>720246.24</v>
      </c>
      <c r="M98" s="23">
        <v>720246.24</v>
      </c>
      <c r="N98" s="14"/>
      <c r="O98" s="14">
        <v>758132</v>
      </c>
      <c r="P98" s="31">
        <v>0.95002748861675801</v>
      </c>
      <c r="Q98" s="37">
        <v>4.2200000000000001E-2</v>
      </c>
      <c r="R98" s="41" t="s">
        <v>38</v>
      </c>
      <c r="S98" s="53">
        <v>645613</v>
      </c>
      <c r="T98" s="56" t="s">
        <v>39</v>
      </c>
      <c r="U98" s="11">
        <v>46164</v>
      </c>
      <c r="V98" s="22">
        <v>46208</v>
      </c>
      <c r="W98" s="22">
        <v>46938</v>
      </c>
      <c r="X98" s="18">
        <v>46143</v>
      </c>
      <c r="Y98" s="42" t="s">
        <v>732</v>
      </c>
      <c r="Z98" s="2" t="s">
        <v>41</v>
      </c>
      <c r="AA98" s="3" t="s">
        <v>733</v>
      </c>
      <c r="AB98" s="16">
        <v>46160</v>
      </c>
      <c r="AC98" s="2" t="s">
        <v>43</v>
      </c>
      <c r="AD98" s="3" t="s">
        <v>734</v>
      </c>
      <c r="AE98" s="21" t="s">
        <v>56</v>
      </c>
    </row>
    <row r="99" spans="1:31" ht="102">
      <c r="A99" s="15">
        <v>97</v>
      </c>
      <c r="B99" s="44" t="s">
        <v>735</v>
      </c>
      <c r="C99" s="2" t="s">
        <v>728</v>
      </c>
      <c r="D99" s="15">
        <v>6289238</v>
      </c>
      <c r="E99" s="16">
        <v>46147</v>
      </c>
      <c r="F99" s="18">
        <v>46143</v>
      </c>
      <c r="G99" s="47" t="s">
        <v>736</v>
      </c>
      <c r="H99" s="16">
        <v>46149</v>
      </c>
      <c r="I99" s="39" t="s">
        <v>35</v>
      </c>
      <c r="J99" s="43" t="s">
        <v>737</v>
      </c>
      <c r="K99" s="43" t="s">
        <v>738</v>
      </c>
      <c r="L99" s="23">
        <v>41802.04</v>
      </c>
      <c r="M99" s="23">
        <v>41802.04</v>
      </c>
      <c r="N99" s="14"/>
      <c r="O99" s="14">
        <v>44292</v>
      </c>
      <c r="P99" s="31">
        <v>0.94378307595051025</v>
      </c>
      <c r="Q99" s="37">
        <v>0.1038</v>
      </c>
      <c r="R99" s="41" t="s">
        <v>38</v>
      </c>
      <c r="S99" s="53">
        <v>645613</v>
      </c>
      <c r="T99" s="56" t="s">
        <v>39</v>
      </c>
      <c r="U99" s="11">
        <v>46179</v>
      </c>
      <c r="V99" s="22">
        <v>46353</v>
      </c>
      <c r="W99" s="22">
        <v>47083</v>
      </c>
      <c r="X99" s="18">
        <v>46143</v>
      </c>
      <c r="Y99" s="40" t="s">
        <v>739</v>
      </c>
      <c r="Z99" s="47" t="s">
        <v>63</v>
      </c>
      <c r="AA99" s="44" t="s">
        <v>733</v>
      </c>
      <c r="AB99" s="16">
        <v>46153</v>
      </c>
      <c r="AC99" s="2" t="s">
        <v>43</v>
      </c>
      <c r="AD99" s="3" t="s">
        <v>734</v>
      </c>
      <c r="AE99" s="1"/>
    </row>
    <row r="100" spans="1:31" ht="89.25">
      <c r="A100" s="15">
        <v>98</v>
      </c>
      <c r="B100" s="44" t="s">
        <v>727</v>
      </c>
      <c r="C100" s="2" t="s">
        <v>728</v>
      </c>
      <c r="D100" s="15">
        <v>6289253</v>
      </c>
      <c r="E100" s="16">
        <v>46147</v>
      </c>
      <c r="F100" s="18">
        <v>46143</v>
      </c>
      <c r="G100" s="47" t="s">
        <v>740</v>
      </c>
      <c r="H100" s="16">
        <v>46148</v>
      </c>
      <c r="I100" s="39" t="s">
        <v>48</v>
      </c>
      <c r="J100" s="43" t="s">
        <v>741</v>
      </c>
      <c r="K100" s="43" t="s">
        <v>539</v>
      </c>
      <c r="L100" s="23">
        <v>137166</v>
      </c>
      <c r="M100" s="23">
        <v>137166</v>
      </c>
      <c r="N100" s="14"/>
      <c r="O100" s="14">
        <v>144380</v>
      </c>
      <c r="P100" s="31">
        <v>0.95003463083529571</v>
      </c>
      <c r="Q100" s="37">
        <v>0</v>
      </c>
      <c r="R100" s="41" t="s">
        <v>51</v>
      </c>
      <c r="S100" s="53">
        <v>645613</v>
      </c>
      <c r="T100" s="56" t="s">
        <v>39</v>
      </c>
      <c r="U100" s="51"/>
      <c r="V100" s="22">
        <v>46285</v>
      </c>
      <c r="W100" s="22">
        <v>47016</v>
      </c>
      <c r="X100" s="18">
        <v>46143</v>
      </c>
      <c r="Y100" s="42" t="s">
        <v>742</v>
      </c>
      <c r="Z100" s="2" t="s">
        <v>63</v>
      </c>
      <c r="AA100" s="3" t="s">
        <v>733</v>
      </c>
      <c r="AB100" s="16">
        <v>46154</v>
      </c>
      <c r="AC100" s="2" t="s">
        <v>107</v>
      </c>
      <c r="AD100" s="3" t="s">
        <v>734</v>
      </c>
      <c r="AE100" s="1"/>
    </row>
    <row r="101" spans="1:31" ht="89.25">
      <c r="A101" s="15">
        <v>99</v>
      </c>
      <c r="B101" s="3" t="s">
        <v>743</v>
      </c>
      <c r="C101" s="2" t="s">
        <v>744</v>
      </c>
      <c r="D101" s="15">
        <v>6289277</v>
      </c>
      <c r="E101" s="16">
        <v>46147</v>
      </c>
      <c r="F101" s="18">
        <v>46143</v>
      </c>
      <c r="G101" s="47" t="s">
        <v>745</v>
      </c>
      <c r="H101" s="16">
        <v>46148</v>
      </c>
      <c r="I101" s="39" t="s">
        <v>48</v>
      </c>
      <c r="J101" s="43" t="s">
        <v>746</v>
      </c>
      <c r="K101" s="43" t="s">
        <v>747</v>
      </c>
      <c r="L101" s="23">
        <v>109100</v>
      </c>
      <c r="M101" s="23">
        <v>109100</v>
      </c>
      <c r="N101" s="14"/>
      <c r="O101" s="14">
        <v>127950</v>
      </c>
      <c r="P101" s="31">
        <v>0.85267682688550217</v>
      </c>
      <c r="Q101" s="37">
        <v>0</v>
      </c>
      <c r="R101" s="41" t="s">
        <v>51</v>
      </c>
      <c r="S101" s="53">
        <v>645613</v>
      </c>
      <c r="T101" s="56" t="s">
        <v>39</v>
      </c>
      <c r="U101" s="11">
        <v>46219</v>
      </c>
      <c r="V101" s="22">
        <v>46178</v>
      </c>
      <c r="W101" s="22">
        <v>46543</v>
      </c>
      <c r="X101" s="18">
        <v>46143</v>
      </c>
      <c r="Y101" s="42" t="s">
        <v>748</v>
      </c>
      <c r="Z101" s="2" t="s">
        <v>63</v>
      </c>
      <c r="AA101" s="3" t="s">
        <v>466</v>
      </c>
      <c r="AB101" s="16">
        <v>46162</v>
      </c>
      <c r="AC101" s="2" t="s">
        <v>43</v>
      </c>
      <c r="AD101" s="3" t="s">
        <v>749</v>
      </c>
      <c r="AE101" s="1"/>
    </row>
    <row r="102" spans="1:31" ht="365.25">
      <c r="A102" s="15">
        <v>100</v>
      </c>
      <c r="B102" s="3" t="s">
        <v>750</v>
      </c>
      <c r="C102" s="2" t="s">
        <v>751</v>
      </c>
      <c r="D102" s="15">
        <v>6289993</v>
      </c>
      <c r="E102" s="16">
        <v>46149</v>
      </c>
      <c r="F102" s="18">
        <v>46143</v>
      </c>
      <c r="G102" s="47" t="s">
        <v>752</v>
      </c>
      <c r="H102" s="16">
        <v>46155</v>
      </c>
      <c r="I102" s="39" t="s">
        <v>584</v>
      </c>
      <c r="J102" s="43" t="s">
        <v>753</v>
      </c>
      <c r="K102" s="43" t="s">
        <v>754</v>
      </c>
      <c r="L102" s="23">
        <v>186571</v>
      </c>
      <c r="M102" s="23">
        <v>186571</v>
      </c>
      <c r="N102" s="14"/>
      <c r="O102" s="14">
        <v>250000</v>
      </c>
      <c r="P102" s="31">
        <v>0.74628399999999995</v>
      </c>
      <c r="Q102" s="37">
        <v>0</v>
      </c>
      <c r="R102" s="41" t="s">
        <v>51</v>
      </c>
      <c r="S102" s="53">
        <v>645613</v>
      </c>
      <c r="T102" s="56" t="s">
        <v>39</v>
      </c>
      <c r="U102" s="11">
        <v>46179</v>
      </c>
      <c r="V102" s="22">
        <v>46187</v>
      </c>
      <c r="W102" s="22">
        <v>46551</v>
      </c>
      <c r="X102" s="18">
        <v>46143</v>
      </c>
      <c r="Y102" s="40" t="s">
        <v>755</v>
      </c>
      <c r="Z102" s="47" t="s">
        <v>63</v>
      </c>
      <c r="AA102" s="44" t="s">
        <v>466</v>
      </c>
      <c r="AB102" s="16">
        <v>46161</v>
      </c>
      <c r="AC102" s="47" t="s">
        <v>43</v>
      </c>
      <c r="AD102" s="3" t="s">
        <v>756</v>
      </c>
      <c r="AE102" s="1"/>
    </row>
    <row r="103" spans="1:31" ht="216.75">
      <c r="A103" s="15">
        <v>101</v>
      </c>
      <c r="B103" s="3" t="s">
        <v>757</v>
      </c>
      <c r="C103" s="2" t="s">
        <v>758</v>
      </c>
      <c r="D103" s="15">
        <v>6290952</v>
      </c>
      <c r="E103" s="16">
        <v>46153</v>
      </c>
      <c r="F103" s="18">
        <v>46143</v>
      </c>
      <c r="G103" s="47" t="s">
        <v>759</v>
      </c>
      <c r="H103" s="16">
        <v>46155</v>
      </c>
      <c r="I103" s="39" t="s">
        <v>526</v>
      </c>
      <c r="J103" s="43" t="s">
        <v>760</v>
      </c>
      <c r="K103" s="43" t="s">
        <v>761</v>
      </c>
      <c r="L103" s="23">
        <v>104470.85</v>
      </c>
      <c r="M103" s="23">
        <v>104470.85</v>
      </c>
      <c r="N103" s="14"/>
      <c r="O103" s="14">
        <v>171480</v>
      </c>
      <c r="P103" s="31">
        <v>0.60923052250991372</v>
      </c>
      <c r="Q103" s="37">
        <v>8.7400000000000005E-2</v>
      </c>
      <c r="R103" s="41" t="s">
        <v>290</v>
      </c>
      <c r="S103" s="53">
        <v>645613</v>
      </c>
      <c r="T103" s="56" t="s">
        <v>39</v>
      </c>
      <c r="U103" s="11">
        <v>46198</v>
      </c>
      <c r="V103" s="22">
        <v>46159</v>
      </c>
      <c r="W103" s="22">
        <v>46523</v>
      </c>
      <c r="X103" s="18">
        <v>46143</v>
      </c>
      <c r="Y103" s="40" t="s">
        <v>762</v>
      </c>
      <c r="Z103" s="47" t="s">
        <v>63</v>
      </c>
      <c r="AA103" s="47" t="s">
        <v>203</v>
      </c>
      <c r="AB103" s="16">
        <v>46161</v>
      </c>
      <c r="AC103" s="47" t="s">
        <v>43</v>
      </c>
      <c r="AD103" s="3" t="s">
        <v>763</v>
      </c>
      <c r="AE103" s="1"/>
    </row>
    <row r="104" spans="1:31" ht="306">
      <c r="A104" s="15">
        <v>102</v>
      </c>
      <c r="B104" s="44" t="s">
        <v>764</v>
      </c>
      <c r="C104" s="3" t="s">
        <v>765</v>
      </c>
      <c r="D104" s="44" t="s">
        <v>766</v>
      </c>
      <c r="E104" s="16">
        <v>46153</v>
      </c>
      <c r="F104" s="18">
        <v>46143</v>
      </c>
      <c r="G104" s="47" t="s">
        <v>767</v>
      </c>
      <c r="H104" s="16">
        <v>46163</v>
      </c>
      <c r="I104" s="39" t="s">
        <v>48</v>
      </c>
      <c r="J104" s="43" t="s">
        <v>768</v>
      </c>
      <c r="K104" s="43" t="s">
        <v>769</v>
      </c>
      <c r="L104" s="23">
        <v>536245</v>
      </c>
      <c r="M104" s="23">
        <v>536245</v>
      </c>
      <c r="N104" s="14"/>
      <c r="O104" s="14">
        <v>624162</v>
      </c>
      <c r="P104" s="31">
        <v>0.8591439401950135</v>
      </c>
      <c r="Q104" s="37">
        <v>0.86</v>
      </c>
      <c r="R104" s="41" t="s">
        <v>51</v>
      </c>
      <c r="S104" s="53">
        <v>645613</v>
      </c>
      <c r="T104" s="56" t="s">
        <v>39</v>
      </c>
      <c r="U104" s="51"/>
      <c r="V104" s="45" t="s">
        <v>770</v>
      </c>
      <c r="W104" s="45" t="s">
        <v>771</v>
      </c>
      <c r="X104" s="18">
        <v>46143</v>
      </c>
      <c r="Y104" s="42" t="s">
        <v>772</v>
      </c>
      <c r="Z104" s="2" t="s">
        <v>41</v>
      </c>
      <c r="AA104" s="2" t="s">
        <v>125</v>
      </c>
      <c r="AB104" s="16">
        <v>46167</v>
      </c>
      <c r="AC104" s="2" t="s">
        <v>107</v>
      </c>
      <c r="AD104" s="3" t="s">
        <v>773</v>
      </c>
      <c r="AE104" s="21" t="s">
        <v>56</v>
      </c>
    </row>
    <row r="105" spans="1:31" ht="89.25">
      <c r="A105" s="15">
        <v>103</v>
      </c>
      <c r="B105" s="3" t="s">
        <v>774</v>
      </c>
      <c r="C105" s="2" t="s">
        <v>775</v>
      </c>
      <c r="D105" s="15">
        <v>6291819</v>
      </c>
      <c r="E105" s="16">
        <v>46155</v>
      </c>
      <c r="F105" s="18">
        <v>46143</v>
      </c>
      <c r="G105" s="47" t="s">
        <v>776</v>
      </c>
      <c r="H105" s="16">
        <v>46156</v>
      </c>
      <c r="I105" s="39" t="s">
        <v>48</v>
      </c>
      <c r="J105" s="33" t="s">
        <v>777</v>
      </c>
      <c r="K105" s="43" t="s">
        <v>778</v>
      </c>
      <c r="L105" s="23">
        <v>33000</v>
      </c>
      <c r="M105" s="23">
        <v>33000</v>
      </c>
      <c r="N105" s="14"/>
      <c r="O105" s="14">
        <v>41250</v>
      </c>
      <c r="P105" s="31">
        <v>0.8</v>
      </c>
      <c r="Q105" s="37">
        <v>4.36E-2</v>
      </c>
      <c r="R105" s="41" t="s">
        <v>51</v>
      </c>
      <c r="S105" s="53">
        <v>645613</v>
      </c>
      <c r="T105" s="56" t="s">
        <v>39</v>
      </c>
      <c r="U105" s="11">
        <v>46216</v>
      </c>
      <c r="V105" s="22">
        <v>46156</v>
      </c>
      <c r="W105" s="22">
        <v>46340</v>
      </c>
      <c r="X105" s="18">
        <v>46143</v>
      </c>
      <c r="Y105" s="40" t="s">
        <v>779</v>
      </c>
      <c r="Z105" s="47" t="s">
        <v>63</v>
      </c>
      <c r="AA105" s="47" t="s">
        <v>64</v>
      </c>
      <c r="AB105" s="16">
        <v>46157</v>
      </c>
      <c r="AC105" s="2" t="s">
        <v>43</v>
      </c>
      <c r="AD105" s="3" t="s">
        <v>780</v>
      </c>
      <c r="AE105" s="1"/>
    </row>
    <row r="106" spans="1:31" ht="114.75">
      <c r="A106" s="15">
        <v>104</v>
      </c>
      <c r="B106" s="3" t="s">
        <v>258</v>
      </c>
      <c r="C106" s="2" t="s">
        <v>781</v>
      </c>
      <c r="D106" s="15">
        <v>6291996</v>
      </c>
      <c r="E106" s="16">
        <v>46155</v>
      </c>
      <c r="F106" s="18">
        <v>46143</v>
      </c>
      <c r="G106" s="47" t="s">
        <v>782</v>
      </c>
      <c r="H106" s="16">
        <v>46156</v>
      </c>
      <c r="I106" s="25" t="s">
        <v>177</v>
      </c>
      <c r="J106" s="43" t="s">
        <v>783</v>
      </c>
      <c r="K106" s="43"/>
      <c r="L106" s="23">
        <v>313548.28000000003</v>
      </c>
      <c r="M106" s="23">
        <v>313548.28000000003</v>
      </c>
      <c r="N106" s="14"/>
      <c r="O106" s="14">
        <v>407620</v>
      </c>
      <c r="P106" s="31">
        <v>0.76921711397870574</v>
      </c>
      <c r="Q106" s="37">
        <v>0</v>
      </c>
      <c r="R106" s="41" t="s">
        <v>38</v>
      </c>
      <c r="S106" s="53">
        <v>645613</v>
      </c>
      <c r="T106" s="56" t="s">
        <v>39</v>
      </c>
      <c r="U106" s="11">
        <v>46179</v>
      </c>
      <c r="V106" s="22">
        <v>46158</v>
      </c>
      <c r="W106" s="22">
        <v>46522</v>
      </c>
      <c r="X106" s="18">
        <v>46143</v>
      </c>
      <c r="Y106" s="42" t="s">
        <v>784</v>
      </c>
      <c r="Z106" s="2" t="s">
        <v>41</v>
      </c>
      <c r="AA106" s="2" t="s">
        <v>133</v>
      </c>
      <c r="AB106" s="16">
        <v>46162</v>
      </c>
      <c r="AC106" s="2" t="s">
        <v>43</v>
      </c>
      <c r="AD106" s="3" t="s">
        <v>785</v>
      </c>
      <c r="AE106" s="1"/>
    </row>
    <row r="107" spans="1:31" ht="89.25">
      <c r="A107" s="15">
        <v>105</v>
      </c>
      <c r="B107" s="3" t="s">
        <v>786</v>
      </c>
      <c r="C107" s="2" t="s">
        <v>787</v>
      </c>
      <c r="D107" s="15">
        <v>6292303</v>
      </c>
      <c r="E107" s="16">
        <v>46156</v>
      </c>
      <c r="F107" s="18">
        <v>46143</v>
      </c>
      <c r="G107" s="47" t="s">
        <v>788</v>
      </c>
      <c r="H107" s="16">
        <v>46157</v>
      </c>
      <c r="I107" s="25" t="s">
        <v>269</v>
      </c>
      <c r="J107" s="43" t="s">
        <v>789</v>
      </c>
      <c r="K107" s="43"/>
      <c r="L107" s="23">
        <v>46496</v>
      </c>
      <c r="M107" s="23">
        <v>46496</v>
      </c>
      <c r="N107" s="14"/>
      <c r="O107" s="14">
        <v>51660</v>
      </c>
      <c r="P107" s="31">
        <v>0.90003871467286101</v>
      </c>
      <c r="Q107" s="37" t="s">
        <v>37</v>
      </c>
      <c r="R107" s="41" t="s">
        <v>38</v>
      </c>
      <c r="S107" s="53">
        <v>645613</v>
      </c>
      <c r="T107" s="56" t="s">
        <v>39</v>
      </c>
      <c r="U107" s="11">
        <v>46259</v>
      </c>
      <c r="V107" s="22">
        <v>46132</v>
      </c>
      <c r="W107" s="22">
        <v>46496</v>
      </c>
      <c r="X107" s="18">
        <v>46143</v>
      </c>
      <c r="Y107" s="40" t="s">
        <v>790</v>
      </c>
      <c r="Z107" s="47" t="s">
        <v>63</v>
      </c>
      <c r="AA107" s="47" t="s">
        <v>232</v>
      </c>
      <c r="AB107" s="16">
        <v>46168</v>
      </c>
      <c r="AC107" s="2" t="s">
        <v>43</v>
      </c>
      <c r="AD107" s="3" t="s">
        <v>791</v>
      </c>
      <c r="AE107" s="1"/>
    </row>
    <row r="108" spans="1:31" ht="51">
      <c r="A108" s="15">
        <v>106</v>
      </c>
      <c r="B108" s="3" t="s">
        <v>757</v>
      </c>
      <c r="C108" s="2" t="s">
        <v>792</v>
      </c>
      <c r="D108" s="15">
        <v>6292285</v>
      </c>
      <c r="E108" s="16">
        <v>46156</v>
      </c>
      <c r="F108" s="18">
        <v>46143</v>
      </c>
      <c r="G108" s="47" t="s">
        <v>793</v>
      </c>
      <c r="H108" s="16">
        <v>46161</v>
      </c>
      <c r="I108" s="39" t="s">
        <v>48</v>
      </c>
      <c r="J108" s="43" t="s">
        <v>794</v>
      </c>
      <c r="K108" s="43" t="s">
        <v>795</v>
      </c>
      <c r="L108" s="23">
        <v>51810</v>
      </c>
      <c r="M108" s="23">
        <v>51810</v>
      </c>
      <c r="N108" s="14"/>
      <c r="O108" s="14">
        <v>93340</v>
      </c>
      <c r="P108" s="31">
        <v>0.55506749517891574</v>
      </c>
      <c r="Q108" s="37">
        <v>0.56000000000000005</v>
      </c>
      <c r="R108" s="41" t="s">
        <v>51</v>
      </c>
      <c r="S108" s="53">
        <v>645613</v>
      </c>
      <c r="T108" s="56" t="s">
        <v>39</v>
      </c>
      <c r="U108" s="11">
        <v>46216</v>
      </c>
      <c r="V108" s="22">
        <v>46233</v>
      </c>
      <c r="W108" s="22">
        <v>46598</v>
      </c>
      <c r="X108" s="18">
        <v>46143</v>
      </c>
      <c r="Y108" s="40" t="s">
        <v>796</v>
      </c>
      <c r="Z108" s="47" t="s">
        <v>63</v>
      </c>
      <c r="AA108" s="47" t="s">
        <v>203</v>
      </c>
      <c r="AB108" s="16">
        <v>46169</v>
      </c>
      <c r="AC108" s="2" t="s">
        <v>43</v>
      </c>
      <c r="AD108" s="3" t="s">
        <v>797</v>
      </c>
      <c r="AE108" s="1"/>
    </row>
    <row r="109" spans="1:31" ht="89.25">
      <c r="A109" s="15">
        <v>107</v>
      </c>
      <c r="B109" s="2" t="s">
        <v>798</v>
      </c>
      <c r="C109" s="2" t="s">
        <v>799</v>
      </c>
      <c r="D109" s="15">
        <v>6292411</v>
      </c>
      <c r="E109" s="16">
        <v>46156</v>
      </c>
      <c r="F109" s="18">
        <v>46143</v>
      </c>
      <c r="G109" s="47" t="s">
        <v>800</v>
      </c>
      <c r="H109" s="16">
        <v>46161</v>
      </c>
      <c r="I109" s="39" t="s">
        <v>48</v>
      </c>
      <c r="J109" s="43" t="s">
        <v>801</v>
      </c>
      <c r="K109" s="43" t="s">
        <v>802</v>
      </c>
      <c r="L109" s="23">
        <v>40083</v>
      </c>
      <c r="M109" s="23">
        <v>40083</v>
      </c>
      <c r="N109" s="14"/>
      <c r="O109" s="14">
        <v>50000</v>
      </c>
      <c r="P109" s="31">
        <v>0.80166000000000004</v>
      </c>
      <c r="Q109" s="37">
        <v>7.1999999999999995E-2</v>
      </c>
      <c r="R109" s="41" t="s">
        <v>51</v>
      </c>
      <c r="S109" s="53">
        <v>645613</v>
      </c>
      <c r="T109" s="56" t="s">
        <v>39</v>
      </c>
      <c r="U109" s="11">
        <v>46246</v>
      </c>
      <c r="V109" s="22">
        <v>46221</v>
      </c>
      <c r="W109" s="24">
        <v>47317</v>
      </c>
      <c r="X109" s="18">
        <v>46143</v>
      </c>
      <c r="Y109" s="40" t="s">
        <v>803</v>
      </c>
      <c r="Z109" s="47" t="s">
        <v>63</v>
      </c>
      <c r="AA109" s="47" t="s">
        <v>142</v>
      </c>
      <c r="AB109" s="16">
        <v>46169</v>
      </c>
      <c r="AC109" s="2" t="s">
        <v>43</v>
      </c>
      <c r="AD109" s="3" t="s">
        <v>804</v>
      </c>
      <c r="AE109" s="1"/>
    </row>
    <row r="110" spans="1:31" ht="63.75">
      <c r="A110" s="15">
        <v>108</v>
      </c>
      <c r="B110" s="3" t="s">
        <v>158</v>
      </c>
      <c r="C110" s="2" t="s">
        <v>805</v>
      </c>
      <c r="D110" s="15">
        <v>6293658</v>
      </c>
      <c r="E110" s="16">
        <v>46161</v>
      </c>
      <c r="F110" s="18">
        <v>46143</v>
      </c>
      <c r="G110" s="47" t="s">
        <v>806</v>
      </c>
      <c r="H110" s="16">
        <v>46168</v>
      </c>
      <c r="I110" s="39" t="s">
        <v>48</v>
      </c>
      <c r="J110" s="43" t="s">
        <v>807</v>
      </c>
      <c r="K110" s="46" t="s">
        <v>808</v>
      </c>
      <c r="L110" s="23">
        <v>7248</v>
      </c>
      <c r="M110" s="23">
        <v>7248</v>
      </c>
      <c r="N110" s="14"/>
      <c r="O110" s="14">
        <v>9780</v>
      </c>
      <c r="P110" s="31">
        <v>0.74110429447852766</v>
      </c>
      <c r="Q110" s="37">
        <v>0.30669999999999997</v>
      </c>
      <c r="R110" s="41" t="s">
        <v>51</v>
      </c>
      <c r="S110" s="53">
        <v>645613</v>
      </c>
      <c r="T110" s="56" t="s">
        <v>39</v>
      </c>
      <c r="U110" s="11">
        <v>46219</v>
      </c>
      <c r="V110" s="24">
        <v>46251</v>
      </c>
      <c r="W110" s="24">
        <v>47347</v>
      </c>
      <c r="X110" s="18">
        <v>46174</v>
      </c>
      <c r="Y110" s="40" t="s">
        <v>809</v>
      </c>
      <c r="Z110" s="47" t="s">
        <v>63</v>
      </c>
      <c r="AA110" s="47" t="s">
        <v>106</v>
      </c>
      <c r="AB110" s="16">
        <v>46182</v>
      </c>
      <c r="AC110" s="2" t="s">
        <v>43</v>
      </c>
      <c r="AD110" s="3" t="s">
        <v>810</v>
      </c>
      <c r="AE110" s="1"/>
    </row>
    <row r="111" spans="1:31" ht="102">
      <c r="A111" s="15">
        <v>109</v>
      </c>
      <c r="B111" s="3" t="s">
        <v>811</v>
      </c>
      <c r="C111" s="2" t="s">
        <v>812</v>
      </c>
      <c r="D111" s="15">
        <v>6294994</v>
      </c>
      <c r="E111" s="16">
        <v>46164</v>
      </c>
      <c r="F111" s="18">
        <v>46143</v>
      </c>
      <c r="G111" s="47" t="s">
        <v>813</v>
      </c>
      <c r="H111" s="16">
        <v>46168</v>
      </c>
      <c r="I111" s="39" t="s">
        <v>269</v>
      </c>
      <c r="J111" s="43" t="s">
        <v>814</v>
      </c>
      <c r="K111" s="43"/>
      <c r="L111" s="23">
        <v>283385</v>
      </c>
      <c r="M111" s="23">
        <v>283385</v>
      </c>
      <c r="N111" s="14"/>
      <c r="O111" s="14">
        <v>312000</v>
      </c>
      <c r="P111" s="31">
        <v>0.90828525641025637</v>
      </c>
      <c r="Q111" s="37">
        <v>0</v>
      </c>
      <c r="R111" s="41" t="s">
        <v>171</v>
      </c>
      <c r="S111" s="53">
        <v>645613</v>
      </c>
      <c r="T111" s="56" t="s">
        <v>39</v>
      </c>
      <c r="U111" s="11">
        <v>46211</v>
      </c>
      <c r="V111" s="22">
        <v>46170</v>
      </c>
      <c r="W111" s="22">
        <v>46534</v>
      </c>
      <c r="X111" s="18">
        <v>46143</v>
      </c>
      <c r="Y111" s="40" t="s">
        <v>815</v>
      </c>
      <c r="Z111" s="47" t="s">
        <v>41</v>
      </c>
      <c r="AA111" s="47" t="s">
        <v>203</v>
      </c>
      <c r="AB111" s="16">
        <v>46171</v>
      </c>
      <c r="AC111" s="47" t="s">
        <v>43</v>
      </c>
      <c r="AD111" s="3" t="s">
        <v>816</v>
      </c>
      <c r="AE111" s="1"/>
    </row>
    <row r="112" spans="1:31" ht="140.25">
      <c r="A112" s="15">
        <v>110</v>
      </c>
      <c r="B112" s="44" t="s">
        <v>817</v>
      </c>
      <c r="C112" s="2" t="s">
        <v>818</v>
      </c>
      <c r="D112" s="15">
        <v>6294050</v>
      </c>
      <c r="E112" s="16">
        <v>46162</v>
      </c>
      <c r="F112" s="18">
        <v>46143</v>
      </c>
      <c r="G112" s="47" t="s">
        <v>819</v>
      </c>
      <c r="H112" s="16">
        <v>46164</v>
      </c>
      <c r="I112" s="39" t="s">
        <v>177</v>
      </c>
      <c r="J112" s="43" t="s">
        <v>820</v>
      </c>
      <c r="K112" s="43"/>
      <c r="L112" s="23">
        <v>433763.2</v>
      </c>
      <c r="M112" s="23">
        <v>433763.2</v>
      </c>
      <c r="N112" s="14"/>
      <c r="O112" s="14">
        <v>527343</v>
      </c>
      <c r="P112" s="31">
        <v>0.82254471947100849</v>
      </c>
      <c r="Q112" s="37">
        <v>0</v>
      </c>
      <c r="R112" s="41" t="s">
        <v>38</v>
      </c>
      <c r="S112" s="53">
        <v>645613</v>
      </c>
      <c r="T112" s="56" t="s">
        <v>39</v>
      </c>
      <c r="U112" s="11">
        <v>46227</v>
      </c>
      <c r="V112" s="22">
        <v>46173</v>
      </c>
      <c r="W112" s="22">
        <v>46537</v>
      </c>
      <c r="X112" s="18">
        <v>46174</v>
      </c>
      <c r="Y112" s="40" t="s">
        <v>821</v>
      </c>
      <c r="Z112" s="2" t="s">
        <v>41</v>
      </c>
      <c r="AA112" s="2" t="s">
        <v>75</v>
      </c>
      <c r="AB112" s="16">
        <v>46174</v>
      </c>
      <c r="AC112" s="2" t="s">
        <v>43</v>
      </c>
      <c r="AD112" s="3" t="s">
        <v>822</v>
      </c>
      <c r="AE112" s="1"/>
    </row>
    <row r="113" spans="1:31" ht="51">
      <c r="A113" s="15">
        <v>111</v>
      </c>
      <c r="B113" s="3" t="s">
        <v>158</v>
      </c>
      <c r="C113" s="2" t="s">
        <v>823</v>
      </c>
      <c r="D113" s="15">
        <v>6294063</v>
      </c>
      <c r="E113" s="16">
        <v>46162</v>
      </c>
      <c r="F113" s="18">
        <v>46143</v>
      </c>
      <c r="G113" s="47" t="s">
        <v>824</v>
      </c>
      <c r="H113" s="16">
        <v>46164</v>
      </c>
      <c r="I113" s="39" t="s">
        <v>48</v>
      </c>
      <c r="J113" s="46" t="s">
        <v>825</v>
      </c>
      <c r="K113" s="43" t="s">
        <v>826</v>
      </c>
      <c r="L113" s="23">
        <v>16400</v>
      </c>
      <c r="M113" s="23">
        <v>16400</v>
      </c>
      <c r="N113" s="14"/>
      <c r="O113" s="14">
        <v>21865</v>
      </c>
      <c r="P113" s="31">
        <v>0.75005716899153896</v>
      </c>
      <c r="Q113" s="37">
        <v>0</v>
      </c>
      <c r="R113" s="41" t="s">
        <v>51</v>
      </c>
      <c r="S113" s="53">
        <v>645613</v>
      </c>
      <c r="T113" s="56" t="s">
        <v>39</v>
      </c>
      <c r="U113" s="11">
        <v>46216</v>
      </c>
      <c r="V113" s="22">
        <v>46240</v>
      </c>
      <c r="W113" s="22">
        <v>46971</v>
      </c>
      <c r="X113" s="18">
        <v>46143</v>
      </c>
      <c r="Y113" s="40" t="s">
        <v>827</v>
      </c>
      <c r="Z113" s="47" t="s">
        <v>63</v>
      </c>
      <c r="AA113" s="47" t="s">
        <v>106</v>
      </c>
      <c r="AB113" s="16">
        <v>46171</v>
      </c>
      <c r="AC113" s="2" t="s">
        <v>43</v>
      </c>
      <c r="AD113" s="3" t="s">
        <v>828</v>
      </c>
      <c r="AE113" s="1"/>
    </row>
    <row r="114" spans="1:31" ht="318.75">
      <c r="A114" s="15">
        <v>112</v>
      </c>
      <c r="B114" s="3" t="s">
        <v>166</v>
      </c>
      <c r="C114" s="2" t="s">
        <v>829</v>
      </c>
      <c r="D114" s="15">
        <v>6295560</v>
      </c>
      <c r="E114" s="16">
        <v>46168</v>
      </c>
      <c r="F114" s="18">
        <v>46143</v>
      </c>
      <c r="G114" s="47" t="s">
        <v>830</v>
      </c>
      <c r="H114" s="16">
        <v>46175</v>
      </c>
      <c r="I114" s="39" t="s">
        <v>48</v>
      </c>
      <c r="J114" s="68" t="s">
        <v>831</v>
      </c>
      <c r="K114" s="43" t="s">
        <v>832</v>
      </c>
      <c r="L114" s="17">
        <v>931221.88</v>
      </c>
      <c r="M114" s="14"/>
      <c r="N114" s="14">
        <v>118845</v>
      </c>
      <c r="O114" s="14">
        <v>948102.9</v>
      </c>
      <c r="P114" s="31">
        <v>0.98219494951444619</v>
      </c>
      <c r="Q114" s="37" t="s">
        <v>37</v>
      </c>
      <c r="R114" s="41" t="s">
        <v>329</v>
      </c>
      <c r="S114" s="53">
        <v>645613</v>
      </c>
      <c r="T114" s="56" t="s">
        <v>39</v>
      </c>
      <c r="U114" s="11">
        <v>46239</v>
      </c>
      <c r="V114" s="45" t="s">
        <v>833</v>
      </c>
      <c r="W114" s="45" t="s">
        <v>834</v>
      </c>
      <c r="X114" s="18">
        <v>46174</v>
      </c>
      <c r="Y114" s="40" t="s">
        <v>835</v>
      </c>
      <c r="Z114" s="47" t="s">
        <v>41</v>
      </c>
      <c r="AA114" s="47" t="s">
        <v>106</v>
      </c>
      <c r="AB114" s="16">
        <v>46181</v>
      </c>
      <c r="AC114" s="2" t="s">
        <v>43</v>
      </c>
      <c r="AD114" s="3" t="s">
        <v>836</v>
      </c>
      <c r="AE114" s="32" t="s">
        <v>837</v>
      </c>
    </row>
    <row r="115" spans="1:31" ht="38.25">
      <c r="A115" s="15">
        <v>113</v>
      </c>
      <c r="B115" s="3" t="s">
        <v>838</v>
      </c>
      <c r="C115" s="2" t="s">
        <v>839</v>
      </c>
      <c r="D115" s="15">
        <v>6295840</v>
      </c>
      <c r="E115" s="16">
        <v>46169</v>
      </c>
      <c r="F115" s="18">
        <v>46143</v>
      </c>
      <c r="G115" s="47" t="s">
        <v>840</v>
      </c>
      <c r="H115" s="16">
        <v>46171</v>
      </c>
      <c r="I115" s="39" t="s">
        <v>48</v>
      </c>
      <c r="J115" s="36" t="s">
        <v>841</v>
      </c>
      <c r="K115" s="46" t="s">
        <v>842</v>
      </c>
      <c r="L115" s="23">
        <v>8655</v>
      </c>
      <c r="M115" s="23">
        <v>8655</v>
      </c>
      <c r="N115" s="14"/>
      <c r="O115" s="14">
        <v>13244</v>
      </c>
      <c r="P115" s="31">
        <v>0.65350347327091518</v>
      </c>
      <c r="Q115" s="37">
        <v>0</v>
      </c>
      <c r="R115" s="41" t="s">
        <v>51</v>
      </c>
      <c r="S115" s="53">
        <v>645613</v>
      </c>
      <c r="T115" s="56" t="s">
        <v>39</v>
      </c>
      <c r="U115" s="11">
        <v>46219</v>
      </c>
      <c r="V115" s="22">
        <v>46163</v>
      </c>
      <c r="W115" s="22">
        <v>46894</v>
      </c>
      <c r="X115" s="18">
        <v>46174</v>
      </c>
      <c r="Y115" s="40" t="s">
        <v>843</v>
      </c>
      <c r="Z115" s="47" t="s">
        <v>63</v>
      </c>
      <c r="AA115" s="47" t="s">
        <v>278</v>
      </c>
      <c r="AB115" s="16">
        <v>46174</v>
      </c>
      <c r="AC115" s="2" t="s">
        <v>43</v>
      </c>
      <c r="AD115" s="3" t="s">
        <v>844</v>
      </c>
      <c r="AE115" s="21" t="s">
        <v>56</v>
      </c>
    </row>
    <row r="116" spans="1:31" ht="216.75">
      <c r="A116" s="15">
        <v>114</v>
      </c>
      <c r="B116" s="44" t="s">
        <v>845</v>
      </c>
      <c r="C116" s="2" t="s">
        <v>846</v>
      </c>
      <c r="D116" s="15">
        <v>6296062</v>
      </c>
      <c r="E116" s="16">
        <v>46169</v>
      </c>
      <c r="F116" s="18">
        <v>46143</v>
      </c>
      <c r="G116" s="47" t="s">
        <v>847</v>
      </c>
      <c r="H116" s="16">
        <v>46171</v>
      </c>
      <c r="I116" s="39" t="s">
        <v>48</v>
      </c>
      <c r="J116" s="46" t="s">
        <v>848</v>
      </c>
      <c r="K116" s="43" t="s">
        <v>849</v>
      </c>
      <c r="L116" s="23">
        <v>254100</v>
      </c>
      <c r="M116" s="23">
        <v>254100</v>
      </c>
      <c r="N116" s="14"/>
      <c r="O116" s="14">
        <v>299000</v>
      </c>
      <c r="P116" s="31">
        <v>0.84983277591973239</v>
      </c>
      <c r="Q116" s="37">
        <v>0.85</v>
      </c>
      <c r="R116" s="41" t="s">
        <v>51</v>
      </c>
      <c r="S116" s="53">
        <v>645613</v>
      </c>
      <c r="T116" s="56" t="s">
        <v>39</v>
      </c>
      <c r="U116" s="11">
        <v>46219</v>
      </c>
      <c r="V116" s="22">
        <v>46173</v>
      </c>
      <c r="W116" s="22">
        <v>47269</v>
      </c>
      <c r="X116" s="18">
        <v>46174</v>
      </c>
      <c r="Y116" s="42" t="s">
        <v>850</v>
      </c>
      <c r="Z116" s="2" t="s">
        <v>41</v>
      </c>
      <c r="AA116" s="2" t="s">
        <v>96</v>
      </c>
      <c r="AB116" s="16">
        <v>46174</v>
      </c>
      <c r="AC116" s="2" t="s">
        <v>43</v>
      </c>
      <c r="AD116" s="3" t="s">
        <v>851</v>
      </c>
      <c r="AE116" s="21" t="s">
        <v>56</v>
      </c>
    </row>
    <row r="117" spans="1:31" ht="267.75">
      <c r="A117" s="15">
        <v>115</v>
      </c>
      <c r="B117" s="3" t="s">
        <v>852</v>
      </c>
      <c r="C117" s="2" t="s">
        <v>853</v>
      </c>
      <c r="D117" s="15">
        <v>6296623</v>
      </c>
      <c r="E117" s="16">
        <v>46171</v>
      </c>
      <c r="F117" s="18">
        <v>46143</v>
      </c>
      <c r="G117" s="47" t="s">
        <v>854</v>
      </c>
      <c r="H117" s="16">
        <v>46174</v>
      </c>
      <c r="I117" s="39" t="s">
        <v>48</v>
      </c>
      <c r="J117" s="68" t="s">
        <v>855</v>
      </c>
      <c r="K117" s="43" t="s">
        <v>856</v>
      </c>
      <c r="L117" s="23">
        <v>1500000</v>
      </c>
      <c r="M117" s="23">
        <v>1500000</v>
      </c>
      <c r="N117" s="48"/>
      <c r="O117" s="14">
        <v>2400000</v>
      </c>
      <c r="P117" s="31" t="s">
        <v>239</v>
      </c>
      <c r="Q117" s="37" t="s">
        <v>239</v>
      </c>
      <c r="R117" s="41" t="s">
        <v>51</v>
      </c>
      <c r="S117" s="53">
        <v>645613</v>
      </c>
      <c r="T117" s="56" t="s">
        <v>39</v>
      </c>
      <c r="U117" s="51"/>
      <c r="V117" s="22">
        <v>46184</v>
      </c>
      <c r="W117" s="45">
        <v>11485</v>
      </c>
      <c r="X117" s="18">
        <v>46204</v>
      </c>
      <c r="Y117" s="40" t="s">
        <v>857</v>
      </c>
      <c r="Z117" s="47" t="s">
        <v>86</v>
      </c>
      <c r="AA117" s="47" t="s">
        <v>374</v>
      </c>
      <c r="AB117" s="16">
        <v>46216</v>
      </c>
      <c r="AC117" s="2" t="s">
        <v>107</v>
      </c>
      <c r="AD117" s="3" t="s">
        <v>858</v>
      </c>
      <c r="AE117" s="32" t="s">
        <v>837</v>
      </c>
    </row>
    <row r="118" spans="1:31" ht="25.5">
      <c r="A118" s="15">
        <v>116</v>
      </c>
      <c r="B118" s="3" t="s">
        <v>852</v>
      </c>
      <c r="C118" s="2" t="s">
        <v>853</v>
      </c>
      <c r="D118" s="15">
        <v>6296272</v>
      </c>
      <c r="E118" s="16">
        <v>46170</v>
      </c>
      <c r="F118" s="18">
        <v>46143</v>
      </c>
      <c r="G118" s="47" t="s">
        <v>859</v>
      </c>
      <c r="H118" s="16">
        <v>46171</v>
      </c>
      <c r="I118" s="39" t="s">
        <v>35</v>
      </c>
      <c r="J118" s="46" t="s">
        <v>860</v>
      </c>
      <c r="K118" s="43"/>
      <c r="L118" s="23">
        <v>14317.96</v>
      </c>
      <c r="M118" s="23">
        <v>14317.96</v>
      </c>
      <c r="N118" s="48"/>
      <c r="O118" s="14"/>
      <c r="P118" s="31" t="s">
        <v>861</v>
      </c>
      <c r="Q118" s="37" t="s">
        <v>37</v>
      </c>
      <c r="R118" s="41" t="s">
        <v>171</v>
      </c>
      <c r="S118" s="53">
        <v>645613</v>
      </c>
      <c r="T118" s="56" t="s">
        <v>39</v>
      </c>
      <c r="U118" s="51"/>
      <c r="V118" s="22">
        <v>46203</v>
      </c>
      <c r="W118" s="22">
        <v>46568</v>
      </c>
      <c r="X118" s="67"/>
      <c r="Y118" s="42" t="s">
        <v>857</v>
      </c>
      <c r="Z118" s="2" t="s">
        <v>63</v>
      </c>
      <c r="AA118" s="2" t="s">
        <v>374</v>
      </c>
      <c r="AB118" s="28"/>
      <c r="AC118" s="2" t="s">
        <v>436</v>
      </c>
      <c r="AD118" s="3" t="s">
        <v>858</v>
      </c>
      <c r="AE118" s="32" t="s">
        <v>837</v>
      </c>
    </row>
    <row r="119" spans="1:31" ht="255">
      <c r="A119" s="15">
        <v>117</v>
      </c>
      <c r="B119" s="44" t="s">
        <v>862</v>
      </c>
      <c r="C119" s="2" t="s">
        <v>863</v>
      </c>
      <c r="D119" s="15">
        <v>6296295</v>
      </c>
      <c r="E119" s="16">
        <v>46170</v>
      </c>
      <c r="F119" s="18">
        <v>46143</v>
      </c>
      <c r="G119" s="47" t="s">
        <v>864</v>
      </c>
      <c r="H119" s="16">
        <v>46174</v>
      </c>
      <c r="I119" s="39" t="s">
        <v>362</v>
      </c>
      <c r="J119" s="46" t="s">
        <v>865</v>
      </c>
      <c r="K119" s="43"/>
      <c r="L119" s="23">
        <v>470770</v>
      </c>
      <c r="M119" s="23">
        <v>470770</v>
      </c>
      <c r="N119" s="48"/>
      <c r="O119" s="14">
        <v>492488</v>
      </c>
      <c r="P119" s="31">
        <v>0.95590146358896055</v>
      </c>
      <c r="Q119" s="37" t="s">
        <v>37</v>
      </c>
      <c r="R119" s="41" t="s">
        <v>51</v>
      </c>
      <c r="S119" s="53">
        <v>645613</v>
      </c>
      <c r="T119" s="56" t="s">
        <v>39</v>
      </c>
      <c r="U119" s="11">
        <v>46184</v>
      </c>
      <c r="V119" s="22">
        <v>46188</v>
      </c>
      <c r="W119" s="22">
        <v>47283</v>
      </c>
      <c r="X119" s="18">
        <v>46174</v>
      </c>
      <c r="Y119" s="40" t="s">
        <v>866</v>
      </c>
      <c r="Z119" s="47" t="s">
        <v>41</v>
      </c>
      <c r="AA119" s="47" t="s">
        <v>466</v>
      </c>
      <c r="AB119" s="16">
        <v>46181</v>
      </c>
      <c r="AC119" s="47" t="s">
        <v>43</v>
      </c>
      <c r="AD119" s="3" t="s">
        <v>867</v>
      </c>
      <c r="AE119" s="1"/>
    </row>
    <row r="120" spans="1:31" ht="178.5">
      <c r="A120" s="15">
        <v>118</v>
      </c>
      <c r="B120" s="3" t="s">
        <v>258</v>
      </c>
      <c r="C120" s="2" t="s">
        <v>868</v>
      </c>
      <c r="D120" s="15">
        <v>6296505</v>
      </c>
      <c r="E120" s="16">
        <v>46170</v>
      </c>
      <c r="F120" s="18">
        <v>46143</v>
      </c>
      <c r="G120" s="47" t="s">
        <v>869</v>
      </c>
      <c r="H120" s="16">
        <v>46171</v>
      </c>
      <c r="I120" s="39" t="s">
        <v>409</v>
      </c>
      <c r="J120" s="46" t="s">
        <v>870</v>
      </c>
      <c r="K120" s="43"/>
      <c r="L120" s="23">
        <v>435210</v>
      </c>
      <c r="M120" s="23">
        <v>435210</v>
      </c>
      <c r="N120" s="14"/>
      <c r="O120" s="14">
        <v>498000</v>
      </c>
      <c r="P120" s="31">
        <v>0.87391566265060239</v>
      </c>
      <c r="Q120" s="37">
        <v>0</v>
      </c>
      <c r="R120" s="41" t="s">
        <v>140</v>
      </c>
      <c r="S120" s="53">
        <v>645613</v>
      </c>
      <c r="T120" s="56" t="s">
        <v>39</v>
      </c>
      <c r="U120" s="11">
        <v>46188</v>
      </c>
      <c r="V120" s="22">
        <v>46190</v>
      </c>
      <c r="W120" s="22">
        <v>46554</v>
      </c>
      <c r="X120" s="18">
        <v>46174</v>
      </c>
      <c r="Y120" s="40" t="s">
        <v>871</v>
      </c>
      <c r="Z120" s="47" t="s">
        <v>41</v>
      </c>
      <c r="AA120" s="47" t="s">
        <v>133</v>
      </c>
      <c r="AB120" s="16">
        <v>46174</v>
      </c>
      <c r="AC120" s="47" t="s">
        <v>43</v>
      </c>
      <c r="AD120" s="3" t="s">
        <v>872</v>
      </c>
      <c r="AE120" s="1"/>
    </row>
    <row r="121" spans="1:31" ht="204">
      <c r="A121" s="15">
        <v>119</v>
      </c>
      <c r="B121" s="3" t="s">
        <v>158</v>
      </c>
      <c r="C121" s="2" t="s">
        <v>873</v>
      </c>
      <c r="D121" s="15">
        <v>6297283</v>
      </c>
      <c r="E121" s="16">
        <v>46174</v>
      </c>
      <c r="F121" s="18">
        <v>46174</v>
      </c>
      <c r="G121" s="47" t="s">
        <v>874</v>
      </c>
      <c r="H121" s="16">
        <v>46175</v>
      </c>
      <c r="I121" s="39" t="s">
        <v>48</v>
      </c>
      <c r="J121" s="36" t="s">
        <v>875</v>
      </c>
      <c r="K121" s="43" t="s">
        <v>876</v>
      </c>
      <c r="L121" s="23">
        <v>260977</v>
      </c>
      <c r="M121" s="23">
        <v>260977</v>
      </c>
      <c r="N121" s="14"/>
      <c r="O121" s="14">
        <v>395465</v>
      </c>
      <c r="P121" s="31">
        <v>0.65992439280340864</v>
      </c>
      <c r="Q121" s="37">
        <v>3.3399999999999999E-2</v>
      </c>
      <c r="R121" s="41" t="s">
        <v>51</v>
      </c>
      <c r="S121" s="53">
        <v>645613</v>
      </c>
      <c r="T121" s="56" t="s">
        <v>39</v>
      </c>
      <c r="U121" s="11">
        <v>46219</v>
      </c>
      <c r="V121" s="45" t="s">
        <v>877</v>
      </c>
      <c r="W121" s="45" t="s">
        <v>878</v>
      </c>
      <c r="X121" s="18">
        <v>46174</v>
      </c>
      <c r="Y121" s="40" t="s">
        <v>879</v>
      </c>
      <c r="Z121" s="2" t="s">
        <v>41</v>
      </c>
      <c r="AA121" s="2" t="s">
        <v>106</v>
      </c>
      <c r="AB121" s="16">
        <v>46177</v>
      </c>
      <c r="AC121" s="2" t="s">
        <v>43</v>
      </c>
      <c r="AD121" s="3" t="s">
        <v>880</v>
      </c>
      <c r="AE121" s="1"/>
    </row>
    <row r="122" spans="1:31" ht="191.25">
      <c r="A122" s="15">
        <v>120</v>
      </c>
      <c r="B122" s="44" t="s">
        <v>258</v>
      </c>
      <c r="C122" s="2" t="s">
        <v>881</v>
      </c>
      <c r="D122" s="15">
        <v>6297293</v>
      </c>
      <c r="E122" s="16">
        <v>46174</v>
      </c>
      <c r="F122" s="18">
        <v>46174</v>
      </c>
      <c r="G122" s="47" t="s">
        <v>882</v>
      </c>
      <c r="H122" s="16">
        <v>46181</v>
      </c>
      <c r="I122" s="39" t="s">
        <v>253</v>
      </c>
      <c r="J122" s="46" t="s">
        <v>883</v>
      </c>
      <c r="K122" s="43" t="s">
        <v>884</v>
      </c>
      <c r="L122" s="23">
        <v>417440</v>
      </c>
      <c r="M122" s="23">
        <v>417440</v>
      </c>
      <c r="N122" s="14"/>
      <c r="O122" s="14">
        <v>464358</v>
      </c>
      <c r="P122" s="31">
        <v>0.89896157705907942</v>
      </c>
      <c r="Q122" s="37">
        <v>0.25659999999999999</v>
      </c>
      <c r="R122" s="41" t="s">
        <v>255</v>
      </c>
      <c r="S122" s="53">
        <v>645613</v>
      </c>
      <c r="T122" s="56" t="s">
        <v>39</v>
      </c>
      <c r="U122" s="11">
        <v>46227</v>
      </c>
      <c r="V122" s="22">
        <v>46204</v>
      </c>
      <c r="W122" s="22">
        <v>46568</v>
      </c>
      <c r="X122" s="18">
        <v>46174</v>
      </c>
      <c r="Y122" s="40" t="s">
        <v>885</v>
      </c>
      <c r="Z122" s="47" t="s">
        <v>41</v>
      </c>
      <c r="AA122" s="47" t="s">
        <v>133</v>
      </c>
      <c r="AB122" s="16">
        <v>46185</v>
      </c>
      <c r="AC122" s="2" t="s">
        <v>43</v>
      </c>
      <c r="AD122" s="3" t="s">
        <v>886</v>
      </c>
      <c r="AE122" s="1"/>
    </row>
    <row r="123" spans="1:31" ht="127.5">
      <c r="A123" s="15">
        <v>121</v>
      </c>
      <c r="B123" s="3" t="s">
        <v>887</v>
      </c>
      <c r="C123" s="2" t="s">
        <v>888</v>
      </c>
      <c r="D123" s="15">
        <v>6297445</v>
      </c>
      <c r="E123" s="16">
        <v>46174</v>
      </c>
      <c r="F123" s="18">
        <v>46174</v>
      </c>
      <c r="G123" s="47" t="s">
        <v>889</v>
      </c>
      <c r="H123" s="16">
        <v>46175</v>
      </c>
      <c r="I123" s="39" t="s">
        <v>890</v>
      </c>
      <c r="J123" s="46" t="s">
        <v>891</v>
      </c>
      <c r="K123" s="43"/>
      <c r="L123" s="23">
        <v>239569</v>
      </c>
      <c r="M123" s="23">
        <v>239569</v>
      </c>
      <c r="N123" s="14"/>
      <c r="O123" s="14">
        <v>280000</v>
      </c>
      <c r="P123" s="31">
        <v>0.85560357142857146</v>
      </c>
      <c r="Q123" s="37">
        <v>0</v>
      </c>
      <c r="R123" s="41" t="s">
        <v>51</v>
      </c>
      <c r="S123" s="53">
        <v>645613</v>
      </c>
      <c r="T123" s="56" t="s">
        <v>39</v>
      </c>
      <c r="U123" s="11">
        <v>46227</v>
      </c>
      <c r="V123" s="22">
        <v>46178</v>
      </c>
      <c r="W123" s="22">
        <v>46542</v>
      </c>
      <c r="X123" s="18">
        <v>46174</v>
      </c>
      <c r="Y123" s="42" t="s">
        <v>892</v>
      </c>
      <c r="Z123" s="2" t="s">
        <v>41</v>
      </c>
      <c r="AA123" s="47" t="s">
        <v>466</v>
      </c>
      <c r="AB123" s="16">
        <v>46196</v>
      </c>
      <c r="AC123" s="2" t="s">
        <v>43</v>
      </c>
      <c r="AD123" s="3" t="s">
        <v>893</v>
      </c>
      <c r="AE123" s="1"/>
    </row>
    <row r="124" spans="1:31" ht="76.5">
      <c r="A124" s="15">
        <v>122</v>
      </c>
      <c r="B124" s="44" t="s">
        <v>894</v>
      </c>
      <c r="C124" s="2" t="s">
        <v>895</v>
      </c>
      <c r="D124" s="15">
        <v>6298750</v>
      </c>
      <c r="E124" s="16">
        <v>46177</v>
      </c>
      <c r="F124" s="18">
        <v>46174</v>
      </c>
      <c r="G124" s="47" t="s">
        <v>896</v>
      </c>
      <c r="H124" s="16">
        <v>46178</v>
      </c>
      <c r="I124" s="39" t="s">
        <v>101</v>
      </c>
      <c r="J124" s="72" t="s">
        <v>897</v>
      </c>
      <c r="K124" s="43"/>
      <c r="L124" s="23">
        <v>33845</v>
      </c>
      <c r="M124" s="14"/>
      <c r="N124" s="14">
        <v>4320</v>
      </c>
      <c r="O124" s="14">
        <v>35696</v>
      </c>
      <c r="P124" s="31">
        <v>0.94814545047064092</v>
      </c>
      <c r="Q124" s="37" t="s">
        <v>37</v>
      </c>
      <c r="R124" s="41" t="s">
        <v>104</v>
      </c>
      <c r="S124" s="53">
        <v>645613</v>
      </c>
      <c r="T124" s="56" t="s">
        <v>39</v>
      </c>
      <c r="U124" s="11">
        <v>46206</v>
      </c>
      <c r="V124" s="22">
        <v>46184</v>
      </c>
      <c r="W124" s="22">
        <v>46548</v>
      </c>
      <c r="X124" s="18">
        <v>46174</v>
      </c>
      <c r="Y124" s="42" t="s">
        <v>898</v>
      </c>
      <c r="Z124" s="2" t="s">
        <v>63</v>
      </c>
      <c r="AA124" s="2" t="s">
        <v>64</v>
      </c>
      <c r="AB124" s="16">
        <v>46178</v>
      </c>
      <c r="AC124" s="2" t="s">
        <v>107</v>
      </c>
      <c r="AD124" s="3" t="s">
        <v>899</v>
      </c>
      <c r="AE124" s="21" t="s">
        <v>56</v>
      </c>
    </row>
    <row r="125" spans="1:31" ht="229.5">
      <c r="A125" s="15">
        <v>123</v>
      </c>
      <c r="B125" s="3" t="s">
        <v>900</v>
      </c>
      <c r="C125" s="2" t="s">
        <v>901</v>
      </c>
      <c r="D125" s="15">
        <v>6298858</v>
      </c>
      <c r="E125" s="16">
        <v>46177</v>
      </c>
      <c r="F125" s="18">
        <v>46174</v>
      </c>
      <c r="G125" s="47" t="s">
        <v>902</v>
      </c>
      <c r="H125" s="16">
        <v>46183</v>
      </c>
      <c r="I125" s="25" t="s">
        <v>253</v>
      </c>
      <c r="J125" s="72" t="s">
        <v>903</v>
      </c>
      <c r="K125" s="43"/>
      <c r="L125" s="23">
        <v>1572275.32</v>
      </c>
      <c r="M125" s="23">
        <v>1572275.32</v>
      </c>
      <c r="N125" s="14"/>
      <c r="O125" s="14">
        <v>1659734.2</v>
      </c>
      <c r="P125" s="31">
        <v>0.94730549024054578</v>
      </c>
      <c r="Q125" s="37" t="s">
        <v>37</v>
      </c>
      <c r="R125" s="41" t="s">
        <v>255</v>
      </c>
      <c r="S125" s="53">
        <v>645613</v>
      </c>
      <c r="T125" s="56" t="s">
        <v>39</v>
      </c>
      <c r="U125" s="11">
        <v>46227</v>
      </c>
      <c r="V125" s="22">
        <v>46204</v>
      </c>
      <c r="W125" s="22">
        <v>46568</v>
      </c>
      <c r="X125" s="18">
        <v>46174</v>
      </c>
      <c r="Y125" s="40" t="s">
        <v>904</v>
      </c>
      <c r="Z125" s="2" t="s">
        <v>86</v>
      </c>
      <c r="AA125" s="2" t="s">
        <v>475</v>
      </c>
      <c r="AB125" s="16">
        <v>46198</v>
      </c>
      <c r="AC125" s="2" t="s">
        <v>43</v>
      </c>
      <c r="AD125" s="3" t="s">
        <v>905</v>
      </c>
      <c r="AE125" s="1"/>
    </row>
    <row r="126" spans="1:31" ht="51">
      <c r="A126" s="15">
        <v>124</v>
      </c>
      <c r="B126" s="3" t="s">
        <v>900</v>
      </c>
      <c r="C126" s="2" t="s">
        <v>901</v>
      </c>
      <c r="D126" s="15">
        <v>6298864</v>
      </c>
      <c r="E126" s="16">
        <v>46177</v>
      </c>
      <c r="F126" s="18">
        <v>46174</v>
      </c>
      <c r="G126" s="47" t="s">
        <v>906</v>
      </c>
      <c r="H126" s="16">
        <v>46181</v>
      </c>
      <c r="I126" s="25" t="s">
        <v>253</v>
      </c>
      <c r="J126" s="46" t="s">
        <v>907</v>
      </c>
      <c r="K126" s="43"/>
      <c r="L126" s="23">
        <v>68372.78</v>
      </c>
      <c r="M126" s="23">
        <v>68372.78</v>
      </c>
      <c r="N126" s="14"/>
      <c r="O126" s="14">
        <v>72138.3</v>
      </c>
      <c r="P126" s="31">
        <v>0.94780137596810565</v>
      </c>
      <c r="Q126" s="37" t="s">
        <v>37</v>
      </c>
      <c r="R126" s="41" t="s">
        <v>255</v>
      </c>
      <c r="S126" s="53">
        <v>645613</v>
      </c>
      <c r="T126" s="56" t="s">
        <v>39</v>
      </c>
      <c r="U126" s="11">
        <v>46230</v>
      </c>
      <c r="V126" s="22">
        <v>46204</v>
      </c>
      <c r="W126" s="22">
        <v>46568</v>
      </c>
      <c r="X126" s="18">
        <v>46174</v>
      </c>
      <c r="Y126" s="40" t="s">
        <v>904</v>
      </c>
      <c r="Z126" s="2" t="s">
        <v>63</v>
      </c>
      <c r="AA126" s="2" t="s">
        <v>475</v>
      </c>
      <c r="AB126" s="16">
        <v>46198</v>
      </c>
      <c r="AC126" s="2" t="s">
        <v>43</v>
      </c>
      <c r="AD126" s="3" t="s">
        <v>905</v>
      </c>
      <c r="AE126" s="1"/>
    </row>
    <row r="127" spans="1:31" ht="89.25">
      <c r="A127" s="15">
        <v>125</v>
      </c>
      <c r="B127" s="3" t="s">
        <v>908</v>
      </c>
      <c r="C127" s="2" t="s">
        <v>909</v>
      </c>
      <c r="D127" s="15">
        <v>6298871</v>
      </c>
      <c r="E127" s="16">
        <v>46177</v>
      </c>
      <c r="F127" s="18">
        <v>46174</v>
      </c>
      <c r="G127" s="47" t="s">
        <v>910</v>
      </c>
      <c r="H127" s="16">
        <v>46183</v>
      </c>
      <c r="I127" s="39" t="s">
        <v>48</v>
      </c>
      <c r="J127" s="36" t="s">
        <v>911</v>
      </c>
      <c r="K127" s="43" t="s">
        <v>912</v>
      </c>
      <c r="L127" s="23">
        <v>95162</v>
      </c>
      <c r="M127" s="23">
        <v>95162</v>
      </c>
      <c r="N127" s="14"/>
      <c r="O127" s="14">
        <v>113000</v>
      </c>
      <c r="P127" s="31">
        <v>0.84214159292035395</v>
      </c>
      <c r="Q127" s="37">
        <v>9.4500000000000001E-2</v>
      </c>
      <c r="R127" s="41" t="s">
        <v>51</v>
      </c>
      <c r="S127" s="53">
        <v>645613</v>
      </c>
      <c r="T127" s="56" t="s">
        <v>39</v>
      </c>
      <c r="U127" s="11">
        <v>46226</v>
      </c>
      <c r="V127" s="22">
        <v>46231</v>
      </c>
      <c r="W127" s="22">
        <v>47326</v>
      </c>
      <c r="X127" s="18">
        <v>46174</v>
      </c>
      <c r="Y127" s="40" t="s">
        <v>913</v>
      </c>
      <c r="Z127" s="47" t="s">
        <v>63</v>
      </c>
      <c r="AA127" s="47" t="s">
        <v>466</v>
      </c>
      <c r="AB127" s="16">
        <v>46189</v>
      </c>
      <c r="AC127" s="2" t="s">
        <v>43</v>
      </c>
      <c r="AD127" s="3" t="s">
        <v>914</v>
      </c>
      <c r="AE127" s="1"/>
    </row>
    <row r="128" spans="1:31" ht="191.25">
      <c r="A128" s="15">
        <v>126</v>
      </c>
      <c r="B128" s="44" t="s">
        <v>915</v>
      </c>
      <c r="C128" s="44" t="s">
        <v>916</v>
      </c>
      <c r="D128" s="15">
        <v>6299244</v>
      </c>
      <c r="E128" s="16">
        <v>46178</v>
      </c>
      <c r="F128" s="18">
        <v>46174</v>
      </c>
      <c r="G128" s="47" t="s">
        <v>917</v>
      </c>
      <c r="H128" s="16">
        <v>46185</v>
      </c>
      <c r="I128" s="39" t="s">
        <v>362</v>
      </c>
      <c r="J128" s="36" t="s">
        <v>918</v>
      </c>
      <c r="K128" s="43"/>
      <c r="L128" s="23">
        <v>53499</v>
      </c>
      <c r="M128" s="23">
        <v>53499</v>
      </c>
      <c r="N128" s="14"/>
      <c r="O128" s="14">
        <v>57885</v>
      </c>
      <c r="P128" s="31">
        <v>0.92422907488986783</v>
      </c>
      <c r="Q128" s="37">
        <v>0</v>
      </c>
      <c r="R128" s="41" t="s">
        <v>51</v>
      </c>
      <c r="S128" s="53">
        <v>645613</v>
      </c>
      <c r="T128" s="56" t="s">
        <v>39</v>
      </c>
      <c r="U128" s="51"/>
      <c r="V128" s="45" t="s">
        <v>919</v>
      </c>
      <c r="W128" s="45" t="s">
        <v>920</v>
      </c>
      <c r="X128" s="18">
        <v>46235</v>
      </c>
      <c r="Y128" s="42" t="s">
        <v>921</v>
      </c>
      <c r="Z128" s="2" t="s">
        <v>63</v>
      </c>
      <c r="AA128" s="2" t="s">
        <v>203</v>
      </c>
      <c r="AB128" s="16">
        <v>46245</v>
      </c>
      <c r="AC128" s="2" t="s">
        <v>107</v>
      </c>
      <c r="AD128" s="3" t="s">
        <v>922</v>
      </c>
      <c r="AE128" s="1"/>
    </row>
    <row r="129" spans="1:31" ht="114.75">
      <c r="A129" s="15">
        <v>127</v>
      </c>
      <c r="B129" s="3" t="s">
        <v>743</v>
      </c>
      <c r="C129" s="2" t="s">
        <v>923</v>
      </c>
      <c r="D129" s="15">
        <v>6299986</v>
      </c>
      <c r="E129" s="16">
        <v>46181</v>
      </c>
      <c r="F129" s="18">
        <v>46174</v>
      </c>
      <c r="G129" s="47" t="s">
        <v>924</v>
      </c>
      <c r="H129" s="16">
        <v>46184</v>
      </c>
      <c r="I129" s="39" t="s">
        <v>48</v>
      </c>
      <c r="J129" s="46" t="s">
        <v>925</v>
      </c>
      <c r="K129" s="43" t="s">
        <v>926</v>
      </c>
      <c r="L129" s="23">
        <v>87700</v>
      </c>
      <c r="M129" s="23">
        <v>87700</v>
      </c>
      <c r="N129" s="14"/>
      <c r="O129" s="14">
        <v>113620</v>
      </c>
      <c r="P129" s="31">
        <v>0.77187114944552015</v>
      </c>
      <c r="Q129" s="37">
        <v>0.77</v>
      </c>
      <c r="R129" s="41" t="s">
        <v>51</v>
      </c>
      <c r="S129" s="53">
        <v>645613</v>
      </c>
      <c r="T129" s="56" t="s">
        <v>39</v>
      </c>
      <c r="U129" s="11">
        <v>46246</v>
      </c>
      <c r="V129" s="22">
        <v>46240</v>
      </c>
      <c r="W129" s="22">
        <v>46605</v>
      </c>
      <c r="X129" s="18">
        <v>46204</v>
      </c>
      <c r="Y129" s="40" t="s">
        <v>927</v>
      </c>
      <c r="Z129" s="47" t="s">
        <v>63</v>
      </c>
      <c r="AA129" s="47" t="s">
        <v>466</v>
      </c>
      <c r="AB129" s="16">
        <v>46217</v>
      </c>
      <c r="AC129" s="47" t="s">
        <v>43</v>
      </c>
      <c r="AD129" s="3" t="s">
        <v>928</v>
      </c>
      <c r="AE129" s="1"/>
    </row>
    <row r="130" spans="1:31" ht="242.25">
      <c r="A130" s="15">
        <v>128</v>
      </c>
      <c r="B130" s="44" t="s">
        <v>243</v>
      </c>
      <c r="C130" s="2" t="s">
        <v>929</v>
      </c>
      <c r="D130" s="15">
        <v>6300001</v>
      </c>
      <c r="E130" s="16">
        <v>46181</v>
      </c>
      <c r="F130" s="18">
        <v>46174</v>
      </c>
      <c r="G130" s="47" t="s">
        <v>930</v>
      </c>
      <c r="H130" s="16">
        <v>46183</v>
      </c>
      <c r="I130" s="39" t="s">
        <v>35</v>
      </c>
      <c r="J130" s="43" t="s">
        <v>931</v>
      </c>
      <c r="K130" s="43" t="s">
        <v>932</v>
      </c>
      <c r="L130" s="23">
        <v>190580.17</v>
      </c>
      <c r="M130" s="23">
        <v>190580.17</v>
      </c>
      <c r="N130" s="14"/>
      <c r="O130" s="14">
        <v>195416</v>
      </c>
      <c r="P130" s="31">
        <v>0.97525366397838464</v>
      </c>
      <c r="Q130" s="37">
        <v>0.1113</v>
      </c>
      <c r="R130" s="41" t="s">
        <v>38</v>
      </c>
      <c r="S130" s="53">
        <v>645613</v>
      </c>
      <c r="T130" s="56" t="s">
        <v>39</v>
      </c>
      <c r="U130" s="11">
        <v>46227</v>
      </c>
      <c r="V130" s="22">
        <v>46187</v>
      </c>
      <c r="W130" s="24">
        <v>46551</v>
      </c>
      <c r="X130" s="18">
        <v>46174</v>
      </c>
      <c r="Y130" s="40" t="s">
        <v>933</v>
      </c>
      <c r="Z130" s="47" t="s">
        <v>63</v>
      </c>
      <c r="AA130" s="47" t="s">
        <v>42</v>
      </c>
      <c r="AB130" s="16">
        <v>46188</v>
      </c>
      <c r="AC130" s="47" t="s">
        <v>43</v>
      </c>
      <c r="AD130" s="3" t="s">
        <v>934</v>
      </c>
      <c r="AE130" s="1"/>
    </row>
    <row r="131" spans="1:31" ht="204">
      <c r="A131" s="15">
        <v>129</v>
      </c>
      <c r="B131" s="26" t="s">
        <v>935</v>
      </c>
      <c r="C131" s="2" t="s">
        <v>936</v>
      </c>
      <c r="D131" s="15">
        <v>6300279</v>
      </c>
      <c r="E131" s="16">
        <v>46182</v>
      </c>
      <c r="F131" s="18">
        <v>46174</v>
      </c>
      <c r="G131" s="47" t="s">
        <v>937</v>
      </c>
      <c r="H131" s="16">
        <v>46188</v>
      </c>
      <c r="I131" s="39" t="s">
        <v>48</v>
      </c>
      <c r="J131" s="33" t="s">
        <v>938</v>
      </c>
      <c r="K131" s="43" t="s">
        <v>939</v>
      </c>
      <c r="L131" s="23">
        <v>1060200</v>
      </c>
      <c r="M131" s="23">
        <v>1060200</v>
      </c>
      <c r="N131" s="14"/>
      <c r="O131" s="14">
        <v>1304000</v>
      </c>
      <c r="P131" s="31">
        <v>0.81303680981595094</v>
      </c>
      <c r="Q131" s="37">
        <v>0</v>
      </c>
      <c r="R131" s="41" t="s">
        <v>51</v>
      </c>
      <c r="S131" s="53">
        <v>645613</v>
      </c>
      <c r="T131" s="56" t="s">
        <v>39</v>
      </c>
      <c r="U131" s="11">
        <v>46224</v>
      </c>
      <c r="V131" s="22">
        <v>46183</v>
      </c>
      <c r="W131" s="22">
        <v>46914</v>
      </c>
      <c r="X131" s="18">
        <v>46204</v>
      </c>
      <c r="Y131" s="40" t="s">
        <v>940</v>
      </c>
      <c r="Z131" s="47" t="s">
        <v>86</v>
      </c>
      <c r="AA131" s="47" t="s">
        <v>466</v>
      </c>
      <c r="AB131" s="16">
        <v>46206</v>
      </c>
      <c r="AC131" s="2" t="s">
        <v>43</v>
      </c>
      <c r="AD131" s="3" t="s">
        <v>941</v>
      </c>
      <c r="AE131" s="1"/>
    </row>
    <row r="132" spans="1:31" ht="318.75">
      <c r="A132" s="15">
        <v>130</v>
      </c>
      <c r="B132" s="3" t="s">
        <v>190</v>
      </c>
      <c r="C132" s="2" t="s">
        <v>942</v>
      </c>
      <c r="D132" s="15">
        <v>6301049</v>
      </c>
      <c r="E132" s="16">
        <v>46183</v>
      </c>
      <c r="F132" s="18">
        <v>46174</v>
      </c>
      <c r="G132" s="47" t="s">
        <v>943</v>
      </c>
      <c r="H132" s="16">
        <v>46188</v>
      </c>
      <c r="I132" s="39" t="s">
        <v>526</v>
      </c>
      <c r="J132" s="43" t="s">
        <v>944</v>
      </c>
      <c r="K132" s="43" t="s">
        <v>945</v>
      </c>
      <c r="L132" s="23">
        <v>408467.5</v>
      </c>
      <c r="M132" s="23">
        <v>408467.5</v>
      </c>
      <c r="N132" s="14"/>
      <c r="O132" s="14">
        <v>518793</v>
      </c>
      <c r="P132" s="31">
        <v>0.78734196490700525</v>
      </c>
      <c r="Q132" s="37">
        <v>0.1085</v>
      </c>
      <c r="R132" s="41" t="s">
        <v>290</v>
      </c>
      <c r="S132" s="53">
        <v>645613</v>
      </c>
      <c r="T132" s="56" t="s">
        <v>39</v>
      </c>
      <c r="U132" s="11">
        <v>46219</v>
      </c>
      <c r="V132" s="22">
        <v>46174</v>
      </c>
      <c r="W132" s="22">
        <v>46387</v>
      </c>
      <c r="X132" s="18">
        <v>46174</v>
      </c>
      <c r="Y132" s="40" t="s">
        <v>946</v>
      </c>
      <c r="Z132" s="47" t="s">
        <v>41</v>
      </c>
      <c r="AA132" s="47" t="s">
        <v>947</v>
      </c>
      <c r="AB132" s="16">
        <v>46203</v>
      </c>
      <c r="AC132" s="47" t="s">
        <v>43</v>
      </c>
      <c r="AD132" s="3" t="s">
        <v>948</v>
      </c>
      <c r="AE132" s="21" t="s">
        <v>56</v>
      </c>
    </row>
    <row r="133" spans="1:31" ht="127.5">
      <c r="A133" s="15">
        <v>131</v>
      </c>
      <c r="B133" s="44" t="s">
        <v>817</v>
      </c>
      <c r="C133" s="2" t="s">
        <v>949</v>
      </c>
      <c r="D133" s="15">
        <v>6301944</v>
      </c>
      <c r="E133" s="16">
        <v>46185</v>
      </c>
      <c r="F133" s="18">
        <v>46174</v>
      </c>
      <c r="G133" s="47" t="s">
        <v>950</v>
      </c>
      <c r="H133" s="16">
        <v>46195</v>
      </c>
      <c r="I133" s="39" t="s">
        <v>499</v>
      </c>
      <c r="J133" s="43" t="s">
        <v>951</v>
      </c>
      <c r="K133" s="43"/>
      <c r="L133" s="23">
        <v>167916.51</v>
      </c>
      <c r="M133" s="14"/>
      <c r="N133" s="14">
        <v>21433</v>
      </c>
      <c r="O133" s="14">
        <v>202013</v>
      </c>
      <c r="P133" s="31">
        <v>0.83121635736314003</v>
      </c>
      <c r="Q133" s="37" t="s">
        <v>37</v>
      </c>
      <c r="R133" s="41" t="s">
        <v>952</v>
      </c>
      <c r="S133" s="53">
        <v>645613</v>
      </c>
      <c r="T133" s="56" t="s">
        <v>39</v>
      </c>
      <c r="U133" s="11">
        <v>46245</v>
      </c>
      <c r="V133" s="22">
        <v>46113</v>
      </c>
      <c r="W133" s="22">
        <v>46477</v>
      </c>
      <c r="X133" s="18">
        <v>46174</v>
      </c>
      <c r="Y133" s="40" t="s">
        <v>953</v>
      </c>
      <c r="Z133" s="47" t="s">
        <v>63</v>
      </c>
      <c r="AA133" s="47" t="s">
        <v>75</v>
      </c>
      <c r="AB133" s="16">
        <v>46199</v>
      </c>
      <c r="AC133" s="47" t="s">
        <v>43</v>
      </c>
      <c r="AD133" s="3" t="s">
        <v>954</v>
      </c>
      <c r="AE133" s="1"/>
    </row>
    <row r="134" spans="1:31" ht="102">
      <c r="A134" s="15">
        <v>132</v>
      </c>
      <c r="B134" s="44" t="s">
        <v>955</v>
      </c>
      <c r="C134" s="2" t="s">
        <v>956</v>
      </c>
      <c r="D134" s="15">
        <v>6302606</v>
      </c>
      <c r="E134" s="16">
        <v>46188</v>
      </c>
      <c r="F134" s="18">
        <v>46174</v>
      </c>
      <c r="G134" s="47" t="s">
        <v>957</v>
      </c>
      <c r="H134" s="16">
        <v>46191</v>
      </c>
      <c r="I134" s="39" t="s">
        <v>48</v>
      </c>
      <c r="J134" s="43" t="s">
        <v>958</v>
      </c>
      <c r="K134" s="43" t="s">
        <v>959</v>
      </c>
      <c r="L134" s="23">
        <v>69162</v>
      </c>
      <c r="M134" s="23">
        <v>69162</v>
      </c>
      <c r="N134" s="14"/>
      <c r="O134" s="14">
        <v>76854</v>
      </c>
      <c r="P134" s="31">
        <v>0.8999141228823484</v>
      </c>
      <c r="Q134" s="37">
        <v>0.05</v>
      </c>
      <c r="R134" s="41" t="s">
        <v>51</v>
      </c>
      <c r="S134" s="53">
        <v>645613</v>
      </c>
      <c r="T134" s="56" t="s">
        <v>39</v>
      </c>
      <c r="U134" s="51"/>
      <c r="V134" s="22">
        <v>46191</v>
      </c>
      <c r="W134" s="22">
        <v>47287</v>
      </c>
      <c r="X134" s="18">
        <v>46174</v>
      </c>
      <c r="Y134" s="40" t="s">
        <v>960</v>
      </c>
      <c r="Z134" s="47" t="s">
        <v>63</v>
      </c>
      <c r="AA134" s="47" t="s">
        <v>278</v>
      </c>
      <c r="AB134" s="16">
        <v>46195</v>
      </c>
      <c r="AC134" s="47" t="s">
        <v>107</v>
      </c>
      <c r="AD134" s="3" t="s">
        <v>961</v>
      </c>
      <c r="AE134" s="1"/>
    </row>
    <row r="135" spans="1:31" ht="51">
      <c r="A135" s="15">
        <v>133</v>
      </c>
      <c r="B135" s="44" t="s">
        <v>962</v>
      </c>
      <c r="C135" s="3" t="s">
        <v>963</v>
      </c>
      <c r="D135" s="15">
        <v>6302611</v>
      </c>
      <c r="E135" s="16">
        <v>46188</v>
      </c>
      <c r="F135" s="18">
        <v>46174</v>
      </c>
      <c r="G135" s="47" t="s">
        <v>964</v>
      </c>
      <c r="H135" s="16">
        <v>46195</v>
      </c>
      <c r="I135" s="39" t="s">
        <v>48</v>
      </c>
      <c r="J135" s="46" t="s">
        <v>965</v>
      </c>
      <c r="K135" s="43" t="s">
        <v>966</v>
      </c>
      <c r="L135" s="23">
        <v>23800</v>
      </c>
      <c r="M135" s="23">
        <v>23800</v>
      </c>
      <c r="N135" s="14"/>
      <c r="O135" s="14">
        <v>737370</v>
      </c>
      <c r="P135" s="31" t="s">
        <v>239</v>
      </c>
      <c r="Q135" s="37" t="s">
        <v>239</v>
      </c>
      <c r="R135" s="41" t="s">
        <v>51</v>
      </c>
      <c r="S135" s="53">
        <v>645613</v>
      </c>
      <c r="T135" s="56" t="s">
        <v>39</v>
      </c>
      <c r="U135" s="51"/>
      <c r="V135" s="22">
        <v>46112</v>
      </c>
      <c r="W135" s="22">
        <v>46477</v>
      </c>
      <c r="X135" s="18">
        <v>46174</v>
      </c>
      <c r="Y135" s="40" t="s">
        <v>967</v>
      </c>
      <c r="Z135" s="2" t="s">
        <v>63</v>
      </c>
      <c r="AA135" s="2" t="s">
        <v>54</v>
      </c>
      <c r="AB135" s="16">
        <v>46202</v>
      </c>
      <c r="AC135" s="47" t="s">
        <v>107</v>
      </c>
      <c r="AD135" s="3" t="s">
        <v>968</v>
      </c>
      <c r="AE135" s="1"/>
    </row>
    <row r="136" spans="1:31" ht="191.25">
      <c r="A136" s="15">
        <v>134</v>
      </c>
      <c r="B136" s="3" t="s">
        <v>969</v>
      </c>
      <c r="C136" s="2" t="s">
        <v>970</v>
      </c>
      <c r="D136" s="15">
        <v>6303115</v>
      </c>
      <c r="E136" s="16">
        <v>46189</v>
      </c>
      <c r="F136" s="18">
        <v>46174</v>
      </c>
      <c r="G136" s="47" t="s">
        <v>971</v>
      </c>
      <c r="H136" s="16">
        <v>46191</v>
      </c>
      <c r="I136" s="39" t="s">
        <v>362</v>
      </c>
      <c r="J136" s="36" t="s">
        <v>972</v>
      </c>
      <c r="K136" s="46"/>
      <c r="L136" s="17">
        <v>552140</v>
      </c>
      <c r="M136" s="17">
        <v>552140</v>
      </c>
      <c r="N136" s="14"/>
      <c r="O136" s="14">
        <v>581200</v>
      </c>
      <c r="P136" s="31">
        <v>0.95</v>
      </c>
      <c r="Q136" s="37" t="s">
        <v>37</v>
      </c>
      <c r="R136" s="41" t="s">
        <v>51</v>
      </c>
      <c r="S136" s="53">
        <v>645613</v>
      </c>
      <c r="T136" s="56" t="s">
        <v>39</v>
      </c>
      <c r="U136" s="11">
        <v>46246</v>
      </c>
      <c r="V136" s="22">
        <v>46188</v>
      </c>
      <c r="W136" s="22">
        <v>46552</v>
      </c>
      <c r="X136" s="18">
        <v>46174</v>
      </c>
      <c r="Y136" s="40" t="s">
        <v>973</v>
      </c>
      <c r="Z136" s="47" t="s">
        <v>41</v>
      </c>
      <c r="AA136" s="47" t="s">
        <v>142</v>
      </c>
      <c r="AB136" s="16">
        <v>46199</v>
      </c>
      <c r="AC136" s="47" t="s">
        <v>43</v>
      </c>
      <c r="AD136" s="3" t="s">
        <v>974</v>
      </c>
      <c r="AE136" s="1"/>
    </row>
    <row r="137" spans="1:31" ht="25.5">
      <c r="A137" s="15">
        <v>135</v>
      </c>
      <c r="B137" s="3" t="s">
        <v>293</v>
      </c>
      <c r="C137" s="2" t="s">
        <v>975</v>
      </c>
      <c r="D137" s="15">
        <v>6303793</v>
      </c>
      <c r="E137" s="16">
        <v>46191</v>
      </c>
      <c r="F137" s="18">
        <v>46174</v>
      </c>
      <c r="G137" s="47" t="s">
        <v>976</v>
      </c>
      <c r="H137" s="16">
        <v>46195</v>
      </c>
      <c r="I137" s="39" t="s">
        <v>977</v>
      </c>
      <c r="J137" s="40" t="s">
        <v>978</v>
      </c>
      <c r="K137" s="43"/>
      <c r="L137" s="23">
        <v>2139000</v>
      </c>
      <c r="M137" s="23">
        <v>2139000</v>
      </c>
      <c r="N137" s="14"/>
      <c r="O137" s="14">
        <v>2709740</v>
      </c>
      <c r="P137" s="31">
        <v>0.78937462634791533</v>
      </c>
      <c r="Q137" s="37" t="s">
        <v>37</v>
      </c>
      <c r="R137" s="41" t="s">
        <v>979</v>
      </c>
      <c r="S137" s="53">
        <v>645613</v>
      </c>
      <c r="T137" s="56" t="s">
        <v>39</v>
      </c>
      <c r="U137" s="11">
        <v>46260</v>
      </c>
      <c r="V137" s="22">
        <v>46204</v>
      </c>
      <c r="W137" s="22">
        <v>46934</v>
      </c>
      <c r="X137" s="18">
        <v>46174</v>
      </c>
      <c r="Y137" s="42" t="s">
        <v>980</v>
      </c>
      <c r="Z137" s="2" t="s">
        <v>981</v>
      </c>
      <c r="AA137" s="2" t="s">
        <v>106</v>
      </c>
      <c r="AB137" s="16">
        <v>46198</v>
      </c>
      <c r="AC137" s="47" t="s">
        <v>43</v>
      </c>
      <c r="AD137" s="3" t="s">
        <v>982</v>
      </c>
      <c r="AE137" s="1"/>
    </row>
    <row r="138" spans="1:31" ht="51">
      <c r="A138" s="15">
        <v>136</v>
      </c>
      <c r="B138" s="3" t="s">
        <v>293</v>
      </c>
      <c r="C138" s="2" t="s">
        <v>975</v>
      </c>
      <c r="D138" s="15">
        <v>6303797</v>
      </c>
      <c r="E138" s="16">
        <v>46191</v>
      </c>
      <c r="F138" s="18">
        <v>46174</v>
      </c>
      <c r="G138" s="47" t="s">
        <v>983</v>
      </c>
      <c r="H138" s="16">
        <v>46195</v>
      </c>
      <c r="I138" s="39" t="s">
        <v>977</v>
      </c>
      <c r="J138" s="40" t="s">
        <v>984</v>
      </c>
      <c r="K138" s="43" t="s">
        <v>985</v>
      </c>
      <c r="L138" s="23">
        <v>1034000</v>
      </c>
      <c r="M138" s="23">
        <v>1034000</v>
      </c>
      <c r="N138" s="14"/>
      <c r="O138" s="14">
        <v>1310260</v>
      </c>
      <c r="P138" s="31">
        <v>0.78915635064796297</v>
      </c>
      <c r="Q138" s="37">
        <v>0.79</v>
      </c>
      <c r="R138" s="41" t="s">
        <v>979</v>
      </c>
      <c r="S138" s="53">
        <v>645613</v>
      </c>
      <c r="T138" s="56" t="s">
        <v>39</v>
      </c>
      <c r="U138" s="11">
        <v>46260</v>
      </c>
      <c r="V138" s="22">
        <v>46204</v>
      </c>
      <c r="W138" s="22">
        <v>46934</v>
      </c>
      <c r="X138" s="18">
        <v>46174</v>
      </c>
      <c r="Y138" s="40" t="s">
        <v>986</v>
      </c>
      <c r="Z138" s="2" t="s">
        <v>86</v>
      </c>
      <c r="AA138" s="2" t="s">
        <v>106</v>
      </c>
      <c r="AB138" s="16">
        <v>46198</v>
      </c>
      <c r="AC138" s="47" t="s">
        <v>43</v>
      </c>
      <c r="AD138" s="3" t="s">
        <v>982</v>
      </c>
      <c r="AE138" s="1"/>
    </row>
    <row r="139" spans="1:31" ht="280.5">
      <c r="A139" s="15">
        <v>137</v>
      </c>
      <c r="B139" s="3" t="s">
        <v>166</v>
      </c>
      <c r="C139" s="3" t="s">
        <v>987</v>
      </c>
      <c r="D139" s="15">
        <v>6303287</v>
      </c>
      <c r="E139" s="16">
        <v>46190</v>
      </c>
      <c r="F139" s="18">
        <v>46174</v>
      </c>
      <c r="G139" s="47" t="s">
        <v>988</v>
      </c>
      <c r="H139" s="16">
        <v>46191</v>
      </c>
      <c r="I139" s="39" t="s">
        <v>35</v>
      </c>
      <c r="J139" s="40" t="s">
        <v>989</v>
      </c>
      <c r="K139" s="43"/>
      <c r="L139" s="23">
        <v>1824999</v>
      </c>
      <c r="M139" s="23">
        <v>1824999</v>
      </c>
      <c r="N139" s="14"/>
      <c r="O139" s="14">
        <v>1881443</v>
      </c>
      <c r="P139" s="31">
        <v>0.969999622630077</v>
      </c>
      <c r="Q139" s="37" t="s">
        <v>37</v>
      </c>
      <c r="R139" s="41" t="s">
        <v>38</v>
      </c>
      <c r="S139" s="53">
        <v>645613</v>
      </c>
      <c r="T139" s="56" t="s">
        <v>39</v>
      </c>
      <c r="U139" s="11">
        <v>46259</v>
      </c>
      <c r="V139" s="45" t="s">
        <v>990</v>
      </c>
      <c r="W139" s="22">
        <v>46752</v>
      </c>
      <c r="X139" s="18">
        <v>46174</v>
      </c>
      <c r="Y139" s="40" t="s">
        <v>991</v>
      </c>
      <c r="Z139" s="47" t="s">
        <v>86</v>
      </c>
      <c r="AA139" s="47" t="s">
        <v>947</v>
      </c>
      <c r="AB139" s="16">
        <v>46197</v>
      </c>
      <c r="AC139" s="2" t="s">
        <v>43</v>
      </c>
      <c r="AD139" s="3" t="s">
        <v>992</v>
      </c>
      <c r="AE139" s="21" t="s">
        <v>56</v>
      </c>
    </row>
    <row r="140" spans="1:31" ht="216.75">
      <c r="A140" s="15">
        <v>138</v>
      </c>
      <c r="B140" s="3" t="s">
        <v>993</v>
      </c>
      <c r="C140" s="2" t="s">
        <v>994</v>
      </c>
      <c r="D140" s="15">
        <v>6304846</v>
      </c>
      <c r="E140" s="16">
        <v>46196</v>
      </c>
      <c r="F140" s="18">
        <v>46174</v>
      </c>
      <c r="G140" s="47" t="s">
        <v>995</v>
      </c>
      <c r="H140" s="16">
        <v>46216</v>
      </c>
      <c r="I140" s="39" t="s">
        <v>48</v>
      </c>
      <c r="J140" s="40" t="s">
        <v>996</v>
      </c>
      <c r="K140" s="43" t="s">
        <v>997</v>
      </c>
      <c r="L140" s="23">
        <v>11159</v>
      </c>
      <c r="M140" s="23">
        <v>11159</v>
      </c>
      <c r="N140" s="48"/>
      <c r="O140" s="14">
        <v>14953</v>
      </c>
      <c r="P140" s="31">
        <v>0.74627165117367755</v>
      </c>
      <c r="Q140" s="37">
        <v>0.1133</v>
      </c>
      <c r="R140" s="41" t="s">
        <v>51</v>
      </c>
      <c r="S140" s="53">
        <v>645613</v>
      </c>
      <c r="T140" s="56" t="s">
        <v>39</v>
      </c>
      <c r="U140" s="51"/>
      <c r="V140" s="45" t="s">
        <v>998</v>
      </c>
      <c r="W140" s="45" t="s">
        <v>999</v>
      </c>
      <c r="X140" s="18">
        <v>46204</v>
      </c>
      <c r="Y140" s="40" t="s">
        <v>1000</v>
      </c>
      <c r="Z140" s="47" t="s">
        <v>63</v>
      </c>
      <c r="AA140" s="47" t="s">
        <v>374</v>
      </c>
      <c r="AB140" s="16">
        <v>46217</v>
      </c>
      <c r="AC140" s="2" t="s">
        <v>107</v>
      </c>
      <c r="AD140" s="3" t="s">
        <v>1001</v>
      </c>
      <c r="AE140" s="1"/>
    </row>
    <row r="141" spans="1:31" ht="63.75">
      <c r="A141" s="15">
        <v>139</v>
      </c>
      <c r="B141" s="3" t="s">
        <v>1002</v>
      </c>
      <c r="C141" s="2" t="s">
        <v>1003</v>
      </c>
      <c r="D141" s="15">
        <v>6304871</v>
      </c>
      <c r="E141" s="16">
        <v>46196</v>
      </c>
      <c r="F141" s="18">
        <v>46174</v>
      </c>
      <c r="G141" s="47" t="s">
        <v>1004</v>
      </c>
      <c r="H141" s="16">
        <v>46197</v>
      </c>
      <c r="I141" s="39" t="s">
        <v>526</v>
      </c>
      <c r="J141" s="43" t="s">
        <v>1005</v>
      </c>
      <c r="K141" s="43" t="s">
        <v>1006</v>
      </c>
      <c r="L141" s="17">
        <v>35482</v>
      </c>
      <c r="M141" s="14"/>
      <c r="N141" s="48">
        <v>4520</v>
      </c>
      <c r="O141" s="14">
        <v>42200</v>
      </c>
      <c r="P141" s="31">
        <v>0.84080568720379145</v>
      </c>
      <c r="Q141" s="37">
        <v>0</v>
      </c>
      <c r="R141" s="41" t="s">
        <v>171</v>
      </c>
      <c r="S141" s="53">
        <v>645613</v>
      </c>
      <c r="T141" s="56" t="s">
        <v>39</v>
      </c>
      <c r="U141" s="51"/>
      <c r="V141" s="22">
        <v>46178</v>
      </c>
      <c r="W141" s="22">
        <v>46433</v>
      </c>
      <c r="X141" s="18">
        <v>46204</v>
      </c>
      <c r="Y141" s="40" t="s">
        <v>1007</v>
      </c>
      <c r="Z141" s="47" t="s">
        <v>63</v>
      </c>
      <c r="AA141" s="47" t="s">
        <v>133</v>
      </c>
      <c r="AB141" s="16">
        <v>46234</v>
      </c>
      <c r="AC141" s="2" t="s">
        <v>107</v>
      </c>
      <c r="AD141" s="3" t="s">
        <v>1008</v>
      </c>
      <c r="AE141" s="1"/>
    </row>
    <row r="142" spans="1:31" ht="242.25">
      <c r="A142" s="15">
        <v>140</v>
      </c>
      <c r="B142" s="3" t="s">
        <v>258</v>
      </c>
      <c r="C142" s="2" t="s">
        <v>1009</v>
      </c>
      <c r="D142" s="15">
        <v>6305133</v>
      </c>
      <c r="E142" s="16">
        <v>46197</v>
      </c>
      <c r="F142" s="18">
        <v>46174</v>
      </c>
      <c r="G142" s="47" t="s">
        <v>1010</v>
      </c>
      <c r="H142" s="16">
        <v>46198</v>
      </c>
      <c r="I142" s="39" t="s">
        <v>48</v>
      </c>
      <c r="J142" s="43" t="s">
        <v>1011</v>
      </c>
      <c r="K142" s="43" t="s">
        <v>1012</v>
      </c>
      <c r="L142" s="23">
        <v>347270</v>
      </c>
      <c r="M142" s="23">
        <v>347270</v>
      </c>
      <c r="N142" s="14"/>
      <c r="O142" s="14">
        <v>388500</v>
      </c>
      <c r="P142" s="31">
        <v>0.89387387387387385</v>
      </c>
      <c r="Q142" s="37">
        <v>0.89</v>
      </c>
      <c r="R142" s="41" t="s">
        <v>51</v>
      </c>
      <c r="S142" s="53">
        <v>645613</v>
      </c>
      <c r="T142" s="56" t="s">
        <v>39</v>
      </c>
      <c r="U142" s="11">
        <v>46240</v>
      </c>
      <c r="V142" s="45" t="s">
        <v>1013</v>
      </c>
      <c r="W142" s="45" t="s">
        <v>1014</v>
      </c>
      <c r="X142" s="18">
        <v>46174</v>
      </c>
      <c r="Y142" s="40" t="s">
        <v>1015</v>
      </c>
      <c r="Z142" s="47" t="s">
        <v>41</v>
      </c>
      <c r="AA142" s="47" t="s">
        <v>133</v>
      </c>
      <c r="AB142" s="16">
        <v>46199</v>
      </c>
      <c r="AC142" s="2" t="s">
        <v>43</v>
      </c>
      <c r="AD142" s="3" t="s">
        <v>1016</v>
      </c>
      <c r="AE142" s="1"/>
    </row>
    <row r="143" spans="1:31" ht="140.25">
      <c r="A143" s="15">
        <v>141</v>
      </c>
      <c r="B143" s="3" t="s">
        <v>811</v>
      </c>
      <c r="C143" s="2" t="s">
        <v>1017</v>
      </c>
      <c r="D143" s="15">
        <v>6305595</v>
      </c>
      <c r="E143" s="16">
        <v>46198</v>
      </c>
      <c r="F143" s="18">
        <v>46174</v>
      </c>
      <c r="G143" s="47" t="s">
        <v>1018</v>
      </c>
      <c r="H143" s="16">
        <v>46202</v>
      </c>
      <c r="I143" s="39" t="s">
        <v>35</v>
      </c>
      <c r="J143" s="43" t="s">
        <v>1019</v>
      </c>
      <c r="K143" s="43" t="s">
        <v>1020</v>
      </c>
      <c r="L143" s="23">
        <v>420000</v>
      </c>
      <c r="M143" s="23">
        <v>420000</v>
      </c>
      <c r="N143" s="14"/>
      <c r="O143" s="14">
        <v>421692.58</v>
      </c>
      <c r="P143" s="31">
        <v>0.99598622294942918</v>
      </c>
      <c r="Q143" s="37">
        <v>0.155</v>
      </c>
      <c r="R143" s="41" t="s">
        <v>38</v>
      </c>
      <c r="S143" s="53">
        <v>645613</v>
      </c>
      <c r="T143" s="56" t="s">
        <v>39</v>
      </c>
      <c r="U143" s="11">
        <v>46259</v>
      </c>
      <c r="V143" s="22">
        <v>46204</v>
      </c>
      <c r="W143" s="45">
        <v>46776</v>
      </c>
      <c r="X143" s="18">
        <v>46204</v>
      </c>
      <c r="Y143" s="40" t="s">
        <v>1021</v>
      </c>
      <c r="Z143" s="47" t="s">
        <v>41</v>
      </c>
      <c r="AA143" s="47" t="s">
        <v>203</v>
      </c>
      <c r="AB143" s="16">
        <v>46217</v>
      </c>
      <c r="AC143" s="2" t="s">
        <v>43</v>
      </c>
      <c r="AD143" s="3" t="s">
        <v>1022</v>
      </c>
      <c r="AE143" s="1"/>
    </row>
    <row r="144" spans="1:31" ht="89.25">
      <c r="A144" s="15">
        <v>142</v>
      </c>
      <c r="B144" s="3" t="s">
        <v>258</v>
      </c>
      <c r="C144" s="2" t="s">
        <v>1023</v>
      </c>
      <c r="D144" s="15">
        <v>6305215</v>
      </c>
      <c r="E144" s="16">
        <v>46197</v>
      </c>
      <c r="F144" s="18">
        <v>46174</v>
      </c>
      <c r="G144" s="47" t="s">
        <v>1024</v>
      </c>
      <c r="H144" s="16">
        <v>46199</v>
      </c>
      <c r="I144" s="39" t="s">
        <v>288</v>
      </c>
      <c r="J144" s="46" t="s">
        <v>1025</v>
      </c>
      <c r="K144" s="46"/>
      <c r="L144" s="17">
        <v>22090</v>
      </c>
      <c r="M144" s="17">
        <v>22090</v>
      </c>
      <c r="N144" s="14"/>
      <c r="O144" s="14">
        <v>25403.5</v>
      </c>
      <c r="P144" s="31">
        <v>0.86956521739130432</v>
      </c>
      <c r="Q144" s="37">
        <v>0</v>
      </c>
      <c r="R144" s="41" t="s">
        <v>290</v>
      </c>
      <c r="S144" s="53">
        <v>645613</v>
      </c>
      <c r="T144" s="56" t="s">
        <v>39</v>
      </c>
      <c r="U144" s="11">
        <v>46261</v>
      </c>
      <c r="V144" s="22">
        <v>46186</v>
      </c>
      <c r="W144" s="22">
        <v>46916</v>
      </c>
      <c r="X144" s="18">
        <v>46204</v>
      </c>
      <c r="Y144" s="40" t="s">
        <v>1026</v>
      </c>
      <c r="Z144" s="47" t="s">
        <v>63</v>
      </c>
      <c r="AA144" s="47" t="s">
        <v>133</v>
      </c>
      <c r="AB144" s="16">
        <v>46218</v>
      </c>
      <c r="AC144" s="2" t="s">
        <v>43</v>
      </c>
      <c r="AD144" s="3" t="s">
        <v>1027</v>
      </c>
      <c r="AE144" s="1"/>
    </row>
    <row r="145" spans="1:31" ht="178.5">
      <c r="A145" s="15">
        <v>143</v>
      </c>
      <c r="B145" s="44" t="s">
        <v>1028</v>
      </c>
      <c r="C145" s="2" t="s">
        <v>1029</v>
      </c>
      <c r="D145" s="15">
        <v>6305575</v>
      </c>
      <c r="E145" s="16">
        <v>46198</v>
      </c>
      <c r="F145" s="18">
        <v>46174</v>
      </c>
      <c r="G145" s="47" t="s">
        <v>1030</v>
      </c>
      <c r="H145" s="16">
        <v>46199</v>
      </c>
      <c r="I145" s="39" t="s">
        <v>48</v>
      </c>
      <c r="J145" s="33" t="s">
        <v>1031</v>
      </c>
      <c r="K145" s="43" t="s">
        <v>1032</v>
      </c>
      <c r="L145" s="23">
        <v>8315</v>
      </c>
      <c r="M145" s="23">
        <v>8315</v>
      </c>
      <c r="N145" s="14"/>
      <c r="O145" s="14">
        <v>11931</v>
      </c>
      <c r="P145" s="31">
        <v>0.69692397954907381</v>
      </c>
      <c r="Q145" s="37">
        <v>0.1341</v>
      </c>
      <c r="R145" s="41" t="s">
        <v>51</v>
      </c>
      <c r="S145" s="53">
        <v>645613</v>
      </c>
      <c r="T145" s="56" t="s">
        <v>39</v>
      </c>
      <c r="U145" s="11">
        <v>46246</v>
      </c>
      <c r="V145" s="45" t="s">
        <v>1033</v>
      </c>
      <c r="W145" s="22">
        <v>46568</v>
      </c>
      <c r="X145" s="18">
        <v>46204</v>
      </c>
      <c r="Y145" s="40" t="s">
        <v>1034</v>
      </c>
      <c r="Z145" s="47" t="s">
        <v>63</v>
      </c>
      <c r="AA145" s="47" t="s">
        <v>64</v>
      </c>
      <c r="AB145" s="16">
        <v>46210</v>
      </c>
      <c r="AC145" s="2" t="s">
        <v>43</v>
      </c>
      <c r="AD145" s="3" t="s">
        <v>1035</v>
      </c>
      <c r="AE145" s="21" t="s">
        <v>56</v>
      </c>
    </row>
    <row r="146" spans="1:31" ht="89.25">
      <c r="A146" s="15">
        <v>144</v>
      </c>
      <c r="B146" s="44" t="s">
        <v>1028</v>
      </c>
      <c r="C146" s="2" t="s">
        <v>1036</v>
      </c>
      <c r="D146" s="15">
        <v>6305586</v>
      </c>
      <c r="E146" s="16">
        <v>46198</v>
      </c>
      <c r="F146" s="18">
        <v>46174</v>
      </c>
      <c r="G146" s="47" t="s">
        <v>1037</v>
      </c>
      <c r="H146" s="16">
        <v>46199</v>
      </c>
      <c r="I146" s="39" t="s">
        <v>48</v>
      </c>
      <c r="J146" s="33" t="s">
        <v>1038</v>
      </c>
      <c r="K146" s="43" t="s">
        <v>1039</v>
      </c>
      <c r="L146" s="23">
        <v>3960</v>
      </c>
      <c r="M146" s="23">
        <v>3960</v>
      </c>
      <c r="N146" s="14"/>
      <c r="O146" s="14">
        <v>5327</v>
      </c>
      <c r="P146" s="31">
        <v>0.74338276703585504</v>
      </c>
      <c r="Q146" s="37">
        <v>0.13139999999999999</v>
      </c>
      <c r="R146" s="41" t="s">
        <v>51</v>
      </c>
      <c r="S146" s="53">
        <v>645613</v>
      </c>
      <c r="T146" s="56" t="s">
        <v>39</v>
      </c>
      <c r="U146" s="11">
        <v>46246</v>
      </c>
      <c r="V146" s="22">
        <v>46203</v>
      </c>
      <c r="W146" s="22">
        <v>46568</v>
      </c>
      <c r="X146" s="18">
        <v>46204</v>
      </c>
      <c r="Y146" s="40" t="s">
        <v>1040</v>
      </c>
      <c r="Z146" s="47" t="s">
        <v>63</v>
      </c>
      <c r="AA146" s="47" t="s">
        <v>64</v>
      </c>
      <c r="AB146" s="16">
        <v>46206</v>
      </c>
      <c r="AC146" s="2" t="s">
        <v>43</v>
      </c>
      <c r="AD146" s="3" t="s">
        <v>1035</v>
      </c>
      <c r="AE146" s="21" t="s">
        <v>56</v>
      </c>
    </row>
    <row r="147" spans="1:31" ht="25.5">
      <c r="A147" s="15">
        <v>145</v>
      </c>
      <c r="B147" s="3" t="s">
        <v>226</v>
      </c>
      <c r="C147" s="2" t="s">
        <v>1041</v>
      </c>
      <c r="D147" s="15">
        <v>6305870</v>
      </c>
      <c r="E147" s="16">
        <v>46199</v>
      </c>
      <c r="F147" s="18">
        <v>46174</v>
      </c>
      <c r="G147" s="47" t="s">
        <v>1042</v>
      </c>
      <c r="H147" s="16">
        <v>46202</v>
      </c>
      <c r="I147" s="39" t="s">
        <v>288</v>
      </c>
      <c r="J147" s="43" t="s">
        <v>1043</v>
      </c>
      <c r="K147" s="43"/>
      <c r="L147" s="23">
        <v>44413.2</v>
      </c>
      <c r="M147" s="23">
        <v>44413.2</v>
      </c>
      <c r="N147" s="14"/>
      <c r="O147" s="14">
        <v>61230</v>
      </c>
      <c r="P147" s="31">
        <v>0.72535031847133757</v>
      </c>
      <c r="Q147" s="37" t="s">
        <v>37</v>
      </c>
      <c r="R147" s="41" t="s">
        <v>290</v>
      </c>
      <c r="S147" s="53">
        <v>645613</v>
      </c>
      <c r="T147" s="56" t="s">
        <v>39</v>
      </c>
      <c r="U147" s="51"/>
      <c r="V147" s="22"/>
      <c r="W147" s="22">
        <v>46934</v>
      </c>
      <c r="X147" s="18">
        <v>46204</v>
      </c>
      <c r="Y147" s="40" t="s">
        <v>1044</v>
      </c>
      <c r="Z147" s="2" t="s">
        <v>63</v>
      </c>
      <c r="AA147" s="2" t="s">
        <v>232</v>
      </c>
      <c r="AB147" s="16">
        <v>46209</v>
      </c>
      <c r="AC147" s="2" t="s">
        <v>107</v>
      </c>
      <c r="AD147" s="3" t="s">
        <v>1045</v>
      </c>
      <c r="AE147" s="1"/>
    </row>
    <row r="148" spans="1:31" ht="102">
      <c r="A148" s="15">
        <v>146</v>
      </c>
      <c r="B148" s="44" t="s">
        <v>1046</v>
      </c>
      <c r="C148" s="2" t="s">
        <v>1047</v>
      </c>
      <c r="D148" s="15">
        <v>6305874</v>
      </c>
      <c r="E148" s="16">
        <v>46199</v>
      </c>
      <c r="F148" s="18">
        <v>46174</v>
      </c>
      <c r="G148" s="47" t="s">
        <v>1048</v>
      </c>
      <c r="H148" s="16">
        <v>46202</v>
      </c>
      <c r="I148" s="39" t="s">
        <v>113</v>
      </c>
      <c r="J148" s="33" t="s">
        <v>1049</v>
      </c>
      <c r="K148" s="43" t="s">
        <v>1050</v>
      </c>
      <c r="L148" s="23">
        <v>9823.84</v>
      </c>
      <c r="M148" s="14"/>
      <c r="N148" s="14">
        <v>1253.92</v>
      </c>
      <c r="O148" s="14">
        <v>12116</v>
      </c>
      <c r="P148" s="31">
        <v>0.8108154506437768</v>
      </c>
      <c r="Q148" s="37">
        <v>0.81</v>
      </c>
      <c r="R148" s="41" t="s">
        <v>116</v>
      </c>
      <c r="S148" s="53">
        <v>645613</v>
      </c>
      <c r="T148" s="56" t="s">
        <v>39</v>
      </c>
      <c r="U148" s="51"/>
      <c r="V148" s="22">
        <v>46204</v>
      </c>
      <c r="W148" s="22">
        <v>46568</v>
      </c>
      <c r="X148" s="67"/>
      <c r="Y148" s="42" t="s">
        <v>1051</v>
      </c>
      <c r="Z148" s="2" t="s">
        <v>63</v>
      </c>
      <c r="AA148" s="2" t="s">
        <v>133</v>
      </c>
      <c r="AB148" s="28"/>
      <c r="AC148" s="2" t="s">
        <v>436</v>
      </c>
      <c r="AD148" s="3" t="s">
        <v>1052</v>
      </c>
      <c r="AE148" s="1"/>
    </row>
    <row r="149" spans="1:31" ht="267.75">
      <c r="A149" s="15">
        <v>147</v>
      </c>
      <c r="B149" s="3" t="s">
        <v>811</v>
      </c>
      <c r="C149" s="2" t="s">
        <v>1053</v>
      </c>
      <c r="D149" s="15">
        <v>6305878</v>
      </c>
      <c r="E149" s="16">
        <v>46199</v>
      </c>
      <c r="F149" s="18">
        <v>46174</v>
      </c>
      <c r="G149" s="47" t="s">
        <v>1054</v>
      </c>
      <c r="H149" s="16">
        <v>46202</v>
      </c>
      <c r="I149" s="39" t="s">
        <v>526</v>
      </c>
      <c r="J149" s="43" t="s">
        <v>1055</v>
      </c>
      <c r="K149" s="43" t="s">
        <v>1056</v>
      </c>
      <c r="L149" s="23">
        <v>838045</v>
      </c>
      <c r="M149" s="23">
        <v>838045</v>
      </c>
      <c r="N149" s="14"/>
      <c r="O149" s="14">
        <v>913470</v>
      </c>
      <c r="P149" s="31">
        <v>0.9174302385409483</v>
      </c>
      <c r="Q149" s="37">
        <v>0</v>
      </c>
      <c r="R149" s="41" t="s">
        <v>171</v>
      </c>
      <c r="S149" s="53">
        <v>645613</v>
      </c>
      <c r="T149" s="56" t="s">
        <v>39</v>
      </c>
      <c r="U149" s="51"/>
      <c r="V149" s="22">
        <v>46204</v>
      </c>
      <c r="W149" s="22">
        <v>46568</v>
      </c>
      <c r="X149" s="18">
        <v>46174</v>
      </c>
      <c r="Y149" s="40" t="s">
        <v>1057</v>
      </c>
      <c r="Z149" s="47" t="s">
        <v>41</v>
      </c>
      <c r="AA149" s="47" t="s">
        <v>203</v>
      </c>
      <c r="AB149" s="16">
        <v>46203</v>
      </c>
      <c r="AC149" s="2" t="s">
        <v>107</v>
      </c>
      <c r="AD149" s="3" t="s">
        <v>1058</v>
      </c>
      <c r="AE149" s="1"/>
    </row>
    <row r="150" spans="1:31" ht="357">
      <c r="A150" s="15">
        <v>148</v>
      </c>
      <c r="B150" s="3" t="s">
        <v>1059</v>
      </c>
      <c r="C150" s="2" t="s">
        <v>1060</v>
      </c>
      <c r="D150" s="15">
        <v>6306564</v>
      </c>
      <c r="E150" s="16">
        <v>46202</v>
      </c>
      <c r="F150" s="18">
        <v>46174</v>
      </c>
      <c r="G150" s="47" t="s">
        <v>1061</v>
      </c>
      <c r="H150" s="16">
        <v>46202</v>
      </c>
      <c r="I150" s="39" t="s">
        <v>35</v>
      </c>
      <c r="J150" s="43" t="s">
        <v>1062</v>
      </c>
      <c r="K150" s="43" t="s">
        <v>1063</v>
      </c>
      <c r="L150" s="23">
        <v>1269936.8700000001</v>
      </c>
      <c r="M150" s="23">
        <v>1269936.8700000001</v>
      </c>
      <c r="N150" s="14"/>
      <c r="O150" s="14">
        <v>1452443</v>
      </c>
      <c r="P150" s="31">
        <v>0.87434540976823194</v>
      </c>
      <c r="Q150" s="37">
        <v>4.3400000000000001E-2</v>
      </c>
      <c r="R150" s="41" t="s">
        <v>38</v>
      </c>
      <c r="S150" s="53">
        <v>645613</v>
      </c>
      <c r="T150" s="56" t="s">
        <v>39</v>
      </c>
      <c r="U150" s="11">
        <v>46239</v>
      </c>
      <c r="V150" s="45" t="s">
        <v>1064</v>
      </c>
      <c r="W150" s="45" t="s">
        <v>1065</v>
      </c>
      <c r="X150" s="18">
        <v>46204</v>
      </c>
      <c r="Y150" s="40" t="s">
        <v>1066</v>
      </c>
      <c r="Z150" s="47" t="s">
        <v>86</v>
      </c>
      <c r="AA150" s="47" t="s">
        <v>75</v>
      </c>
      <c r="AB150" s="16">
        <v>46205</v>
      </c>
      <c r="AC150" s="2" t="s">
        <v>43</v>
      </c>
      <c r="AD150" s="3" t="s">
        <v>1067</v>
      </c>
      <c r="AE150" s="1"/>
    </row>
    <row r="151" spans="1:31" ht="127.5">
      <c r="A151" s="15">
        <v>149</v>
      </c>
      <c r="B151" s="3" t="s">
        <v>1068</v>
      </c>
      <c r="C151" s="2" t="s">
        <v>1069</v>
      </c>
      <c r="D151" s="15">
        <v>6306660</v>
      </c>
      <c r="E151" s="16">
        <v>46202</v>
      </c>
      <c r="F151" s="18">
        <v>46174</v>
      </c>
      <c r="G151" s="47" t="s">
        <v>1070</v>
      </c>
      <c r="H151" s="16">
        <v>46203</v>
      </c>
      <c r="I151" s="25" t="s">
        <v>362</v>
      </c>
      <c r="J151" s="43" t="s">
        <v>1071</v>
      </c>
      <c r="K151" s="43"/>
      <c r="L151" s="23">
        <v>27900</v>
      </c>
      <c r="M151" s="23">
        <v>27900</v>
      </c>
      <c r="N151" s="14"/>
      <c r="O151" s="14">
        <v>33075</v>
      </c>
      <c r="P151" s="31">
        <v>0.84353741496598644</v>
      </c>
      <c r="Q151" s="37" t="s">
        <v>37</v>
      </c>
      <c r="R151" s="41" t="s">
        <v>51</v>
      </c>
      <c r="S151" s="53">
        <v>645613</v>
      </c>
      <c r="T151" s="56" t="s">
        <v>39</v>
      </c>
      <c r="U151" s="11">
        <v>46240</v>
      </c>
      <c r="V151" s="22">
        <v>46213</v>
      </c>
      <c r="W151" s="22">
        <v>46577</v>
      </c>
      <c r="X151" s="18">
        <v>46204</v>
      </c>
      <c r="Y151" s="40" t="s">
        <v>1072</v>
      </c>
      <c r="Z151" s="47" t="s">
        <v>63</v>
      </c>
      <c r="AA151" s="47" t="s">
        <v>142</v>
      </c>
      <c r="AB151" s="16">
        <v>46206</v>
      </c>
      <c r="AC151" s="2" t="s">
        <v>43</v>
      </c>
      <c r="AD151" s="3" t="s">
        <v>1073</v>
      </c>
      <c r="AE151" s="1"/>
    </row>
    <row r="152" spans="1:31" ht="114.75">
      <c r="A152" s="15">
        <v>150</v>
      </c>
      <c r="B152" s="3" t="s">
        <v>1074</v>
      </c>
      <c r="C152" s="2" t="s">
        <v>1075</v>
      </c>
      <c r="D152" s="15">
        <v>6306615</v>
      </c>
      <c r="E152" s="16">
        <v>46202</v>
      </c>
      <c r="F152" s="18">
        <v>46174</v>
      </c>
      <c r="G152" s="47" t="s">
        <v>1076</v>
      </c>
      <c r="H152" s="16">
        <v>46203</v>
      </c>
      <c r="I152" s="39" t="s">
        <v>1077</v>
      </c>
      <c r="J152" s="43" t="s">
        <v>1078</v>
      </c>
      <c r="K152" s="43"/>
      <c r="L152" s="23">
        <v>137700</v>
      </c>
      <c r="M152" s="23">
        <v>137700</v>
      </c>
      <c r="N152" s="14"/>
      <c r="O152" s="14">
        <v>180000</v>
      </c>
      <c r="P152" s="31">
        <v>0.76500000000000001</v>
      </c>
      <c r="Q152" s="37">
        <v>0</v>
      </c>
      <c r="R152" s="41" t="s">
        <v>140</v>
      </c>
      <c r="S152" s="53">
        <v>645613</v>
      </c>
      <c r="T152" s="56" t="s">
        <v>39</v>
      </c>
      <c r="U152" s="51"/>
      <c r="V152" s="22">
        <v>46203</v>
      </c>
      <c r="W152" s="22">
        <v>46567</v>
      </c>
      <c r="X152" s="18">
        <v>46204</v>
      </c>
      <c r="Y152" s="40" t="s">
        <v>1079</v>
      </c>
      <c r="Z152" s="47" t="s">
        <v>63</v>
      </c>
      <c r="AA152" s="47" t="s">
        <v>315</v>
      </c>
      <c r="AB152" s="16">
        <v>46220</v>
      </c>
      <c r="AC152" s="2" t="s">
        <v>107</v>
      </c>
      <c r="AD152" s="3" t="s">
        <v>1080</v>
      </c>
      <c r="AE152" s="1"/>
    </row>
    <row r="153" spans="1:31" ht="216.75">
      <c r="A153" s="15">
        <v>151</v>
      </c>
      <c r="B153" s="3" t="s">
        <v>1081</v>
      </c>
      <c r="C153" s="2" t="s">
        <v>1082</v>
      </c>
      <c r="D153" s="15">
        <v>6307829</v>
      </c>
      <c r="E153" s="16">
        <v>46206</v>
      </c>
      <c r="F153" s="18">
        <v>46204</v>
      </c>
      <c r="G153" s="47" t="s">
        <v>1083</v>
      </c>
      <c r="H153" s="16">
        <v>46212</v>
      </c>
      <c r="I153" s="25" t="s">
        <v>35</v>
      </c>
      <c r="J153" s="43" t="s">
        <v>1084</v>
      </c>
      <c r="K153" s="43" t="s">
        <v>1085</v>
      </c>
      <c r="L153" s="23">
        <v>105088.28</v>
      </c>
      <c r="M153" s="23">
        <v>105088.28</v>
      </c>
      <c r="N153" s="14"/>
      <c r="O153" s="14">
        <v>115597</v>
      </c>
      <c r="P153" s="31">
        <v>0.90909175843663759</v>
      </c>
      <c r="Q153" s="37" t="s">
        <v>37</v>
      </c>
      <c r="R153" s="41" t="s">
        <v>38</v>
      </c>
      <c r="S153" s="53">
        <v>645613</v>
      </c>
      <c r="T153" s="56" t="s">
        <v>39</v>
      </c>
      <c r="U153" s="51"/>
      <c r="V153" s="22">
        <v>46143</v>
      </c>
      <c r="W153" s="22">
        <v>46507</v>
      </c>
      <c r="X153" s="18">
        <v>46204</v>
      </c>
      <c r="Y153" s="40" t="s">
        <v>1086</v>
      </c>
      <c r="Z153" s="47" t="s">
        <v>63</v>
      </c>
      <c r="AA153" s="47" t="s">
        <v>106</v>
      </c>
      <c r="AB153" s="16">
        <v>46224</v>
      </c>
      <c r="AC153" s="2" t="s">
        <v>107</v>
      </c>
      <c r="AD153" s="3" t="s">
        <v>1087</v>
      </c>
      <c r="AE153" s="1"/>
    </row>
    <row r="154" spans="1:31" ht="153">
      <c r="A154" s="15">
        <v>152</v>
      </c>
      <c r="B154" s="3" t="s">
        <v>439</v>
      </c>
      <c r="C154" s="2" t="s">
        <v>1088</v>
      </c>
      <c r="D154" s="15">
        <v>6307690</v>
      </c>
      <c r="E154" s="16">
        <v>46205</v>
      </c>
      <c r="F154" s="18">
        <v>46204</v>
      </c>
      <c r="G154" s="47" t="s">
        <v>1089</v>
      </c>
      <c r="H154" s="16">
        <v>46211</v>
      </c>
      <c r="I154" s="39" t="s">
        <v>48</v>
      </c>
      <c r="J154" s="33" t="s">
        <v>1090</v>
      </c>
      <c r="K154" s="43" t="s">
        <v>1091</v>
      </c>
      <c r="L154" s="23">
        <v>160428</v>
      </c>
      <c r="M154" s="23">
        <v>160428</v>
      </c>
      <c r="N154" s="14"/>
      <c r="O154" s="14">
        <v>195722</v>
      </c>
      <c r="P154" s="31">
        <v>0.81967280121805419</v>
      </c>
      <c r="Q154" s="37">
        <v>0.82</v>
      </c>
      <c r="R154" s="41" t="s">
        <v>51</v>
      </c>
      <c r="S154" s="53">
        <v>645613</v>
      </c>
      <c r="T154" s="56" t="s">
        <v>39</v>
      </c>
      <c r="U154" s="11">
        <v>46246</v>
      </c>
      <c r="V154" s="45" t="s">
        <v>1092</v>
      </c>
      <c r="W154" s="22">
        <v>11383</v>
      </c>
      <c r="X154" s="18">
        <v>46204</v>
      </c>
      <c r="Y154" s="40" t="s">
        <v>1093</v>
      </c>
      <c r="Z154" s="47" t="s">
        <v>63</v>
      </c>
      <c r="AA154" s="47" t="s">
        <v>75</v>
      </c>
      <c r="AB154" s="16">
        <v>46213</v>
      </c>
      <c r="AC154" s="2" t="s">
        <v>43</v>
      </c>
      <c r="AD154" s="3" t="s">
        <v>1094</v>
      </c>
      <c r="AE154" s="1"/>
    </row>
    <row r="155" spans="1:31" ht="63.75">
      <c r="A155" s="15">
        <v>153</v>
      </c>
      <c r="B155" s="44" t="s">
        <v>1095</v>
      </c>
      <c r="C155" s="2" t="s">
        <v>1096</v>
      </c>
      <c r="D155" s="15">
        <v>6308572</v>
      </c>
      <c r="E155" s="16">
        <v>46209</v>
      </c>
      <c r="F155" s="18">
        <v>46204</v>
      </c>
      <c r="G155" s="44" t="s">
        <v>1097</v>
      </c>
      <c r="H155" s="16">
        <v>46210</v>
      </c>
      <c r="I155" s="39" t="s">
        <v>101</v>
      </c>
      <c r="J155" s="43" t="s">
        <v>1098</v>
      </c>
      <c r="K155" s="43"/>
      <c r="L155" s="23">
        <v>5137.6899999999996</v>
      </c>
      <c r="M155" s="14"/>
      <c r="N155" s="14">
        <v>655.20000000000005</v>
      </c>
      <c r="O155" s="14">
        <v>7200</v>
      </c>
      <c r="P155" s="31">
        <v>0.71356805555555547</v>
      </c>
      <c r="Q155" s="37" t="s">
        <v>37</v>
      </c>
      <c r="R155" s="41" t="s">
        <v>104</v>
      </c>
      <c r="S155" s="53">
        <v>645613</v>
      </c>
      <c r="T155" s="56" t="s">
        <v>39</v>
      </c>
      <c r="U155" s="11">
        <v>46246</v>
      </c>
      <c r="V155" s="22">
        <v>46215</v>
      </c>
      <c r="W155" s="22">
        <v>46579</v>
      </c>
      <c r="X155" s="18">
        <v>46204</v>
      </c>
      <c r="Y155" s="40" t="s">
        <v>1099</v>
      </c>
      <c r="Z155" s="2" t="s">
        <v>63</v>
      </c>
      <c r="AA155" s="2" t="s">
        <v>142</v>
      </c>
      <c r="AB155" s="16">
        <v>46210</v>
      </c>
      <c r="AC155" s="47" t="s">
        <v>107</v>
      </c>
      <c r="AD155" s="3" t="s">
        <v>1100</v>
      </c>
      <c r="AE155" s="1"/>
    </row>
    <row r="156" spans="1:31" ht="102">
      <c r="A156" s="15">
        <v>154</v>
      </c>
      <c r="B156" s="3" t="s">
        <v>1101</v>
      </c>
      <c r="C156" s="2" t="s">
        <v>1102</v>
      </c>
      <c r="D156" s="15">
        <v>6308821</v>
      </c>
      <c r="E156" s="16">
        <v>46209</v>
      </c>
      <c r="F156" s="18">
        <v>46204</v>
      </c>
      <c r="G156" s="47" t="s">
        <v>1103</v>
      </c>
      <c r="H156" s="16">
        <v>46212</v>
      </c>
      <c r="I156" s="39" t="s">
        <v>48</v>
      </c>
      <c r="J156" s="68" t="s">
        <v>1104</v>
      </c>
      <c r="K156" s="43" t="s">
        <v>1105</v>
      </c>
      <c r="L156" s="23">
        <v>39333</v>
      </c>
      <c r="M156" s="23">
        <v>39333</v>
      </c>
      <c r="N156" s="14"/>
      <c r="O156" s="14">
        <v>48000</v>
      </c>
      <c r="P156" s="31">
        <v>0.81943750000000004</v>
      </c>
      <c r="Q156" s="37">
        <v>6.25E-2</v>
      </c>
      <c r="R156" s="41" t="s">
        <v>51</v>
      </c>
      <c r="S156" s="53">
        <v>645613</v>
      </c>
      <c r="T156" s="56" t="s">
        <v>39</v>
      </c>
      <c r="U156" s="51"/>
      <c r="V156" s="22">
        <v>46209</v>
      </c>
      <c r="W156" s="22">
        <v>47305</v>
      </c>
      <c r="X156" s="18">
        <v>46204</v>
      </c>
      <c r="Y156" s="40" t="s">
        <v>1106</v>
      </c>
      <c r="Z156" s="47" t="s">
        <v>63</v>
      </c>
      <c r="AA156" s="47" t="s">
        <v>142</v>
      </c>
      <c r="AB156" s="16">
        <v>46213</v>
      </c>
      <c r="AC156" s="47" t="s">
        <v>107</v>
      </c>
      <c r="AD156" s="3" t="s">
        <v>1107</v>
      </c>
      <c r="AE156" s="1"/>
    </row>
    <row r="157" spans="1:31" ht="191.25">
      <c r="A157" s="15">
        <v>155</v>
      </c>
      <c r="B157" s="3" t="s">
        <v>1108</v>
      </c>
      <c r="C157" s="2" t="s">
        <v>1109</v>
      </c>
      <c r="D157" s="15">
        <v>6309305</v>
      </c>
      <c r="E157" s="16">
        <v>46210</v>
      </c>
      <c r="F157" s="18">
        <v>46204</v>
      </c>
      <c r="G157" s="47" t="s">
        <v>1110</v>
      </c>
      <c r="H157" s="16">
        <v>46212</v>
      </c>
      <c r="I157" s="25" t="s">
        <v>584</v>
      </c>
      <c r="J157" s="19" t="s">
        <v>1111</v>
      </c>
      <c r="K157" s="43" t="s">
        <v>1112</v>
      </c>
      <c r="L157" s="23">
        <v>31150</v>
      </c>
      <c r="M157" s="23">
        <v>31150</v>
      </c>
      <c r="N157" s="14"/>
      <c r="O157" s="14">
        <v>34900</v>
      </c>
      <c r="P157" s="31">
        <v>0.89255014326647564</v>
      </c>
      <c r="Q157" s="37">
        <v>0.1719</v>
      </c>
      <c r="R157" s="41" t="s">
        <v>587</v>
      </c>
      <c r="S157" s="53">
        <v>645613</v>
      </c>
      <c r="T157" s="56" t="s">
        <v>39</v>
      </c>
      <c r="U157" s="51"/>
      <c r="V157" s="22">
        <v>46266</v>
      </c>
      <c r="W157" s="22">
        <v>46630</v>
      </c>
      <c r="X157" s="67"/>
      <c r="Y157" s="42" t="s">
        <v>1113</v>
      </c>
      <c r="Z157" s="2" t="s">
        <v>63</v>
      </c>
      <c r="AA157" s="2" t="s">
        <v>188</v>
      </c>
      <c r="AB157" s="28"/>
      <c r="AC157" s="2" t="s">
        <v>436</v>
      </c>
      <c r="AD157" s="3" t="s">
        <v>1114</v>
      </c>
      <c r="AE157" s="1"/>
    </row>
    <row r="158" spans="1:31" ht="165.75">
      <c r="A158" s="15">
        <v>156</v>
      </c>
      <c r="B158" s="44" t="s">
        <v>1115</v>
      </c>
      <c r="C158" s="3" t="s">
        <v>1116</v>
      </c>
      <c r="D158" s="15">
        <v>6309876</v>
      </c>
      <c r="E158" s="16">
        <v>46212</v>
      </c>
      <c r="F158" s="18">
        <v>46204</v>
      </c>
      <c r="G158" s="47" t="s">
        <v>1117</v>
      </c>
      <c r="H158" s="16">
        <v>46213</v>
      </c>
      <c r="I158" s="39" t="s">
        <v>35</v>
      </c>
      <c r="J158" s="46" t="s">
        <v>1118</v>
      </c>
      <c r="K158" s="43" t="s">
        <v>1119</v>
      </c>
      <c r="L158" s="23">
        <v>216421.86</v>
      </c>
      <c r="M158" s="14"/>
      <c r="N158" s="14">
        <v>27599.9</v>
      </c>
      <c r="O158" s="14">
        <v>1287000</v>
      </c>
      <c r="P158" s="31">
        <v>0.95340000000000003</v>
      </c>
      <c r="Q158" s="37">
        <v>7.2499999999999995E-2</v>
      </c>
      <c r="R158" s="41" t="s">
        <v>171</v>
      </c>
      <c r="S158" s="53">
        <v>645613</v>
      </c>
      <c r="T158" s="56" t="s">
        <v>39</v>
      </c>
      <c r="U158" s="51"/>
      <c r="V158" s="45" t="s">
        <v>1120</v>
      </c>
      <c r="W158" s="22">
        <v>46615</v>
      </c>
      <c r="X158" s="67"/>
      <c r="Y158" s="42" t="s">
        <v>1121</v>
      </c>
      <c r="Z158" s="2" t="s">
        <v>41</v>
      </c>
      <c r="AA158" s="2" t="s">
        <v>125</v>
      </c>
      <c r="AB158" s="28"/>
      <c r="AC158" s="2" t="s">
        <v>436</v>
      </c>
      <c r="AD158" s="3" t="s">
        <v>1122</v>
      </c>
      <c r="AE158" s="32"/>
    </row>
    <row r="159" spans="1:31" ht="165.75">
      <c r="A159" s="15">
        <v>157</v>
      </c>
      <c r="B159" s="44" t="s">
        <v>1123</v>
      </c>
      <c r="C159" s="3" t="s">
        <v>1116</v>
      </c>
      <c r="D159" s="15">
        <v>6309894</v>
      </c>
      <c r="E159" s="16">
        <v>46212</v>
      </c>
      <c r="F159" s="18">
        <v>46204</v>
      </c>
      <c r="G159" s="47" t="s">
        <v>1124</v>
      </c>
      <c r="H159" s="16">
        <v>46213</v>
      </c>
      <c r="I159" s="39" t="s">
        <v>35</v>
      </c>
      <c r="J159" s="43" t="s">
        <v>1125</v>
      </c>
      <c r="K159" s="43" t="s">
        <v>1126</v>
      </c>
      <c r="L159" s="23">
        <v>364843.09</v>
      </c>
      <c r="M159" s="14"/>
      <c r="N159" s="14">
        <v>46527.8</v>
      </c>
      <c r="O159" s="14"/>
      <c r="P159" s="31" t="s">
        <v>1127</v>
      </c>
      <c r="Q159" s="37"/>
      <c r="R159" s="41" t="s">
        <v>171</v>
      </c>
      <c r="S159" s="53">
        <v>645613</v>
      </c>
      <c r="T159" s="56" t="s">
        <v>39</v>
      </c>
      <c r="U159" s="51"/>
      <c r="V159" s="22">
        <v>46333</v>
      </c>
      <c r="W159" s="22">
        <v>46697</v>
      </c>
      <c r="X159" s="67"/>
      <c r="Y159" s="42" t="s">
        <v>1128</v>
      </c>
      <c r="Z159" s="2" t="s">
        <v>41</v>
      </c>
      <c r="AA159" s="2" t="s">
        <v>125</v>
      </c>
      <c r="AB159" s="28"/>
      <c r="AC159" s="2" t="s">
        <v>436</v>
      </c>
      <c r="AD159" s="3" t="s">
        <v>1122</v>
      </c>
      <c r="AE159" s="21" t="s">
        <v>56</v>
      </c>
    </row>
    <row r="160" spans="1:31" ht="153">
      <c r="A160" s="15">
        <v>158</v>
      </c>
      <c r="B160" s="44" t="s">
        <v>1129</v>
      </c>
      <c r="C160" s="3" t="s">
        <v>1116</v>
      </c>
      <c r="D160" s="15">
        <v>6309900</v>
      </c>
      <c r="E160" s="16">
        <v>46212</v>
      </c>
      <c r="F160" s="18">
        <v>46204</v>
      </c>
      <c r="G160" s="47" t="s">
        <v>1130</v>
      </c>
      <c r="H160" s="16">
        <v>46213</v>
      </c>
      <c r="I160" s="39" t="s">
        <v>35</v>
      </c>
      <c r="J160" s="43" t="s">
        <v>1131</v>
      </c>
      <c r="K160" s="43" t="s">
        <v>1132</v>
      </c>
      <c r="L160" s="23">
        <v>644454.56000000006</v>
      </c>
      <c r="M160" s="14"/>
      <c r="N160" s="14">
        <v>82186.16</v>
      </c>
      <c r="O160" s="14"/>
      <c r="P160" s="31" t="s">
        <v>1127</v>
      </c>
      <c r="Q160" s="37"/>
      <c r="R160" s="41" t="s">
        <v>171</v>
      </c>
      <c r="S160" s="53">
        <v>645613</v>
      </c>
      <c r="T160" s="56" t="s">
        <v>39</v>
      </c>
      <c r="U160" s="51"/>
      <c r="V160" s="45" t="s">
        <v>1133</v>
      </c>
      <c r="W160" s="45" t="s">
        <v>1134</v>
      </c>
      <c r="X160" s="67"/>
      <c r="Y160" s="42" t="s">
        <v>1128</v>
      </c>
      <c r="Z160" s="2" t="s">
        <v>41</v>
      </c>
      <c r="AA160" s="2" t="s">
        <v>125</v>
      </c>
      <c r="AB160" s="28"/>
      <c r="AC160" s="2" t="s">
        <v>436</v>
      </c>
      <c r="AD160" s="3" t="s">
        <v>1122</v>
      </c>
      <c r="AE160" s="21" t="s">
        <v>56</v>
      </c>
    </row>
    <row r="161" spans="1:31" ht="127.5">
      <c r="A161" s="15">
        <v>159</v>
      </c>
      <c r="B161" s="3" t="s">
        <v>1135</v>
      </c>
      <c r="C161" s="2" t="s">
        <v>1136</v>
      </c>
      <c r="D161" s="15">
        <v>6310090</v>
      </c>
      <c r="E161" s="16">
        <v>46212</v>
      </c>
      <c r="F161" s="18">
        <v>46204</v>
      </c>
      <c r="G161" s="47" t="s">
        <v>1137</v>
      </c>
      <c r="H161" s="16">
        <v>46217</v>
      </c>
      <c r="I161" s="25" t="s">
        <v>35</v>
      </c>
      <c r="J161" s="46" t="s">
        <v>1138</v>
      </c>
      <c r="K161" s="43" t="s">
        <v>1139</v>
      </c>
      <c r="L161" s="23">
        <v>170983.23</v>
      </c>
      <c r="M161" s="23">
        <v>170983.23</v>
      </c>
      <c r="N161" s="14"/>
      <c r="O161" s="14">
        <v>329988</v>
      </c>
      <c r="P161" s="31" t="s">
        <v>239</v>
      </c>
      <c r="Q161" s="37" t="s">
        <v>239</v>
      </c>
      <c r="R161" s="41" t="s">
        <v>38</v>
      </c>
      <c r="S161" s="53">
        <v>645613</v>
      </c>
      <c r="T161" s="56" t="s">
        <v>39</v>
      </c>
      <c r="U161" s="11">
        <v>46239</v>
      </c>
      <c r="V161" s="22">
        <v>46226</v>
      </c>
      <c r="W161" s="22">
        <v>46590</v>
      </c>
      <c r="X161" s="18">
        <v>46204</v>
      </c>
      <c r="Y161" s="40" t="s">
        <v>1140</v>
      </c>
      <c r="Z161" s="47" t="s">
        <v>63</v>
      </c>
      <c r="AA161" s="47" t="s">
        <v>75</v>
      </c>
      <c r="AB161" s="16">
        <v>46223</v>
      </c>
      <c r="AC161" s="2" t="s">
        <v>43</v>
      </c>
      <c r="AD161" s="3" t="s">
        <v>1141</v>
      </c>
      <c r="AE161" s="1"/>
    </row>
    <row r="162" spans="1:31" ht="191.25">
      <c r="A162" s="15">
        <v>160</v>
      </c>
      <c r="B162" s="3" t="s">
        <v>1135</v>
      </c>
      <c r="C162" s="2" t="s">
        <v>1142</v>
      </c>
      <c r="D162" s="15">
        <v>6310095</v>
      </c>
      <c r="E162" s="16">
        <v>46212</v>
      </c>
      <c r="F162" s="18">
        <v>46204</v>
      </c>
      <c r="G162" s="47" t="s">
        <v>1143</v>
      </c>
      <c r="H162" s="16">
        <v>46217</v>
      </c>
      <c r="I162" s="39" t="s">
        <v>526</v>
      </c>
      <c r="J162" s="46" t="s">
        <v>1144</v>
      </c>
      <c r="K162" s="43" t="s">
        <v>1145</v>
      </c>
      <c r="L162" s="23">
        <v>175000</v>
      </c>
      <c r="M162" s="23">
        <v>175000</v>
      </c>
      <c r="N162" s="14"/>
      <c r="O162" s="14">
        <v>238350</v>
      </c>
      <c r="P162" s="31">
        <v>0.73421439060205584</v>
      </c>
      <c r="Q162" s="37">
        <v>0.73</v>
      </c>
      <c r="R162" s="41" t="s">
        <v>171</v>
      </c>
      <c r="S162" s="53">
        <v>645613</v>
      </c>
      <c r="T162" s="56" t="s">
        <v>39</v>
      </c>
      <c r="U162" s="11">
        <v>46261</v>
      </c>
      <c r="V162" s="45">
        <v>46229</v>
      </c>
      <c r="W162" s="22">
        <v>46593</v>
      </c>
      <c r="X162" s="18">
        <v>46204</v>
      </c>
      <c r="Y162" s="40" t="s">
        <v>1146</v>
      </c>
      <c r="Z162" s="47" t="s">
        <v>63</v>
      </c>
      <c r="AA162" s="47" t="s">
        <v>75</v>
      </c>
      <c r="AB162" s="16">
        <v>46232</v>
      </c>
      <c r="AC162" s="2" t="s">
        <v>43</v>
      </c>
      <c r="AD162" s="3" t="s">
        <v>1147</v>
      </c>
      <c r="AE162" s="1"/>
    </row>
    <row r="163" spans="1:31" ht="127.5">
      <c r="A163" s="15">
        <v>161</v>
      </c>
      <c r="B163" s="3" t="s">
        <v>1148</v>
      </c>
      <c r="C163" s="2" t="s">
        <v>1149</v>
      </c>
      <c r="D163" s="15">
        <v>6310202</v>
      </c>
      <c r="E163" s="16">
        <v>46212</v>
      </c>
      <c r="F163" s="18">
        <v>46204</v>
      </c>
      <c r="G163" s="47" t="s">
        <v>1150</v>
      </c>
      <c r="H163" s="16">
        <v>46217</v>
      </c>
      <c r="I163" s="39" t="s">
        <v>48</v>
      </c>
      <c r="J163" s="36" t="s">
        <v>1151</v>
      </c>
      <c r="K163" s="43" t="s">
        <v>1152</v>
      </c>
      <c r="L163" s="23">
        <v>205420</v>
      </c>
      <c r="M163" s="23">
        <v>205420</v>
      </c>
      <c r="N163" s="14"/>
      <c r="O163" s="14">
        <v>1905000</v>
      </c>
      <c r="P163" s="31" t="s">
        <v>239</v>
      </c>
      <c r="Q163" s="37" t="s">
        <v>239</v>
      </c>
      <c r="R163" s="41" t="s">
        <v>140</v>
      </c>
      <c r="S163" s="53">
        <v>645613</v>
      </c>
      <c r="T163" s="56" t="s">
        <v>39</v>
      </c>
      <c r="U163" s="11">
        <v>46246</v>
      </c>
      <c r="V163" s="22">
        <v>46187</v>
      </c>
      <c r="W163" s="22">
        <v>46917</v>
      </c>
      <c r="X163" s="18">
        <v>46204</v>
      </c>
      <c r="Y163" s="40" t="s">
        <v>1153</v>
      </c>
      <c r="Z163" s="47" t="s">
        <v>41</v>
      </c>
      <c r="AA163" s="47" t="s">
        <v>142</v>
      </c>
      <c r="AB163" s="16">
        <v>46220</v>
      </c>
      <c r="AC163" s="47" t="s">
        <v>43</v>
      </c>
      <c r="AD163" s="44" t="s">
        <v>1154</v>
      </c>
      <c r="AE163" s="1"/>
    </row>
    <row r="164" spans="1:31" ht="153">
      <c r="A164" s="15">
        <v>162</v>
      </c>
      <c r="B164" s="3" t="s">
        <v>1148</v>
      </c>
      <c r="C164" s="2" t="s">
        <v>1149</v>
      </c>
      <c r="D164" s="15">
        <v>6310213</v>
      </c>
      <c r="E164" s="16">
        <v>46212</v>
      </c>
      <c r="F164" s="18">
        <v>46204</v>
      </c>
      <c r="G164" s="47" t="s">
        <v>1155</v>
      </c>
      <c r="H164" s="16">
        <v>46217</v>
      </c>
      <c r="I164" s="25" t="s">
        <v>35</v>
      </c>
      <c r="J164" s="46" t="s">
        <v>1156</v>
      </c>
      <c r="K164" s="43" t="s">
        <v>1157</v>
      </c>
      <c r="L164" s="23">
        <v>111024.8</v>
      </c>
      <c r="M164" s="23">
        <v>111024.8</v>
      </c>
      <c r="N164" s="14"/>
      <c r="O164" s="14"/>
      <c r="P164" s="31" t="s">
        <v>1158</v>
      </c>
      <c r="Q164" s="37"/>
      <c r="R164" s="41" t="s">
        <v>38</v>
      </c>
      <c r="S164" s="53">
        <v>645613</v>
      </c>
      <c r="T164" s="56" t="s">
        <v>39</v>
      </c>
      <c r="U164" s="11">
        <v>46239</v>
      </c>
      <c r="V164" s="22">
        <v>46227</v>
      </c>
      <c r="W164" s="22">
        <v>46957</v>
      </c>
      <c r="X164" s="18">
        <v>46204</v>
      </c>
      <c r="Y164" s="40" t="s">
        <v>1159</v>
      </c>
      <c r="Z164" s="47" t="s">
        <v>63</v>
      </c>
      <c r="AA164" s="47" t="s">
        <v>142</v>
      </c>
      <c r="AB164" s="16">
        <v>46218</v>
      </c>
      <c r="AC164" s="2" t="s">
        <v>43</v>
      </c>
      <c r="AD164" s="3" t="s">
        <v>1154</v>
      </c>
      <c r="AE164" s="1"/>
    </row>
    <row r="165" spans="1:31" ht="127.5">
      <c r="A165" s="15">
        <v>163</v>
      </c>
      <c r="B165" s="44" t="s">
        <v>1095</v>
      </c>
      <c r="C165" s="2" t="s">
        <v>1160</v>
      </c>
      <c r="D165" s="15">
        <v>6310934</v>
      </c>
      <c r="E165" s="16">
        <v>46216</v>
      </c>
      <c r="F165" s="18">
        <v>46204</v>
      </c>
      <c r="G165" s="47" t="s">
        <v>1161</v>
      </c>
      <c r="H165" s="16">
        <v>46218</v>
      </c>
      <c r="I165" s="25" t="s">
        <v>362</v>
      </c>
      <c r="J165" s="43" t="s">
        <v>1162</v>
      </c>
      <c r="K165" s="43"/>
      <c r="L165" s="23">
        <v>49098</v>
      </c>
      <c r="M165" s="23">
        <v>49098</v>
      </c>
      <c r="N165" s="14"/>
      <c r="O165" s="14">
        <v>55006</v>
      </c>
      <c r="P165" s="31">
        <v>0.89259353525069995</v>
      </c>
      <c r="Q165" s="37" t="s">
        <v>37</v>
      </c>
      <c r="R165" s="41" t="s">
        <v>51</v>
      </c>
      <c r="S165" s="53">
        <v>645613</v>
      </c>
      <c r="T165" s="56" t="s">
        <v>39</v>
      </c>
      <c r="U165" s="51"/>
      <c r="V165" s="22">
        <v>46232</v>
      </c>
      <c r="W165" s="22">
        <v>46596</v>
      </c>
      <c r="X165" s="18">
        <v>46204</v>
      </c>
      <c r="Y165" s="40" t="s">
        <v>1163</v>
      </c>
      <c r="Z165" s="47" t="s">
        <v>63</v>
      </c>
      <c r="AA165" s="47" t="s">
        <v>142</v>
      </c>
      <c r="AB165" s="16">
        <v>46219</v>
      </c>
      <c r="AC165" s="2" t="s">
        <v>107</v>
      </c>
      <c r="AD165" s="3" t="s">
        <v>1164</v>
      </c>
      <c r="AE165" s="1"/>
    </row>
    <row r="166" spans="1:31" ht="153">
      <c r="A166" s="15">
        <v>164</v>
      </c>
      <c r="B166" s="44" t="s">
        <v>258</v>
      </c>
      <c r="C166" s="2" t="s">
        <v>1165</v>
      </c>
      <c r="D166" s="15">
        <v>6312200</v>
      </c>
      <c r="E166" s="16">
        <v>46218</v>
      </c>
      <c r="F166" s="18">
        <v>46204</v>
      </c>
      <c r="G166" s="47" t="s">
        <v>1166</v>
      </c>
      <c r="H166" s="16">
        <v>46219</v>
      </c>
      <c r="I166" s="39" t="s">
        <v>526</v>
      </c>
      <c r="J166" s="46" t="s">
        <v>1167</v>
      </c>
      <c r="K166" s="43" t="s">
        <v>1168</v>
      </c>
      <c r="L166" s="23">
        <v>64500</v>
      </c>
      <c r="M166" s="23">
        <v>64500</v>
      </c>
      <c r="N166" s="14"/>
      <c r="O166" s="14">
        <v>82547</v>
      </c>
      <c r="P166" s="31">
        <v>0.78137303596738827</v>
      </c>
      <c r="Q166" s="37">
        <v>0</v>
      </c>
      <c r="R166" s="41" t="s">
        <v>171</v>
      </c>
      <c r="S166" s="53">
        <v>645613</v>
      </c>
      <c r="T166" s="56" t="s">
        <v>39</v>
      </c>
      <c r="U166" s="51"/>
      <c r="V166" s="22">
        <v>46189</v>
      </c>
      <c r="W166" s="22">
        <v>46553</v>
      </c>
      <c r="X166" s="18">
        <v>46204</v>
      </c>
      <c r="Y166" s="40" t="s">
        <v>1169</v>
      </c>
      <c r="Z166" s="47" t="s">
        <v>63</v>
      </c>
      <c r="AA166" s="47" t="s">
        <v>133</v>
      </c>
      <c r="AB166" s="16">
        <v>46232</v>
      </c>
      <c r="AC166" s="2" t="s">
        <v>107</v>
      </c>
      <c r="AD166" s="3" t="s">
        <v>1170</v>
      </c>
      <c r="AE166" s="1"/>
    </row>
    <row r="167" spans="1:31" ht="89.25">
      <c r="A167" s="15">
        <v>165</v>
      </c>
      <c r="B167" s="44" t="s">
        <v>1171</v>
      </c>
      <c r="C167" s="2" t="s">
        <v>1172</v>
      </c>
      <c r="D167" s="15">
        <v>6312344</v>
      </c>
      <c r="E167" s="16">
        <v>46219</v>
      </c>
      <c r="F167" s="18">
        <v>46204</v>
      </c>
      <c r="G167" s="47" t="s">
        <v>1173</v>
      </c>
      <c r="H167" s="16">
        <v>46223</v>
      </c>
      <c r="I167" s="39" t="s">
        <v>48</v>
      </c>
      <c r="J167" s="43" t="s">
        <v>1174</v>
      </c>
      <c r="K167" s="43" t="s">
        <v>546</v>
      </c>
      <c r="L167" s="23">
        <v>16983</v>
      </c>
      <c r="M167" s="23">
        <v>16983</v>
      </c>
      <c r="N167" s="14"/>
      <c r="O167" s="14">
        <v>23594</v>
      </c>
      <c r="P167" s="31">
        <v>0.71980164448588624</v>
      </c>
      <c r="Q167" s="37">
        <v>8.4699999999999998E-2</v>
      </c>
      <c r="R167" s="41" t="s">
        <v>51</v>
      </c>
      <c r="S167" s="53">
        <v>645613</v>
      </c>
      <c r="T167" s="56" t="s">
        <v>39</v>
      </c>
      <c r="U167" s="51"/>
      <c r="V167" s="22">
        <v>46159</v>
      </c>
      <c r="W167" s="24">
        <v>46524</v>
      </c>
      <c r="X167" s="18">
        <v>46204</v>
      </c>
      <c r="Y167" s="40" t="s">
        <v>1175</v>
      </c>
      <c r="Z167" s="47" t="s">
        <v>63</v>
      </c>
      <c r="AA167" s="47" t="s">
        <v>42</v>
      </c>
      <c r="AB167" s="16">
        <v>46227</v>
      </c>
      <c r="AC167" s="2" t="s">
        <v>107</v>
      </c>
      <c r="AD167" s="3" t="s">
        <v>1176</v>
      </c>
      <c r="AE167" s="1"/>
    </row>
    <row r="168" spans="1:31" ht="25.5">
      <c r="A168" s="15">
        <v>166</v>
      </c>
      <c r="B168" s="3" t="s">
        <v>226</v>
      </c>
      <c r="C168" s="2" t="s">
        <v>1041</v>
      </c>
      <c r="D168" s="15">
        <v>6312500</v>
      </c>
      <c r="E168" s="16">
        <v>46219</v>
      </c>
      <c r="F168" s="18">
        <v>46204</v>
      </c>
      <c r="G168" s="47" t="s">
        <v>1177</v>
      </c>
      <c r="H168" s="16">
        <v>46224</v>
      </c>
      <c r="I168" s="39" t="s">
        <v>288</v>
      </c>
      <c r="J168" s="43" t="s">
        <v>1178</v>
      </c>
      <c r="K168" s="43"/>
      <c r="L168" s="23">
        <v>16159</v>
      </c>
      <c r="M168" s="23">
        <v>16159</v>
      </c>
      <c r="N168" s="14"/>
      <c r="O168" s="14">
        <v>23550</v>
      </c>
      <c r="P168" s="31">
        <v>0.68615711252653933</v>
      </c>
      <c r="Q168" s="37" t="s">
        <v>37</v>
      </c>
      <c r="R168" s="41" t="s">
        <v>290</v>
      </c>
      <c r="S168" s="53">
        <v>645613</v>
      </c>
      <c r="T168" s="56" t="s">
        <v>39</v>
      </c>
      <c r="U168" s="51"/>
      <c r="V168" s="22"/>
      <c r="W168" s="22">
        <v>46965</v>
      </c>
      <c r="X168" s="18">
        <v>46204</v>
      </c>
      <c r="Y168" s="40" t="s">
        <v>1179</v>
      </c>
      <c r="Z168" s="47" t="s">
        <v>63</v>
      </c>
      <c r="AA168" s="47" t="s">
        <v>232</v>
      </c>
      <c r="AB168" s="16">
        <v>46230</v>
      </c>
      <c r="AC168" s="2" t="s">
        <v>107</v>
      </c>
      <c r="AD168" s="3" t="s">
        <v>1045</v>
      </c>
      <c r="AE168" s="1"/>
    </row>
    <row r="169" spans="1:31" ht="51">
      <c r="A169" s="15">
        <v>167</v>
      </c>
      <c r="B169" s="3" t="s">
        <v>969</v>
      </c>
      <c r="C169" s="2" t="s">
        <v>1180</v>
      </c>
      <c r="D169" s="15">
        <v>6312805</v>
      </c>
      <c r="E169" s="16">
        <v>46220</v>
      </c>
      <c r="F169" s="18">
        <v>46204</v>
      </c>
      <c r="G169" s="47" t="s">
        <v>1181</v>
      </c>
      <c r="H169" s="16">
        <v>46223</v>
      </c>
      <c r="I169" s="39" t="s">
        <v>362</v>
      </c>
      <c r="J169" s="68" t="s">
        <v>1182</v>
      </c>
      <c r="K169" s="43"/>
      <c r="L169" s="23">
        <v>152000</v>
      </c>
      <c r="M169" s="23">
        <v>152000</v>
      </c>
      <c r="N169" s="14"/>
      <c r="O169" s="14">
        <v>159900</v>
      </c>
      <c r="P169" s="31">
        <v>0.95059412132582866</v>
      </c>
      <c r="Q169" s="37">
        <v>0</v>
      </c>
      <c r="R169" s="41" t="s">
        <v>51</v>
      </c>
      <c r="S169" s="53">
        <v>645613</v>
      </c>
      <c r="T169" s="56" t="s">
        <v>39</v>
      </c>
      <c r="U169" s="51"/>
      <c r="V169" s="22">
        <v>46235</v>
      </c>
      <c r="W169" s="22">
        <v>46599</v>
      </c>
      <c r="X169" s="67"/>
      <c r="Y169" s="42" t="s">
        <v>1183</v>
      </c>
      <c r="Z169" s="2" t="s">
        <v>63</v>
      </c>
      <c r="AA169" s="2" t="s">
        <v>142</v>
      </c>
      <c r="AB169" s="28"/>
      <c r="AC169" s="2" t="s">
        <v>436</v>
      </c>
      <c r="AD169" s="3" t="s">
        <v>1184</v>
      </c>
      <c r="AE169" s="1"/>
    </row>
    <row r="170" spans="1:31" ht="76.5">
      <c r="A170" s="15">
        <v>168</v>
      </c>
      <c r="B170" s="3" t="s">
        <v>1185</v>
      </c>
      <c r="C170" s="2" t="s">
        <v>1186</v>
      </c>
      <c r="D170" s="15">
        <v>6314325</v>
      </c>
      <c r="E170" s="16">
        <v>46225</v>
      </c>
      <c r="F170" s="18">
        <v>46204</v>
      </c>
      <c r="G170" s="47" t="s">
        <v>1187</v>
      </c>
      <c r="H170" s="16">
        <v>46227</v>
      </c>
      <c r="I170" s="39" t="s">
        <v>48</v>
      </c>
      <c r="J170" s="46" t="s">
        <v>1188</v>
      </c>
      <c r="K170" s="43" t="s">
        <v>1189</v>
      </c>
      <c r="L170" s="23">
        <v>7526</v>
      </c>
      <c r="M170" s="23">
        <v>7526</v>
      </c>
      <c r="N170" s="14"/>
      <c r="O170" s="14">
        <v>9783</v>
      </c>
      <c r="P170" s="31">
        <v>0.76929367269753657</v>
      </c>
      <c r="Q170" s="37">
        <v>0.41699999999999998</v>
      </c>
      <c r="R170" s="41" t="s">
        <v>329</v>
      </c>
      <c r="S170" s="53">
        <v>645613</v>
      </c>
      <c r="T170" s="56" t="s">
        <v>39</v>
      </c>
      <c r="U170" s="51"/>
      <c r="V170" s="22">
        <v>46217</v>
      </c>
      <c r="W170" s="22">
        <v>46581</v>
      </c>
      <c r="X170" s="18">
        <v>46266</v>
      </c>
      <c r="Y170" s="40" t="s">
        <v>1190</v>
      </c>
      <c r="Z170" s="47" t="s">
        <v>63</v>
      </c>
      <c r="AA170" s="47" t="s">
        <v>133</v>
      </c>
      <c r="AB170" s="16">
        <v>46272</v>
      </c>
      <c r="AC170" s="2" t="s">
        <v>107</v>
      </c>
      <c r="AD170" s="3" t="s">
        <v>1191</v>
      </c>
      <c r="AE170" s="1"/>
    </row>
    <row r="171" spans="1:31" ht="76.5">
      <c r="A171" s="15">
        <v>169</v>
      </c>
      <c r="B171" s="44" t="s">
        <v>535</v>
      </c>
      <c r="C171" s="2" t="s">
        <v>1192</v>
      </c>
      <c r="D171" s="15">
        <v>6314377</v>
      </c>
      <c r="E171" s="16">
        <v>46225</v>
      </c>
      <c r="F171" s="18">
        <v>46204</v>
      </c>
      <c r="G171" s="47" t="s">
        <v>1193</v>
      </c>
      <c r="H171" s="16">
        <v>46227</v>
      </c>
      <c r="I171" s="39" t="s">
        <v>48</v>
      </c>
      <c r="J171" s="43" t="s">
        <v>1194</v>
      </c>
      <c r="K171" s="43" t="s">
        <v>1195</v>
      </c>
      <c r="L171" s="23">
        <v>22300</v>
      </c>
      <c r="M171" s="23">
        <v>22300</v>
      </c>
      <c r="N171" s="14"/>
      <c r="O171" s="14">
        <v>23750</v>
      </c>
      <c r="P171" s="31">
        <v>0.93894736842105264</v>
      </c>
      <c r="Q171" s="37">
        <v>8.4199999999999997E-2</v>
      </c>
      <c r="R171" s="41" t="s">
        <v>51</v>
      </c>
      <c r="S171" s="53">
        <v>645613</v>
      </c>
      <c r="T171" s="56" t="s">
        <v>39</v>
      </c>
      <c r="U171" s="51"/>
      <c r="V171" s="22">
        <v>46073</v>
      </c>
      <c r="W171" s="22">
        <v>46438</v>
      </c>
      <c r="X171" s="18">
        <v>46204</v>
      </c>
      <c r="Y171" s="40" t="s">
        <v>1196</v>
      </c>
      <c r="Z171" s="47" t="s">
        <v>63</v>
      </c>
      <c r="AA171" s="47" t="s">
        <v>42</v>
      </c>
      <c r="AB171" s="16">
        <v>46231</v>
      </c>
      <c r="AC171" s="2" t="s">
        <v>107</v>
      </c>
      <c r="AD171" s="3" t="s">
        <v>1197</v>
      </c>
      <c r="AE171" s="1"/>
    </row>
    <row r="172" spans="1:31" ht="89.25">
      <c r="A172" s="15">
        <v>170</v>
      </c>
      <c r="B172" s="44" t="s">
        <v>1198</v>
      </c>
      <c r="C172" s="2" t="s">
        <v>1199</v>
      </c>
      <c r="D172" s="15">
        <v>6314705</v>
      </c>
      <c r="E172" s="16">
        <v>46226</v>
      </c>
      <c r="F172" s="18">
        <v>46204</v>
      </c>
      <c r="G172" s="47" t="s">
        <v>1200</v>
      </c>
      <c r="H172" s="16">
        <v>46230</v>
      </c>
      <c r="I172" s="25" t="s">
        <v>48</v>
      </c>
      <c r="J172" s="43" t="s">
        <v>1201</v>
      </c>
      <c r="K172" s="43" t="s">
        <v>380</v>
      </c>
      <c r="L172" s="23">
        <v>13028</v>
      </c>
      <c r="M172" s="23">
        <v>13028</v>
      </c>
      <c r="N172" s="14"/>
      <c r="O172" s="14">
        <v>15348</v>
      </c>
      <c r="P172" s="31">
        <v>0.84884023977065415</v>
      </c>
      <c r="Q172" s="37">
        <v>5.21E-2</v>
      </c>
      <c r="R172" s="41" t="s">
        <v>51</v>
      </c>
      <c r="S172" s="53">
        <v>645613</v>
      </c>
      <c r="T172" s="56" t="s">
        <v>39</v>
      </c>
      <c r="U172" s="51"/>
      <c r="V172" s="22">
        <v>46235</v>
      </c>
      <c r="W172" s="22">
        <v>46600</v>
      </c>
      <c r="X172" s="18">
        <v>46204</v>
      </c>
      <c r="Y172" s="40" t="s">
        <v>1202</v>
      </c>
      <c r="Z172" s="47" t="s">
        <v>41</v>
      </c>
      <c r="AA172" s="47" t="s">
        <v>188</v>
      </c>
      <c r="AB172" s="16">
        <v>46231</v>
      </c>
      <c r="AC172" s="2" t="s">
        <v>107</v>
      </c>
      <c r="AD172" s="3" t="s">
        <v>1203</v>
      </c>
      <c r="AE172" s="1"/>
    </row>
    <row r="173" spans="1:31" ht="140.25">
      <c r="A173" s="15">
        <v>171</v>
      </c>
      <c r="B173" s="3" t="s">
        <v>66</v>
      </c>
      <c r="C173" s="2" t="s">
        <v>1204</v>
      </c>
      <c r="D173" s="15">
        <v>6315084</v>
      </c>
      <c r="E173" s="16">
        <v>46227</v>
      </c>
      <c r="F173" s="18">
        <v>46204</v>
      </c>
      <c r="G173" s="47" t="s">
        <v>1205</v>
      </c>
      <c r="H173" s="16">
        <v>46234</v>
      </c>
      <c r="I173" s="25" t="s">
        <v>1206</v>
      </c>
      <c r="J173" s="40" t="s">
        <v>1207</v>
      </c>
      <c r="K173" s="43"/>
      <c r="L173" s="17">
        <v>215674.09</v>
      </c>
      <c r="M173" s="14"/>
      <c r="N173" s="14">
        <v>27504.54</v>
      </c>
      <c r="O173" s="14">
        <v>221445</v>
      </c>
      <c r="P173" s="31">
        <v>0.97393975930818033</v>
      </c>
      <c r="Q173" s="37">
        <v>0</v>
      </c>
      <c r="R173" s="41" t="s">
        <v>1208</v>
      </c>
      <c r="S173" s="53">
        <v>645613</v>
      </c>
      <c r="T173" s="56" t="s">
        <v>39</v>
      </c>
      <c r="U173" s="51"/>
      <c r="V173" s="22">
        <v>46239</v>
      </c>
      <c r="W173" s="22">
        <v>46603</v>
      </c>
      <c r="X173" s="18">
        <v>46266</v>
      </c>
      <c r="Y173" s="40" t="s">
        <v>1209</v>
      </c>
      <c r="Z173" s="47" t="s">
        <v>41</v>
      </c>
      <c r="AA173" s="47" t="s">
        <v>75</v>
      </c>
      <c r="AB173" s="16">
        <v>46270</v>
      </c>
      <c r="AC173" s="2" t="s">
        <v>107</v>
      </c>
      <c r="AD173" s="3" t="s">
        <v>1210</v>
      </c>
      <c r="AE173" s="1"/>
    </row>
    <row r="174" spans="1:31" ht="51">
      <c r="A174" s="15">
        <v>172</v>
      </c>
      <c r="B174" s="44" t="s">
        <v>1211</v>
      </c>
      <c r="C174" s="2" t="s">
        <v>1212</v>
      </c>
      <c r="D174" s="15">
        <v>6316475</v>
      </c>
      <c r="E174" s="16">
        <v>46231</v>
      </c>
      <c r="F174" s="18">
        <v>46204</v>
      </c>
      <c r="G174" s="47" t="s">
        <v>1213</v>
      </c>
      <c r="H174" s="16">
        <v>46237</v>
      </c>
      <c r="I174" s="39" t="s">
        <v>48</v>
      </c>
      <c r="J174" s="40" t="s">
        <v>1214</v>
      </c>
      <c r="K174" s="43" t="s">
        <v>1215</v>
      </c>
      <c r="L174" s="23">
        <v>51589</v>
      </c>
      <c r="M174" s="23">
        <v>51589</v>
      </c>
      <c r="N174" s="14"/>
      <c r="O174" s="14">
        <v>58698</v>
      </c>
      <c r="P174" s="31">
        <v>0.87888854816177719</v>
      </c>
      <c r="Q174" s="37">
        <v>0</v>
      </c>
      <c r="R174" s="41" t="s">
        <v>51</v>
      </c>
      <c r="S174" s="53">
        <v>645613</v>
      </c>
      <c r="T174" s="57" t="s">
        <v>39</v>
      </c>
      <c r="U174" s="51"/>
      <c r="V174" s="22">
        <v>46264</v>
      </c>
      <c r="W174" s="22">
        <v>46629</v>
      </c>
      <c r="X174" s="18">
        <v>46235</v>
      </c>
      <c r="Y174" s="40" t="s">
        <v>1216</v>
      </c>
      <c r="Z174" s="47" t="s">
        <v>63</v>
      </c>
      <c r="AA174" s="47" t="s">
        <v>64</v>
      </c>
      <c r="AB174" s="16">
        <v>46238</v>
      </c>
      <c r="AC174" s="2" t="s">
        <v>107</v>
      </c>
      <c r="AD174" s="3" t="s">
        <v>1217</v>
      </c>
      <c r="AE174" s="21" t="s">
        <v>56</v>
      </c>
    </row>
    <row r="175" spans="1:31" ht="114.75">
      <c r="A175" s="15">
        <v>173</v>
      </c>
      <c r="B175" s="3" t="s">
        <v>1218</v>
      </c>
      <c r="C175" s="2" t="s">
        <v>1219</v>
      </c>
      <c r="D175" s="15">
        <v>6317177</v>
      </c>
      <c r="E175" s="16">
        <v>46233</v>
      </c>
      <c r="F175" s="18">
        <v>46204</v>
      </c>
      <c r="G175" s="47" t="s">
        <v>1220</v>
      </c>
      <c r="H175" s="16">
        <v>46239</v>
      </c>
      <c r="I175" s="25" t="s">
        <v>48</v>
      </c>
      <c r="J175" s="40" t="s">
        <v>1221</v>
      </c>
      <c r="K175" s="43" t="s">
        <v>1222</v>
      </c>
      <c r="L175" s="23">
        <v>19377</v>
      </c>
      <c r="M175" s="23">
        <v>19377</v>
      </c>
      <c r="N175" s="14"/>
      <c r="O175" s="14">
        <v>53245</v>
      </c>
      <c r="P175" s="31">
        <v>0.36392149497605408</v>
      </c>
      <c r="Q175" s="37">
        <v>6.7599999999999993E-2</v>
      </c>
      <c r="R175" s="41" t="s">
        <v>329</v>
      </c>
      <c r="S175" s="53">
        <v>645613</v>
      </c>
      <c r="T175" s="56" t="s">
        <v>39</v>
      </c>
      <c r="U175" s="51"/>
      <c r="V175" s="22">
        <v>46280</v>
      </c>
      <c r="W175" s="22">
        <v>46645</v>
      </c>
      <c r="X175" s="18">
        <v>46235</v>
      </c>
      <c r="Y175" s="40" t="s">
        <v>1223</v>
      </c>
      <c r="Z175" s="47" t="s">
        <v>63</v>
      </c>
      <c r="AA175" s="47" t="s">
        <v>203</v>
      </c>
      <c r="AB175" s="16">
        <v>46247</v>
      </c>
      <c r="AC175" s="2" t="s">
        <v>107</v>
      </c>
      <c r="AD175" s="3" t="s">
        <v>1224</v>
      </c>
      <c r="AE175" s="1"/>
    </row>
    <row r="176" spans="1:31" ht="25.5">
      <c r="A176" s="15">
        <v>174</v>
      </c>
      <c r="B176" s="3" t="s">
        <v>205</v>
      </c>
      <c r="C176" s="2" t="s">
        <v>1225</v>
      </c>
      <c r="D176" s="15">
        <v>6317366</v>
      </c>
      <c r="E176" s="16">
        <v>46234</v>
      </c>
      <c r="F176" s="18">
        <v>46204</v>
      </c>
      <c r="G176" s="47" t="s">
        <v>1226</v>
      </c>
      <c r="H176" s="16">
        <v>46241</v>
      </c>
      <c r="I176" s="25" t="s">
        <v>208</v>
      </c>
      <c r="J176" s="43" t="s">
        <v>1227</v>
      </c>
      <c r="K176" s="43"/>
      <c r="L176" s="23">
        <v>469167</v>
      </c>
      <c r="M176" s="23">
        <v>469167</v>
      </c>
      <c r="N176" s="14"/>
      <c r="O176" s="14">
        <v>528370</v>
      </c>
      <c r="P176" s="31">
        <v>0.88795162480837297</v>
      </c>
      <c r="Q176" s="37" t="s">
        <v>37</v>
      </c>
      <c r="R176" s="41" t="s">
        <v>51</v>
      </c>
      <c r="S176" s="53">
        <v>645613</v>
      </c>
      <c r="T176" s="56" t="s">
        <v>39</v>
      </c>
      <c r="U176" s="51"/>
      <c r="V176" s="22">
        <v>46280</v>
      </c>
      <c r="W176" s="22">
        <v>46644</v>
      </c>
      <c r="X176" s="18">
        <v>46235</v>
      </c>
      <c r="Y176" s="40" t="s">
        <v>1228</v>
      </c>
      <c r="Z176" s="47" t="s">
        <v>41</v>
      </c>
      <c r="AA176" s="47" t="s">
        <v>87</v>
      </c>
      <c r="AB176" s="16">
        <v>46253</v>
      </c>
      <c r="AC176" s="2" t="s">
        <v>107</v>
      </c>
      <c r="AD176" s="3" t="s">
        <v>1229</v>
      </c>
      <c r="AE176" s="1"/>
    </row>
    <row r="177" spans="1:31" ht="25.5">
      <c r="A177" s="15">
        <v>175</v>
      </c>
      <c r="B177" s="3" t="s">
        <v>205</v>
      </c>
      <c r="C177" s="2" t="s">
        <v>1225</v>
      </c>
      <c r="D177" s="15">
        <v>6317371</v>
      </c>
      <c r="E177" s="16">
        <v>46234</v>
      </c>
      <c r="F177" s="18">
        <v>46204</v>
      </c>
      <c r="G177" s="47" t="s">
        <v>1230</v>
      </c>
      <c r="H177" s="16">
        <v>46241</v>
      </c>
      <c r="I177" s="39" t="s">
        <v>208</v>
      </c>
      <c r="J177" s="43" t="s">
        <v>1231</v>
      </c>
      <c r="K177" s="43"/>
      <c r="L177" s="23">
        <v>45794</v>
      </c>
      <c r="M177" s="23">
        <v>45794</v>
      </c>
      <c r="N177" s="14"/>
      <c r="O177" s="14">
        <v>53330</v>
      </c>
      <c r="P177" s="31">
        <v>0.85869116819801239</v>
      </c>
      <c r="Q177" s="37" t="s">
        <v>37</v>
      </c>
      <c r="R177" s="41" t="s">
        <v>51</v>
      </c>
      <c r="S177" s="53">
        <v>645613</v>
      </c>
      <c r="T177" s="56" t="s">
        <v>39</v>
      </c>
      <c r="U177" s="51"/>
      <c r="V177" s="22">
        <v>46326</v>
      </c>
      <c r="W177" s="22">
        <v>46690</v>
      </c>
      <c r="X177" s="67"/>
      <c r="Y177" s="42" t="s">
        <v>1232</v>
      </c>
      <c r="Z177" s="2" t="s">
        <v>63</v>
      </c>
      <c r="AA177" s="2" t="s">
        <v>87</v>
      </c>
      <c r="AB177" s="28"/>
      <c r="AC177" s="2" t="s">
        <v>436</v>
      </c>
      <c r="AD177" s="3" t="s">
        <v>1229</v>
      </c>
      <c r="AE177" s="1"/>
    </row>
    <row r="178" spans="1:31" ht="25.5">
      <c r="A178" s="15">
        <v>176</v>
      </c>
      <c r="B178" s="3" t="s">
        <v>205</v>
      </c>
      <c r="C178" s="2" t="s">
        <v>1225</v>
      </c>
      <c r="D178" s="15">
        <v>6317380</v>
      </c>
      <c r="E178" s="16">
        <v>46234</v>
      </c>
      <c r="F178" s="18">
        <v>46204</v>
      </c>
      <c r="G178" s="47" t="s">
        <v>1233</v>
      </c>
      <c r="H178" s="16">
        <v>46241</v>
      </c>
      <c r="I178" s="39" t="s">
        <v>208</v>
      </c>
      <c r="J178" s="43" t="s">
        <v>1234</v>
      </c>
      <c r="K178" s="43"/>
      <c r="L178" s="23">
        <v>236705.5</v>
      </c>
      <c r="M178" s="23">
        <v>236705.5</v>
      </c>
      <c r="N178" s="14"/>
      <c r="O178" s="14">
        <v>267350</v>
      </c>
      <c r="P178" s="31">
        <v>0.88537684682999818</v>
      </c>
      <c r="Q178" s="37" t="s">
        <v>37</v>
      </c>
      <c r="R178" s="41" t="s">
        <v>51</v>
      </c>
      <c r="S178" s="53">
        <v>645613</v>
      </c>
      <c r="T178" s="56" t="s">
        <v>39</v>
      </c>
      <c r="U178" s="51"/>
      <c r="V178" s="22">
        <v>46329</v>
      </c>
      <c r="W178" s="22">
        <v>46693</v>
      </c>
      <c r="X178" s="67"/>
      <c r="Y178" s="42" t="s">
        <v>1235</v>
      </c>
      <c r="Z178" s="2" t="s">
        <v>63</v>
      </c>
      <c r="AA178" s="2" t="s">
        <v>87</v>
      </c>
      <c r="AB178" s="28"/>
      <c r="AC178" s="2" t="s">
        <v>436</v>
      </c>
      <c r="AD178" s="3" t="s">
        <v>1229</v>
      </c>
      <c r="AE178" s="1"/>
    </row>
    <row r="179" spans="1:31" ht="89.25">
      <c r="A179" s="15">
        <v>177</v>
      </c>
      <c r="B179" s="3" t="s">
        <v>1236</v>
      </c>
      <c r="C179" s="2" t="s">
        <v>1237</v>
      </c>
      <c r="D179" s="15">
        <v>6317417</v>
      </c>
      <c r="E179" s="16">
        <v>46234</v>
      </c>
      <c r="F179" s="18">
        <v>46204</v>
      </c>
      <c r="G179" s="47" t="s">
        <v>1238</v>
      </c>
      <c r="H179" s="16">
        <v>46240</v>
      </c>
      <c r="I179" s="39" t="s">
        <v>48</v>
      </c>
      <c r="J179" s="33" t="s">
        <v>1239</v>
      </c>
      <c r="K179" s="43" t="s">
        <v>1240</v>
      </c>
      <c r="L179" s="23">
        <v>4815</v>
      </c>
      <c r="M179" s="23">
        <v>4815</v>
      </c>
      <c r="N179" s="14"/>
      <c r="O179" s="14">
        <v>6500</v>
      </c>
      <c r="P179" s="31">
        <v>0.74076923076923074</v>
      </c>
      <c r="Q179" s="37">
        <v>0.123</v>
      </c>
      <c r="R179" s="41" t="s">
        <v>51</v>
      </c>
      <c r="S179" s="53">
        <v>645613</v>
      </c>
      <c r="T179" s="56" t="s">
        <v>39</v>
      </c>
      <c r="U179" s="51"/>
      <c r="V179" s="22">
        <v>46224</v>
      </c>
      <c r="W179" s="22">
        <v>46589</v>
      </c>
      <c r="X179" s="18">
        <v>46235</v>
      </c>
      <c r="Y179" s="40" t="s">
        <v>1241</v>
      </c>
      <c r="Z179" s="47" t="s">
        <v>63</v>
      </c>
      <c r="AA179" s="47" t="s">
        <v>203</v>
      </c>
      <c r="AB179" s="16">
        <v>46244</v>
      </c>
      <c r="AC179" s="2" t="s">
        <v>107</v>
      </c>
      <c r="AD179" s="3" t="s">
        <v>1242</v>
      </c>
      <c r="AE179" s="1"/>
    </row>
    <row r="180" spans="1:31" ht="89.25">
      <c r="A180" s="15">
        <v>178</v>
      </c>
      <c r="B180" s="3" t="s">
        <v>1243</v>
      </c>
      <c r="C180" s="2" t="s">
        <v>1244</v>
      </c>
      <c r="D180" s="15">
        <v>6317428</v>
      </c>
      <c r="E180" s="16">
        <v>46234</v>
      </c>
      <c r="F180" s="18">
        <v>46204</v>
      </c>
      <c r="G180" s="47" t="s">
        <v>1245</v>
      </c>
      <c r="H180" s="16">
        <v>46240</v>
      </c>
      <c r="I180" s="39" t="s">
        <v>48</v>
      </c>
      <c r="J180" s="33" t="s">
        <v>1246</v>
      </c>
      <c r="K180" s="46" t="s">
        <v>380</v>
      </c>
      <c r="L180" s="23">
        <v>12814</v>
      </c>
      <c r="M180" s="23">
        <v>12814</v>
      </c>
      <c r="N180" s="14"/>
      <c r="O180" s="14">
        <v>22900</v>
      </c>
      <c r="P180" s="31">
        <v>0.5595633187772926</v>
      </c>
      <c r="Q180" s="37">
        <v>3.49E-2</v>
      </c>
      <c r="R180" s="41" t="s">
        <v>51</v>
      </c>
      <c r="S180" s="53">
        <v>645613</v>
      </c>
      <c r="T180" s="56" t="s">
        <v>39</v>
      </c>
      <c r="U180" s="51"/>
      <c r="V180" s="22">
        <v>46243</v>
      </c>
      <c r="W180" s="22">
        <v>46608</v>
      </c>
      <c r="X180" s="18">
        <v>46235</v>
      </c>
      <c r="Y180" s="42" t="s">
        <v>1247</v>
      </c>
      <c r="Z180" s="2" t="s">
        <v>63</v>
      </c>
      <c r="AA180" s="2" t="s">
        <v>142</v>
      </c>
      <c r="AB180" s="16">
        <v>46244</v>
      </c>
      <c r="AC180" s="2" t="s">
        <v>107</v>
      </c>
      <c r="AD180" s="3" t="s">
        <v>1248</v>
      </c>
      <c r="AE180" s="1"/>
    </row>
    <row r="181" spans="1:31" ht="204">
      <c r="A181" s="15">
        <v>179</v>
      </c>
      <c r="B181" s="44" t="s">
        <v>1249</v>
      </c>
      <c r="C181" s="2" t="s">
        <v>1250</v>
      </c>
      <c r="D181" s="15">
        <v>6318084</v>
      </c>
      <c r="E181" s="16">
        <v>46237</v>
      </c>
      <c r="F181" s="18">
        <v>46235</v>
      </c>
      <c r="G181" s="47" t="s">
        <v>1251</v>
      </c>
      <c r="H181" s="16">
        <v>46238</v>
      </c>
      <c r="I181" s="39" t="s">
        <v>499</v>
      </c>
      <c r="J181" s="43" t="s">
        <v>1252</v>
      </c>
      <c r="K181" s="43"/>
      <c r="L181" s="23">
        <v>115472.47</v>
      </c>
      <c r="M181" s="14"/>
      <c r="N181" s="14">
        <v>14724.5</v>
      </c>
      <c r="O181" s="14">
        <v>116710</v>
      </c>
      <c r="P181" s="31">
        <v>0.98939653842858366</v>
      </c>
      <c r="Q181" s="37" t="s">
        <v>37</v>
      </c>
      <c r="R181" s="41" t="s">
        <v>1253</v>
      </c>
      <c r="S181" s="53">
        <v>645613</v>
      </c>
      <c r="T181" s="56" t="s">
        <v>39</v>
      </c>
      <c r="U181" s="51"/>
      <c r="V181" s="22">
        <v>46275</v>
      </c>
      <c r="W181" s="22">
        <v>46639</v>
      </c>
      <c r="X181" s="18">
        <v>46266</v>
      </c>
      <c r="Y181" s="40" t="s">
        <v>1254</v>
      </c>
      <c r="Z181" s="2" t="s">
        <v>63</v>
      </c>
      <c r="AA181" s="2" t="s">
        <v>42</v>
      </c>
      <c r="AB181" s="16">
        <v>46274</v>
      </c>
      <c r="AC181" s="2" t="s">
        <v>107</v>
      </c>
      <c r="AD181" s="3" t="s">
        <v>1255</v>
      </c>
      <c r="AE181" s="1"/>
    </row>
    <row r="182" spans="1:31" ht="127.5">
      <c r="A182" s="15">
        <v>180</v>
      </c>
      <c r="B182" s="3" t="s">
        <v>1256</v>
      </c>
      <c r="C182" s="2" t="s">
        <v>1257</v>
      </c>
      <c r="D182" s="15">
        <v>6318094</v>
      </c>
      <c r="E182" s="16">
        <v>46237</v>
      </c>
      <c r="F182" s="18">
        <v>46235</v>
      </c>
      <c r="G182" s="47" t="s">
        <v>1258</v>
      </c>
      <c r="H182" s="16">
        <v>46244</v>
      </c>
      <c r="I182" s="25" t="s">
        <v>526</v>
      </c>
      <c r="J182" s="43" t="s">
        <v>1259</v>
      </c>
      <c r="K182" s="43" t="s">
        <v>1260</v>
      </c>
      <c r="L182" s="23">
        <v>55861.440000000002</v>
      </c>
      <c r="M182" s="23">
        <v>55861.440000000002</v>
      </c>
      <c r="N182" s="14"/>
      <c r="O182" s="14">
        <v>75358</v>
      </c>
      <c r="P182" s="31">
        <v>0.74128081955465908</v>
      </c>
      <c r="Q182" s="37">
        <v>0.1045</v>
      </c>
      <c r="R182" s="41" t="s">
        <v>290</v>
      </c>
      <c r="S182" s="53">
        <v>645613</v>
      </c>
      <c r="T182" s="56" t="s">
        <v>39</v>
      </c>
      <c r="U182" s="51"/>
      <c r="V182" s="22">
        <v>46242</v>
      </c>
      <c r="W182" s="22">
        <v>46606</v>
      </c>
      <c r="X182" s="18">
        <v>46235</v>
      </c>
      <c r="Y182" s="40" t="s">
        <v>1261</v>
      </c>
      <c r="Z182" s="47" t="s">
        <v>63</v>
      </c>
      <c r="AA182" s="47" t="s">
        <v>133</v>
      </c>
      <c r="AB182" s="16">
        <v>46252</v>
      </c>
      <c r="AC182" s="47" t="s">
        <v>107</v>
      </c>
      <c r="AD182" s="3" t="s">
        <v>1262</v>
      </c>
      <c r="AE182" s="1"/>
    </row>
    <row r="183" spans="1:31" ht="51">
      <c r="A183" s="15">
        <v>181</v>
      </c>
      <c r="B183" s="3" t="s">
        <v>158</v>
      </c>
      <c r="C183" s="2" t="s">
        <v>1263</v>
      </c>
      <c r="D183" s="15">
        <v>6319059</v>
      </c>
      <c r="E183" s="16">
        <v>46239</v>
      </c>
      <c r="F183" s="18">
        <v>46235</v>
      </c>
      <c r="G183" s="47" t="s">
        <v>1264</v>
      </c>
      <c r="H183" s="16">
        <v>46245</v>
      </c>
      <c r="I183" s="39" t="s">
        <v>35</v>
      </c>
      <c r="J183" s="43" t="s">
        <v>1265</v>
      </c>
      <c r="K183" s="43" t="s">
        <v>1266</v>
      </c>
      <c r="L183" s="23">
        <v>10273.299999999999</v>
      </c>
      <c r="M183" s="23">
        <v>10273.299999999999</v>
      </c>
      <c r="N183" s="14"/>
      <c r="O183" s="14">
        <v>17016</v>
      </c>
      <c r="P183" s="31">
        <v>0.60374353549600368</v>
      </c>
      <c r="Q183" s="37">
        <v>0.6</v>
      </c>
      <c r="R183" s="41" t="s">
        <v>38</v>
      </c>
      <c r="S183" s="53">
        <v>645613</v>
      </c>
      <c r="T183" s="56" t="s">
        <v>39</v>
      </c>
      <c r="U183" s="51"/>
      <c r="V183" s="22">
        <v>46265</v>
      </c>
      <c r="W183" s="22">
        <v>46629</v>
      </c>
      <c r="X183" s="18">
        <v>46235</v>
      </c>
      <c r="Y183" s="40" t="s">
        <v>1267</v>
      </c>
      <c r="Z183" s="2" t="s">
        <v>63</v>
      </c>
      <c r="AA183" s="2" t="s">
        <v>106</v>
      </c>
      <c r="AB183" s="16">
        <v>46254</v>
      </c>
      <c r="AC183" s="47" t="s">
        <v>107</v>
      </c>
      <c r="AD183" s="3" t="s">
        <v>1268</v>
      </c>
      <c r="AE183" s="1"/>
    </row>
    <row r="184" spans="1:31" ht="153">
      <c r="A184" s="15">
        <v>182</v>
      </c>
      <c r="B184" s="44" t="s">
        <v>687</v>
      </c>
      <c r="C184" s="2" t="s">
        <v>1269</v>
      </c>
      <c r="D184" s="15">
        <v>6319083</v>
      </c>
      <c r="E184" s="16">
        <v>46239</v>
      </c>
      <c r="F184" s="18">
        <v>46235</v>
      </c>
      <c r="G184" s="47" t="s">
        <v>1270</v>
      </c>
      <c r="H184" s="16">
        <v>46245</v>
      </c>
      <c r="I184" s="39" t="s">
        <v>48</v>
      </c>
      <c r="J184" s="33" t="s">
        <v>1271</v>
      </c>
      <c r="K184" s="43" t="s">
        <v>1272</v>
      </c>
      <c r="L184" s="17">
        <v>68666.320000000007</v>
      </c>
      <c r="M184" s="14"/>
      <c r="N184" s="14">
        <v>8756</v>
      </c>
      <c r="O184" s="14">
        <v>45184</v>
      </c>
      <c r="P184" s="31">
        <v>1.5197043201133147</v>
      </c>
      <c r="Q184" s="50" t="s">
        <v>1273</v>
      </c>
      <c r="R184" s="41" t="s">
        <v>51</v>
      </c>
      <c r="S184" s="53">
        <v>645613</v>
      </c>
      <c r="T184" s="56" t="s">
        <v>39</v>
      </c>
      <c r="U184" s="51"/>
      <c r="V184" s="45" t="s">
        <v>1274</v>
      </c>
      <c r="W184" s="45" t="s">
        <v>1275</v>
      </c>
      <c r="X184" s="67"/>
      <c r="Y184" s="40" t="s">
        <v>1276</v>
      </c>
      <c r="Z184" s="2" t="s">
        <v>63</v>
      </c>
      <c r="AA184" s="47" t="s">
        <v>180</v>
      </c>
      <c r="AB184" s="28"/>
      <c r="AC184" s="2" t="s">
        <v>436</v>
      </c>
      <c r="AD184" s="3" t="s">
        <v>1277</v>
      </c>
      <c r="AE184" s="1"/>
    </row>
    <row r="185" spans="1:31" ht="229.5">
      <c r="A185" s="15">
        <v>183</v>
      </c>
      <c r="B185" s="44" t="s">
        <v>1278</v>
      </c>
      <c r="C185" s="2" t="s">
        <v>1279</v>
      </c>
      <c r="D185" s="15">
        <v>6319169</v>
      </c>
      <c r="E185" s="16">
        <v>46239</v>
      </c>
      <c r="F185" s="18">
        <v>46235</v>
      </c>
      <c r="G185" s="47" t="s">
        <v>1280</v>
      </c>
      <c r="H185" s="16">
        <v>46246</v>
      </c>
      <c r="I185" s="25" t="s">
        <v>362</v>
      </c>
      <c r="J185" s="43" t="s">
        <v>1281</v>
      </c>
      <c r="K185" s="43"/>
      <c r="L185" s="23">
        <v>4886</v>
      </c>
      <c r="M185" s="23">
        <v>4886</v>
      </c>
      <c r="N185" s="14"/>
      <c r="O185" s="14">
        <v>6301</v>
      </c>
      <c r="P185" s="31">
        <v>0.77543247103634338</v>
      </c>
      <c r="Q185" s="37" t="s">
        <v>37</v>
      </c>
      <c r="R185" s="41" t="s">
        <v>51</v>
      </c>
      <c r="S185" s="53">
        <v>645613</v>
      </c>
      <c r="T185" s="56" t="s">
        <v>39</v>
      </c>
      <c r="U185" s="51"/>
      <c r="V185" s="22">
        <v>46248</v>
      </c>
      <c r="W185" s="22">
        <v>46736</v>
      </c>
      <c r="X185" s="18">
        <v>46235</v>
      </c>
      <c r="Y185" s="40" t="s">
        <v>1282</v>
      </c>
      <c r="Z185" s="47" t="s">
        <v>63</v>
      </c>
      <c r="AA185" s="47" t="s">
        <v>133</v>
      </c>
      <c r="AB185" s="16">
        <v>46247</v>
      </c>
      <c r="AC185" s="2" t="s">
        <v>107</v>
      </c>
      <c r="AD185" s="3" t="s">
        <v>1283</v>
      </c>
      <c r="AE185" s="1"/>
    </row>
    <row r="186" spans="1:31" ht="153">
      <c r="A186" s="15">
        <v>184</v>
      </c>
      <c r="B186" s="44" t="s">
        <v>687</v>
      </c>
      <c r="C186" s="2" t="s">
        <v>1284</v>
      </c>
      <c r="D186" s="15">
        <v>6319174</v>
      </c>
      <c r="E186" s="16">
        <v>46239</v>
      </c>
      <c r="F186" s="18">
        <v>46235</v>
      </c>
      <c r="G186" s="47" t="s">
        <v>1285</v>
      </c>
      <c r="H186" s="16">
        <v>46246</v>
      </c>
      <c r="I186" s="39" t="s">
        <v>48</v>
      </c>
      <c r="J186" s="43" t="s">
        <v>1286</v>
      </c>
      <c r="K186" s="43" t="s">
        <v>1287</v>
      </c>
      <c r="L186" s="23">
        <v>167823.08</v>
      </c>
      <c r="M186" s="14"/>
      <c r="N186" s="14">
        <v>21400</v>
      </c>
      <c r="O186" s="14">
        <v>200000</v>
      </c>
      <c r="P186" s="31">
        <v>0.83911539999999996</v>
      </c>
      <c r="Q186" s="37">
        <v>0.17660000000000001</v>
      </c>
      <c r="R186" s="41" t="s">
        <v>51</v>
      </c>
      <c r="S186" s="53">
        <v>645613</v>
      </c>
      <c r="T186" s="56" t="s">
        <v>39</v>
      </c>
      <c r="U186" s="51"/>
      <c r="V186" s="45" t="s">
        <v>1288</v>
      </c>
      <c r="W186" s="45" t="s">
        <v>1289</v>
      </c>
      <c r="X186" s="18">
        <v>46235</v>
      </c>
      <c r="Y186" s="40" t="s">
        <v>1290</v>
      </c>
      <c r="Z186" s="2" t="s">
        <v>63</v>
      </c>
      <c r="AA186" s="2" t="s">
        <v>180</v>
      </c>
      <c r="AB186" s="16">
        <v>46253</v>
      </c>
      <c r="AC186" s="2" t="s">
        <v>107</v>
      </c>
      <c r="AD186" s="3" t="s">
        <v>1291</v>
      </c>
      <c r="AE186" s="1"/>
    </row>
    <row r="187" spans="1:31" ht="153">
      <c r="A187" s="15">
        <v>185</v>
      </c>
      <c r="B187" s="44" t="s">
        <v>894</v>
      </c>
      <c r="C187" s="2" t="s">
        <v>1292</v>
      </c>
      <c r="D187" s="15">
        <v>6320696</v>
      </c>
      <c r="E187" s="16">
        <v>46244</v>
      </c>
      <c r="F187" s="18">
        <v>46235</v>
      </c>
      <c r="G187" s="47" t="s">
        <v>1293</v>
      </c>
      <c r="H187" s="16">
        <v>46246</v>
      </c>
      <c r="I187" s="39" t="s">
        <v>35</v>
      </c>
      <c r="J187" s="43" t="s">
        <v>1294</v>
      </c>
      <c r="K187" s="43" t="s">
        <v>1295</v>
      </c>
      <c r="L187" s="23">
        <v>2106097.56</v>
      </c>
      <c r="M187" s="23">
        <v>2106097.56</v>
      </c>
      <c r="N187" s="14"/>
      <c r="O187" s="14">
        <v>6091171</v>
      </c>
      <c r="P187" s="31">
        <v>0.3457623435625104</v>
      </c>
      <c r="Q187" s="37">
        <v>0.35</v>
      </c>
      <c r="R187" s="41" t="s">
        <v>38</v>
      </c>
      <c r="S187" s="53">
        <v>645613</v>
      </c>
      <c r="T187" s="56" t="s">
        <v>39</v>
      </c>
      <c r="U187" s="51"/>
      <c r="V187" s="22">
        <v>46241</v>
      </c>
      <c r="W187" s="22">
        <v>46630</v>
      </c>
      <c r="X187" s="18">
        <v>46235</v>
      </c>
      <c r="Y187" s="40" t="s">
        <v>1296</v>
      </c>
      <c r="Z187" s="47" t="s">
        <v>1297</v>
      </c>
      <c r="AA187" s="47" t="s">
        <v>133</v>
      </c>
      <c r="AB187" s="16">
        <v>46247</v>
      </c>
      <c r="AC187" s="2" t="s">
        <v>107</v>
      </c>
      <c r="AD187" s="3" t="s">
        <v>1298</v>
      </c>
      <c r="AE187" s="1"/>
    </row>
    <row r="188" spans="1:31" ht="89.25">
      <c r="A188" s="15">
        <v>186</v>
      </c>
      <c r="B188" s="44" t="s">
        <v>243</v>
      </c>
      <c r="C188" s="2" t="s">
        <v>1299</v>
      </c>
      <c r="D188" s="15">
        <v>6321095</v>
      </c>
      <c r="E188" s="16">
        <v>46245</v>
      </c>
      <c r="F188" s="18">
        <v>46235</v>
      </c>
      <c r="G188" s="47" t="s">
        <v>1300</v>
      </c>
      <c r="H188" s="16">
        <v>46246</v>
      </c>
      <c r="I188" s="39" t="s">
        <v>431</v>
      </c>
      <c r="J188" s="43" t="s">
        <v>1301</v>
      </c>
      <c r="K188" s="43"/>
      <c r="L188" s="23">
        <v>33368</v>
      </c>
      <c r="M188" s="23">
        <v>33368</v>
      </c>
      <c r="N188" s="14"/>
      <c r="O188" s="14">
        <v>33368</v>
      </c>
      <c r="P188" s="31">
        <v>1</v>
      </c>
      <c r="Q188" s="37">
        <v>0</v>
      </c>
      <c r="R188" s="41" t="s">
        <v>433</v>
      </c>
      <c r="S188" s="53">
        <v>645613</v>
      </c>
      <c r="T188" s="56" t="s">
        <v>39</v>
      </c>
      <c r="U188" s="51"/>
      <c r="V188" s="45" t="s">
        <v>434</v>
      </c>
      <c r="W188" s="45" t="s">
        <v>434</v>
      </c>
      <c r="X188" s="67"/>
      <c r="Y188" s="42" t="s">
        <v>1302</v>
      </c>
      <c r="Z188" s="2" t="s">
        <v>63</v>
      </c>
      <c r="AA188" s="2" t="s">
        <v>42</v>
      </c>
      <c r="AB188" s="28"/>
      <c r="AC188" s="2" t="s">
        <v>436</v>
      </c>
      <c r="AD188" s="3" t="s">
        <v>1303</v>
      </c>
      <c r="AE188" s="41" t="s">
        <v>1304</v>
      </c>
    </row>
    <row r="189" spans="1:31" ht="89.25">
      <c r="A189" s="15">
        <v>187</v>
      </c>
      <c r="B189" s="3" t="s">
        <v>1305</v>
      </c>
      <c r="C189" s="2" t="s">
        <v>1306</v>
      </c>
      <c r="D189" s="15">
        <v>6321106</v>
      </c>
      <c r="E189" s="16">
        <v>46245</v>
      </c>
      <c r="F189" s="18">
        <v>46235</v>
      </c>
      <c r="G189" s="47" t="s">
        <v>1307</v>
      </c>
      <c r="H189" s="16">
        <v>46251</v>
      </c>
      <c r="I189" s="39" t="s">
        <v>48</v>
      </c>
      <c r="J189" s="33" t="s">
        <v>1308</v>
      </c>
      <c r="K189" s="43" t="s">
        <v>1309</v>
      </c>
      <c r="L189" s="23">
        <v>35300</v>
      </c>
      <c r="M189" s="23">
        <v>35300</v>
      </c>
      <c r="N189" s="14"/>
      <c r="O189" s="14">
        <v>59340</v>
      </c>
      <c r="P189" s="31">
        <v>0.59487698011459389</v>
      </c>
      <c r="Q189" s="37">
        <v>7.4099999999999999E-2</v>
      </c>
      <c r="R189" s="41" t="s">
        <v>51</v>
      </c>
      <c r="S189" s="53">
        <v>645613</v>
      </c>
      <c r="T189" s="56" t="s">
        <v>39</v>
      </c>
      <c r="U189" s="51"/>
      <c r="V189" s="22">
        <v>46284</v>
      </c>
      <c r="W189" s="24">
        <v>47015</v>
      </c>
      <c r="X189" s="18">
        <v>46235</v>
      </c>
      <c r="Y189" s="40" t="s">
        <v>1310</v>
      </c>
      <c r="Z189" s="47" t="s">
        <v>63</v>
      </c>
      <c r="AA189" s="47" t="s">
        <v>142</v>
      </c>
      <c r="AB189" s="16">
        <v>46259</v>
      </c>
      <c r="AC189" s="2" t="s">
        <v>107</v>
      </c>
      <c r="AD189" s="3" t="s">
        <v>1311</v>
      </c>
      <c r="AE189" s="1"/>
    </row>
    <row r="190" spans="1:31" ht="25.5">
      <c r="A190" s="15">
        <v>188</v>
      </c>
      <c r="B190" s="3" t="s">
        <v>1312</v>
      </c>
      <c r="C190" s="2" t="s">
        <v>1313</v>
      </c>
      <c r="D190" s="15">
        <v>6321876</v>
      </c>
      <c r="E190" s="16">
        <v>46247</v>
      </c>
      <c r="F190" s="18">
        <v>46235</v>
      </c>
      <c r="G190" s="47" t="s">
        <v>1314</v>
      </c>
      <c r="H190" s="16">
        <v>46252</v>
      </c>
      <c r="I190" s="25" t="s">
        <v>35</v>
      </c>
      <c r="J190" s="43" t="s">
        <v>1315</v>
      </c>
      <c r="K190" s="43"/>
      <c r="L190" s="23">
        <v>16209</v>
      </c>
      <c r="M190" s="23">
        <v>16209</v>
      </c>
      <c r="N190" s="14"/>
      <c r="O190" s="14">
        <v>18870</v>
      </c>
      <c r="P190" s="31">
        <v>0.85898251192368835</v>
      </c>
      <c r="Q190" s="37" t="s">
        <v>37</v>
      </c>
      <c r="R190" s="41" t="s">
        <v>38</v>
      </c>
      <c r="S190" s="53">
        <v>645613</v>
      </c>
      <c r="T190" s="56" t="s">
        <v>39</v>
      </c>
      <c r="U190" s="51"/>
      <c r="V190" s="22">
        <v>46266</v>
      </c>
      <c r="W190" s="22">
        <v>46630</v>
      </c>
      <c r="X190" s="18">
        <v>46235</v>
      </c>
      <c r="Y190" s="42" t="s">
        <v>1316</v>
      </c>
      <c r="Z190" s="2" t="s">
        <v>63</v>
      </c>
      <c r="AA190" s="47" t="s">
        <v>106</v>
      </c>
      <c r="AB190" s="16">
        <v>46265</v>
      </c>
      <c r="AC190" s="2" t="s">
        <v>107</v>
      </c>
      <c r="AD190" s="3" t="s">
        <v>1317</v>
      </c>
      <c r="AE190" s="1"/>
    </row>
    <row r="191" spans="1:31" ht="89.25">
      <c r="A191" s="15">
        <v>189</v>
      </c>
      <c r="B191" s="44" t="s">
        <v>1318</v>
      </c>
      <c r="C191" s="2" t="s">
        <v>1319</v>
      </c>
      <c r="D191" s="15">
        <v>6322094</v>
      </c>
      <c r="E191" s="16">
        <v>46248</v>
      </c>
      <c r="F191" s="18">
        <v>46235</v>
      </c>
      <c r="G191" s="47" t="s">
        <v>1320</v>
      </c>
      <c r="H191" s="16">
        <v>46251</v>
      </c>
      <c r="I191" s="39" t="s">
        <v>48</v>
      </c>
      <c r="J191" s="43" t="s">
        <v>1321</v>
      </c>
      <c r="K191" s="43" t="s">
        <v>1322</v>
      </c>
      <c r="L191" s="23">
        <v>14200</v>
      </c>
      <c r="M191" s="23">
        <v>14200</v>
      </c>
      <c r="N191" s="14"/>
      <c r="O191" s="14">
        <v>16700</v>
      </c>
      <c r="P191" s="31">
        <v>0.85029940119760483</v>
      </c>
      <c r="Q191" s="37">
        <v>7.1800000000000003E-2</v>
      </c>
      <c r="R191" s="41" t="s">
        <v>51</v>
      </c>
      <c r="S191" s="53">
        <v>645613</v>
      </c>
      <c r="T191" s="56" t="s">
        <v>39</v>
      </c>
      <c r="U191" s="51"/>
      <c r="V191" s="22">
        <v>46248</v>
      </c>
      <c r="W191" s="22">
        <v>46613</v>
      </c>
      <c r="X191" s="18">
        <v>46235</v>
      </c>
      <c r="Y191" s="40" t="s">
        <v>1323</v>
      </c>
      <c r="Z191" s="47" t="s">
        <v>63</v>
      </c>
      <c r="AA191" s="47" t="s">
        <v>188</v>
      </c>
      <c r="AB191" s="16">
        <v>46253</v>
      </c>
      <c r="AC191" s="2" t="s">
        <v>107</v>
      </c>
      <c r="AD191" s="3" t="s">
        <v>1324</v>
      </c>
      <c r="AE191" s="1"/>
    </row>
    <row r="192" spans="1:31" ht="140.25">
      <c r="A192" s="15">
        <v>190</v>
      </c>
      <c r="B192" s="44" t="s">
        <v>894</v>
      </c>
      <c r="C192" s="2" t="s">
        <v>1325</v>
      </c>
      <c r="D192" s="15">
        <v>6323071</v>
      </c>
      <c r="E192" s="16">
        <v>46251</v>
      </c>
      <c r="F192" s="18">
        <v>46235</v>
      </c>
      <c r="G192" s="47" t="s">
        <v>1326</v>
      </c>
      <c r="H192" s="16">
        <v>46252</v>
      </c>
      <c r="I192" s="39" t="s">
        <v>48</v>
      </c>
      <c r="J192" s="33" t="s">
        <v>1327</v>
      </c>
      <c r="K192" s="43" t="s">
        <v>1328</v>
      </c>
      <c r="L192" s="23">
        <v>791364.25</v>
      </c>
      <c r="M192" s="14"/>
      <c r="N192" s="14">
        <v>100911</v>
      </c>
      <c r="O192" s="14">
        <v>975774</v>
      </c>
      <c r="P192" s="31">
        <v>0.81101182240969738</v>
      </c>
      <c r="Q192" s="37">
        <v>0.81</v>
      </c>
      <c r="R192" s="41" t="s">
        <v>51</v>
      </c>
      <c r="S192" s="53">
        <v>645613</v>
      </c>
      <c r="T192" s="56" t="s">
        <v>39</v>
      </c>
      <c r="U192" s="51"/>
      <c r="V192" s="45" t="s">
        <v>1329</v>
      </c>
      <c r="W192" s="45">
        <v>46630</v>
      </c>
      <c r="X192" s="18">
        <v>46235</v>
      </c>
      <c r="Y192" s="42" t="s">
        <v>1296</v>
      </c>
      <c r="Z192" s="2" t="s">
        <v>41</v>
      </c>
      <c r="AA192" s="2" t="s">
        <v>133</v>
      </c>
      <c r="AB192" s="16">
        <v>46254</v>
      </c>
      <c r="AC192" s="2" t="s">
        <v>107</v>
      </c>
      <c r="AD192" s="3" t="s">
        <v>1298</v>
      </c>
      <c r="AE192" s="1"/>
    </row>
    <row r="193" spans="1:31" ht="216.75">
      <c r="A193" s="15">
        <v>191</v>
      </c>
      <c r="B193" s="44" t="s">
        <v>1330</v>
      </c>
      <c r="C193" s="2" t="s">
        <v>1325</v>
      </c>
      <c r="D193" s="15">
        <v>6323084</v>
      </c>
      <c r="E193" s="16">
        <v>46251</v>
      </c>
      <c r="F193" s="18">
        <v>46235</v>
      </c>
      <c r="G193" s="47" t="s">
        <v>1331</v>
      </c>
      <c r="H193" s="16">
        <v>46255</v>
      </c>
      <c r="I193" s="39" t="s">
        <v>1332</v>
      </c>
      <c r="J193" s="43" t="s">
        <v>1333</v>
      </c>
      <c r="K193" s="43" t="s">
        <v>1334</v>
      </c>
      <c r="L193" s="23">
        <v>1008550.44</v>
      </c>
      <c r="M193" s="14"/>
      <c r="N193" s="14">
        <v>128605.55</v>
      </c>
      <c r="O193" s="14">
        <v>1266468</v>
      </c>
      <c r="P193" s="31">
        <v>0.79634893262206385</v>
      </c>
      <c r="Q193" s="37">
        <v>0.8</v>
      </c>
      <c r="R193" s="41" t="s">
        <v>116</v>
      </c>
      <c r="S193" s="53">
        <v>645613</v>
      </c>
      <c r="T193" s="56" t="s">
        <v>39</v>
      </c>
      <c r="U193" s="51"/>
      <c r="V193" s="22">
        <v>46264</v>
      </c>
      <c r="W193" s="22">
        <v>46630</v>
      </c>
      <c r="X193" s="67"/>
      <c r="Y193" s="42" t="s">
        <v>1335</v>
      </c>
      <c r="Z193" s="2" t="s">
        <v>86</v>
      </c>
      <c r="AA193" s="2" t="s">
        <v>133</v>
      </c>
      <c r="AB193" s="28"/>
      <c r="AC193" s="2" t="s">
        <v>436</v>
      </c>
      <c r="AD193" s="3" t="s">
        <v>1298</v>
      </c>
      <c r="AE193" s="1"/>
    </row>
    <row r="194" spans="1:31" ht="178.5">
      <c r="A194" s="15">
        <v>192</v>
      </c>
      <c r="B194" s="44" t="s">
        <v>1336</v>
      </c>
      <c r="C194" s="2" t="s">
        <v>1337</v>
      </c>
      <c r="D194" s="15">
        <v>6323857</v>
      </c>
      <c r="E194" s="16">
        <v>46253</v>
      </c>
      <c r="F194" s="18">
        <v>46235</v>
      </c>
      <c r="G194" s="47" t="s">
        <v>1338</v>
      </c>
      <c r="H194" s="16">
        <v>46258</v>
      </c>
      <c r="I194" s="39" t="s">
        <v>1339</v>
      </c>
      <c r="J194" s="69" t="s">
        <v>1340</v>
      </c>
      <c r="K194" s="43"/>
      <c r="L194" s="23">
        <v>450000</v>
      </c>
      <c r="M194" s="23">
        <v>450000</v>
      </c>
      <c r="N194" s="14"/>
      <c r="O194" s="14">
        <v>499898</v>
      </c>
      <c r="P194" s="31">
        <v>0.90018363746204222</v>
      </c>
      <c r="Q194" s="37">
        <v>0</v>
      </c>
      <c r="R194" s="41" t="s">
        <v>51</v>
      </c>
      <c r="S194" s="53">
        <v>645613</v>
      </c>
      <c r="T194" s="56" t="s">
        <v>39</v>
      </c>
      <c r="U194" s="51"/>
      <c r="V194" s="22">
        <v>46273</v>
      </c>
      <c r="W194" s="22">
        <v>46637</v>
      </c>
      <c r="X194" s="18">
        <v>46235</v>
      </c>
      <c r="Y194" s="40" t="s">
        <v>1341</v>
      </c>
      <c r="Z194" s="47" t="s">
        <v>41</v>
      </c>
      <c r="AA194" s="47" t="s">
        <v>75</v>
      </c>
      <c r="AB194" s="16">
        <v>46261</v>
      </c>
      <c r="AC194" s="2" t="s">
        <v>107</v>
      </c>
      <c r="AD194" s="3" t="s">
        <v>1342</v>
      </c>
      <c r="AE194" s="1"/>
    </row>
    <row r="195" spans="1:31" ht="191.25">
      <c r="A195" s="15">
        <v>193</v>
      </c>
      <c r="B195" s="3" t="s">
        <v>624</v>
      </c>
      <c r="C195" s="2" t="s">
        <v>1343</v>
      </c>
      <c r="D195" s="15">
        <v>6324300</v>
      </c>
      <c r="E195" s="16">
        <v>46254</v>
      </c>
      <c r="F195" s="18">
        <v>46235</v>
      </c>
      <c r="G195" s="47" t="s">
        <v>1344</v>
      </c>
      <c r="H195" s="16">
        <v>46260</v>
      </c>
      <c r="I195" s="39" t="s">
        <v>1345</v>
      </c>
      <c r="J195" s="68" t="s">
        <v>1346</v>
      </c>
      <c r="K195" s="43"/>
      <c r="L195" s="23">
        <v>60115</v>
      </c>
      <c r="M195" s="23">
        <v>60115</v>
      </c>
      <c r="N195" s="14"/>
      <c r="O195" s="14">
        <v>63362</v>
      </c>
      <c r="P195" s="31">
        <v>0.94875477415485621</v>
      </c>
      <c r="Q195" s="37" t="s">
        <v>37</v>
      </c>
      <c r="R195" s="41" t="s">
        <v>51</v>
      </c>
      <c r="S195" s="53">
        <v>645613</v>
      </c>
      <c r="T195" s="56" t="s">
        <v>39</v>
      </c>
      <c r="U195" s="51"/>
      <c r="V195" s="45" t="s">
        <v>434</v>
      </c>
      <c r="W195" s="45" t="s">
        <v>434</v>
      </c>
      <c r="X195" s="18">
        <v>46235</v>
      </c>
      <c r="Y195" s="42" t="s">
        <v>1347</v>
      </c>
      <c r="Z195" s="2" t="s">
        <v>86</v>
      </c>
      <c r="AA195" s="2" t="s">
        <v>64</v>
      </c>
      <c r="AB195" s="16">
        <v>46265</v>
      </c>
      <c r="AC195" s="47" t="s">
        <v>107</v>
      </c>
      <c r="AD195" s="3" t="s">
        <v>1348</v>
      </c>
      <c r="AE195" s="21" t="s">
        <v>56</v>
      </c>
    </row>
    <row r="196" spans="1:31" ht="38.25">
      <c r="A196" s="15">
        <v>194</v>
      </c>
      <c r="B196" s="3" t="s">
        <v>226</v>
      </c>
      <c r="C196" s="2" t="s">
        <v>1041</v>
      </c>
      <c r="D196" s="15">
        <v>6324315</v>
      </c>
      <c r="E196" s="16">
        <v>46254</v>
      </c>
      <c r="F196" s="18">
        <v>46174</v>
      </c>
      <c r="G196" s="47" t="s">
        <v>1349</v>
      </c>
      <c r="H196" s="16">
        <v>46255</v>
      </c>
      <c r="I196" s="39" t="s">
        <v>288</v>
      </c>
      <c r="J196" s="43" t="s">
        <v>1350</v>
      </c>
      <c r="K196" s="43"/>
      <c r="L196" s="23">
        <v>9695.4</v>
      </c>
      <c r="M196" s="23">
        <v>9695.4</v>
      </c>
      <c r="N196" s="14"/>
      <c r="O196" s="14">
        <v>14130</v>
      </c>
      <c r="P196" s="31">
        <v>0.68615711252653921</v>
      </c>
      <c r="Q196" s="37" t="s">
        <v>37</v>
      </c>
      <c r="R196" s="41" t="s">
        <v>290</v>
      </c>
      <c r="S196" s="53">
        <v>645613</v>
      </c>
      <c r="T196" s="56" t="s">
        <v>39</v>
      </c>
      <c r="U196" s="51"/>
      <c r="V196" s="22"/>
      <c r="W196" s="45">
        <v>46996</v>
      </c>
      <c r="X196" s="18">
        <v>46235</v>
      </c>
      <c r="Y196" s="40" t="s">
        <v>1044</v>
      </c>
      <c r="Z196" s="47" t="s">
        <v>63</v>
      </c>
      <c r="AA196" s="47" t="s">
        <v>232</v>
      </c>
      <c r="AB196" s="16">
        <v>46265</v>
      </c>
      <c r="AC196" s="47" t="s">
        <v>107</v>
      </c>
      <c r="AD196" s="3" t="s">
        <v>1045</v>
      </c>
      <c r="AE196" s="1"/>
    </row>
    <row r="197" spans="1:31" ht="89.25">
      <c r="A197" s="15">
        <v>195</v>
      </c>
      <c r="B197" s="3" t="s">
        <v>149</v>
      </c>
      <c r="C197" s="2" t="s">
        <v>1351</v>
      </c>
      <c r="D197" s="15">
        <v>6325416</v>
      </c>
      <c r="E197" s="16">
        <v>46258</v>
      </c>
      <c r="F197" s="18">
        <v>46235</v>
      </c>
      <c r="G197" s="47" t="s">
        <v>1352</v>
      </c>
      <c r="H197" s="16">
        <v>46261</v>
      </c>
      <c r="I197" s="39" t="s">
        <v>48</v>
      </c>
      <c r="J197" s="69" t="s">
        <v>1353</v>
      </c>
      <c r="K197" s="43" t="s">
        <v>539</v>
      </c>
      <c r="L197" s="23">
        <v>65600</v>
      </c>
      <c r="M197" s="23">
        <v>65600</v>
      </c>
      <c r="N197" s="14"/>
      <c r="O197" s="14">
        <v>110273</v>
      </c>
      <c r="P197" s="31">
        <v>0.59488723440914826</v>
      </c>
      <c r="Q197" s="37">
        <v>0.59</v>
      </c>
      <c r="R197" s="41" t="s">
        <v>51</v>
      </c>
      <c r="S197" s="53">
        <v>645613</v>
      </c>
      <c r="T197" s="56" t="s">
        <v>39</v>
      </c>
      <c r="U197" s="51"/>
      <c r="V197" s="22">
        <v>46336</v>
      </c>
      <c r="W197" s="22">
        <v>46701</v>
      </c>
      <c r="X197" s="67"/>
      <c r="Y197" s="42" t="s">
        <v>1354</v>
      </c>
      <c r="Z197" s="2" t="s">
        <v>63</v>
      </c>
      <c r="AA197" s="47" t="s">
        <v>466</v>
      </c>
      <c r="AB197" s="28"/>
      <c r="AC197" s="2" t="s">
        <v>436</v>
      </c>
      <c r="AD197" s="3" t="s">
        <v>1355</v>
      </c>
      <c r="AE197" s="1"/>
    </row>
    <row r="198" spans="1:31" ht="114.75">
      <c r="A198" s="15">
        <v>196</v>
      </c>
      <c r="B198" s="44" t="s">
        <v>1356</v>
      </c>
      <c r="C198" s="2" t="s">
        <v>1357</v>
      </c>
      <c r="D198" s="15">
        <v>6325945</v>
      </c>
      <c r="E198" s="16">
        <v>46259</v>
      </c>
      <c r="F198" s="18">
        <v>46235</v>
      </c>
      <c r="G198" s="47" t="s">
        <v>1358</v>
      </c>
      <c r="H198" s="16">
        <v>46265</v>
      </c>
      <c r="I198" s="39" t="s">
        <v>35</v>
      </c>
      <c r="J198" s="68" t="s">
        <v>1359</v>
      </c>
      <c r="K198" s="43" t="s">
        <v>1360</v>
      </c>
      <c r="L198" s="23">
        <v>506412.51</v>
      </c>
      <c r="M198" s="23">
        <v>506412.51</v>
      </c>
      <c r="N198" s="14"/>
      <c r="O198" s="14">
        <v>707459.76</v>
      </c>
      <c r="P198" s="31">
        <v>0.71581811239695103</v>
      </c>
      <c r="Q198" s="37">
        <v>3.7199999999999997E-2</v>
      </c>
      <c r="R198" s="41" t="s">
        <v>38</v>
      </c>
      <c r="S198" s="53">
        <v>645613</v>
      </c>
      <c r="T198" s="56" t="s">
        <v>39</v>
      </c>
      <c r="U198" s="51"/>
      <c r="V198" s="45" t="s">
        <v>1361</v>
      </c>
      <c r="W198" s="22">
        <v>47385</v>
      </c>
      <c r="X198" s="18">
        <v>46266</v>
      </c>
      <c r="Y198" s="42" t="s">
        <v>1362</v>
      </c>
      <c r="Z198" s="2" t="s">
        <v>41</v>
      </c>
      <c r="AA198" s="2" t="s">
        <v>203</v>
      </c>
      <c r="AB198" s="16">
        <v>46276</v>
      </c>
      <c r="AC198" s="47" t="s">
        <v>107</v>
      </c>
      <c r="AD198" s="3" t="s">
        <v>1363</v>
      </c>
      <c r="AE198" s="1"/>
    </row>
    <row r="199" spans="1:31" ht="216.75">
      <c r="A199" s="15">
        <v>197</v>
      </c>
      <c r="B199" s="3" t="s">
        <v>1364</v>
      </c>
      <c r="C199" s="2" t="s">
        <v>1365</v>
      </c>
      <c r="D199" s="15">
        <v>6326225</v>
      </c>
      <c r="E199" s="16">
        <v>46260</v>
      </c>
      <c r="F199" s="18">
        <v>46235</v>
      </c>
      <c r="G199" s="47" t="s">
        <v>1366</v>
      </c>
      <c r="H199" s="16">
        <v>46262</v>
      </c>
      <c r="I199" s="25" t="s">
        <v>35</v>
      </c>
      <c r="J199" s="68" t="s">
        <v>1367</v>
      </c>
      <c r="K199" s="43" t="s">
        <v>1368</v>
      </c>
      <c r="L199" s="23">
        <v>320625</v>
      </c>
      <c r="M199" s="23">
        <v>320625</v>
      </c>
      <c r="N199" s="14"/>
      <c r="O199" s="14">
        <v>337500</v>
      </c>
      <c r="P199" s="31">
        <v>0.95</v>
      </c>
      <c r="Q199" s="37">
        <v>0.95</v>
      </c>
      <c r="R199" s="41" t="s">
        <v>38</v>
      </c>
      <c r="S199" s="53">
        <v>645613</v>
      </c>
      <c r="T199" s="56" t="s">
        <v>39</v>
      </c>
      <c r="U199" s="51"/>
      <c r="V199" s="22">
        <v>46257</v>
      </c>
      <c r="W199" s="22">
        <v>46621</v>
      </c>
      <c r="X199" s="18">
        <v>46235</v>
      </c>
      <c r="Y199" s="40" t="s">
        <v>1369</v>
      </c>
      <c r="Z199" s="47" t="s">
        <v>41</v>
      </c>
      <c r="AA199" s="47" t="s">
        <v>133</v>
      </c>
      <c r="AB199" s="16">
        <v>46265</v>
      </c>
      <c r="AC199" s="2" t="s">
        <v>107</v>
      </c>
      <c r="AD199" s="3" t="s">
        <v>1370</v>
      </c>
      <c r="AE199" s="1"/>
    </row>
    <row r="200" spans="1:31" ht="89.25">
      <c r="A200" s="15">
        <v>198</v>
      </c>
      <c r="B200" s="3" t="s">
        <v>1371</v>
      </c>
      <c r="C200" s="2" t="s">
        <v>1372</v>
      </c>
      <c r="D200" s="15">
        <v>6326436</v>
      </c>
      <c r="E200" s="16">
        <v>46261</v>
      </c>
      <c r="F200" s="18">
        <v>46235</v>
      </c>
      <c r="G200" s="47" t="s">
        <v>1373</v>
      </c>
      <c r="H200" s="16">
        <v>46262</v>
      </c>
      <c r="I200" s="39" t="s">
        <v>48</v>
      </c>
      <c r="J200" s="68" t="s">
        <v>1374</v>
      </c>
      <c r="K200" s="43" t="s">
        <v>1375</v>
      </c>
      <c r="L200" s="23">
        <v>16000</v>
      </c>
      <c r="M200" s="23">
        <v>16000</v>
      </c>
      <c r="N200" s="14"/>
      <c r="O200" s="14">
        <v>22400</v>
      </c>
      <c r="P200" s="31">
        <v>0.7142857142857143</v>
      </c>
      <c r="Q200" s="37">
        <v>8.9200000000000002E-2</v>
      </c>
      <c r="R200" s="41" t="s">
        <v>51</v>
      </c>
      <c r="S200" s="53">
        <v>645613</v>
      </c>
      <c r="T200" s="56" t="s">
        <v>39</v>
      </c>
      <c r="U200" s="51"/>
      <c r="V200" s="22">
        <v>46256</v>
      </c>
      <c r="W200" s="22">
        <v>46621</v>
      </c>
      <c r="X200" s="18">
        <v>46266</v>
      </c>
      <c r="Y200" s="42" t="s">
        <v>1376</v>
      </c>
      <c r="Z200" s="2" t="s">
        <v>41</v>
      </c>
      <c r="AA200" s="2" t="s">
        <v>54</v>
      </c>
      <c r="AB200" s="16">
        <v>46267</v>
      </c>
      <c r="AC200" s="2" t="s">
        <v>107</v>
      </c>
      <c r="AD200" s="3" t="s">
        <v>1377</v>
      </c>
      <c r="AE200" s="1"/>
    </row>
    <row r="201" spans="1:31" ht="127.5">
      <c r="A201" s="15">
        <v>199</v>
      </c>
      <c r="B201" s="44" t="s">
        <v>1378</v>
      </c>
      <c r="C201" s="2" t="s">
        <v>1379</v>
      </c>
      <c r="D201" s="15">
        <v>6327029</v>
      </c>
      <c r="E201" s="16">
        <v>46262</v>
      </c>
      <c r="F201" s="18">
        <v>46235</v>
      </c>
      <c r="G201" s="47" t="s">
        <v>1380</v>
      </c>
      <c r="H201" s="16">
        <v>46265</v>
      </c>
      <c r="I201" s="39" t="s">
        <v>48</v>
      </c>
      <c r="J201" s="69" t="s">
        <v>1381</v>
      </c>
      <c r="K201" s="43" t="s">
        <v>1382</v>
      </c>
      <c r="L201" s="23">
        <v>43503</v>
      </c>
      <c r="M201" s="23">
        <v>43503</v>
      </c>
      <c r="N201" s="14"/>
      <c r="O201" s="14">
        <v>46459</v>
      </c>
      <c r="P201" s="31">
        <v>0.93637400718913455</v>
      </c>
      <c r="Q201" s="37">
        <v>4.7300000000000002E-2</v>
      </c>
      <c r="R201" s="41" t="s">
        <v>51</v>
      </c>
      <c r="S201" s="53">
        <v>645613</v>
      </c>
      <c r="T201" s="56" t="s">
        <v>39</v>
      </c>
      <c r="U201" s="51"/>
      <c r="V201" s="22">
        <v>46259</v>
      </c>
      <c r="W201" s="22">
        <v>46624</v>
      </c>
      <c r="X201" s="18">
        <v>46266</v>
      </c>
      <c r="Y201" s="40" t="s">
        <v>1383</v>
      </c>
      <c r="Z201" s="47" t="s">
        <v>63</v>
      </c>
      <c r="AA201" s="47" t="s">
        <v>188</v>
      </c>
      <c r="AB201" s="16">
        <v>46269</v>
      </c>
      <c r="AC201" s="2" t="s">
        <v>107</v>
      </c>
      <c r="AD201" s="3" t="s">
        <v>1384</v>
      </c>
      <c r="AE201" s="1"/>
    </row>
    <row r="202" spans="1:31" ht="63.75">
      <c r="A202" s="15">
        <v>200</v>
      </c>
      <c r="B202" s="44" t="s">
        <v>915</v>
      </c>
      <c r="C202" s="2" t="s">
        <v>1385</v>
      </c>
      <c r="D202" s="15">
        <v>6327037</v>
      </c>
      <c r="E202" s="16">
        <v>46262</v>
      </c>
      <c r="F202" s="18">
        <v>46235</v>
      </c>
      <c r="G202" s="47" t="s">
        <v>1386</v>
      </c>
      <c r="H202" s="16">
        <v>46265</v>
      </c>
      <c r="I202" s="39" t="s">
        <v>48</v>
      </c>
      <c r="J202" s="68" t="s">
        <v>1387</v>
      </c>
      <c r="K202" s="43" t="s">
        <v>1388</v>
      </c>
      <c r="L202" s="23">
        <v>12746</v>
      </c>
      <c r="M202" s="23">
        <v>12746</v>
      </c>
      <c r="N202" s="14"/>
      <c r="O202" s="14">
        <v>14670</v>
      </c>
      <c r="P202" s="31">
        <v>0.8688479890933879</v>
      </c>
      <c r="Q202" s="37" t="s">
        <v>37</v>
      </c>
      <c r="R202" s="41" t="s">
        <v>51</v>
      </c>
      <c r="S202" s="53">
        <v>645613</v>
      </c>
      <c r="T202" s="56" t="s">
        <v>39</v>
      </c>
      <c r="U202" s="51"/>
      <c r="V202" s="22">
        <v>46226</v>
      </c>
      <c r="W202" s="22">
        <v>46591</v>
      </c>
      <c r="X202" s="18">
        <v>46266</v>
      </c>
      <c r="Y202" s="42" t="s">
        <v>1389</v>
      </c>
      <c r="Z202" s="2" t="s">
        <v>63</v>
      </c>
      <c r="AA202" s="2" t="s">
        <v>203</v>
      </c>
      <c r="AB202" s="16">
        <v>46267</v>
      </c>
      <c r="AC202" s="2" t="s">
        <v>107</v>
      </c>
      <c r="AD202" s="3" t="s">
        <v>1390</v>
      </c>
      <c r="AE202" s="1"/>
    </row>
    <row r="203" spans="1:31" ht="102">
      <c r="A203" s="15">
        <v>201</v>
      </c>
      <c r="B203" s="44" t="s">
        <v>1391</v>
      </c>
      <c r="C203" s="2" t="s">
        <v>1392</v>
      </c>
      <c r="D203" s="15">
        <v>6327052</v>
      </c>
      <c r="E203" s="16">
        <v>46262</v>
      </c>
      <c r="F203" s="18">
        <v>46235</v>
      </c>
      <c r="G203" s="47" t="s">
        <v>1393</v>
      </c>
      <c r="H203" s="16">
        <v>46265</v>
      </c>
      <c r="I203" s="39" t="s">
        <v>35</v>
      </c>
      <c r="J203" s="70" t="s">
        <v>1394</v>
      </c>
      <c r="K203" s="43" t="s">
        <v>1395</v>
      </c>
      <c r="L203" s="23">
        <v>16213.3</v>
      </c>
      <c r="M203" s="23">
        <v>16213.3</v>
      </c>
      <c r="N203" s="14"/>
      <c r="O203" s="14">
        <v>25080</v>
      </c>
      <c r="P203" s="31">
        <v>0.64646331738437002</v>
      </c>
      <c r="Q203" s="37">
        <v>4.6800000000000001E-2</v>
      </c>
      <c r="R203" s="41" t="s">
        <v>38</v>
      </c>
      <c r="S203" s="53">
        <v>645613</v>
      </c>
      <c r="T203" s="56" t="s">
        <v>39</v>
      </c>
      <c r="U203" s="51"/>
      <c r="V203" s="22">
        <v>46627</v>
      </c>
      <c r="W203" s="22">
        <v>46992</v>
      </c>
      <c r="X203" s="18">
        <v>46266</v>
      </c>
      <c r="Y203" s="42" t="s">
        <v>1396</v>
      </c>
      <c r="Z203" s="2" t="s">
        <v>63</v>
      </c>
      <c r="AA203" s="2" t="s">
        <v>142</v>
      </c>
      <c r="AB203" s="16">
        <v>46276</v>
      </c>
      <c r="AC203" s="2" t="s">
        <v>107</v>
      </c>
      <c r="AD203" s="3" t="s">
        <v>1397</v>
      </c>
      <c r="AE203" s="1"/>
    </row>
    <row r="204" spans="1:31" ht="25.5">
      <c r="A204" s="15">
        <v>202</v>
      </c>
      <c r="B204" s="3" t="s">
        <v>258</v>
      </c>
      <c r="C204" s="2" t="s">
        <v>1398</v>
      </c>
      <c r="D204" s="15">
        <v>6327776</v>
      </c>
      <c r="E204" s="16">
        <v>46266</v>
      </c>
      <c r="F204" s="18">
        <v>46266</v>
      </c>
      <c r="G204" s="47" t="s">
        <v>1399</v>
      </c>
      <c r="H204" s="16">
        <v>46267</v>
      </c>
      <c r="I204" s="39" t="s">
        <v>409</v>
      </c>
      <c r="J204" s="43" t="s">
        <v>1400</v>
      </c>
      <c r="K204" s="43"/>
      <c r="L204" s="23">
        <v>138000</v>
      </c>
      <c r="M204" s="23">
        <v>138000</v>
      </c>
      <c r="N204" s="14"/>
      <c r="O204" s="14">
        <v>165816</v>
      </c>
      <c r="P204" s="31">
        <v>0.83224779273411498</v>
      </c>
      <c r="Q204" s="37" t="s">
        <v>37</v>
      </c>
      <c r="R204" s="41" t="s">
        <v>140</v>
      </c>
      <c r="S204" s="53">
        <v>645613</v>
      </c>
      <c r="T204" s="56" t="s">
        <v>39</v>
      </c>
      <c r="U204" s="51"/>
      <c r="V204" s="22">
        <v>46274</v>
      </c>
      <c r="W204" s="22">
        <v>46638</v>
      </c>
      <c r="X204" s="67"/>
      <c r="Y204" s="40" t="s">
        <v>1401</v>
      </c>
      <c r="Z204" s="2" t="s">
        <v>63</v>
      </c>
      <c r="AA204" s="2" t="s">
        <v>133</v>
      </c>
      <c r="AB204" s="28"/>
      <c r="AC204" s="2" t="s">
        <v>436</v>
      </c>
      <c r="AD204" s="3" t="s">
        <v>1402</v>
      </c>
      <c r="AE204" s="1"/>
    </row>
    <row r="205" spans="1:31" ht="114.75">
      <c r="A205" s="15">
        <v>203</v>
      </c>
      <c r="B205" s="44" t="s">
        <v>1211</v>
      </c>
      <c r="C205" s="2" t="s">
        <v>1403</v>
      </c>
      <c r="D205" s="15">
        <v>6328024</v>
      </c>
      <c r="E205" s="16">
        <v>46266</v>
      </c>
      <c r="F205" s="18">
        <v>46266</v>
      </c>
      <c r="G205" s="47" t="s">
        <v>1404</v>
      </c>
      <c r="H205" s="16">
        <v>46268</v>
      </c>
      <c r="I205" s="39" t="s">
        <v>48</v>
      </c>
      <c r="J205" s="40" t="s">
        <v>1405</v>
      </c>
      <c r="K205" s="43" t="s">
        <v>1215</v>
      </c>
      <c r="L205" s="23">
        <v>58684</v>
      </c>
      <c r="M205" s="23">
        <v>58684</v>
      </c>
      <c r="N205" s="14"/>
      <c r="O205" s="14">
        <v>72659</v>
      </c>
      <c r="P205" s="31">
        <v>0.80766319382320151</v>
      </c>
      <c r="Q205" s="37">
        <v>0</v>
      </c>
      <c r="R205" s="41" t="s">
        <v>51</v>
      </c>
      <c r="S205" s="53">
        <v>645613</v>
      </c>
      <c r="T205" s="56" t="s">
        <v>39</v>
      </c>
      <c r="U205" s="51"/>
      <c r="V205" s="22">
        <v>46264</v>
      </c>
      <c r="W205" s="22">
        <v>46629</v>
      </c>
      <c r="X205" s="18">
        <v>46266</v>
      </c>
      <c r="Y205" s="40" t="s">
        <v>1406</v>
      </c>
      <c r="Z205" s="47" t="s">
        <v>63</v>
      </c>
      <c r="AA205" s="47" t="s">
        <v>64</v>
      </c>
      <c r="AB205" s="16">
        <v>46272</v>
      </c>
      <c r="AC205" s="2" t="s">
        <v>107</v>
      </c>
      <c r="AD205" s="3" t="s">
        <v>1407</v>
      </c>
      <c r="AE205" s="21" t="s">
        <v>56</v>
      </c>
    </row>
    <row r="206" spans="1:31" ht="178.5">
      <c r="A206" s="15">
        <v>204</v>
      </c>
      <c r="B206" s="44" t="s">
        <v>1408</v>
      </c>
      <c r="C206" s="2" t="s">
        <v>1409</v>
      </c>
      <c r="D206" s="15">
        <v>6328342</v>
      </c>
      <c r="E206" s="16">
        <v>46267</v>
      </c>
      <c r="F206" s="18">
        <v>46266</v>
      </c>
      <c r="G206" s="47" t="s">
        <v>1410</v>
      </c>
      <c r="H206" s="16">
        <v>46268</v>
      </c>
      <c r="I206" s="39" t="s">
        <v>584</v>
      </c>
      <c r="J206" s="19" t="s">
        <v>1411</v>
      </c>
      <c r="K206" s="43" t="s">
        <v>635</v>
      </c>
      <c r="L206" s="23">
        <v>15815</v>
      </c>
      <c r="M206" s="23">
        <v>15815</v>
      </c>
      <c r="N206" s="14"/>
      <c r="O206" s="14">
        <v>17575</v>
      </c>
      <c r="P206" s="31">
        <v>0.89985775248933142</v>
      </c>
      <c r="Q206" s="37">
        <v>0.17</v>
      </c>
      <c r="R206" s="41" t="s">
        <v>587</v>
      </c>
      <c r="S206" s="53">
        <v>645613</v>
      </c>
      <c r="T206" s="56" t="s">
        <v>39</v>
      </c>
      <c r="U206" s="51"/>
      <c r="V206" s="22">
        <v>46264</v>
      </c>
      <c r="W206" s="22">
        <v>46628</v>
      </c>
      <c r="X206" s="18">
        <v>46266</v>
      </c>
      <c r="Y206" s="42" t="s">
        <v>1412</v>
      </c>
      <c r="Z206" s="2" t="s">
        <v>63</v>
      </c>
      <c r="AA206" s="2" t="s">
        <v>188</v>
      </c>
      <c r="AB206" s="16">
        <v>46273</v>
      </c>
      <c r="AC206" s="2" t="s">
        <v>107</v>
      </c>
      <c r="AD206" s="3" t="s">
        <v>1413</v>
      </c>
      <c r="AE206" s="1"/>
    </row>
    <row r="207" spans="1:31" ht="216.75">
      <c r="A207" s="15">
        <v>205</v>
      </c>
      <c r="B207" s="3" t="s">
        <v>1414</v>
      </c>
      <c r="C207" s="3" t="s">
        <v>1415</v>
      </c>
      <c r="D207" s="15">
        <v>6328803</v>
      </c>
      <c r="E207" s="16">
        <v>46268</v>
      </c>
      <c r="F207" s="18">
        <v>46266</v>
      </c>
      <c r="G207" s="47" t="s">
        <v>1416</v>
      </c>
      <c r="H207" s="16">
        <v>46273</v>
      </c>
      <c r="I207" s="39" t="s">
        <v>48</v>
      </c>
      <c r="J207" s="40" t="s">
        <v>1417</v>
      </c>
      <c r="K207" s="43" t="s">
        <v>1418</v>
      </c>
      <c r="L207" s="23">
        <v>72202</v>
      </c>
      <c r="M207" s="23">
        <v>72202</v>
      </c>
      <c r="N207" s="14"/>
      <c r="O207" s="14">
        <v>78493</v>
      </c>
      <c r="P207" s="31">
        <v>0.91985272572076493</v>
      </c>
      <c r="Q207" s="37">
        <v>0</v>
      </c>
      <c r="R207" s="41" t="s">
        <v>51</v>
      </c>
      <c r="S207" s="53">
        <v>645613</v>
      </c>
      <c r="T207" s="56" t="s">
        <v>39</v>
      </c>
      <c r="U207" s="51"/>
      <c r="V207" s="45" t="s">
        <v>1419</v>
      </c>
      <c r="W207" s="22">
        <v>46630</v>
      </c>
      <c r="X207" s="18">
        <v>46266</v>
      </c>
      <c r="Y207" s="42" t="s">
        <v>1420</v>
      </c>
      <c r="Z207" s="2" t="s">
        <v>86</v>
      </c>
      <c r="AA207" s="2" t="s">
        <v>278</v>
      </c>
      <c r="AB207" s="16">
        <v>46275</v>
      </c>
      <c r="AC207" s="2" t="s">
        <v>107</v>
      </c>
      <c r="AD207" s="3" t="s">
        <v>1421</v>
      </c>
      <c r="AE207" s="21" t="s">
        <v>56</v>
      </c>
    </row>
    <row r="208" spans="1:31" ht="204">
      <c r="A208" s="15">
        <v>206</v>
      </c>
      <c r="B208" s="44" t="s">
        <v>78</v>
      </c>
      <c r="C208" s="2" t="s">
        <v>1422</v>
      </c>
      <c r="D208" s="15">
        <v>6328815</v>
      </c>
      <c r="E208" s="16">
        <v>46268</v>
      </c>
      <c r="F208" s="18">
        <v>46266</v>
      </c>
      <c r="G208" s="47" t="s">
        <v>1423</v>
      </c>
      <c r="H208" s="16">
        <v>46269</v>
      </c>
      <c r="I208" s="39" t="s">
        <v>35</v>
      </c>
      <c r="J208" s="40" t="s">
        <v>1424</v>
      </c>
      <c r="K208" s="43" t="s">
        <v>1425</v>
      </c>
      <c r="L208" s="23">
        <v>581315.63</v>
      </c>
      <c r="M208" s="23">
        <v>581315.63</v>
      </c>
      <c r="N208" s="14"/>
      <c r="O208" s="14">
        <v>778110</v>
      </c>
      <c r="P208" s="31">
        <v>0.74708669725360166</v>
      </c>
      <c r="Q208" s="37">
        <v>0.16</v>
      </c>
      <c r="R208" s="41" t="s">
        <v>38</v>
      </c>
      <c r="S208" s="53">
        <v>645613</v>
      </c>
      <c r="T208" s="56" t="s">
        <v>39</v>
      </c>
      <c r="U208" s="51"/>
      <c r="V208" s="22">
        <v>46269</v>
      </c>
      <c r="W208" s="22">
        <v>47483</v>
      </c>
      <c r="X208" s="67"/>
      <c r="Y208" s="42" t="s">
        <v>1426</v>
      </c>
      <c r="Z208" s="2" t="s">
        <v>41</v>
      </c>
      <c r="AA208" s="2" t="s">
        <v>87</v>
      </c>
      <c r="AB208" s="28"/>
      <c r="AC208" s="2" t="s">
        <v>436</v>
      </c>
      <c r="AD208" s="3" t="s">
        <v>1427</v>
      </c>
      <c r="AE208" s="1"/>
    </row>
    <row r="209" spans="1:30" ht="114.75">
      <c r="A209" s="15">
        <v>207</v>
      </c>
      <c r="B209" s="3" t="s">
        <v>1428</v>
      </c>
      <c r="C209" s="2" t="s">
        <v>1429</v>
      </c>
      <c r="D209" s="15">
        <v>6329590</v>
      </c>
      <c r="E209" s="16">
        <v>46272</v>
      </c>
      <c r="F209" s="18">
        <v>46266</v>
      </c>
      <c r="G209" s="29"/>
      <c r="H209" s="28"/>
      <c r="I209" s="25" t="s">
        <v>362</v>
      </c>
      <c r="J209" s="40" t="s">
        <v>1430</v>
      </c>
      <c r="K209" s="43"/>
      <c r="L209" s="23">
        <v>26504.400000000001</v>
      </c>
      <c r="M209" s="30"/>
      <c r="N209" s="30"/>
      <c r="O209" s="14">
        <v>40000</v>
      </c>
      <c r="P209" s="31">
        <v>0.66261000000000003</v>
      </c>
      <c r="Q209" s="37" t="s">
        <v>37</v>
      </c>
      <c r="R209" s="41" t="s">
        <v>51</v>
      </c>
      <c r="S209" s="53">
        <v>645613</v>
      </c>
      <c r="T209" s="56" t="s">
        <v>39</v>
      </c>
      <c r="U209" s="51"/>
      <c r="V209" s="22">
        <v>46296</v>
      </c>
      <c r="W209" s="22">
        <v>47391</v>
      </c>
      <c r="X209" s="67"/>
      <c r="Y209" s="42" t="s">
        <v>1431</v>
      </c>
      <c r="Z209" s="2" t="s">
        <v>63</v>
      </c>
      <c r="AA209" s="2" t="s">
        <v>87</v>
      </c>
      <c r="AB209" s="28"/>
      <c r="AC209" s="2" t="s">
        <v>1432</v>
      </c>
      <c r="AD209" s="3" t="s">
        <v>1433</v>
      </c>
    </row>
    <row r="210" spans="1:30" ht="63.75">
      <c r="A210" s="15">
        <v>208</v>
      </c>
      <c r="B210" s="3" t="s">
        <v>1434</v>
      </c>
      <c r="C210" s="2" t="s">
        <v>1435</v>
      </c>
      <c r="D210" s="15">
        <v>6329769</v>
      </c>
      <c r="E210" s="16">
        <v>46272</v>
      </c>
      <c r="F210" s="18">
        <v>46266</v>
      </c>
      <c r="G210" s="47" t="s">
        <v>1436</v>
      </c>
      <c r="H210" s="16">
        <v>46273</v>
      </c>
      <c r="I210" s="39" t="s">
        <v>48</v>
      </c>
      <c r="J210" s="40" t="s">
        <v>1437</v>
      </c>
      <c r="K210" s="46" t="s">
        <v>842</v>
      </c>
      <c r="L210" s="23">
        <v>15775</v>
      </c>
      <c r="M210" s="23">
        <v>15775</v>
      </c>
      <c r="N210" s="14"/>
      <c r="O210" s="14">
        <v>30021</v>
      </c>
      <c r="P210" s="31">
        <v>0.52546550747809861</v>
      </c>
      <c r="Q210" s="37">
        <v>0</v>
      </c>
      <c r="R210" s="41" t="s">
        <v>329</v>
      </c>
      <c r="S210" s="53">
        <v>645613</v>
      </c>
      <c r="T210" s="56" t="s">
        <v>39</v>
      </c>
      <c r="U210" s="51"/>
      <c r="V210" s="22">
        <v>46355</v>
      </c>
      <c r="W210" s="22">
        <v>46720</v>
      </c>
      <c r="X210" s="67"/>
      <c r="Y210" s="42" t="s">
        <v>1438</v>
      </c>
      <c r="Z210" s="2" t="s">
        <v>63</v>
      </c>
      <c r="AA210" s="2" t="s">
        <v>133</v>
      </c>
      <c r="AB210" s="28"/>
      <c r="AC210" s="2" t="s">
        <v>436</v>
      </c>
      <c r="AD210" s="3" t="s">
        <v>1439</v>
      </c>
    </row>
    <row r="211" spans="1:30" ht="89.25">
      <c r="A211" s="15">
        <v>209</v>
      </c>
      <c r="B211" s="3" t="s">
        <v>293</v>
      </c>
      <c r="C211" s="3" t="s">
        <v>1440</v>
      </c>
      <c r="D211" s="15">
        <v>6329833</v>
      </c>
      <c r="E211" s="16">
        <v>46272</v>
      </c>
      <c r="F211" s="18">
        <v>46266</v>
      </c>
      <c r="G211" s="47" t="s">
        <v>1441</v>
      </c>
      <c r="H211" s="16">
        <v>46273</v>
      </c>
      <c r="I211" s="39" t="s">
        <v>101</v>
      </c>
      <c r="J211" s="40" t="s">
        <v>1442</v>
      </c>
      <c r="K211" s="43" t="s">
        <v>1443</v>
      </c>
      <c r="L211" s="23">
        <v>840480.94</v>
      </c>
      <c r="M211" s="14"/>
      <c r="N211" s="14">
        <v>107228.82</v>
      </c>
      <c r="O211" s="14">
        <v>988872</v>
      </c>
      <c r="P211" s="31">
        <v>0.8499390618806073</v>
      </c>
      <c r="Q211" s="37">
        <v>0</v>
      </c>
      <c r="R211" s="41" t="s">
        <v>104</v>
      </c>
      <c r="S211" s="53">
        <v>645613</v>
      </c>
      <c r="T211" s="56" t="s">
        <v>39</v>
      </c>
      <c r="U211" s="51"/>
      <c r="V211" s="22">
        <v>46311</v>
      </c>
      <c r="W211" s="22">
        <v>46675</v>
      </c>
      <c r="X211" s="67"/>
      <c r="Y211" s="40" t="s">
        <v>1444</v>
      </c>
      <c r="Z211" s="2" t="s">
        <v>41</v>
      </c>
      <c r="AA211" s="2" t="s">
        <v>106</v>
      </c>
      <c r="AB211" s="28"/>
      <c r="AC211" s="2" t="s">
        <v>436</v>
      </c>
      <c r="AD211" s="3" t="s">
        <v>1445</v>
      </c>
    </row>
    <row r="212" spans="1:30" ht="63.75">
      <c r="A212" s="15">
        <v>210</v>
      </c>
      <c r="B212" s="3" t="s">
        <v>293</v>
      </c>
      <c r="C212" s="3" t="s">
        <v>1440</v>
      </c>
      <c r="D212" s="15">
        <v>6329848</v>
      </c>
      <c r="E212" s="16">
        <v>46272</v>
      </c>
      <c r="F212" s="18">
        <v>46266</v>
      </c>
      <c r="G212" s="47" t="s">
        <v>1446</v>
      </c>
      <c r="H212" s="16">
        <v>46273</v>
      </c>
      <c r="I212" s="39" t="s">
        <v>101</v>
      </c>
      <c r="J212" s="46" t="s">
        <v>1447</v>
      </c>
      <c r="K212" s="43" t="s">
        <v>1448</v>
      </c>
      <c r="L212" s="23">
        <v>24800</v>
      </c>
      <c r="M212" s="23">
        <v>24800</v>
      </c>
      <c r="N212" s="14"/>
      <c r="O212" s="14"/>
      <c r="P212" s="31" t="s">
        <v>1449</v>
      </c>
      <c r="Q212" s="37">
        <v>2.5000000000000001E-2</v>
      </c>
      <c r="R212" s="41" t="s">
        <v>342</v>
      </c>
      <c r="S212" s="53">
        <v>645613</v>
      </c>
      <c r="T212" s="56" t="s">
        <v>39</v>
      </c>
      <c r="U212" s="51"/>
      <c r="V212" s="22">
        <v>46342</v>
      </c>
      <c r="W212" s="22">
        <v>46706</v>
      </c>
      <c r="X212" s="67"/>
      <c r="Y212" s="40" t="s">
        <v>1444</v>
      </c>
      <c r="Z212" s="2" t="s">
        <v>63</v>
      </c>
      <c r="AA212" s="2" t="s">
        <v>106</v>
      </c>
      <c r="AB212" s="28"/>
      <c r="AC212" s="2" t="s">
        <v>436</v>
      </c>
      <c r="AD212" s="3" t="s">
        <v>1445</v>
      </c>
    </row>
    <row r="213" spans="1:30" ht="178.5">
      <c r="A213" s="15">
        <v>211</v>
      </c>
      <c r="B213" s="3" t="s">
        <v>1450</v>
      </c>
      <c r="C213" s="2" t="s">
        <v>1451</v>
      </c>
      <c r="D213" s="15">
        <v>6330110</v>
      </c>
      <c r="E213" s="16">
        <v>46273</v>
      </c>
      <c r="F213" s="18">
        <v>46266</v>
      </c>
      <c r="G213" s="47" t="s">
        <v>1452</v>
      </c>
      <c r="H213" s="16">
        <v>46276</v>
      </c>
      <c r="I213" s="39" t="s">
        <v>48</v>
      </c>
      <c r="J213" s="36" t="s">
        <v>1453</v>
      </c>
      <c r="K213" s="43" t="s">
        <v>1454</v>
      </c>
      <c r="L213" s="23">
        <v>6139.65</v>
      </c>
      <c r="M213" s="23">
        <v>6139.65</v>
      </c>
      <c r="N213" s="14"/>
      <c r="O213" s="14">
        <v>7950</v>
      </c>
      <c r="P213" s="31">
        <v>0.7722830188679245</v>
      </c>
      <c r="Q213" s="37">
        <v>0.22639999999999999</v>
      </c>
      <c r="R213" s="41" t="s">
        <v>140</v>
      </c>
      <c r="S213" s="53">
        <v>645613</v>
      </c>
      <c r="T213" s="56" t="s">
        <v>39</v>
      </c>
      <c r="U213" s="51"/>
      <c r="V213" s="22">
        <v>46279</v>
      </c>
      <c r="W213" s="22">
        <v>46644</v>
      </c>
      <c r="X213" s="67"/>
      <c r="Y213" s="40" t="s">
        <v>1455</v>
      </c>
      <c r="Z213" s="2" t="s">
        <v>63</v>
      </c>
      <c r="AA213" s="2" t="s">
        <v>142</v>
      </c>
      <c r="AB213" s="28"/>
      <c r="AC213" s="2" t="s">
        <v>436</v>
      </c>
      <c r="AD213" s="3" t="s">
        <v>1456</v>
      </c>
    </row>
    <row r="214" spans="1:30" ht="102">
      <c r="A214" s="15">
        <v>212</v>
      </c>
      <c r="B214" s="44" t="s">
        <v>1457</v>
      </c>
      <c r="C214" s="2" t="s">
        <v>1458</v>
      </c>
      <c r="D214" s="15">
        <v>6330508</v>
      </c>
      <c r="E214" s="16">
        <v>46274</v>
      </c>
      <c r="F214" s="18">
        <v>46266</v>
      </c>
      <c r="G214" s="47" t="s">
        <v>1459</v>
      </c>
      <c r="H214" s="16">
        <v>46279</v>
      </c>
      <c r="I214" s="39" t="s">
        <v>678</v>
      </c>
      <c r="J214" s="46" t="s">
        <v>1460</v>
      </c>
      <c r="K214" s="43"/>
      <c r="L214" s="23">
        <v>35298.85</v>
      </c>
      <c r="M214" s="23">
        <v>35298.85</v>
      </c>
      <c r="N214" s="14"/>
      <c r="O214" s="14">
        <v>41000</v>
      </c>
      <c r="P214" s="31">
        <v>0.86094756097560976</v>
      </c>
      <c r="Q214" s="37" t="s">
        <v>37</v>
      </c>
      <c r="R214" s="41" t="s">
        <v>38</v>
      </c>
      <c r="S214" s="53">
        <v>645613</v>
      </c>
      <c r="T214" s="56" t="s">
        <v>39</v>
      </c>
      <c r="U214" s="51"/>
      <c r="V214" s="22">
        <v>46285</v>
      </c>
      <c r="W214" s="22">
        <v>46649</v>
      </c>
      <c r="X214" s="67"/>
      <c r="Y214" s="42" t="s">
        <v>1461</v>
      </c>
      <c r="Z214" s="2" t="s">
        <v>63</v>
      </c>
      <c r="AA214" s="2" t="s">
        <v>142</v>
      </c>
      <c r="AB214" s="28"/>
      <c r="AC214" s="2" t="s">
        <v>436</v>
      </c>
      <c r="AD214" s="3" t="s">
        <v>1462</v>
      </c>
    </row>
    <row r="215" spans="1:30" ht="63.75">
      <c r="A215" s="15">
        <v>213</v>
      </c>
      <c r="B215" s="44" t="s">
        <v>817</v>
      </c>
      <c r="C215" s="2" t="s">
        <v>1463</v>
      </c>
      <c r="D215" s="15">
        <v>6332342</v>
      </c>
      <c r="E215" s="16">
        <v>46279</v>
      </c>
      <c r="F215" s="18">
        <v>46266</v>
      </c>
      <c r="G215" s="29"/>
      <c r="H215" s="28"/>
      <c r="I215" s="39" t="s">
        <v>35</v>
      </c>
      <c r="J215" s="46" t="s">
        <v>1464</v>
      </c>
      <c r="K215" s="43"/>
      <c r="L215" s="23">
        <v>105787</v>
      </c>
      <c r="M215" s="30"/>
      <c r="N215" s="30"/>
      <c r="O215" s="14">
        <v>119309</v>
      </c>
      <c r="P215" s="31">
        <v>0.88666404043282565</v>
      </c>
      <c r="Q215" s="37" t="s">
        <v>37</v>
      </c>
      <c r="R215" s="41" t="s">
        <v>342</v>
      </c>
      <c r="S215" s="53">
        <v>645613</v>
      </c>
      <c r="T215" s="56" t="s">
        <v>39</v>
      </c>
      <c r="U215" s="51"/>
      <c r="V215" s="22">
        <v>46278</v>
      </c>
      <c r="W215" s="22">
        <v>46642</v>
      </c>
      <c r="X215" s="67"/>
      <c r="Y215" s="42" t="s">
        <v>1465</v>
      </c>
      <c r="Z215" s="2" t="s">
        <v>63</v>
      </c>
      <c r="AA215" s="2" t="s">
        <v>75</v>
      </c>
      <c r="AB215" s="28"/>
      <c r="AC215" s="2" t="s">
        <v>1432</v>
      </c>
      <c r="AD215" s="3" t="s">
        <v>1466</v>
      </c>
    </row>
    <row r="216" spans="1:30" ht="63.75">
      <c r="A216" s="15">
        <v>214</v>
      </c>
      <c r="B216" s="44" t="s">
        <v>817</v>
      </c>
      <c r="C216" s="2" t="s">
        <v>1463</v>
      </c>
      <c r="D216" s="15">
        <v>6332355</v>
      </c>
      <c r="E216" s="16">
        <v>46279</v>
      </c>
      <c r="F216" s="18">
        <v>46266</v>
      </c>
      <c r="G216" s="29"/>
      <c r="H216" s="28"/>
      <c r="I216" s="39" t="s">
        <v>526</v>
      </c>
      <c r="J216" s="46" t="s">
        <v>1467</v>
      </c>
      <c r="K216" s="43"/>
      <c r="L216" s="23">
        <v>146396</v>
      </c>
      <c r="M216" s="30"/>
      <c r="N216" s="30"/>
      <c r="O216" s="14">
        <v>178530</v>
      </c>
      <c r="P216" s="31">
        <v>0.82000784181930209</v>
      </c>
      <c r="Q216" s="37" t="s">
        <v>37</v>
      </c>
      <c r="R216" s="41" t="s">
        <v>342</v>
      </c>
      <c r="S216" s="53">
        <v>645613</v>
      </c>
      <c r="T216" s="56" t="s">
        <v>39</v>
      </c>
      <c r="U216" s="51"/>
      <c r="V216" s="22">
        <v>46292</v>
      </c>
      <c r="W216" s="22">
        <v>46656</v>
      </c>
      <c r="X216" s="67"/>
      <c r="Y216" s="42" t="s">
        <v>1468</v>
      </c>
      <c r="Z216" s="2" t="s">
        <v>63</v>
      </c>
      <c r="AA216" s="2" t="s">
        <v>75</v>
      </c>
      <c r="AB216" s="28"/>
      <c r="AC216" s="2" t="s">
        <v>1432</v>
      </c>
      <c r="AD216" s="3" t="s">
        <v>1466</v>
      </c>
    </row>
    <row r="217" spans="1:30">
      <c r="A217" s="1"/>
      <c r="B217" s="1"/>
      <c r="C217" s="1"/>
      <c r="D217" s="1"/>
      <c r="E217" s="1"/>
      <c r="F217" s="1"/>
      <c r="G217" s="1"/>
      <c r="H217" s="1"/>
      <c r="I217" s="1"/>
      <c r="J217" s="43"/>
      <c r="K217" s="1"/>
      <c r="L217" s="1"/>
      <c r="M217" s="1"/>
      <c r="N217" s="1"/>
      <c r="O217" s="1"/>
      <c r="P217" s="1"/>
      <c r="Q217" s="1"/>
      <c r="R217" s="1"/>
      <c r="S217" s="1"/>
      <c r="T217" s="1"/>
      <c r="U217" s="1"/>
      <c r="V217" s="1"/>
      <c r="W217" s="1"/>
      <c r="X217" s="1"/>
      <c r="Y217" s="1"/>
      <c r="Z217" s="1"/>
      <c r="AA217" s="1"/>
      <c r="AB217" s="1"/>
      <c r="AC217" s="1"/>
      <c r="AD217" s="1"/>
    </row>
    <row r="218" spans="1:30">
      <c r="A218" s="1"/>
      <c r="B218" s="1"/>
      <c r="C218" s="1"/>
      <c r="D218" s="1"/>
      <c r="E218" s="1"/>
      <c r="F218" s="1"/>
      <c r="G218" s="1"/>
      <c r="H218" s="1"/>
      <c r="I218" s="1"/>
      <c r="J218" s="43"/>
      <c r="K218" s="1"/>
      <c r="L218" s="1"/>
      <c r="M218" s="1"/>
      <c r="N218" s="1"/>
      <c r="O218" s="1"/>
      <c r="P218" s="1"/>
      <c r="Q218" s="1"/>
      <c r="R218" s="1"/>
      <c r="S218" s="1"/>
      <c r="T218" s="1"/>
      <c r="U218" s="1"/>
      <c r="V218" s="1"/>
      <c r="W218" s="1"/>
      <c r="X218" s="1"/>
      <c r="Y218" s="1"/>
      <c r="Z218" s="1"/>
      <c r="AA218" s="1"/>
      <c r="AB218" s="1"/>
      <c r="AC218" s="1"/>
      <c r="AD218" s="1"/>
    </row>
    <row r="219" spans="1:30">
      <c r="A219" s="1"/>
      <c r="B219" s="1"/>
      <c r="C219" s="1"/>
      <c r="D219" s="1"/>
      <c r="E219" s="1"/>
      <c r="F219" s="1"/>
      <c r="G219" s="1"/>
      <c r="H219" s="1"/>
      <c r="I219" s="1"/>
      <c r="J219" s="43"/>
      <c r="K219" s="1"/>
      <c r="L219" s="1"/>
      <c r="M219" s="1"/>
      <c r="N219" s="1"/>
      <c r="O219" s="1"/>
      <c r="P219" s="1"/>
      <c r="Q219" s="1"/>
      <c r="R219" s="1"/>
      <c r="S219" s="1"/>
      <c r="T219" s="1"/>
      <c r="U219" s="1"/>
      <c r="V219" s="1"/>
      <c r="W219" s="1"/>
      <c r="X219" s="1"/>
      <c r="Y219" s="1"/>
      <c r="Z219" s="1"/>
      <c r="AA219" s="1"/>
      <c r="AB219" s="1"/>
      <c r="AC219" s="1"/>
      <c r="AD219" s="1"/>
    </row>
    <row r="220" spans="1:30">
      <c r="A220" s="1"/>
      <c r="B220" s="1"/>
      <c r="C220" s="1"/>
      <c r="D220" s="1"/>
      <c r="E220" s="1"/>
      <c r="F220" s="1"/>
      <c r="G220" s="1"/>
      <c r="H220" s="1"/>
      <c r="I220" s="1"/>
      <c r="J220" s="43"/>
      <c r="K220" s="1"/>
      <c r="L220" s="1"/>
      <c r="M220" s="1"/>
      <c r="N220" s="1"/>
      <c r="O220" s="1"/>
      <c r="P220" s="1"/>
      <c r="Q220" s="1"/>
      <c r="R220" s="1"/>
      <c r="S220" s="1"/>
      <c r="T220" s="1"/>
      <c r="U220" s="1"/>
      <c r="V220" s="1"/>
      <c r="W220" s="1"/>
      <c r="X220" s="1"/>
      <c r="Y220" s="1"/>
      <c r="Z220" s="1"/>
      <c r="AA220" s="1"/>
      <c r="AB220" s="1"/>
      <c r="AC220" s="1"/>
      <c r="AD220" s="1"/>
    </row>
    <row r="221" spans="1:30">
      <c r="A221" s="1"/>
      <c r="B221" s="1"/>
      <c r="C221" s="1"/>
      <c r="D221" s="1"/>
      <c r="E221" s="1"/>
      <c r="F221" s="1"/>
      <c r="G221" s="1"/>
      <c r="H221" s="1"/>
      <c r="I221" s="1"/>
      <c r="J221" s="43"/>
      <c r="K221" s="1"/>
      <c r="L221" s="1"/>
      <c r="M221" s="1"/>
      <c r="N221" s="1"/>
      <c r="O221" s="1"/>
      <c r="P221" s="1"/>
      <c r="Q221" s="1"/>
      <c r="R221" s="1"/>
      <c r="S221" s="1"/>
      <c r="T221" s="1"/>
      <c r="U221" s="1"/>
      <c r="V221" s="1"/>
      <c r="W221" s="1"/>
      <c r="X221" s="1"/>
      <c r="Y221" s="1"/>
      <c r="Z221" s="1"/>
      <c r="AA221" s="1"/>
      <c r="AB221" s="1"/>
      <c r="AC221" s="1"/>
      <c r="AD221" s="1"/>
    </row>
    <row r="222" spans="1:30">
      <c r="A222" s="1"/>
      <c r="B222" s="1"/>
      <c r="C222" s="1"/>
      <c r="D222" s="1"/>
      <c r="E222" s="1"/>
      <c r="F222" s="1"/>
      <c r="G222" s="1"/>
      <c r="H222" s="1"/>
      <c r="I222" s="1"/>
      <c r="J222" s="43"/>
      <c r="K222" s="1"/>
      <c r="L222" s="1"/>
      <c r="M222" s="1"/>
      <c r="N222" s="1"/>
      <c r="O222" s="1"/>
      <c r="P222" s="1"/>
      <c r="Q222" s="1"/>
      <c r="R222" s="1"/>
      <c r="S222" s="1"/>
      <c r="T222" s="1"/>
      <c r="U222" s="1"/>
      <c r="V222" s="1"/>
      <c r="W222" s="1"/>
      <c r="X222" s="1"/>
      <c r="Y222" s="1"/>
      <c r="Z222" s="1"/>
      <c r="AA222" s="1"/>
      <c r="AB222" s="1"/>
      <c r="AC222" s="1"/>
      <c r="AD222" s="1"/>
    </row>
    <row r="223" spans="1:30">
      <c r="A223" s="1"/>
      <c r="B223" s="1"/>
      <c r="C223" s="1"/>
      <c r="D223" s="1"/>
      <c r="E223" s="1"/>
      <c r="F223" s="1"/>
      <c r="G223" s="1"/>
      <c r="H223" s="1"/>
      <c r="I223" s="1"/>
      <c r="J223" s="43"/>
      <c r="K223" s="1"/>
      <c r="L223" s="1"/>
      <c r="M223" s="1"/>
      <c r="N223" s="1"/>
      <c r="O223" s="1"/>
      <c r="P223" s="1"/>
      <c r="Q223" s="1"/>
      <c r="R223" s="1"/>
      <c r="S223" s="1"/>
      <c r="T223" s="1"/>
      <c r="U223" s="1"/>
      <c r="V223" s="1"/>
      <c r="W223" s="1"/>
      <c r="X223" s="1"/>
      <c r="Y223" s="1"/>
      <c r="Z223" s="1"/>
      <c r="AA223" s="1"/>
      <c r="AB223" s="1"/>
      <c r="AC223" s="1"/>
      <c r="AD223" s="1"/>
    </row>
    <row r="224" spans="1:30">
      <c r="A224" s="1"/>
      <c r="B224" s="1"/>
      <c r="C224" s="1"/>
      <c r="D224" s="1"/>
      <c r="E224" s="1"/>
      <c r="F224" s="1"/>
      <c r="G224" s="1"/>
      <c r="H224" s="1"/>
      <c r="I224" s="1"/>
      <c r="J224" s="43"/>
      <c r="K224" s="1"/>
      <c r="L224" s="1"/>
      <c r="M224" s="1"/>
      <c r="N224" s="1"/>
      <c r="O224" s="1"/>
      <c r="P224" s="1"/>
      <c r="Q224" s="1"/>
      <c r="R224" s="1"/>
      <c r="S224" s="1"/>
      <c r="T224" s="1"/>
      <c r="U224" s="1"/>
      <c r="V224" s="1"/>
      <c r="W224" s="1"/>
      <c r="X224" s="1"/>
      <c r="Y224" s="1"/>
      <c r="Z224" s="1"/>
      <c r="AA224" s="1"/>
      <c r="AB224" s="1"/>
      <c r="AC224" s="1"/>
      <c r="AD224" s="1"/>
    </row>
    <row r="225" spans="1:30">
      <c r="A225" s="1"/>
      <c r="B225" s="1"/>
      <c r="C225" s="1"/>
      <c r="D225" s="1"/>
      <c r="E225" s="1"/>
      <c r="F225" s="1"/>
      <c r="G225" s="1"/>
      <c r="H225" s="1"/>
      <c r="I225" s="1"/>
      <c r="J225" s="43"/>
      <c r="K225" s="1"/>
      <c r="L225" s="1"/>
      <c r="M225" s="1"/>
      <c r="N225" s="1"/>
      <c r="O225" s="1"/>
      <c r="P225" s="1"/>
      <c r="Q225" s="1"/>
      <c r="R225" s="1"/>
      <c r="S225" s="1"/>
      <c r="T225" s="1"/>
      <c r="U225" s="1"/>
      <c r="V225" s="1"/>
      <c r="W225" s="1"/>
      <c r="X225" s="1"/>
      <c r="Y225" s="1"/>
      <c r="Z225" s="1"/>
      <c r="AA225" s="1"/>
      <c r="AB225" s="1"/>
      <c r="AC225" s="1"/>
      <c r="AD225" s="1"/>
    </row>
    <row r="226" spans="1:30">
      <c r="A226" s="1"/>
      <c r="B226" s="1"/>
      <c r="C226" s="1"/>
      <c r="D226" s="1"/>
      <c r="E226" s="1"/>
      <c r="F226" s="1"/>
      <c r="G226" s="1"/>
      <c r="H226" s="1"/>
      <c r="I226" s="1"/>
      <c r="J226" s="43"/>
      <c r="K226" s="1"/>
      <c r="L226" s="1"/>
      <c r="M226" s="1"/>
      <c r="N226" s="1"/>
      <c r="O226" s="1"/>
      <c r="P226" s="1"/>
      <c r="Q226" s="1"/>
      <c r="R226" s="1"/>
      <c r="S226" s="1"/>
      <c r="T226" s="1"/>
      <c r="U226" s="1"/>
      <c r="V226" s="1"/>
      <c r="W226" s="1"/>
      <c r="X226" s="1"/>
      <c r="Y226" s="1"/>
      <c r="Z226" s="1"/>
      <c r="AA226" s="1"/>
      <c r="AB226" s="1"/>
      <c r="AC226" s="1"/>
      <c r="AD226" s="1"/>
    </row>
    <row r="227" spans="1:30">
      <c r="J227" s="43"/>
    </row>
    <row r="228" spans="1:30">
      <c r="J228" s="43"/>
    </row>
    <row r="229" spans="1:30">
      <c r="J229" s="43"/>
    </row>
    <row r="230" spans="1:30">
      <c r="J230" s="43"/>
    </row>
    <row r="231" spans="1:30">
      <c r="J231" s="43"/>
    </row>
    <row r="232" spans="1:30">
      <c r="J232" s="43"/>
    </row>
    <row r="233" spans="1:30">
      <c r="J233" s="43"/>
    </row>
    <row r="234" spans="1:30">
      <c r="J234" s="43"/>
    </row>
    <row r="235" spans="1:30">
      <c r="J235" s="43"/>
    </row>
    <row r="236" spans="1:30">
      <c r="J236" s="1"/>
    </row>
    <row r="237" spans="1:30">
      <c r="J237" s="1"/>
    </row>
    <row r="238" spans="1:30">
      <c r="J238" s="1"/>
    </row>
    <row r="239" spans="1:30">
      <c r="J239" s="1"/>
    </row>
    <row r="240" spans="1:30">
      <c r="J240" s="1"/>
    </row>
  </sheetData>
  <autoFilter ref="A2:AE2"/>
  <phoneticPr fontId="1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2026</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 Candy WS</dc:creator>
  <cp:lastModifiedBy>Chan, Candy WS</cp:lastModifiedBy>
  <dcterms:created xsi:type="dcterms:W3CDTF">2026-09-14T09:35:53Z</dcterms:created>
  <dcterms:modified xsi:type="dcterms:W3CDTF">2026-09-14T09:41:39Z</dcterms:modified>
</cp:coreProperties>
</file>