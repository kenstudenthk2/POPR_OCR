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741116\Downloads\"/>
    </mc:Choice>
  </mc:AlternateContent>
  <xr:revisionPtr revIDLastSave="0" documentId="13_ncr:1_{F0F2DD47-1148-4CCA-9A5C-524772219466}" xr6:coauthVersionLast="47" xr6:coauthVersionMax="47" xr10:uidLastSave="{00000000-0000-0000-0000-000000000000}"/>
  <bookViews>
    <workbookView xWindow="12555" yWindow="0" windowWidth="16305" windowHeight="15480" firstSheet="1" activeTab="1" xr2:uid="{00000000-000D-0000-FFFF-FFFF00000000}"/>
  </bookViews>
  <sheets>
    <sheet name="Blank Template" sheetId="4" r:id="rId1"/>
    <sheet name="Yr2026(UCBV)" sheetId="5" r:id="rId2"/>
    <sheet name="Yr2026-Total (UCBV)" sheetId="8" r:id="rId3"/>
    <sheet name="Yr2025(UCBV)" sheetId="1" r:id="rId4"/>
    <sheet name="Yr2025(Avaya)" sheetId="2" r:id="rId5"/>
    <sheet name="Yr2025-Total (UC &amp; Avaya)" sheetId="3" r:id="rId6"/>
  </sheets>
  <definedNames>
    <definedName name="_xlnm._FilterDatabase" localSheetId="0" hidden="1">'Blank Template'!$A$3:$AF$3</definedName>
    <definedName name="_xlnm._FilterDatabase" localSheetId="4" hidden="1">'Yr2025(Avaya)'!$A$1:$AH$35</definedName>
    <definedName name="_xlnm._FilterDatabase" localSheetId="3" hidden="1">'Yr2025(UCBV)'!$A$2:$AG$376</definedName>
    <definedName name="_xlnm._FilterDatabase" localSheetId="1" hidden="1">'Yr2026(UCBV)'!$A$3:$AG$254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4" i="5" l="1"/>
  <c r="O253" i="5"/>
  <c r="O248" i="5"/>
  <c r="N279" i="1"/>
  <c r="O260" i="1"/>
  <c r="O259" i="1"/>
  <c r="O247" i="5"/>
  <c r="O230" i="5"/>
  <c r="O222" i="5"/>
  <c r="O219" i="5"/>
  <c r="O216" i="5"/>
  <c r="O211" i="5"/>
  <c r="O210" i="5"/>
  <c r="O209" i="5"/>
  <c r="O204" i="5"/>
  <c r="O202" i="5"/>
  <c r="O199" i="5"/>
  <c r="O198" i="5"/>
  <c r="L17" i="8"/>
  <c r="J17" i="8"/>
  <c r="H17" i="8"/>
  <c r="F17" i="8"/>
  <c r="D17" i="8"/>
  <c r="B17" i="8"/>
  <c r="R16" i="8"/>
  <c r="P16" i="8"/>
  <c r="N16" i="8"/>
  <c r="R15" i="8"/>
  <c r="P15" i="8"/>
  <c r="N15" i="8"/>
  <c r="R14" i="8"/>
  <c r="P14" i="8"/>
  <c r="N14" i="8"/>
  <c r="R13" i="8"/>
  <c r="P13" i="8"/>
  <c r="N13" i="8"/>
  <c r="R12" i="8"/>
  <c r="P12" i="8"/>
  <c r="N12" i="8"/>
  <c r="R11" i="8"/>
  <c r="P11" i="8"/>
  <c r="N11" i="8"/>
  <c r="R10" i="8"/>
  <c r="P10" i="8"/>
  <c r="N10" i="8"/>
  <c r="R9" i="8"/>
  <c r="P9" i="8"/>
  <c r="N9" i="8"/>
  <c r="R8" i="8"/>
  <c r="P8" i="8"/>
  <c r="N8" i="8"/>
  <c r="R7" i="8"/>
  <c r="P7" i="8"/>
  <c r="N7" i="8"/>
  <c r="R6" i="8"/>
  <c r="P6" i="8"/>
  <c r="N6" i="8"/>
  <c r="R5" i="8"/>
  <c r="P5" i="8"/>
  <c r="N5" i="8"/>
  <c r="I1" i="5"/>
  <c r="O193" i="5"/>
  <c r="O192" i="5"/>
  <c r="O190" i="5"/>
  <c r="O189" i="5"/>
  <c r="O187" i="5"/>
  <c r="O186" i="5"/>
  <c r="X183" i="5"/>
  <c r="O182" i="5"/>
  <c r="O181" i="5"/>
  <c r="O177" i="5"/>
  <c r="O176" i="5"/>
  <c r="O175" i="5"/>
  <c r="P174" i="5"/>
  <c r="O174" i="5"/>
  <c r="O173" i="5"/>
  <c r="P172" i="5"/>
  <c r="O172" i="5"/>
  <c r="O162" i="5"/>
  <c r="O155" i="5"/>
  <c r="O154" i="5"/>
  <c r="O153" i="5"/>
  <c r="X152" i="5"/>
  <c r="P152" i="5"/>
  <c r="O152" i="5"/>
  <c r="O145" i="5"/>
  <c r="O144" i="5"/>
  <c r="O143" i="5"/>
  <c r="O141" i="5"/>
  <c r="O135" i="5"/>
  <c r="O134" i="5"/>
  <c r="O132" i="5"/>
  <c r="O131" i="5"/>
  <c r="O130" i="5"/>
  <c r="P129" i="5"/>
  <c r="O129" i="5"/>
  <c r="O128" i="5"/>
  <c r="O124" i="5"/>
  <c r="O123" i="5"/>
  <c r="P119" i="5"/>
  <c r="O119" i="5"/>
  <c r="O118" i="5"/>
  <c r="O117" i="5"/>
  <c r="O116" i="5"/>
  <c r="O113" i="5"/>
  <c r="O110" i="5"/>
  <c r="O109" i="5"/>
  <c r="O106" i="5"/>
  <c r="O105" i="5"/>
  <c r="O99" i="5"/>
  <c r="O98" i="5"/>
  <c r="O97" i="5"/>
  <c r="O95" i="5"/>
  <c r="O94" i="5"/>
  <c r="P83" i="5"/>
  <c r="O83" i="5"/>
  <c r="O82" i="5"/>
  <c r="O80" i="5"/>
  <c r="O79" i="5"/>
  <c r="O78" i="5"/>
  <c r="O77" i="5"/>
  <c r="O70" i="5"/>
  <c r="O69" i="5"/>
  <c r="O68" i="5"/>
  <c r="O66" i="5"/>
  <c r="O64" i="5"/>
  <c r="O62" i="5"/>
  <c r="O54" i="5"/>
  <c r="O53" i="5"/>
  <c r="O52" i="5"/>
  <c r="O49" i="5"/>
  <c r="O40" i="5"/>
  <c r="O38" i="5"/>
  <c r="O36" i="5"/>
  <c r="O35" i="5"/>
  <c r="X33" i="5"/>
  <c r="P34" i="5"/>
  <c r="O34" i="5"/>
  <c r="P33" i="5"/>
  <c r="O33" i="5"/>
  <c r="O32" i="5"/>
  <c r="O26" i="5"/>
  <c r="O25" i="5"/>
  <c r="O23" i="5"/>
  <c r="O21" i="5"/>
  <c r="O20" i="5"/>
  <c r="O16" i="5"/>
  <c r="O10" i="5"/>
  <c r="O9" i="5"/>
  <c r="O8" i="5"/>
  <c r="O7" i="5"/>
  <c r="O5" i="5"/>
  <c r="O4" i="5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5" i="4"/>
  <c r="W1" i="4"/>
  <c r="N1" i="4"/>
  <c r="I1" i="4"/>
  <c r="A283" i="1"/>
  <c r="A284" i="1" s="1"/>
  <c r="A285" i="1" s="1"/>
  <c r="Y31" i="2"/>
  <c r="N33" i="2"/>
  <c r="O32" i="2"/>
  <c r="N32" i="2" s="1"/>
  <c r="O31" i="2"/>
  <c r="N31" i="2" s="1"/>
  <c r="O239" i="1"/>
  <c r="P17" i="8" l="1"/>
  <c r="R17" i="8"/>
  <c r="B19" i="8"/>
  <c r="N17" i="8"/>
  <c r="B20" i="8"/>
  <c r="O1" i="5"/>
  <c r="X1" i="5"/>
  <c r="O232" i="1"/>
  <c r="O231" i="1" l="1"/>
  <c r="O230" i="1"/>
  <c r="O229" i="1"/>
  <c r="O227" i="1" l="1"/>
  <c r="O222" i="1" l="1"/>
  <c r="O215" i="1" l="1"/>
  <c r="O214" i="1"/>
  <c r="N30" i="2"/>
  <c r="O29" i="2" l="1"/>
  <c r="N29" i="2"/>
  <c r="O28" i="2"/>
  <c r="N28" i="2" s="1"/>
  <c r="O211" i="1"/>
  <c r="O210" i="1" l="1"/>
  <c r="O209" i="1"/>
  <c r="O208" i="1"/>
  <c r="O207" i="1" l="1"/>
  <c r="O205" i="1"/>
  <c r="N27" i="2" l="1"/>
  <c r="N26" i="2"/>
  <c r="O203" i="1"/>
  <c r="O200" i="1"/>
  <c r="O197" i="1"/>
  <c r="O25" i="2" l="1"/>
  <c r="N25" i="2" s="1"/>
  <c r="N22" i="2"/>
  <c r="O21" i="2"/>
  <c r="N21" i="2" s="1"/>
  <c r="Y21" i="2"/>
  <c r="O196" i="1"/>
  <c r="O193" i="1" l="1"/>
  <c r="O189" i="1"/>
  <c r="O188" i="1" l="1"/>
  <c r="Y17" i="3" l="1"/>
  <c r="W17" i="3"/>
  <c r="U17" i="3"/>
  <c r="L17" i="3"/>
  <c r="J17" i="3"/>
  <c r="H17" i="3"/>
  <c r="F17" i="3"/>
  <c r="D17" i="3"/>
  <c r="B17" i="3"/>
  <c r="T16" i="3"/>
  <c r="R16" i="3"/>
  <c r="P16" i="3"/>
  <c r="N16" i="3"/>
  <c r="T15" i="3"/>
  <c r="R15" i="3"/>
  <c r="P15" i="3"/>
  <c r="N15" i="3"/>
  <c r="T14" i="3"/>
  <c r="R14" i="3"/>
  <c r="P14" i="3"/>
  <c r="N14" i="3"/>
  <c r="T13" i="3"/>
  <c r="R13" i="3"/>
  <c r="P13" i="3"/>
  <c r="N13" i="3"/>
  <c r="T12" i="3"/>
  <c r="R12" i="3"/>
  <c r="P12" i="3"/>
  <c r="N12" i="3"/>
  <c r="T11" i="3"/>
  <c r="R11" i="3"/>
  <c r="P11" i="3"/>
  <c r="N11" i="3"/>
  <c r="T10" i="3"/>
  <c r="R10" i="3"/>
  <c r="P10" i="3"/>
  <c r="N10" i="3"/>
  <c r="T9" i="3"/>
  <c r="R9" i="3"/>
  <c r="P9" i="3"/>
  <c r="N9" i="3"/>
  <c r="T8" i="3"/>
  <c r="R8" i="3"/>
  <c r="P8" i="3"/>
  <c r="N8" i="3"/>
  <c r="T7" i="3"/>
  <c r="R7" i="3"/>
  <c r="P7" i="3"/>
  <c r="N7" i="3"/>
  <c r="T6" i="3"/>
  <c r="R6" i="3"/>
  <c r="P6" i="3"/>
  <c r="N6" i="3"/>
  <c r="T5" i="3"/>
  <c r="R5" i="3"/>
  <c r="P5" i="3"/>
  <c r="N5" i="3"/>
  <c r="I1" i="1"/>
  <c r="B20" i="3" l="1"/>
  <c r="B19" i="3"/>
  <c r="R17" i="3"/>
  <c r="N17" i="3"/>
  <c r="P17" i="3"/>
  <c r="O184" i="1"/>
  <c r="O183" i="1"/>
  <c r="O182" i="1" l="1"/>
  <c r="X178" i="1"/>
  <c r="P178" i="1" l="1"/>
  <c r="O178" i="1" s="1"/>
  <c r="O177" i="1" l="1"/>
  <c r="O176" i="1"/>
  <c r="O175" i="1"/>
  <c r="O174" i="1"/>
  <c r="O173" i="1"/>
  <c r="O172" i="1"/>
  <c r="O169" i="1"/>
  <c r="O168" i="1"/>
  <c r="O166" i="1"/>
  <c r="Y20" i="2" l="1"/>
  <c r="O20" i="2"/>
  <c r="N20" i="2" s="1"/>
  <c r="O165" i="1"/>
  <c r="P164" i="1"/>
  <c r="O164" i="1" s="1"/>
  <c r="X164" i="1"/>
  <c r="O161" i="1"/>
  <c r="A161" i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N19" i="2"/>
  <c r="X159" i="1"/>
  <c r="P159" i="1"/>
  <c r="O159" i="1" s="1"/>
  <c r="O158" i="1"/>
  <c r="Y18" i="2"/>
  <c r="O18" i="2"/>
  <c r="N18" i="2" s="1"/>
  <c r="O157" i="1"/>
  <c r="O156" i="1"/>
  <c r="O152" i="1"/>
  <c r="O155" i="1"/>
  <c r="X152" i="1"/>
  <c r="N17" i="2"/>
  <c r="O148" i="1"/>
  <c r="O146" i="1"/>
  <c r="O142" i="1"/>
  <c r="A249" i="1" l="1"/>
  <c r="A250" i="1" s="1"/>
  <c r="A251" i="1" s="1"/>
  <c r="O138" i="1"/>
  <c r="O137" i="1"/>
  <c r="O136" i="1"/>
  <c r="A252" i="1" l="1"/>
  <c r="A253" i="1" s="1"/>
  <c r="A254" i="1" s="1"/>
  <c r="A255" i="1" s="1"/>
  <c r="A256" i="1" s="1"/>
  <c r="Y16" i="2"/>
  <c r="Y15" i="2"/>
  <c r="O16" i="2"/>
  <c r="N16" i="2" s="1"/>
  <c r="O15" i="2" l="1"/>
  <c r="N15" i="2" s="1"/>
  <c r="N14" i="2"/>
  <c r="Y13" i="2" l="1"/>
  <c r="O13" i="2"/>
  <c r="N13" i="2" s="1"/>
  <c r="O126" i="1"/>
  <c r="O120" i="1"/>
  <c r="O119" i="1"/>
  <c r="X118" i="1" l="1"/>
  <c r="X116" i="1"/>
  <c r="O116" i="1"/>
  <c r="O115" i="1"/>
  <c r="O112" i="1" l="1"/>
  <c r="N12" i="2"/>
  <c r="O107" i="1"/>
  <c r="N11" i="2"/>
  <c r="O104" i="1" l="1"/>
  <c r="O94" i="1" l="1"/>
  <c r="O95" i="1"/>
  <c r="O91" i="1"/>
  <c r="O90" i="1"/>
  <c r="O89" i="1"/>
  <c r="O87" i="1" l="1"/>
  <c r="O83" i="1" l="1"/>
  <c r="O78" i="1" l="1"/>
  <c r="O77" i="1" l="1"/>
  <c r="O75" i="1"/>
  <c r="N10" i="2"/>
  <c r="N9" i="2"/>
  <c r="O71" i="1"/>
  <c r="O70" i="1"/>
  <c r="O68" i="1"/>
  <c r="O65" i="1" l="1"/>
  <c r="O67" i="1"/>
  <c r="O60" i="1" l="1"/>
  <c r="O54" i="1"/>
  <c r="N8" i="2" l="1"/>
  <c r="O52" i="1"/>
  <c r="O51" i="1" l="1"/>
  <c r="O50" i="1" l="1"/>
  <c r="O49" i="1"/>
  <c r="O47" i="1"/>
  <c r="O46" i="1"/>
  <c r="O41" i="1"/>
  <c r="O40" i="1"/>
  <c r="O39" i="1" l="1"/>
  <c r="O38" i="1"/>
  <c r="O37" i="1"/>
  <c r="X34" i="1"/>
  <c r="O36" i="1"/>
  <c r="P34" i="1"/>
  <c r="O34" i="1" s="1"/>
  <c r="O35" i="1"/>
  <c r="X32" i="1"/>
  <c r="O32" i="1"/>
  <c r="O7" i="2" l="1"/>
  <c r="N7" i="2" s="1"/>
  <c r="N6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N5" i="2"/>
  <c r="O29" i="1" l="1"/>
  <c r="O26" i="1" l="1"/>
  <c r="O25" i="1" l="1"/>
  <c r="O24" i="1"/>
  <c r="O22" i="1"/>
  <c r="O21" i="1"/>
  <c r="O20" i="1"/>
  <c r="O19" i="1"/>
  <c r="O17" i="1" l="1"/>
  <c r="O16" i="1"/>
  <c r="O15" i="1"/>
  <c r="O14" i="1" l="1"/>
  <c r="O13" i="1" l="1"/>
  <c r="O12" i="1"/>
  <c r="O8" i="1"/>
  <c r="N4" i="2"/>
  <c r="O7" i="1"/>
  <c r="I1" i="2" l="1"/>
  <c r="X1" i="1" l="1"/>
  <c r="Y1" i="2"/>
  <c r="N1" i="2"/>
  <c r="O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Lee, Mandy MY</author>
  </authors>
  <commentList>
    <comment ref="W102" authorId="0" shapeId="0" xr:uid="{AC9DCA81-7AFF-420A-AE07-395083E187EF}">
      <text>
        <r>
          <rPr>
            <b/>
            <sz val="9"/>
            <color indexed="81"/>
            <rFont val="Tahoma"/>
            <family val="2"/>
          </rPr>
          <t>1st: USD$17,103.34 (Qty:5701.11) 30-Apr-2025
2nd: USD$17,103.34 (Qty:5701.11)
3rd: USD$17,103.34 (Qty:5701.11)</t>
        </r>
      </text>
    </comment>
    <comment ref="W103" authorId="0" shapeId="0" xr:uid="{1D53F6A1-FDDA-4E6B-A12D-FBB57FE72181}">
      <text>
        <r>
          <rPr>
            <b/>
            <sz val="9"/>
            <color indexed="81"/>
            <rFont val="Tahoma"/>
            <family val="2"/>
          </rPr>
          <t>1st : 01-Feb-25 $10,000 (RN: 30-Apr-2025)
2nd: 01-Feb-26,$10,000
3rd : 01-Feb-27$10,000</t>
        </r>
      </text>
    </comment>
    <comment ref="W118" authorId="0" shapeId="0" xr:uid="{FF05B311-8687-4018-A164-7901F3FDCFD9}">
      <text>
        <r>
          <rPr>
            <b/>
            <sz val="9"/>
            <color indexed="81"/>
            <rFont val="Tahoma"/>
            <family val="2"/>
          </rPr>
          <t>1st Payment: USD8800.00 22-Apr-2025
2nd Payment: USD8,800.00 &lt;Mar-2026&gt;</t>
        </r>
      </text>
    </comment>
    <comment ref="V209" authorId="0" shapeId="0" xr:uid="{9B1C9B1C-CA78-43C3-9517-4DA8A611AF06}">
      <text>
        <r>
          <rPr>
            <sz val="10"/>
            <color theme="1"/>
            <rFont val="Calibri"/>
            <family val="2"/>
          </rPr>
          <t xml:space="preserve">1. USD721.80, RN3179286, 31-Oct-2025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Lee, Mandy MY</author>
  </authors>
  <commentList>
    <comment ref="X144" authorId="0" shapeId="0" xr:uid="{D68DE356-4E9F-44D6-A3DB-2D309B244663}">
      <text>
        <r>
          <rPr>
            <sz val="10"/>
            <color theme="1"/>
            <rFont val="Calibri"/>
            <family val="2"/>
          </rPr>
          <t xml:space="preserve">24-Jul-26, USD12,693.66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Pang, Joey CY</author>
    <author>Lee, Mandy MY</author>
    <author>tc={BFD35880-C678-4A5D-B06C-ADD45028BA5A}</author>
    <author>tc={151FF16D-A6EB-4A20-B19E-D29C789E2103}</author>
  </authors>
  <commentList>
    <comment ref="I9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Pang, Joey CY:</t>
        </r>
        <r>
          <rPr>
            <sz val="9"/>
            <color indexed="81"/>
            <rFont val="Tahoma"/>
            <family val="2"/>
          </rPr>
          <t xml:space="preserve">
cancel reqeusr by dennis cheng/ simon tan on 11-Apr-2025</t>
        </r>
      </text>
    </comment>
    <comment ref="X104" authorId="1" shapeId="0" xr:uid="{00000000-0006-0000-0000-000002000000}">
      <text>
        <r>
          <rPr>
            <sz val="10"/>
            <color theme="1"/>
            <rFont val="Calibri"/>
            <family val="2"/>
          </rPr>
          <t>1st: USD$17,103.34 (Qty:5701.11) 30-Apr-2025
2nd: USD$17,103.34 (Qty:5701.11) 21-May-2026
3rd: USD$17,103.34 (Qty:5701.11)</t>
        </r>
      </text>
    </comment>
    <comment ref="X10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1st : 01-Feb-25 $10,000 (RN: 30-Apr-2025)
2nd: 01-Feb-26,$10,000
3rd : 01-Feb-27$10,000</t>
        </r>
      </text>
    </comment>
    <comment ref="X12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1st Payment: USD8800.00 22-Apr-2025
2nd Payment: USD8,800.00 &lt;Mar-2026&gt;</t>
        </r>
      </text>
    </comment>
    <comment ref="W136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1. 22-Aug-25, USD62,676.38 (Qty: 0.33333336) RN3170978
2. 
3. </t>
        </r>
      </text>
    </comment>
    <comment ref="W137" authorId="1" shapeId="0" xr:uid="{160670D6-05F4-459E-B2D4-4A4D1E23393F}">
      <text>
        <r>
          <rPr>
            <b/>
            <sz val="9"/>
            <color indexed="81"/>
            <rFont val="Tahoma"/>
            <family val="2"/>
          </rPr>
          <t xml:space="preserve">1. 22-Aug-25, USD62,676.38 (Qty: 0.33333336) RN3170978
2. 
3. </t>
        </r>
      </text>
    </comment>
    <comment ref="W138" authorId="1" shapeId="0" xr:uid="{4D8DC6D3-75D8-4873-BAEA-8D518F915779}">
      <text>
        <r>
          <rPr>
            <b/>
            <sz val="9"/>
            <color indexed="81"/>
            <rFont val="Tahoma"/>
            <family val="2"/>
          </rPr>
          <t xml:space="preserve">1. 22-Aug-25, USD62,676.38 (Qty: 0.33333336) RN3170978
2. 
3. </t>
        </r>
      </text>
    </comment>
    <comment ref="P196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Old Quotation: USD262.70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15" authorId="1" shapeId="0" xr:uid="{BA02C0B4-6883-41AF-9601-9F3611A715AD}">
      <text>
        <r>
          <rPr>
            <sz val="10"/>
            <color theme="1"/>
            <rFont val="Calibri"/>
            <family val="2"/>
          </rPr>
          <t xml:space="preserve">1. USD721.80, RN3179286, 31-Oct-2025
</t>
        </r>
      </text>
    </comment>
    <comment ref="X247" authorId="1" shapeId="0" xr:uid="{A6648F81-DD07-42F9-B220-A1160B2CEF92}">
      <text>
        <r>
          <rPr>
            <sz val="10"/>
            <color theme="1"/>
            <rFont val="Calibri"/>
            <family val="2"/>
          </rPr>
          <t xml:space="preserve">1. 26-Mar-26, HK$325,789.08
</t>
        </r>
      </text>
    </comment>
    <comment ref="D261" authorId="0" shapeId="0" xr:uid="{2374D110-21B6-4903-9D14-31449507C130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2" authorId="0" shapeId="0" xr:uid="{1BF53DC9-564B-4C9F-BFF8-A4B48AE79FF8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3" authorId="0" shapeId="0" xr:uid="{0B56F0A9-12EC-49D2-BA20-8DD3F3E80DF0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4" authorId="0" shapeId="0" xr:uid="{4B6D55F5-5509-4B48-94F6-6CCE4297B3F6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5" authorId="0" shapeId="0" xr:uid="{0B2AAAC2-1AF4-4C94-A9A6-23A99F8C3A3C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6" authorId="0" shapeId="0" xr:uid="{F2579310-C4AE-4593-9537-D796CE174FEB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7" authorId="0" shapeId="0" xr:uid="{055B4394-D9FF-43EC-9BBF-21E2D8F474A2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68" authorId="0" shapeId="0" xr:uid="{A92272C6-5AB5-4800-96BE-BA90AC00BB77}">
      <text>
        <r>
          <rPr>
            <sz val="10"/>
            <color theme="1"/>
            <rFont val="Calibri"/>
            <family val="2"/>
          </rPr>
          <t>Pang, Joey CY:
20/10/2025 comfirmed SB amend to NONBTB</t>
        </r>
      </text>
    </comment>
    <comment ref="D270" authorId="0" shapeId="0" xr:uid="{BBCD0B45-E786-4C58-BCF5-B9DFEF891C32}">
      <text>
        <r>
          <rPr>
            <sz val="10"/>
            <color theme="1"/>
            <rFont val="Calibri"/>
            <family val="2"/>
          </rPr>
          <t>Pang, Joey CY:
GSP Reject 
21/10/2025 confirm SB amend to NON BTB</t>
        </r>
      </text>
    </comment>
    <comment ref="W275" authorId="1" shapeId="0" xr:uid="{CC2C5523-1D6E-46C0-96C2-BAAD6BCAC604}">
      <text>
        <r>
          <rPr>
            <sz val="10"/>
            <color theme="1"/>
            <rFont val="Calibri"/>
            <family val="2"/>
          </rPr>
          <t xml:space="preserve">1. USD1,828.2
</t>
        </r>
      </text>
    </comment>
    <comment ref="W276" authorId="1" shapeId="0" xr:uid="{2F1EE5F5-B520-4954-B49F-BEA206274C81}">
      <text>
        <r>
          <rPr>
            <sz val="10"/>
            <color theme="1"/>
            <rFont val="Calibri"/>
            <family val="2"/>
          </rPr>
          <t xml:space="preserve">1. USD1,828.2
</t>
        </r>
      </text>
    </comment>
    <comment ref="D301" authorId="0" shapeId="0" xr:uid="{0CEA71BF-38B3-40C2-B55E-F39747F92FBD}">
      <text>
        <r>
          <rPr>
            <sz val="10"/>
            <color theme="1"/>
            <rFont val="Calibri"/>
            <family val="2"/>
          </rPr>
          <t xml:space="preserve">Pang, Joey CY:
21-Nov-2025 reject service period not matched. amend to NON BTB </t>
        </r>
      </text>
    </comment>
    <comment ref="X306" authorId="1" shapeId="0" xr:uid="{E057E40B-7DE0-4B4E-A99E-8CACD5B1C39C}">
      <text>
        <r>
          <rPr>
            <sz val="10"/>
            <color theme="1"/>
            <rFont val="Calibri"/>
            <family val="2"/>
          </rPr>
          <t xml:space="preserve">1st:$140,832, (9-Feb-2026)
2nd:$140,832 (2027)
</t>
        </r>
      </text>
    </comment>
    <comment ref="S344" authorId="2" shapeId="0" xr:uid="{BFD35880-C678-4A5D-B06C-ADD45028BA5A}">
      <text>
        <t>[Threaded comment]
Your version of Excel allows you to read this threaded comment; however, any edits to it will get removed if the file is opened in a newer version of Excel. Learn more: https://go.microsoft.com/fwlink/?linkid=870924
Comment:
    xtreme amend to Cyber world. 29-Dec-2025</t>
      </text>
    </comment>
    <comment ref="D356" authorId="3" shapeId="0" xr:uid="{151FF16D-A6EB-4A20-B19E-D29C789E2103}">
      <text>
        <t>[Threaded comment]
Your version of Excel allows you to read this threaded comment; however, any edits to it will get removed if the file is opened in a newer version of Excel. Learn more: https://go.microsoft.com/fwlink/?linkid=870924
Comment:
    amend to btb 2-Jan-2026</t>
      </text>
    </comment>
  </commentList>
</comments>
</file>

<file path=xl/sharedStrings.xml><?xml version="1.0" encoding="utf-8"?>
<sst xmlns="http://schemas.openxmlformats.org/spreadsheetml/2006/main" count="8374" uniqueCount="3265">
  <si>
    <t>No.</t>
  </si>
  <si>
    <t xml:space="preserve">Rec'd Date </t>
  </si>
  <si>
    <t>Issue By</t>
  </si>
  <si>
    <t>PR Reference</t>
  </si>
  <si>
    <t>Charge CCC</t>
  </si>
  <si>
    <t>Works Order Code</t>
  </si>
  <si>
    <t>Account Code</t>
  </si>
  <si>
    <t>PR Issued On</t>
  </si>
  <si>
    <t>PR No.</t>
  </si>
  <si>
    <t>Customer Name</t>
  </si>
  <si>
    <t xml:space="preserve">Customer Signed Contract </t>
  </si>
  <si>
    <t>PR Amount</t>
  </si>
  <si>
    <t>BTB Contract Purchase</t>
  </si>
  <si>
    <t>Vendor</t>
  </si>
  <si>
    <t>BTB Product type (e.g. Winsuite……)</t>
  </si>
  <si>
    <t>PO Date</t>
  </si>
  <si>
    <t>PO No.</t>
  </si>
  <si>
    <t>Receipt Date</t>
  </si>
  <si>
    <t>PO Amount HK$</t>
  </si>
  <si>
    <t>Case</t>
  </si>
  <si>
    <t>Date to</t>
  </si>
  <si>
    <t>UID #</t>
  </si>
  <si>
    <t>Urgent Request</t>
  </si>
  <si>
    <t>Remarks</t>
  </si>
  <si>
    <t>Invoice # / DN #</t>
  </si>
  <si>
    <t>Invoice / DN Date</t>
  </si>
  <si>
    <t>Start Date</t>
  </si>
  <si>
    <t xml:space="preserve"> End Date</t>
  </si>
  <si>
    <t>Contract No.</t>
  </si>
  <si>
    <t>HKD</t>
  </si>
  <si>
    <t>USD / Others</t>
  </si>
  <si>
    <t>PR Description</t>
  </si>
  <si>
    <t xml:space="preserve">Handled By </t>
  </si>
  <si>
    <t>IPT Unit Mgr</t>
  </si>
  <si>
    <t>UM/Mgr</t>
  </si>
  <si>
    <t>PR Issued Month</t>
  </si>
  <si>
    <t>Y / N</t>
  </si>
  <si>
    <t>Contract Revenue</t>
  </si>
  <si>
    <t>Mandy Lee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</si>
  <si>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BTB/001/2026</t>
    </r>
  </si>
  <si>
    <t>C560</t>
  </si>
  <si>
    <t>00244741</t>
  </si>
  <si>
    <t>Banco Santander S.A.</t>
  </si>
  <si>
    <t>P AV/7593/MA/CF25</t>
  </si>
  <si>
    <t>AVAYA HONG KONG COMPANY LTD</t>
  </si>
  <si>
    <t>Avaya IPOSS Support, refer quotation No.SHK704KBJ7</t>
  </si>
  <si>
    <t>ZM1573660</t>
  </si>
  <si>
    <t>Connie Mak</t>
  </si>
  <si>
    <t>Ho, Chun Sing / Leung, Gary NT</t>
  </si>
  <si>
    <t>UID-26-1-0004</t>
  </si>
  <si>
    <t>BTB/002/2026</t>
  </si>
  <si>
    <t>DLN Architects Limited</t>
  </si>
  <si>
    <t>P /7423/MA/TH25</t>
  </si>
  <si>
    <t>SEN SPIRIT TECHNOLOGY LIMITED</t>
  </si>
  <si>
    <t>Avaya IPOSS Support, refer quotation No.SHK704K01Q</t>
  </si>
  <si>
    <t>ZM1573661</t>
  </si>
  <si>
    <t>Ivan Tsui</t>
  </si>
  <si>
    <t>UID-26-01-0006</t>
  </si>
  <si>
    <t>BTB/003/2026</t>
  </si>
  <si>
    <t>C584</t>
  </si>
  <si>
    <t>00244839</t>
  </si>
  <si>
    <t>AIA International Limited</t>
  </si>
  <si>
    <t>F260100036JI</t>
  </si>
  <si>
    <t>GREENSBORO TELECOM LIMITED</t>
  </si>
  <si>
    <t>RightFax Annual Maintenance Service, refer quotation#GQ250108</t>
  </si>
  <si>
    <t>ZM1573652</t>
  </si>
  <si>
    <t>Janet Hsui</t>
  </si>
  <si>
    <t>Tsui, Daniel HT</t>
  </si>
  <si>
    <t>UID-26-01-0008</t>
  </si>
  <si>
    <t>BTB/004/2026</t>
  </si>
  <si>
    <t>C582</t>
  </si>
  <si>
    <t>Regal Kowloon Hotel</t>
  </si>
  <si>
    <t>P /7696/MAMA/TH25</t>
  </si>
  <si>
    <t>FCS COMPUTER SYSTEMS LIMITED</t>
  </si>
  <si>
    <t>Renewal of Support and Maintenance Services, refer Quotation No  SQ-HKS00603</t>
  </si>
  <si>
    <t>ZM1574747</t>
  </si>
  <si>
    <t>Wong, Calvin KW</t>
  </si>
  <si>
    <t>UID-26-01-0012</t>
  </si>
  <si>
    <t>BTB/005/2026</t>
  </si>
  <si>
    <t>Favour Link International Limited - Regal Airport Hotel</t>
  </si>
  <si>
    <t>P /7717/MAMA/TH25</t>
  </si>
  <si>
    <t>Renewal of Support and Maintenance Services, refer Quotation No  SQ-HKS00602</t>
  </si>
  <si>
    <t>ZM1574748</t>
  </si>
  <si>
    <t>UID-26-01-0028</t>
  </si>
  <si>
    <t>BTB/006/2026</t>
  </si>
  <si>
    <t>RGE Limited</t>
  </si>
  <si>
    <t>P AV/7794/MA/CF25</t>
  </si>
  <si>
    <t>Avaya Subscription Renewal, refer quotation date on 05-Jan-26</t>
  </si>
  <si>
    <t>ZM1573459</t>
  </si>
  <si>
    <t>Marcus Cheung</t>
  </si>
  <si>
    <t>UID-26-01-0018</t>
  </si>
  <si>
    <t>BTB/007/2026</t>
  </si>
  <si>
    <t>AVAYA INTERNATIONAL SALES LTD</t>
  </si>
  <si>
    <t>Avaya SA Renewal, refer quotation reference#SHK704KHG8</t>
  </si>
  <si>
    <t>ZM1573460</t>
  </si>
  <si>
    <t>Joey Pang</t>
  </si>
  <si>
    <t>BTB/008/2026</t>
  </si>
  <si>
    <t>C716</t>
  </si>
  <si>
    <t>00244746</t>
  </si>
  <si>
    <t>645602</t>
  </si>
  <si>
    <t>HK POLICE FORCE</t>
  </si>
  <si>
    <t>4210390280BN</t>
  </si>
  <si>
    <t>VEGA</t>
  </si>
  <si>
    <t>Maintenance Service renewal, refer quotation no Q-2502042PM dated on 6-Jan-2026</t>
  </si>
  <si>
    <t>ZM1575124</t>
  </si>
  <si>
    <t>Connie Chan</t>
  </si>
  <si>
    <t>Kelvin Lam</t>
  </si>
  <si>
    <t>No UID</t>
  </si>
  <si>
    <t>BTB/009/2026</t>
  </si>
  <si>
    <t>00244825</t>
  </si>
  <si>
    <t>HKT</t>
  </si>
  <si>
    <t>H260190068YR (2025WB895YR)</t>
  </si>
  <si>
    <t>INNOTECH INTERNATIONAL DISTRIBUTION LIMITED</t>
  </si>
  <si>
    <t>Maintenance Service renewal, refer quotation no HK ITI-HKT-2510010v3 dated on 2-Jan-2026</t>
  </si>
  <si>
    <t>ZC1573698</t>
  </si>
  <si>
    <t xml:space="preserve">Ricky Yau </t>
  </si>
  <si>
    <t>UID-26-01-0056</t>
  </si>
  <si>
    <t>BTB/010/2026</t>
  </si>
  <si>
    <t>HA-Shatin Hospital</t>
  </si>
  <si>
    <t>P AL/7487/MA/BL24</t>
  </si>
  <si>
    <t>INTEGRATED COMMUNICATIONS GROUP LIMITED</t>
  </si>
  <si>
    <t>Quintet 4.2 Voicemail System Maintenance Service Renewal, refer quotation#IQ10282-0624 dated on 8-Nov-24</t>
  </si>
  <si>
    <t>ZM1575727</t>
  </si>
  <si>
    <t>Theo Yim</t>
  </si>
  <si>
    <t>Hong, Wallace CM</t>
  </si>
  <si>
    <t>UID-24-11-0067</t>
  </si>
  <si>
    <t>Checked by Wallace on 20-Mar-26</t>
  </si>
  <si>
    <t>BTB/011/2026</t>
  </si>
  <si>
    <t>EXPERT SYSTEMS IVR (ASIA) CO LTD</t>
  </si>
  <si>
    <t>Maintenance Service Renewal for 2 IVR Systems with total 12-port Voice and 4-port Fax for Shatin Hospital, refer quotation no SQ7805-0624 dated on 8-Nov-24</t>
  </si>
  <si>
    <t>ZM1576011</t>
  </si>
  <si>
    <t>BTB/012/2026</t>
  </si>
  <si>
    <t>SYSTEC ENGINEERING LIMITED</t>
  </si>
  <si>
    <t>Annual Maintenance Serivce, refer quotation#SELQ-26-B-090103-R1 dated on 09-Jan-26</t>
  </si>
  <si>
    <t>ZM1576006</t>
  </si>
  <si>
    <t>BTB/013/2026</t>
  </si>
  <si>
    <t>OCBC Bank (Hong Kong) Limited</t>
  </si>
  <si>
    <t>P /7805/MAMA/KW25</t>
  </si>
  <si>
    <t>Avaya SA Renewal, refer quotation reference#SHK704KF36</t>
  </si>
  <si>
    <t>ZM1574610</t>
  </si>
  <si>
    <t>UID-26-01-0051</t>
  </si>
  <si>
    <t>BTB/014/2026</t>
  </si>
  <si>
    <t>RICH UNION DEVELOPMENT LIMITED</t>
  </si>
  <si>
    <t>30-4-26</t>
  </si>
  <si>
    <t>4250490233CB</t>
  </si>
  <si>
    <t>WINTECH</t>
  </si>
  <si>
    <t>Maintenance Service renewal, refer quotation no QCPE240452R3 dated on 9-Jan-2026</t>
  </si>
  <si>
    <t>ZM1574825</t>
  </si>
  <si>
    <t xml:space="preserve">Ina Chan </t>
  </si>
  <si>
    <t>UID-25-04-0165</t>
  </si>
  <si>
    <t>BTB/015/2026</t>
  </si>
  <si>
    <t>HKIA</t>
  </si>
  <si>
    <t>4250190001TS</t>
  </si>
  <si>
    <t>ONE time</t>
  </si>
  <si>
    <t>CHINOTECH INTERNATIONAL LIMITED</t>
  </si>
  <si>
    <t>Maintenance Service renewal, refer quotation no HK24HKTHKAT1MN dated on 9-Jun-2025</t>
  </si>
  <si>
    <t>ZM1578408</t>
  </si>
  <si>
    <t>Dennis Cheng</t>
  </si>
  <si>
    <t>UID-25-01-0001</t>
  </si>
  <si>
    <t>BTB/016/2026</t>
  </si>
  <si>
    <t>THE INDEPENDENT SCHOOLS FOUNDATION</t>
  </si>
  <si>
    <t>W240901058IL</t>
  </si>
  <si>
    <t>NEXUS2S</t>
  </si>
  <si>
    <t>refer quotation no QT-2500025 dated on 12-Jan-2026</t>
  </si>
  <si>
    <t>ZM1589812</t>
  </si>
  <si>
    <t>Aka Liang</t>
  </si>
  <si>
    <t>UID-24-09-0206</t>
  </si>
  <si>
    <t>BTB/017/2026</t>
  </si>
  <si>
    <t xml:space="preserve">KING &amp; WOOD MALLESONS </t>
  </si>
  <si>
    <t>4251200020CB</t>
  </si>
  <si>
    <t>CISCO</t>
  </si>
  <si>
    <t>Maintenance Renew of Cisco , refer quotation no 452007043 dated on 13-Jan-26</t>
  </si>
  <si>
    <t>Z1579308</t>
  </si>
  <si>
    <t>UID-26-01-0071-1-2</t>
  </si>
  <si>
    <t>BTB/018/2026</t>
  </si>
  <si>
    <t>Maintenance Renew of Cisco , refer quotation no 478521159 dated on 12-Jan-26</t>
  </si>
  <si>
    <t>ZM1581442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</si>
  <si>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BTB/019/2026</t>
    </r>
  </si>
  <si>
    <t>Scout Association of Hong Kong</t>
  </si>
  <si>
    <t>P /7836/MA/CP25</t>
  </si>
  <si>
    <t>NEC</t>
  </si>
  <si>
    <t>Yearly Maintenace for NEC SV9100, refer quotation#QTN-25048718-ESD</t>
  </si>
  <si>
    <t>ZM1580715</t>
  </si>
  <si>
    <t>Coco Lau</t>
  </si>
  <si>
    <t>UID-26-01-0070</t>
  </si>
  <si>
    <t>SB confirmed change to NBTB PR issue on 24-Feb</t>
  </si>
  <si>
    <t>BTB/020/2026</t>
  </si>
  <si>
    <t>Welfare Electronic Component Ltd</t>
  </si>
  <si>
    <t>P/7838/MAMA/J325</t>
  </si>
  <si>
    <t>Avaya IPOSS Support, refer quotation date of issue: 07-Jan-25</t>
  </si>
  <si>
    <t>ZM1575829</t>
  </si>
  <si>
    <t>Jessica Lam</t>
  </si>
  <si>
    <t>UID-26-01-0086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</si>
  <si>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BTB/021/2026</t>
    </r>
  </si>
  <si>
    <t>Construction Industry Council</t>
  </si>
  <si>
    <t>P/7257/WA/CP25</t>
  </si>
  <si>
    <t>AudioCodes Mediant 800C Support Service Plan, refer quotation#EQ23398b-0825</t>
  </si>
  <si>
    <t>ZM1576008</t>
  </si>
  <si>
    <t>UID-25-12-0171</t>
  </si>
  <si>
    <t>Confirm Coco change to NONBTB case</t>
  </si>
  <si>
    <t>BTB/022/2026</t>
  </si>
  <si>
    <t>The Bank of East Asia Limited</t>
  </si>
  <si>
    <t>P/7845/MAMA/JI25</t>
  </si>
  <si>
    <t>Avaya Subscription Renewal, refer quotation ref#SHK704FBCR</t>
  </si>
  <si>
    <t>ZM1575831</t>
  </si>
  <si>
    <t>UID-26-01-0122</t>
  </si>
  <si>
    <t>Request issue PO to Vendor before 26-Jan-26</t>
  </si>
  <si>
    <t>BTB/023/2026</t>
  </si>
  <si>
    <t>Yew Chung International School of Hong Kong</t>
  </si>
  <si>
    <t>P/7754/MAMA/L325</t>
  </si>
  <si>
    <t>Avaya IPOSS Support, refer quotation No.SHK704L0PG</t>
  </si>
  <si>
    <t>ZM1575490</t>
  </si>
  <si>
    <t>UID-26-01-0137</t>
  </si>
  <si>
    <t>Y</t>
  </si>
  <si>
    <t>NONBTB/024/2026</t>
  </si>
  <si>
    <t>Moment Factory Inc.</t>
  </si>
  <si>
    <t>Maintenance Service renewal, refer quotation refer email dated on 21-Nov-25</t>
  </si>
  <si>
    <t>ZC1579028</t>
  </si>
  <si>
    <t>NONBTB/025/2026</t>
  </si>
  <si>
    <t>HYSAN IT SERVICES COMPANY LIMITED</t>
  </si>
  <si>
    <t>L251290110CB</t>
  </si>
  <si>
    <t>Vizualize Limited</t>
  </si>
  <si>
    <t>Maintenance Service renewal, refer quotation no QVIZ197057 dated on 19-Jan-2026</t>
  </si>
  <si>
    <t>ZM1577412</t>
  </si>
  <si>
    <t>UID-26-01-0133-6</t>
  </si>
  <si>
    <t>BTB/026/2026</t>
  </si>
  <si>
    <t xml:space="preserve">THE CHINESE UNIVERSITY OF HONG KONG </t>
  </si>
  <si>
    <t>4260190135WC (2025WB772WC)</t>
  </si>
  <si>
    <t>Maintenance Service renewal, refer quotation no QT-2500050R1 dated on 12-Jan-2026</t>
  </si>
  <si>
    <t>ZM1576554</t>
  </si>
  <si>
    <t xml:space="preserve">Cammy Wong </t>
  </si>
  <si>
    <t>UID-26-01-0172</t>
  </si>
  <si>
    <t>BTB/027/2026</t>
  </si>
  <si>
    <t xml:space="preserve">THE INDEPENDENT SCHOOLS FOUNDATION </t>
  </si>
  <si>
    <t>W250901312L3</t>
  </si>
  <si>
    <t>Maintenance Service renewal, refer quotation no QT-2500082 dated on 21-Jan-2026</t>
  </si>
  <si>
    <t>ZM1579475</t>
  </si>
  <si>
    <t xml:space="preserve">Aka Liang </t>
  </si>
  <si>
    <t>UID-26-01-0183</t>
  </si>
  <si>
    <t>BTB/028/2026</t>
  </si>
  <si>
    <t xml:space="preserve">THE HONG KONG JOCKEY CLUB </t>
  </si>
  <si>
    <t>4250500013LS</t>
  </si>
  <si>
    <t>SecuRex Solution Limited</t>
  </si>
  <si>
    <t>Maintenance Service renewal, refer quotation no SXOS-250072 dated on 5-Jan-2026</t>
  </si>
  <si>
    <t>ZM1577755</t>
  </si>
  <si>
    <t>Sammi Leung</t>
  </si>
  <si>
    <t>UID-26-01-0184</t>
  </si>
  <si>
    <t>NONBTB/029/2026</t>
  </si>
  <si>
    <t>Campbell Fooks HK Ltd</t>
  </si>
  <si>
    <t>P/7732/MAMA/TH25</t>
  </si>
  <si>
    <t>Avaya IPOSS Support, refer quotation No.SHK704LC77</t>
  </si>
  <si>
    <t>ZM1577598</t>
  </si>
  <si>
    <t>UID-25-11-0360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</si>
  <si>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BTB/030/2026a</t>
    </r>
  </si>
  <si>
    <t>Airport Authority Hong Kong</t>
  </si>
  <si>
    <t>P AV/6956/MA/J224
PRO/T033/21/CW</t>
  </si>
  <si>
    <t>CHINACOMM INTERNATIONAL LTD</t>
  </si>
  <si>
    <t>Avaya SA Renewal, refer quotation reference#CIL25/Q/0209, CIL25/Q/0206, CIL25/Q/0207</t>
  </si>
  <si>
    <t>ZM1576511</t>
  </si>
  <si>
    <t>Jeffrey Lam</t>
  </si>
  <si>
    <t>UID-25-05-0171</t>
  </si>
  <si>
    <t>GSP inform to changed to NBTB PR issue on 26-Jan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</si>
  <si>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BTB/031/2026a</t>
    </r>
  </si>
  <si>
    <t>Avaya Service Charge for Avaya Contract ID 41404952 (refer Quote Ref#SHK704CR0P), 
Avaya Service Charge for Avaya Contract ID 41404953 (refer Quote Ref#SHK704CR8V)</t>
  </si>
  <si>
    <t>ZM1576510</t>
  </si>
  <si>
    <t>NONBTB/032/2026</t>
  </si>
  <si>
    <t>Hong Kong Police Force</t>
  </si>
  <si>
    <t>P/7849/WAWA/CO25
(PO NO. QL3015329)</t>
  </si>
  <si>
    <t>Avaya SA Renewal, refer quotation reference#CIL25/Q/0229</t>
  </si>
  <si>
    <t>ZM1576952</t>
  </si>
  <si>
    <t>UID-26-01-0207</t>
  </si>
  <si>
    <t>BCase approved on 2021 for New install(3 Yr) Maintenance start from 2026 (9 Yr)</t>
  </si>
  <si>
    <t>BTB/033/2026</t>
  </si>
  <si>
    <t>Avaya SA Renewal, refer quotation reference#CIL25/Q/0241</t>
  </si>
  <si>
    <t>ZM1576864</t>
  </si>
  <si>
    <t>Mandy Lee (Joey Pang)</t>
  </si>
  <si>
    <t>BTB/034/2026</t>
  </si>
  <si>
    <t>00244830</t>
  </si>
  <si>
    <t>HONG KONG MONETART AUTHORITY</t>
  </si>
  <si>
    <t>4251200012MZ</t>
  </si>
  <si>
    <t>12Mth</t>
  </si>
  <si>
    <t>PICS Telecom Int'l Asia Limited</t>
  </si>
  <si>
    <t>Maintenance Service renewal, refer quotation no HKT_20260115_02 dated on 26-Jan-2026</t>
  </si>
  <si>
    <t>UID-26-01-0214-6</t>
  </si>
  <si>
    <t>NONBTB/035/2026</t>
  </si>
  <si>
    <t>Dickson Concepts Limited</t>
  </si>
  <si>
    <t>P MT/7801/MAMA/WW25</t>
  </si>
  <si>
    <t>MITEL NETWORKS ASIA PACIFIC LIMITED</t>
  </si>
  <si>
    <t>1 Year Maintenance Service Renewal, refer email quotation dated on 08-Jan-2026</t>
  </si>
  <si>
    <t>ZM1578666</t>
  </si>
  <si>
    <t>Winnie Chow</t>
  </si>
  <si>
    <t>Hong, Wallace CM /
Choi, Jackie LP</t>
  </si>
  <si>
    <t>UID-26-01-0334</t>
  </si>
  <si>
    <t>NONBTB/036/2026</t>
  </si>
  <si>
    <t>Soravit Hotels Group Ltd</t>
  </si>
  <si>
    <t>P/2025/WB/477AC</t>
  </si>
  <si>
    <t>ICONNECT SYSTEM LIMITED</t>
  </si>
  <si>
    <t>2 Year Maintenance of iConnect Hotel Suite CAS+PMSi+8 port Voicemail, refer quotation dated on 21-Jan-2026</t>
  </si>
  <si>
    <t>ZM1580716</t>
  </si>
  <si>
    <t>Kiwi Wong</t>
  </si>
  <si>
    <t>Wong, Calvin KW /
Leung, Gary NT</t>
  </si>
  <si>
    <t>UID-26-01-0299</t>
  </si>
  <si>
    <t>BTB/037/2026</t>
  </si>
  <si>
    <t>China Consstruction Bank (Asia) Coporation Limited</t>
  </si>
  <si>
    <t>4260200001JI</t>
  </si>
  <si>
    <t>Cisco</t>
  </si>
  <si>
    <t>Maintenance Renew of Cisco , refer Web Order ID 11000700213 dated on 1-FEB-26</t>
  </si>
  <si>
    <t>ZM1585987</t>
  </si>
  <si>
    <t>UID-26-02-0006</t>
  </si>
  <si>
    <t>BTB/038/2026</t>
  </si>
  <si>
    <t xml:space="preserve">HKUGA PRIMARY SCHOOL </t>
  </si>
  <si>
    <t>W250990233L3</t>
  </si>
  <si>
    <t>Xtreme Lighting</t>
  </si>
  <si>
    <t>Maintenance Service renewal, refer quotation no Q2025090036R3 dated on 30-Jan-2026</t>
  </si>
  <si>
    <t>ZM1579847</t>
  </si>
  <si>
    <t>UID-26-02-0003</t>
  </si>
  <si>
    <t>BTB/039/2026</t>
  </si>
  <si>
    <t>Livi Bank Ltd</t>
  </si>
  <si>
    <t>P/7867/MAMA/KW25</t>
  </si>
  <si>
    <t>INGRAM MICRO (CHINA) LIMITED</t>
  </si>
  <si>
    <t>Maintenance Service renewal, refer quotation no QUO-2438914-Q0L9P7 dated on 27-Jan-2026</t>
  </si>
  <si>
    <t>ZM1589020</t>
  </si>
  <si>
    <t xml:space="preserve">Kiwi Wong   </t>
  </si>
  <si>
    <t>UID-26-02-0023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</si>
  <si>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BTB/040/2026</t>
    </r>
  </si>
  <si>
    <t>Hong Kong Parkview Management Services Ltd</t>
  </si>
  <si>
    <t>P/7878/MAMA/TH25</t>
  </si>
  <si>
    <t>Maintenace Support for NEC SV9300, refer quotation#QTN-26048853-ESD-R01</t>
  </si>
  <si>
    <t>ZM1580713</t>
  </si>
  <si>
    <t>UID-26-02-0033</t>
  </si>
  <si>
    <t>BTB/041/2026</t>
  </si>
  <si>
    <t>HONG KONG CONVENTION &amp; EXHIBITION CENTRE</t>
  </si>
  <si>
    <t>L250890183CB</t>
  </si>
  <si>
    <t>Socif Limited</t>
  </si>
  <si>
    <t>Maintenance Service renewal, refer quotation no SOC-HKT-HKCEC-MAINTENANCE-2026-V2 dated on 30-Jan-2026</t>
  </si>
  <si>
    <t>ZM1582952</t>
  </si>
  <si>
    <t>Ina Chan</t>
  </si>
  <si>
    <t>UID-26-02-0034-2</t>
  </si>
  <si>
    <t>NONBTB/042/2026</t>
  </si>
  <si>
    <t>ALF RETAIL HONG KONG LTD</t>
  </si>
  <si>
    <t>4251090090CB</t>
  </si>
  <si>
    <t>NRG Hong Kong Limited</t>
  </si>
  <si>
    <t>Maintenance Service renewal, refer quotation no N-26010345-01 dated on 5-Jan-2026</t>
  </si>
  <si>
    <t>ZM1583295</t>
  </si>
  <si>
    <t>UID-25-12-0143</t>
  </si>
  <si>
    <t>NONBTB/043/2026</t>
  </si>
  <si>
    <t xml:space="preserve">HONG KONG MONETARY AUTHORITY </t>
  </si>
  <si>
    <r>
      <rPr>
        <sz val="10"/>
        <color rgb="FF000000"/>
        <rFont val="Tahoma"/>
      </rPr>
      <t>Maintenance Renew of Cisco , refer Quote Number</t>
    </r>
    <r>
      <rPr>
        <sz val="10"/>
        <color rgb="FFFF0000"/>
        <rFont val="Tahoma"/>
      </rPr>
      <t xml:space="preserve"> 432036040 dated on 20-Jul-26</t>
    </r>
  </si>
  <si>
    <t>UID-26-01-0214-2</t>
  </si>
  <si>
    <t>BTB/044/2026</t>
  </si>
  <si>
    <t>Carl Zeiss Far East Co Ltd</t>
  </si>
  <si>
    <t>P/7843/MAMA/TH25</t>
  </si>
  <si>
    <t>Westcon Solutions (HK) Limited</t>
  </si>
  <si>
    <t>1 Year Maintenace Support, refer Sales Quotation#24541782_Rev0</t>
  </si>
  <si>
    <t>ZM1580148</t>
  </si>
  <si>
    <t>UID-26-01-0195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</si>
  <si>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BTB/045/2026</t>
    </r>
  </si>
  <si>
    <t>Lippo Capital Limited</t>
  </si>
  <si>
    <t>P/7902/MAMA/TH26</t>
  </si>
  <si>
    <t>Maintenace Support for NEC SV9300, refer quotation#QTN-26048916-ESD</t>
  </si>
  <si>
    <t>ZM1580714</t>
  </si>
  <si>
    <t>UID-26-02-0086</t>
  </si>
  <si>
    <t>SB confirmed change to NBTB PR issue on 27-Feb</t>
  </si>
  <si>
    <t>BTB/046/2026</t>
  </si>
  <si>
    <t>Nina Hotel Tsuen Wan West</t>
  </si>
  <si>
    <t>P/7872/MAMA/CF25</t>
  </si>
  <si>
    <t>Renewal of Support and Maintenance Services, refer Quotation No  SQ-HKS00676</t>
  </si>
  <si>
    <t>ZM1580336</t>
  </si>
  <si>
    <t>UID-26-02-0099</t>
  </si>
  <si>
    <r>
      <rPr>
        <strike/>
        <sz val="10"/>
        <color rgb="FFFF0000"/>
        <rFont val="Tahoma"/>
      </rPr>
      <t>NON</t>
    </r>
    <r>
      <rPr>
        <sz val="10"/>
        <color rgb="FF000000"/>
        <rFont val="Tahoma"/>
      </rPr>
      <t>BTB/047/2026</t>
    </r>
  </si>
  <si>
    <t>Annual Maintenance of TeleCARE CAS+PMS+VMS 16 port + PC, refer Quotation dated on 21-Jan-26</t>
  </si>
  <si>
    <t>ZM1586331</t>
  </si>
  <si>
    <t>SB confirmed change to BTB PR issue on 30-Mar</t>
  </si>
  <si>
    <t>NONBTB/048/2026</t>
  </si>
  <si>
    <t>Intercontinental Grand Standford Hotel</t>
  </si>
  <si>
    <t>P/7816/MAMA/CF25</t>
  </si>
  <si>
    <t>NEC UCB System Ver 8.1, refer Agreement No.:QTN-26048940-ESD</t>
  </si>
  <si>
    <t>ZM1595016</t>
  </si>
  <si>
    <t>UID-26-02-0129</t>
  </si>
  <si>
    <t>BTB/049/2026</t>
  </si>
  <si>
    <t>PCCW Digital Solutions Limited</t>
  </si>
  <si>
    <t>P/7879/MAMA/YR25</t>
  </si>
  <si>
    <t>Avaya SA Renewal, refer quotation reference#SHK704MWLH</t>
  </si>
  <si>
    <t>ZM1581146</t>
  </si>
  <si>
    <t>UID-26-02-0195</t>
  </si>
  <si>
    <t>Request issue PO to Vendor on or before 27-Feb-2026</t>
  </si>
  <si>
    <t>BTB/050/2026</t>
  </si>
  <si>
    <t>Avaya SA Renewal, refer quotation reference#SHK704MWLG</t>
  </si>
  <si>
    <t>ZM1581147</t>
  </si>
  <si>
    <t>1. 27-Apr-26</t>
  </si>
  <si>
    <t>Request issue PO to Vendor on or before 27-Feb-2026. 1st payment USD8,429.32</t>
  </si>
  <si>
    <t>BTB/051/2026</t>
  </si>
  <si>
    <t>Hong Kong Productivity Council</t>
  </si>
  <si>
    <t>P AV/7900/MA/CP26</t>
  </si>
  <si>
    <t>Avaya</t>
  </si>
  <si>
    <t>Avaya Subscription Renewal, refer quotation reference#SHK704J33P</t>
  </si>
  <si>
    <t>ZM1581677</t>
  </si>
  <si>
    <t>UID-26-02-0199</t>
  </si>
  <si>
    <t>BTB/052/2026</t>
  </si>
  <si>
    <t>ICG</t>
  </si>
  <si>
    <t>AudioCodes M800C Support Service Plan, refer quotation no.IQ10554-0126</t>
  </si>
  <si>
    <t>ZM1581695</t>
  </si>
  <si>
    <t>BTB/053/2026</t>
  </si>
  <si>
    <t>Maintenance of TeleCARE Call Accounting System (PC Included), refer Quotation date on 09-Jan-2026</t>
  </si>
  <si>
    <t>ZM1582146</t>
  </si>
  <si>
    <t>BTB/054/2026</t>
  </si>
  <si>
    <t>P/7849/WAWA/CO25</t>
  </si>
  <si>
    <t>Active e-Solution Limited</t>
  </si>
  <si>
    <t>Active Local Annual Support Maintenance and OceanX Annual Software Maintenance, refer Quotation#H018-260101-Z1S08M1W-HKPF</t>
  </si>
  <si>
    <t>ZM1582276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</si>
  <si>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BTB/055/2026</t>
    </r>
  </si>
  <si>
    <t>The Hong Kong Jockey Club</t>
  </si>
  <si>
    <t>P/7876/MAMA/LS26</t>
  </si>
  <si>
    <t>AudioCodes Mediant 1000B Media Gateway, refer Quotation IQ10514a-1025</t>
  </si>
  <si>
    <t>ZM1581426</t>
  </si>
  <si>
    <t>UID-26-02-0204</t>
  </si>
  <si>
    <t>Request issue PO to Vendor on or before 27-Feb-2026. (SB confirm change to NBTB on 6/3)</t>
  </si>
  <si>
    <t>BTB/056/2026</t>
  </si>
  <si>
    <t>AudioCodes IP430HD Phone Set Support Service Plan, refer Quotation IQ10526b-1225</t>
  </si>
  <si>
    <t>ZM1581428</t>
  </si>
  <si>
    <t>BTB/057/2026</t>
  </si>
  <si>
    <t>AudionCodes M1KB CHAMPS Plan Annual Fee, refer Quotation IQ10527b-1225</t>
  </si>
  <si>
    <t>ZM1581424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</si>
  <si>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BTB/058/2026</t>
    </r>
  </si>
  <si>
    <t>Maintenance Service renewal, refer quotation no HK24HKTHKAT1MN dated on 9-Feb-2026</t>
  </si>
  <si>
    <t>ZM1583285</t>
  </si>
  <si>
    <t>BTB/059/2026</t>
  </si>
  <si>
    <t>First Pacific Investment Management Ltd</t>
  </si>
  <si>
    <t>P/7873/MAMA/CB26</t>
  </si>
  <si>
    <t>Avaya Subscription Renewal, refer quotation reference#SHK704MJ5P</t>
  </si>
  <si>
    <t>ZM1581414</t>
  </si>
  <si>
    <t>UID-26-02-0251</t>
  </si>
  <si>
    <t>Request issue PO to Vendor on or before 27-Feb-2026 (SB submit email on 26/2, 18:10)</t>
  </si>
  <si>
    <t>BTB/060/2026</t>
  </si>
  <si>
    <t>1 Yr Subscription License with Support, refer Sales Quotaton# 24780253_Rev1</t>
  </si>
  <si>
    <t>ZM1582696</t>
  </si>
  <si>
    <t>(NON)BTB/061/2026</t>
  </si>
  <si>
    <t>HKT Teleservices International Ltd</t>
  </si>
  <si>
    <t>P/8000/MAMA/YR25</t>
  </si>
  <si>
    <t>Avaya SA Renewal Charges, refer quotation reference#CIL25/Q/0291</t>
  </si>
  <si>
    <t>ZM1582583</t>
  </si>
  <si>
    <t>UID-26-02-0259</t>
  </si>
  <si>
    <t>Request issue PO to Vendor on or before 03-Mar-2026 (BTB:01-Apr-26 to 28-Feb-28) NBTB:(01 to 31-Mar-28, $18,277.87)</t>
  </si>
  <si>
    <t>BTB/062/2026</t>
  </si>
  <si>
    <t>Bank of Montreal Hong Kong Branch</t>
  </si>
  <si>
    <t>D/7909/MAMA/WW26</t>
  </si>
  <si>
    <t>AudioCodes M800C Media Gateway CHAMPS Plan Renewal Fee, refer Quotation IQ10556a-0126</t>
  </si>
  <si>
    <t>ZM1583709</t>
  </si>
  <si>
    <t>UID-26-03-0014</t>
  </si>
  <si>
    <t>Request issue PO to Vendor on or before 17-Mar-2026</t>
  </si>
  <si>
    <t>BTB/063/2026</t>
  </si>
  <si>
    <t>IFC Development (Hotel) Ltd. Trading as Four Seasons Hotel Hong Kong</t>
  </si>
  <si>
    <t>P/7880/MAMA/TH25</t>
  </si>
  <si>
    <t>Renewal of Support and Maintenance Services, refer Quotation No  SQ-HKS00685</t>
  </si>
  <si>
    <t>ZM1585083</t>
  </si>
  <si>
    <t>UID-26-03-0002</t>
  </si>
  <si>
    <t>BTB/064/2026</t>
  </si>
  <si>
    <t>1,890.00
1,400.00</t>
  </si>
  <si>
    <t>One year</t>
  </si>
  <si>
    <t>ASL
Man Fung</t>
  </si>
  <si>
    <t>HP HPE ProLiant ML350p Gen8 Hot Plug 8 SFF
HP HPE ProLiant DL388 Gen9 Server</t>
  </si>
  <si>
    <t>15-Jun-26
02-Jul-26</t>
  </si>
  <si>
    <t>ZM1597862
ZM1600409</t>
  </si>
  <si>
    <t>BTB/065/2026</t>
  </si>
  <si>
    <t xml:space="preserve">The Bank of East Asia, Limited </t>
  </si>
  <si>
    <t>4260290206JI</t>
  </si>
  <si>
    <t>Maintenance Renew of Cisco , refer Web Order ID 11000839397 dated on 22-FEB-26</t>
  </si>
  <si>
    <t>Z1582455</t>
  </si>
  <si>
    <t>UID-26-03-0024</t>
  </si>
  <si>
    <r>
      <t xml:space="preserve">Please send the </t>
    </r>
    <r>
      <rPr>
        <b/>
        <sz val="10"/>
        <color rgb="FFC82613"/>
        <rFont val="Calibri"/>
        <family val="2"/>
        <charset val="1"/>
      </rPr>
      <t xml:space="preserve">PO to vendor </t>
    </r>
    <r>
      <rPr>
        <b/>
        <u/>
        <sz val="10"/>
        <color rgb="FFC82613"/>
        <rFont val="Calibri"/>
        <family val="2"/>
        <charset val="1"/>
      </rPr>
      <t>on or before 6-Mar-2026</t>
    </r>
  </si>
  <si>
    <t>BTB/066/2026</t>
  </si>
  <si>
    <t>Hong Kong Baptist Hospital</t>
  </si>
  <si>
    <t>P/8032/WAWA/YT25</t>
  </si>
  <si>
    <t>Alcatel</t>
  </si>
  <si>
    <t>SPS Renewal refer SC Reference no.11901953</t>
  </si>
  <si>
    <t>ZM1583578</t>
  </si>
  <si>
    <t>UID-26-02-0267</t>
  </si>
  <si>
    <t>404408373-2</t>
  </si>
  <si>
    <t>NONBTB/067/2026</t>
  </si>
  <si>
    <t xml:space="preserve"> C582</t>
  </si>
  <si>
    <t>HA-Tang Shiu Kin Hospital</t>
  </si>
  <si>
    <t>P AL/6214/MA/BL23</t>
  </si>
  <si>
    <t>SPS Renewal refer SC Reference no.11928852</t>
  </si>
  <si>
    <t>ZM1583591</t>
  </si>
  <si>
    <t>UID-23-08-SS2-00004</t>
  </si>
  <si>
    <t>404408373-1</t>
  </si>
  <si>
    <t>BTB/068/2026</t>
  </si>
  <si>
    <t>One Time</t>
  </si>
  <si>
    <t>ZM1585955</t>
  </si>
  <si>
    <t>BTB/069/2026</t>
  </si>
  <si>
    <t xml:space="preserve">HKT Teleservices </t>
  </si>
  <si>
    <t>G260400018YR</t>
  </si>
  <si>
    <t>Chubb Hong Kong Limited</t>
  </si>
  <si>
    <t>Maintenance Service renewal, refer quotation no 35284698(Rev.1) dated on 25-Feb-2026</t>
  </si>
  <si>
    <t>ZC1584483</t>
  </si>
  <si>
    <t>UID-26-03-0067</t>
  </si>
  <si>
    <t>BTB/070/2026</t>
  </si>
  <si>
    <t>SHANGHAI COMMERCIAL BANK LTD</t>
  </si>
  <si>
    <t>31-12-26</t>
  </si>
  <si>
    <t>4251200034CB (Capture by 4260100108CB)</t>
  </si>
  <si>
    <t>NEXUS2S Asia Limited</t>
  </si>
  <si>
    <t>Maintenance Service renewal, refer quotation no QT-2500081R1 dated on 9-Mar-2026</t>
  </si>
  <si>
    <t>ZM1587737</t>
  </si>
  <si>
    <t>UID-26-03-0068</t>
  </si>
  <si>
    <t>BTB/071/2026</t>
  </si>
  <si>
    <t>Man Fung Technology Limited</t>
  </si>
  <si>
    <t>2 Years Onsite Hardware Maintenance Service, refer Quotation No.80005358</t>
  </si>
  <si>
    <t>cancel</t>
  </si>
  <si>
    <t>Hold by Wallace Hong; Confirmed Theo to cancel PR, email on 07-Aug-2026</t>
  </si>
  <si>
    <t>BTB/072/2026</t>
  </si>
  <si>
    <t>ELIBO ENGINEERING LIMITED</t>
  </si>
  <si>
    <t>15 Month Maintenance Service, refer Quotation No.Q4502324</t>
  </si>
  <si>
    <t>ZM1587304</t>
  </si>
  <si>
    <t>BTB/073/2026</t>
  </si>
  <si>
    <t>AEM</t>
  </si>
  <si>
    <t>2 Years Annual Maintenance, refer Quotation no.AEMQ-26-818659</t>
  </si>
  <si>
    <t>BTB/074/2026</t>
  </si>
  <si>
    <t>Hong Kong Gold Coast Hotel</t>
  </si>
  <si>
    <t>P AL/6881/MAMA/WC23</t>
  </si>
  <si>
    <t>SPS Renewal refer SC Reference no.00858328</t>
  </si>
  <si>
    <t>ZM1585713</t>
  </si>
  <si>
    <t>UID-24-07-0249</t>
  </si>
  <si>
    <t>NONBTB/075/2026</t>
  </si>
  <si>
    <t>Our Lady of Maryknoll Hospital</t>
  </si>
  <si>
    <t>P/8112/MAMA/YT26</t>
  </si>
  <si>
    <t>ALCATEL-LUCENT ENTERPRISE</t>
  </si>
  <si>
    <t>Software Support Services, refer SR#00858330</t>
  </si>
  <si>
    <t>ZM1586450</t>
  </si>
  <si>
    <t>UID-26-03-0121</t>
  </si>
  <si>
    <t>BTB/076/2026</t>
  </si>
  <si>
    <t>Tung Wah Group of Hospital - Wong Fung Ling</t>
  </si>
  <si>
    <t>P/7680/MAMA/YT25</t>
  </si>
  <si>
    <t>SPS Renewal refer SC Reference No.11929357</t>
  </si>
  <si>
    <t>ZM1585715</t>
  </si>
  <si>
    <t>UID-25-10-0034</t>
  </si>
  <si>
    <t>NONBTB/077/2026</t>
  </si>
  <si>
    <t>HKT Teleservices International Limited - Efficiency Office</t>
  </si>
  <si>
    <t>P AV/7047/MAMA/IY24</t>
  </si>
  <si>
    <t>Chinacomm International Ltd</t>
  </si>
  <si>
    <t>Avaya SA Renewal Charges, refer Quotation No.CIL25/Q/0267</t>
  </si>
  <si>
    <t>ZM1585069</t>
  </si>
  <si>
    <t>Ricky Yau</t>
  </si>
  <si>
    <t>UID-24-05-0225</t>
  </si>
  <si>
    <t>SB request issue PO to Vendor on or before 23-Mar</t>
  </si>
  <si>
    <t>BTB/078/2026</t>
  </si>
  <si>
    <t>Management Company of Olympic House Limited</t>
  </si>
  <si>
    <t>P/7944/MAMA/CF25</t>
  </si>
  <si>
    <t>Quintet VMS Maintenance Service Renewal, refer Quotation No.IQ10539R1-1225</t>
  </si>
  <si>
    <t>ZM1585727</t>
  </si>
  <si>
    <t>UID-26-03-0115</t>
  </si>
  <si>
    <t>BTB/079/2026</t>
  </si>
  <si>
    <t>The Peninsula Hotel Limited</t>
  </si>
  <si>
    <t>P/7906/MAMA/CF25</t>
  </si>
  <si>
    <t>Renewal of Support and Maintenance Services, refer Quotation No  SQ-HKS00703</t>
  </si>
  <si>
    <t>ZM1585722</t>
  </si>
  <si>
    <t>UID-26-03-0136</t>
  </si>
  <si>
    <t>BTB/080/2026</t>
  </si>
  <si>
    <t>NEC HONG KONG LTD</t>
  </si>
  <si>
    <t>NEC Q-Master Annual Maintenance, refer Quotation No.QTN-26048930-ESD-R01</t>
  </si>
  <si>
    <t>ZM1585540</t>
  </si>
  <si>
    <t>BTB/081/2026</t>
  </si>
  <si>
    <t>SV9500 Telephone System Software Assurance, refer Quotation No.QTN-26048929-ESD-R01</t>
  </si>
  <si>
    <t>ZM1585709</t>
  </si>
  <si>
    <t>vendor service period is not match but which is continued the last order 接龍</t>
  </si>
  <si>
    <t>BTB/082/2026</t>
  </si>
  <si>
    <t>NEC UCB Voice Logger Maintenance, refer Quotation No.QTN-26048931-ESD-R01</t>
  </si>
  <si>
    <t>ZM1585692</t>
  </si>
  <si>
    <t>BTB/083/2026</t>
  </si>
  <si>
    <t>MLC Maintenance Services, refer Quotation No.QTN-26048951-ESD</t>
  </si>
  <si>
    <t>ZM1585763</t>
  </si>
  <si>
    <t>BTB/084/2026</t>
  </si>
  <si>
    <t xml:space="preserve">MANULIFE (INTERNATIONAL) LTD </t>
  </si>
  <si>
    <t>4260200015YR</t>
  </si>
  <si>
    <t>Dropick Limited</t>
  </si>
  <si>
    <t>Maintenance Service renewal, refer quotation no HKT2026-Q03091-1 dated on 18-Mar-2026</t>
  </si>
  <si>
    <t>ZM1586193</t>
  </si>
  <si>
    <t>UID-26-03-0072-1</t>
  </si>
  <si>
    <t>NONBTB/085/2026</t>
  </si>
  <si>
    <t>One time</t>
  </si>
  <si>
    <t>Schot Limited</t>
  </si>
  <si>
    <t>brightsign XT1144, refer quotation no Q2600010 dated on 10-Mar-2026</t>
  </si>
  <si>
    <t>ZM1586481</t>
  </si>
  <si>
    <t>UID-26-03-0072-2</t>
  </si>
  <si>
    <t>BTB/086/2026</t>
  </si>
  <si>
    <t>ASSEMBLY OF GOD HEBRON SEC SCH</t>
  </si>
  <si>
    <t>W260101184L2</t>
  </si>
  <si>
    <t>Xtreme Lighting Limited</t>
  </si>
  <si>
    <t>Maintenance Service renewal, refer quotation no Q2025120010R dated on 18-Mar-2026</t>
  </si>
  <si>
    <t>ZM1594852</t>
  </si>
  <si>
    <t xml:space="preserve">Monster Liang </t>
  </si>
  <si>
    <t>UID-26-03-0153</t>
  </si>
  <si>
    <t>NONBTB/087/2026</t>
  </si>
  <si>
    <t>CHINA TAIPING LIFT INSURANCE (HK) CO LTD</t>
  </si>
  <si>
    <t>4251200009MZ</t>
  </si>
  <si>
    <t>Vega</t>
  </si>
  <si>
    <t>Maintenance Service renewal, refer quotation no Q-2501487PMR02 dated on 3-Sep-2025</t>
  </si>
  <si>
    <t>ZM1586483</t>
  </si>
  <si>
    <t>UID-25-12-0023-1a</t>
  </si>
  <si>
    <t>BTB/088/2026</t>
  </si>
  <si>
    <t>AEM TECHNOLOGY LIMITED</t>
  </si>
  <si>
    <t>UPS Maintenance Renewal, refer Contract No. AEMMRC-26-818658</t>
  </si>
  <si>
    <t>ZM1585767</t>
  </si>
  <si>
    <t>Connie CHan</t>
  </si>
  <si>
    <t>BTB/089/2026</t>
  </si>
  <si>
    <t>Luxury Hotels International of Hong Kong Limited</t>
  </si>
  <si>
    <t>P/7877/MAMA/TH25</t>
  </si>
  <si>
    <t>One Year</t>
  </si>
  <si>
    <t>Elibo</t>
  </si>
  <si>
    <t>Annual Maintenance Service, refer Maintenance Agreement No.Q4600173</t>
  </si>
  <si>
    <t>Cancell</t>
  </si>
  <si>
    <t>UID-26-03-0154</t>
  </si>
  <si>
    <t>Confirmed by SB - Tsui, Ivan PH on 30-Mar-2026</t>
  </si>
  <si>
    <t>BTB/090/2026</t>
  </si>
  <si>
    <t>EUROP ASSISTANCE HONG KONG LIMITED</t>
  </si>
  <si>
    <t>P/8111/WAWA/CF26</t>
  </si>
  <si>
    <t>AudioCodes ACTS and Managed Spare Support Contract Renewal, refer Quotation Ref:IQ10559-0126</t>
  </si>
  <si>
    <t>ZM1585726</t>
  </si>
  <si>
    <t>UID-26-03-0176</t>
  </si>
  <si>
    <t>BTB/091/2026</t>
  </si>
  <si>
    <t>The HK &amp; China Gas Co Ltd</t>
  </si>
  <si>
    <t>P AV/7905/MA/KW25</t>
  </si>
  <si>
    <t>Avaya Subscription Renewal, refer quotation ref#SHK704P9Q4</t>
  </si>
  <si>
    <t>ZM1585678</t>
  </si>
  <si>
    <t>UID-26-03-0188</t>
  </si>
  <si>
    <t>Annual Payment</t>
  </si>
  <si>
    <t>NONBTB/092/2026a</t>
  </si>
  <si>
    <t>Avaya SA Renewal, refer quotation reference#CIL25/Q/0268</t>
  </si>
  <si>
    <t>ZM1585912</t>
  </si>
  <si>
    <t>BTB/093/2026</t>
  </si>
  <si>
    <t>CHOW TAI FOOK JEWELLERY CO LTD</t>
  </si>
  <si>
    <t>4251190251TS (2025WB960TS)</t>
  </si>
  <si>
    <t>NexuS2S</t>
  </si>
  <si>
    <t>Maintenance Service renewal, refer quotation no QT-2500073R1dated on 18-Mar-2026</t>
  </si>
  <si>
    <t>ZM1590808</t>
  </si>
  <si>
    <t>Simon Tan</t>
  </si>
  <si>
    <t>UID-25-11-0324</t>
  </si>
  <si>
    <t>NONBTB/094/2026</t>
  </si>
  <si>
    <t>iClub AMTD Sheun Wan Hotel</t>
  </si>
  <si>
    <t>P/7725/MA/TH25</t>
  </si>
  <si>
    <t>Renewal of Support and Maintenance Services, refer Quotation No  SQ-HKS00604</t>
  </si>
  <si>
    <t>ZM1586459</t>
  </si>
  <si>
    <t>UID-26-03-0301</t>
  </si>
  <si>
    <t>NONBTB request for the pre-order (NIL Customer signed MA or PO)</t>
  </si>
  <si>
    <t>BTB/095/2026</t>
  </si>
  <si>
    <t>iClub To Kwa Wan Hotel</t>
  </si>
  <si>
    <t>P/7917/MAMA/TH25</t>
  </si>
  <si>
    <t>Renewal of Support and Maintenance Services, refer Quotation No  SQ-HKS00689</t>
  </si>
  <si>
    <t>ZM1586461</t>
  </si>
  <si>
    <t>UID-26-03-0317</t>
  </si>
  <si>
    <t>BTB/096/2026</t>
  </si>
  <si>
    <t>HA-Tin Shui Wai Hospital</t>
  </si>
  <si>
    <t>P/7726/MAMA/YT25</t>
  </si>
  <si>
    <t>SPS Renewal refer SC Reference no.11930540</t>
  </si>
  <si>
    <t>ZM1587416</t>
  </si>
  <si>
    <t>Choi, Jackie LP / Hong, Wallace CM</t>
  </si>
  <si>
    <t>UID-25-12-0149</t>
  </si>
  <si>
    <t>BTB/097/2026</t>
  </si>
  <si>
    <t>HA-Wong Chak Hong Hospital</t>
  </si>
  <si>
    <t>P/7947/MAMA/YT25</t>
  </si>
  <si>
    <t>Annual Maintenance of Blackbox item (WCH), refer Quotation No.AEMMRC-26-818740 (WCH)</t>
  </si>
  <si>
    <t>ZM1588624</t>
  </si>
  <si>
    <t>UID-26-04-0013</t>
  </si>
  <si>
    <t>BTB/098/2026</t>
  </si>
  <si>
    <t>Proposal of UPS Maintenance Renewal, refer Contract Number: AEMMRC-26-818741</t>
  </si>
  <si>
    <t>ZM1587911</t>
  </si>
  <si>
    <t>BTB/099/2026</t>
  </si>
  <si>
    <t>iConnect System Limited</t>
  </si>
  <si>
    <t>Annual Maintenance of iConnect VMS Business 4 port +IPC(1set), refer Quotation date on 10-Mar-2026</t>
  </si>
  <si>
    <t>ZM1587910</t>
  </si>
  <si>
    <t>BTB/100/2026</t>
  </si>
  <si>
    <t>PCCW - HKT Teleservices</t>
  </si>
  <si>
    <t>H260500092YR</t>
  </si>
  <si>
    <t>1 Year Onsite Hardware Maintenance Service Support, refer Quotation No.80005396</t>
  </si>
  <si>
    <t>ZM1587512</t>
  </si>
  <si>
    <t>UID-26-03-0190</t>
  </si>
  <si>
    <t>Request issue PO to Man Fung on or before 21 Apr 2026</t>
  </si>
  <si>
    <t>BTB/101/2026</t>
  </si>
  <si>
    <t>International Finance Centre Management Co Ltd</t>
  </si>
  <si>
    <t>P AL/7912/MAMA/WW26</t>
  </si>
  <si>
    <t>Annual Maintenance of iConnect CAS+VMS 8 port +PC, refer Quotation date on 30-Jan-26</t>
  </si>
  <si>
    <t>ZM1588552</t>
  </si>
  <si>
    <t>UID-26-04-0015</t>
  </si>
  <si>
    <t>BTB/102/2026</t>
  </si>
  <si>
    <t>P AV/7545/MA/LS25</t>
  </si>
  <si>
    <t>ENTRYPOINT SYSTEMS 2004 LTD</t>
  </si>
  <si>
    <t>TMS License and Services renewal, refer Quotation date on 4/13/2026</t>
  </si>
  <si>
    <t>ZM1591813</t>
  </si>
  <si>
    <t>UID-25-07-0219</t>
  </si>
  <si>
    <t>Date back: 20250701 - 20260630</t>
  </si>
  <si>
    <t>NONBTB/103/2026</t>
  </si>
  <si>
    <t>P AV/6973/MA/SD23</t>
  </si>
  <si>
    <t>TMS License and Services renewal, refer Quotation date on 3/5/2026</t>
  </si>
  <si>
    <t>ZM1591815</t>
  </si>
  <si>
    <t>UID-24-11-0046-2</t>
  </si>
  <si>
    <t>Date back: 20240701 - 20250630</t>
  </si>
  <si>
    <t>BTB/104/2026</t>
  </si>
  <si>
    <t xml:space="preserve">FUKIEN SECONDARY SCHOOL </t>
  </si>
  <si>
    <t>W260400673L3</t>
  </si>
  <si>
    <t>Maintenance Service renewal, refer quotation no.Q2026030008R dated on 18-Mar-2026</t>
  </si>
  <si>
    <t>ZM1590090</t>
  </si>
  <si>
    <t>UID-26-04-0035</t>
  </si>
  <si>
    <t>NONBTB/105/2026</t>
  </si>
  <si>
    <t>United Assets Company Limited</t>
  </si>
  <si>
    <t>P/7967/MAMA/C26</t>
  </si>
  <si>
    <t>Maintenace Support for NEC SV9300, refer quotation#QTN-26048852-ESD-R03</t>
  </si>
  <si>
    <t>ZM1591039</t>
  </si>
  <si>
    <t>UID-26-04-0019</t>
  </si>
  <si>
    <t>BTB/106/2026</t>
  </si>
  <si>
    <t>Nina Hotel Island South</t>
  </si>
  <si>
    <t>P/7979/MAMA/CF25</t>
  </si>
  <si>
    <t>Renewal of Support and Maintenance Services, refer Quotation No  SQ-HKS00722</t>
  </si>
  <si>
    <t>ZM1591050</t>
  </si>
  <si>
    <t>UID-26-04-0042</t>
  </si>
  <si>
    <t>BTB/107/2026</t>
  </si>
  <si>
    <t>HKSH Eastern Medical Centre Limited</t>
  </si>
  <si>
    <t>P/7824/MAMA/CO25</t>
  </si>
  <si>
    <t>SPS Renewal refer SC Reference no.11943464</t>
  </si>
  <si>
    <t>ZM1590233</t>
  </si>
  <si>
    <t>UID-26-01-0029</t>
  </si>
  <si>
    <t>NONBTB/108/2026</t>
  </si>
  <si>
    <t>GH Hotel Company Limited</t>
  </si>
  <si>
    <t>P/7899/MAMA/MZ25</t>
  </si>
  <si>
    <t>Alliance Systems &amp; Appliances</t>
  </si>
  <si>
    <t>Poly Spare Savi 8240/8245 Deluxe Kit Battery &amp; Cradle, refer Quotation dated on 25-Mar-2026</t>
  </si>
  <si>
    <t>ZM1590452</t>
  </si>
  <si>
    <t>UID-26-04-0050</t>
  </si>
  <si>
    <t>BTB/109/2026</t>
  </si>
  <si>
    <t>Leisure and Cultural Services Department - LCSD</t>
  </si>
  <si>
    <t>P/7975/MA/IL26</t>
  </si>
  <si>
    <t>Quintet VMS Maintenance Service Support, refer Quotation No.IQ10564-0126</t>
  </si>
  <si>
    <t>ZM1590422</t>
  </si>
  <si>
    <t>Ida Leung</t>
  </si>
  <si>
    <t>UID-26-04-0072</t>
  </si>
  <si>
    <t>NONBTB/110/2026</t>
  </si>
  <si>
    <t>Avaya SA Renewal, refer quotation reference#CIL25/Q/0303</t>
  </si>
  <si>
    <t>ZM1590116</t>
  </si>
  <si>
    <t>BTB/111/2026</t>
  </si>
  <si>
    <t>Digital Policy Office</t>
  </si>
  <si>
    <t>4260500011CP</t>
  </si>
  <si>
    <t>Maintenance Service renewal, refer quotation no.Q2026020026 dated on 23-Feb-2026</t>
  </si>
  <si>
    <t>ZM1590100</t>
  </si>
  <si>
    <t>UID-26-04-0106</t>
  </si>
  <si>
    <t>BTB/112/2026</t>
  </si>
  <si>
    <t>MTR Corporation Limited</t>
  </si>
  <si>
    <t>P AV/7943/MAMA/WW26</t>
  </si>
  <si>
    <t>Infotalk Corporation Limited</t>
  </si>
  <si>
    <t>Annual License Fee and Offsite Support, refer Quotation No.HKT-26012101</t>
  </si>
  <si>
    <t>ZM1590438</t>
  </si>
  <si>
    <t>UID-26-04-0132</t>
  </si>
  <si>
    <t>Quotation valid until 30 Apr 2026</t>
  </si>
  <si>
    <t>NONBTB/113/2026</t>
  </si>
  <si>
    <t>Avaya SA Renewal, refer quotation reference#CIL25/Q/0326</t>
  </si>
  <si>
    <t>ZM1590679</t>
  </si>
  <si>
    <t>NONBTB/114/2026</t>
  </si>
  <si>
    <t>Avaya SA Renewal, refer quotation reference#CIL25/Q/0324</t>
  </si>
  <si>
    <t>ZM1590676</t>
  </si>
  <si>
    <t>NONBTB/115/2026</t>
  </si>
  <si>
    <t>Tung Wah Group of Hospitals</t>
  </si>
  <si>
    <t>P/7990/WAWA/YT25_A</t>
  </si>
  <si>
    <t>SPS Renewal refer SC Reference no.11929845</t>
  </si>
  <si>
    <t>ZM1590739</t>
  </si>
  <si>
    <t>UID-26-04-0179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</si>
  <si>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BTB/116/2026a</t>
    </r>
  </si>
  <si>
    <t>AVAYA HONG KONG LIMITED</t>
  </si>
  <si>
    <t>Avaya Service Charge, refer Quotation No.25675932, SSHK704KG64, SHK704KGCY, SHK704KG4G, SHK704KGBX, SHK704KG4J, SHK704LV3M, SHK704LV3L, SHK704KGG4, SHK704KGF0, SHK704KGBW, SHK704KGF2, SHK704LWP3, SHK704KG8K, SHK704KG66, SHK704KGBV</t>
  </si>
  <si>
    <t>ZM1590687</t>
  </si>
  <si>
    <t>NONBTB/117/2026</t>
  </si>
  <si>
    <t>YF LIFE INSURANCE INTERNATIONAL LIMITED</t>
  </si>
  <si>
    <t>4260290132J3</t>
  </si>
  <si>
    <t>Antelope International Limited</t>
  </si>
  <si>
    <t>Maintenance Service renewal, refer quotation no.QUO3418-A (Ver 2a) dated on 27-Apr-2026</t>
  </si>
  <si>
    <t>UID-26-04-0220</t>
  </si>
  <si>
    <t>NONBTB/118/2026</t>
  </si>
  <si>
    <t>Maintenance Service renewal, refer quotation no.QUO3375-A (Ver 3b)dated on 27-Apr-2026</t>
  </si>
  <si>
    <t>BTB/119/2026</t>
  </si>
  <si>
    <t>THE EVANGELICAL LUTHERAN CHURCH</t>
  </si>
  <si>
    <t>4260400001TH</t>
  </si>
  <si>
    <t>Alpha Beans Limited</t>
  </si>
  <si>
    <t>Maintenance Service renewal, refer quotation no.ABQ26033101R1dated on 31-Mar-2026</t>
  </si>
  <si>
    <t>ZM1592098</t>
  </si>
  <si>
    <t>UID-26-05-0005</t>
  </si>
  <si>
    <t>BTB/120/2026</t>
  </si>
  <si>
    <t>Hong Kong Aero Engine Services Limited</t>
  </si>
  <si>
    <t>P/7987/MAMA/LS26</t>
  </si>
  <si>
    <t>Sen Spirit Technology Limited</t>
  </si>
  <si>
    <t>2 Year Avaya Support Service, refer quotation dated on 07-May-2026</t>
  </si>
  <si>
    <t>ZM1592622</t>
  </si>
  <si>
    <t>UID-26-05-0006</t>
  </si>
  <si>
    <t>Annual Payment - USD22,005.02</t>
  </si>
  <si>
    <t>BTB/121/2026</t>
  </si>
  <si>
    <t>Hillwood House Hotel Limited c/o Richmond Hill</t>
  </si>
  <si>
    <t>P2026WB305AC</t>
  </si>
  <si>
    <t>Avaya Service Charge, refer Quotation SHK704VMJ1</t>
  </si>
  <si>
    <t>ZM1592628</t>
  </si>
  <si>
    <t>Abby Chan</t>
  </si>
  <si>
    <t>UID-26-05-0049</t>
  </si>
  <si>
    <t>BTB/122/2026</t>
  </si>
  <si>
    <t xml:space="preserve">TSING YI TRADE ASSOCIATION PRIMARY </t>
  </si>
  <si>
    <t>W260400715L3</t>
  </si>
  <si>
    <t>Maintenance Service renewal, refer quotation no.Q2026030007R dated on 8-May-2026</t>
  </si>
  <si>
    <t>ZM1596791</t>
  </si>
  <si>
    <t>UID-26-05-0072</t>
  </si>
  <si>
    <t>NONBTB/122/2026</t>
  </si>
  <si>
    <t>LANSON PLACE HOTEL</t>
  </si>
  <si>
    <t>4260590180TH</t>
  </si>
  <si>
    <t>one time</t>
  </si>
  <si>
    <t>Maintenance Service renewal, refer email quotation dated on 6-Mar-2026</t>
  </si>
  <si>
    <t>ZM1595781</t>
  </si>
  <si>
    <t xml:space="preserve">Ivan Tsui </t>
  </si>
  <si>
    <t>UID-26-05-0129</t>
  </si>
  <si>
    <t>BTB/123/2026</t>
  </si>
  <si>
    <t>L260590168CB (Quotation 2026WB262CB</t>
  </si>
  <si>
    <t>Maintenance Service renewal, refer quotation no.QVIZ197154 dated on 23-Feb-2026</t>
  </si>
  <si>
    <t>ZM1597216</t>
  </si>
  <si>
    <t>UID-26-05-0109</t>
  </si>
  <si>
    <t>NONBTB/124/2026</t>
  </si>
  <si>
    <t>HA-TWGHS, Int'l Funeral Parlour</t>
  </si>
  <si>
    <t>P/7837/MAMA/YT25</t>
  </si>
  <si>
    <t>SPS Renewal refer SC Reference no.11942313</t>
  </si>
  <si>
    <t>ZM1594397</t>
  </si>
  <si>
    <t>UID-26-05-0067</t>
  </si>
  <si>
    <t>BTB/125/2026</t>
  </si>
  <si>
    <t>P AV/7980/MA/LS26</t>
  </si>
  <si>
    <t>refer Quote</t>
  </si>
  <si>
    <t>Avaya SA Renewal, refer quotation no. SHK704Q2PH, SHK704PW7X, SHK704PW7Y, SH704PW81, SHK704PX3F, SH704Q2N5, SHK704Q5JN, SHK704Q5L4</t>
  </si>
  <si>
    <t>ZM1594534
ZM1594555</t>
  </si>
  <si>
    <t>UID-26-05-0075</t>
  </si>
  <si>
    <t>BTB/126/2026</t>
  </si>
  <si>
    <t>CGN New Energy Holdings Co Ltd</t>
  </si>
  <si>
    <t>P/8185/WBWB/WC26 (2026WB277WC)</t>
  </si>
  <si>
    <t>Avaya IPO Services Support, refer Quotation No.SHK704V1VJ</t>
  </si>
  <si>
    <t>ZM1594166</t>
  </si>
  <si>
    <t>Cammy Wong</t>
  </si>
  <si>
    <t>UID-26-05-0077</t>
  </si>
  <si>
    <t>BTB/127/2026</t>
  </si>
  <si>
    <t>HA-HAHO</t>
  </si>
  <si>
    <t xml:space="preserve"> P/7608/MAMA/YT25</t>
  </si>
  <si>
    <t>SPS Renewal refer SC Reference no.11942304</t>
  </si>
  <si>
    <t>ZM1594404</t>
  </si>
  <si>
    <t>UID-25-09-0288</t>
  </si>
  <si>
    <t>BTB/128/2026</t>
  </si>
  <si>
    <t>HA-Pok Oi Hospital</t>
  </si>
  <si>
    <t>P/7612/MAMA/YT25</t>
  </si>
  <si>
    <t>SPS Renewal refer SC Reference no.11942302</t>
  </si>
  <si>
    <t>ZM1594406</t>
  </si>
  <si>
    <t>UID-25-08-0176</t>
  </si>
  <si>
    <t>NONBTB/129/2026</t>
  </si>
  <si>
    <t>AVIT Engineering Company Limited</t>
  </si>
  <si>
    <t xml:space="preserve">Maintenance Service renewal, refer quotation no.Q26032405, Q26030604 </t>
  </si>
  <si>
    <t>ZM1597798</t>
  </si>
  <si>
    <t>BTB/131/2026</t>
  </si>
  <si>
    <t>HA-The Cheshire Home, Chung Hom Kok</t>
  </si>
  <si>
    <t xml:space="preserve"> P/7646/MAMA/YT25</t>
  </si>
  <si>
    <t>SPS Renewal refer SC Reference no.11942298</t>
  </si>
  <si>
    <t>ZM1595063</t>
  </si>
  <si>
    <t>UID-25-09-0081</t>
  </si>
  <si>
    <t>BTB/132/2026</t>
  </si>
  <si>
    <t>Contempo Limited</t>
  </si>
  <si>
    <t>P/7973/MAMA/ND26</t>
  </si>
  <si>
    <t>Avaya Renew Service, refer Quotation Date on 18-May-26</t>
  </si>
  <si>
    <t>ZM1599362</t>
  </si>
  <si>
    <t>Winne Chow</t>
  </si>
  <si>
    <t>UID-26-05-0153</t>
  </si>
  <si>
    <t>BTB/133/2026</t>
  </si>
  <si>
    <t>NEW CHARM MANAGEMENT LTD</t>
  </si>
  <si>
    <t>4260400005CB</t>
  </si>
  <si>
    <t>Wintech Corporation HK Limited</t>
  </si>
  <si>
    <t>Maintenance Service renewal, refer quotation no.QCPE240691R1 dated on  21-Apr-2026</t>
  </si>
  <si>
    <t>ZM1598031</t>
  </si>
  <si>
    <t>UID-26-04-0143-19</t>
  </si>
  <si>
    <t>NONBTB/134/2026</t>
  </si>
  <si>
    <t>Footfall Cam</t>
  </si>
  <si>
    <t>Maintenance Service renewal, refer quotation no.MN260423_PCCWT dated on  26-Apr-2026</t>
  </si>
  <si>
    <t>ZM1595735</t>
  </si>
  <si>
    <t>BTB/135/2026</t>
  </si>
  <si>
    <t>SenseTime Group Limited</t>
  </si>
  <si>
    <t>Maintenance Service renewal, refer email quotation dated on  9-Jul-2026</t>
  </si>
  <si>
    <t>ZM1604298</t>
  </si>
  <si>
    <t>BTB/136/2026</t>
  </si>
  <si>
    <t>4260490026TH</t>
  </si>
  <si>
    <t>Exclusive Networks JJNet Hong Kong Ltd.</t>
  </si>
  <si>
    <t>Maintenance Service renewal, refer quotation no.QHK020002413 dated on  20-May-2026</t>
  </si>
  <si>
    <t>ZM1595628</t>
  </si>
  <si>
    <t>UID-26-04-0016</t>
  </si>
  <si>
    <t>BTB/137/2026</t>
  </si>
  <si>
    <t>4250190051ND</t>
  </si>
  <si>
    <t>Maintenance Service renewal, refer quotation no.HKT2026-Q02091 dated on  9-Feb-2026</t>
  </si>
  <si>
    <t>ZM1595368</t>
  </si>
  <si>
    <t>UID-25-08-0172</t>
  </si>
  <si>
    <t>BTB/138/2026</t>
  </si>
  <si>
    <t>P AV/7349/MAMA/LS24 &amp; 
P AV/7623/MAMA/LS24</t>
  </si>
  <si>
    <t>Avaya Subscription renewal, refer quotation no.SHK704W462</t>
  </si>
  <si>
    <t>ZM1594526</t>
  </si>
  <si>
    <t>UID-25-03-0151</t>
  </si>
  <si>
    <t>Request PO issue to Vendor before 26/5</t>
  </si>
  <si>
    <t>NONBTB/139/2026</t>
  </si>
  <si>
    <t>P/8225/WBWB/AC26</t>
  </si>
  <si>
    <t>Maintenance iConnect Hotel Suite CAS+PMSi+8 port VM (7x24), refer 21 Jan 2026 Quotation</t>
  </si>
  <si>
    <t>ZM1597974</t>
  </si>
  <si>
    <t>Calvin Wong</t>
  </si>
  <si>
    <t>UID-26-05-0182</t>
  </si>
  <si>
    <t>SB request to cancel PR.  Refer email on 02-Jun. Abby infrom PR on hold by phone call</t>
  </si>
  <si>
    <t>BTB/140/2026</t>
  </si>
  <si>
    <t>Regal Riverside Hotel</t>
  </si>
  <si>
    <t>P/7945/MAMA/TH25</t>
  </si>
  <si>
    <t>FCS</t>
  </si>
  <si>
    <t>Renewal of Support and Maintenance Services, refer Quotation No  SQ-HKS00723 dated on 11-Mar-26</t>
  </si>
  <si>
    <t>ZM1595856</t>
  </si>
  <si>
    <t>UID-26-05-0190</t>
  </si>
  <si>
    <t>BTB/141/2026</t>
  </si>
  <si>
    <t>D/7965/MAMA/YR25</t>
  </si>
  <si>
    <t>Avaya SA renewal, refer quotation no.SHK704QQBF</t>
  </si>
  <si>
    <t>ZM1595291</t>
  </si>
  <si>
    <t>1. 27-Jul-26</t>
  </si>
  <si>
    <t>UID-26-05-0229</t>
  </si>
  <si>
    <t>Request PO issue to Vendor before 29/5</t>
  </si>
  <si>
    <t>NONBTB/142/2026</t>
  </si>
  <si>
    <t>P/7648/MAMA/YT25</t>
  </si>
  <si>
    <t>SPS Renewal refer SC Reference no.11942309</t>
  </si>
  <si>
    <t>ZM1595365</t>
  </si>
  <si>
    <t>Choi, Jackie LP / Leung, Gary NT</t>
  </si>
  <si>
    <t>UID-25-10-0416</t>
  </si>
  <si>
    <t>BTB/143/2026</t>
  </si>
  <si>
    <t>ZC1595767</t>
  </si>
  <si>
    <t>NONBTB/144/2026</t>
  </si>
  <si>
    <t>Ming Pao Holdings Ltd</t>
  </si>
  <si>
    <t>P/8227/WBWB/WC26 (2026WB286WC)</t>
  </si>
  <si>
    <t>One Off</t>
  </si>
  <si>
    <t>NEC DT400 Digital 12-button Display Telephone, P/N: BE113862/DTZ-12D-3P (BK) TEL
NEC DT400 Digital 24-button Display Telephone, P/N: BE113864/DTZ-24D-3P(BK) TEL</t>
  </si>
  <si>
    <t>ZM1596470</t>
  </si>
  <si>
    <t>UID-26-05-0235</t>
  </si>
  <si>
    <t>BTB/145/2026</t>
  </si>
  <si>
    <t>HA-Queen May Hospital (QMH)</t>
  </si>
  <si>
    <t>P/8116/MAMA/YT26</t>
  </si>
  <si>
    <t>Quinet &amp; IVR Systems Maintenance Service Renewal, refer Quotation Ref.:IQ10578-0326</t>
  </si>
  <si>
    <t>ZM1596727</t>
  </si>
  <si>
    <t>UID-26-05-0245</t>
  </si>
  <si>
    <t>BTB/146/2026</t>
  </si>
  <si>
    <t>Annual Maintenance of Blackbox, refer Quotation No.AEMMRC-26-818742(QMH26-27)</t>
  </si>
  <si>
    <t>ZM1597535</t>
  </si>
  <si>
    <t>BTB/147/2026</t>
  </si>
  <si>
    <t>Annual Maintenance of UPS, refer Quotation No.AEMMRC-26-818845</t>
  </si>
  <si>
    <t>ZM1596726</t>
  </si>
  <si>
    <t>BTB/148/2026</t>
  </si>
  <si>
    <t>00244746</t>
    <phoneticPr fontId="24" type="noConversion"/>
  </si>
  <si>
    <t>MTRC</t>
    <phoneticPr fontId="24" type="noConversion"/>
  </si>
  <si>
    <t>4240390033ND</t>
  </si>
  <si>
    <t>Maintenance Service renewal, refer quotation no.Q-2600011PM dated on  5-Jan-2026</t>
  </si>
  <si>
    <t>ZM1595752</t>
  </si>
  <si>
    <t>UID-24-03-0014</t>
  </si>
  <si>
    <t>BTB/149/2026</t>
  </si>
  <si>
    <t>Avaya Service Charge, refer Quotation No. SHK704X05J, SHK704X054, SHK704X061</t>
  </si>
  <si>
    <t>ZM1596627</t>
  </si>
  <si>
    <t>Request PO issue to Vendor before 10/6</t>
  </si>
  <si>
    <t>BTB/150/2026</t>
  </si>
  <si>
    <t>First Commercial Bank Ltd</t>
  </si>
  <si>
    <t>P/8012/MAMA/KW26</t>
  </si>
  <si>
    <r>
      <rPr>
        <sz val="10"/>
        <color rgb="FF000000"/>
        <rFont val="Tahoma"/>
      </rPr>
      <t xml:space="preserve">Avaya Service Charge, refer Quotation No. </t>
    </r>
    <r>
      <rPr>
        <strike/>
        <sz val="10"/>
        <color rgb="FF000000"/>
        <rFont val="Tahoma"/>
      </rPr>
      <t xml:space="preserve">SHK704WQ7R </t>
    </r>
    <r>
      <rPr>
        <sz val="10"/>
        <color rgb="FF000000"/>
        <rFont val="Tahoma"/>
      </rPr>
      <t xml:space="preserve"> SHK7050CJH</t>
    </r>
  </si>
  <si>
    <t>ZM1597951</t>
  </si>
  <si>
    <t>UID-26-06-0043</t>
  </si>
  <si>
    <t>Amend Quotation price to USD265.22 (20270401-20270629)</t>
  </si>
  <si>
    <t>NONBTB/151/2026</t>
  </si>
  <si>
    <t xml:space="preserve">TAIPEI FUBON COML BANK CO LTD </t>
  </si>
  <si>
    <t>4260800020LS</t>
  </si>
  <si>
    <t>Maintenance Renew of Cisco , refer Web Order ID 4796358037
 dated on 27-May-26</t>
  </si>
  <si>
    <t>ZM1596592</t>
  </si>
  <si>
    <t>Leung, Sammi SM</t>
  </si>
  <si>
    <t>UID-26-06-0045</t>
  </si>
  <si>
    <t>BTB/152/2026</t>
  </si>
  <si>
    <t>Hyatt Regency Hong Kong, Tsim Sha Tsui</t>
  </si>
  <si>
    <t>P/7395/MAMA/TH26</t>
  </si>
  <si>
    <t>SPS Renewal refer SC Reference no.00854833</t>
  </si>
  <si>
    <t>ZM1599535</t>
  </si>
  <si>
    <t>UID-26-06-0049</t>
  </si>
  <si>
    <t>404431913/404431914</t>
  </si>
  <si>
    <t>BTB/153/2026</t>
  </si>
  <si>
    <t>Sony Corporation of HK Ltd</t>
  </si>
  <si>
    <t>P/8058/MAMA/TH26</t>
  </si>
  <si>
    <t>AudioCodes Mediant 800C Media Gateway Support Contract Renewal, refer quotation no.: EQ24045-0426</t>
  </si>
  <si>
    <t>ZM1597133</t>
  </si>
  <si>
    <t>UID-26-06-0065</t>
  </si>
  <si>
    <t>NONBTB/154/2026</t>
  </si>
  <si>
    <t>High Honour Technology Limited</t>
  </si>
  <si>
    <t>IP-100XI AMPLIFIER NETWORK MODULE x3 , SA-130 COMPACT AMPLIFIER 30W x3, refer Quotation No QN4982/0526 dated on 13-May-26</t>
  </si>
  <si>
    <t>ZM1597225</t>
  </si>
  <si>
    <t>Liang, Aka ZH</t>
  </si>
  <si>
    <t>UID-26-01-0183-2</t>
  </si>
  <si>
    <t>NONBTB/155/2026</t>
  </si>
  <si>
    <t>Crestron NVX-350 x2 , refer Quotation No 80005475 dated on 4-Jun-26</t>
  </si>
  <si>
    <t>ZM1597479</t>
  </si>
  <si>
    <t>UID-26-01-0183-3</t>
  </si>
  <si>
    <t>BTB/156/2026</t>
  </si>
  <si>
    <t>P/8029/MAMA/LS26</t>
  </si>
  <si>
    <t>AudioCodes M3K VoIP Gateway On-site Support Service Plan, refer Quotation ref: IQ10588a-0326</t>
  </si>
  <si>
    <t>ZM1598437</t>
  </si>
  <si>
    <t>UID-26-06-0064</t>
  </si>
  <si>
    <t>BTB/157/2026</t>
  </si>
  <si>
    <t>AudioCodes MediaPack 5XX Analogue VoIP Gateway Factory CHAMPS Plan, refer Quotation ref:IQ10590a-0326</t>
  </si>
  <si>
    <t>ZM1598432</t>
  </si>
  <si>
    <t>BTB/158/2026</t>
  </si>
  <si>
    <t>Audiocodes 405HD IP-Phone CHAMPS Plan Support Contract, refer Quotation ref: EQ24046a-0426</t>
  </si>
  <si>
    <t>ZM1598440</t>
  </si>
  <si>
    <t>BTB/159/2026</t>
  </si>
  <si>
    <t>Taipei Fubon Commercial Bank Co Ltd</t>
  </si>
  <si>
    <t>P/8016/MAMA/LS26</t>
  </si>
  <si>
    <t>ChinaComm International Ltd</t>
  </si>
  <si>
    <t>Avaya Subscription Renewal, refer Quotation Ref.CIL26/Q/0048</t>
  </si>
  <si>
    <t>ZM1597459</t>
  </si>
  <si>
    <t>UID-26-06-0083</t>
  </si>
  <si>
    <t>BTB/160/2026</t>
  </si>
  <si>
    <t>YF LIFE INSURANCE INTERNATIONAL LTD</t>
  </si>
  <si>
    <t>4260690198NP</t>
  </si>
  <si>
    <t>Maintenance Service renewal, refer quotation QUO3418-A (Ver 4) dated on 10-Jun-26</t>
  </si>
  <si>
    <t>ZM1597944</t>
  </si>
  <si>
    <t>Po, Nicky MY</t>
  </si>
  <si>
    <t>UID-26-06-0109</t>
  </si>
  <si>
    <t>BTB/161/2026</t>
  </si>
  <si>
    <t>Maintenance Service renewal, refer quotation QUO3375-A (Ver 3c) dated on 8-May-26</t>
  </si>
  <si>
    <t>ZM1597964</t>
  </si>
  <si>
    <t>BTB/162/2026</t>
  </si>
  <si>
    <t>MTRC</t>
  </si>
  <si>
    <t>NEXUS2S </t>
  </si>
  <si>
    <t>Maintenance Service renewal, refer quotation QT-2600016 dated on 9-Jun-26</t>
  </si>
  <si>
    <t>ZM1602923</t>
  </si>
  <si>
    <t xml:space="preserve">Winnie Chow </t>
  </si>
  <si>
    <t>BTB/163/2026</t>
  </si>
  <si>
    <t>Maintenance Service renewal, refer quotation QT-2500094 dated on 3-Feb-26</t>
  </si>
  <si>
    <t>BTB/164/2026</t>
  </si>
  <si>
    <t>ARCHITECTURAL SERVICES DEPARTMENT</t>
  </si>
  <si>
    <t>P/8007/MAMA/IL26</t>
  </si>
  <si>
    <t>Quintet Vicemail Support Renewal, refer Quotation Ref.:IQ10569-0226</t>
  </si>
  <si>
    <t>ZM1598905</t>
  </si>
  <si>
    <t>UID-26-06-0118</t>
  </si>
  <si>
    <t>BTB/165/2026</t>
  </si>
  <si>
    <t>1 Year</t>
  </si>
  <si>
    <t>1-Year Maintenance, refer quotation no.EQ4600552</t>
  </si>
  <si>
    <t>ZM1598917</t>
  </si>
  <si>
    <t>BTB/166/2026</t>
  </si>
  <si>
    <t>HA - Kwong Wah Hospital</t>
  </si>
  <si>
    <t>P/8187/MAMA/YT26</t>
  </si>
  <si>
    <t>Quintet &amp; IVR Systems Maintenance Service Renewal, refer quotation no IQ10555-0126</t>
  </si>
  <si>
    <t>ZM1598931</t>
  </si>
  <si>
    <t>UID-26-06-0121</t>
  </si>
  <si>
    <t>Previous PO#1554907</t>
  </si>
  <si>
    <t>BTB/167/2026</t>
  </si>
  <si>
    <t>IFC Development (Hotel) Ltd</t>
  </si>
  <si>
    <t>One off</t>
  </si>
  <si>
    <t>2025WB1152AC</t>
  </si>
  <si>
    <t>BE118959, NEC ITK-6D-1P(BK)TEL 6 button DT920 with LCD (Black) x 2
BE106864, NEC ITL-12D-1P(BK)TEL 12 button DT730 (Black Color) x 2</t>
  </si>
  <si>
    <t>ZM1600669</t>
  </si>
  <si>
    <t>Parts (1597651)</t>
  </si>
  <si>
    <t>Mandy Lee (Joey)</t>
  </si>
  <si>
    <t>BTB/168/2026</t>
  </si>
  <si>
    <t>Zurich Services (Hong Kong) Limited</t>
  </si>
  <si>
    <t>P/7030/WA/JI24</t>
  </si>
  <si>
    <t>VeServe Company Limited</t>
  </si>
  <si>
    <t>IVR System &amp; Annual Support and Maintenance, refer Quotation ID: Q20240606ZUI</t>
  </si>
  <si>
    <t>ZM1600320</t>
  </si>
  <si>
    <t>Gary Leung</t>
  </si>
  <si>
    <t>UID-24-07-0211</t>
  </si>
  <si>
    <t>BTB/169/2026</t>
  </si>
  <si>
    <t>Cushman &amp; Wakefield Limited</t>
  </si>
  <si>
    <t>P/8005/MAMA/CB26</t>
  </si>
  <si>
    <t>Avaya Subscription Charges, refer Quotation Ref.CIL26/Q/0005</t>
  </si>
  <si>
    <t>ZM1599193</t>
  </si>
  <si>
    <t>UID-26-06-0174</t>
  </si>
  <si>
    <t>Request issue PO to Vendor on 24-Jun.  Annual Payment USD8563.5 x 3 years</t>
  </si>
  <si>
    <t>NONBTB/170/2026</t>
  </si>
  <si>
    <t>Airport Authority</t>
  </si>
  <si>
    <t>Tender Ref:PRO/T176/26/SC</t>
  </si>
  <si>
    <t>Avaya SA Renewal, refer Quotation Ref.CIL/26/Q/0061</t>
  </si>
  <si>
    <t>ZM1599890</t>
  </si>
  <si>
    <t>UID-26-06-0197</t>
  </si>
  <si>
    <t>Super urgent to issue PO to Vendor on 30-Jun.  Annual Payment USD37318.63 x 4 years</t>
  </si>
  <si>
    <t>NONBTB/171/2026</t>
  </si>
  <si>
    <t>AVAYA INTERNATIONAL SALES LTD
AVAYA HONG KONG COMPANY LTD</t>
  </si>
  <si>
    <t xml:space="preserve">Avaya Service Charges, refer Quotation No. SHK7050627, SHK704Y2NH, SHK704Y2NG, SHK704Y2NF, SHK704Y2NC, SHK704Y2QJ, SHK704Y2Q6, SHK704Y2Q5, SHK704Y2PB
SHK704Y2P7, SHK704Y2NR, SHK704Y2NK, SHK704Y2BP, SHK704Y0K8, SHK704Y0K5
SHK704Y0J5, SHK704Y7P9, SHK704Y7P3
</t>
  </si>
  <si>
    <t>ZM1599895
ZM1599901</t>
  </si>
  <si>
    <t>2,048,150.75
2,851,580.16</t>
  </si>
  <si>
    <t>Super urgent to issue PO to Vendor on 30-Jun.  Annual Payment x 4 years</t>
  </si>
  <si>
    <t>BTB/172/2026</t>
  </si>
  <si>
    <t>P / 8075 / WAWA / YR26</t>
  </si>
  <si>
    <t>Avaya Subscription Charges, refer Quotation Ref. CIL25/Q/0284</t>
  </si>
  <si>
    <t>ZM1600105</t>
  </si>
  <si>
    <t>UID-26-06-0203</t>
  </si>
  <si>
    <t>Urgent to issue PO to Vendor on 30-Jun</t>
  </si>
  <si>
    <t>BTB/173/2026</t>
  </si>
  <si>
    <t>Avaya Subscription Charges, refer Quotation Ref. CIL25/Q/0317</t>
  </si>
  <si>
    <t>ZM1600106</t>
  </si>
  <si>
    <t>BTB/174/2026</t>
  </si>
  <si>
    <t>Favour Link International Limited c/o Club Sheung Wan Hotel</t>
  </si>
  <si>
    <t>P/8028/MAMA/TH26</t>
  </si>
  <si>
    <t>Renewal of Support and Maintenance Services, refer Quotation No  SQ-HKS00734</t>
  </si>
  <si>
    <t>ZM1600148</t>
  </si>
  <si>
    <t>UID-26-06-0233</t>
  </si>
  <si>
    <t>Super Urgent to issue PO to Vendor on 30-Jun</t>
  </si>
  <si>
    <t>BTB/175/2026</t>
  </si>
  <si>
    <t>NEC UCB Version 6.2, refer agreement no.:QTN-26049170-ESD</t>
  </si>
  <si>
    <t>ZM1600128</t>
  </si>
  <si>
    <t>BTB/176/2026</t>
  </si>
  <si>
    <t>Hong Kong Buddhist Hospital</t>
  </si>
  <si>
    <t>P/8020/MAMA/YT25</t>
  </si>
  <si>
    <t>IVR System Maintenance Service Renewal, refer Quotation Ref.IQ10473R1-0725</t>
  </si>
  <si>
    <t>ZM1600153</t>
  </si>
  <si>
    <t>UID-26-06-0159</t>
  </si>
  <si>
    <t>BTB/177/2026</t>
  </si>
  <si>
    <t>Maintenance Service Renewal, refer Quotation No.:EQ4600930</t>
  </si>
  <si>
    <t>ZM1600124</t>
  </si>
  <si>
    <t>BTB/178/2026</t>
  </si>
  <si>
    <r>
      <rPr>
        <sz val="10"/>
        <color rgb="FF000000"/>
        <rFont val="Tahoma"/>
      </rPr>
      <t xml:space="preserve">SPS Renewal refer SC Reference no. </t>
    </r>
    <r>
      <rPr>
        <sz val="10"/>
        <color rgb="FFFF0000"/>
        <rFont val="Tahoma"/>
      </rPr>
      <t>00877202</t>
    </r>
  </si>
  <si>
    <t>ZM1607637</t>
  </si>
  <si>
    <t>NEW Quotation provide on 11-Aug-2026</t>
  </si>
  <si>
    <t>BTB/179/2026</t>
  </si>
  <si>
    <t>P/8022/MAMA/CO25</t>
  </si>
  <si>
    <t>SPS Renewal refer SC Reference no.11943465</t>
  </si>
  <si>
    <t>ZM1600595</t>
  </si>
  <si>
    <t>UID-26-06-0164</t>
  </si>
  <si>
    <t>BTB/180/2026</t>
  </si>
  <si>
    <t>ASL</t>
  </si>
  <si>
    <t>Sun Server Maintenance Service renewal, refer Quotation No.:KN/0127(b)/MV/26v1</t>
  </si>
  <si>
    <t>ZM1601200</t>
  </si>
  <si>
    <t>Yearly Payment: $9250*3 years</t>
  </si>
  <si>
    <t>NONBTB/181/2026</t>
  </si>
  <si>
    <t>HA-United Christian Hospital</t>
  </si>
  <si>
    <t>P/8231/WAWA/YT26</t>
  </si>
  <si>
    <t>Annual Maintenance renewal, refer Quotation date on 12-Mar-2026</t>
  </si>
  <si>
    <t>ZM1601193</t>
  </si>
  <si>
    <t>UID-26-06-0250</t>
  </si>
  <si>
    <t>NONBTB/182/2026</t>
  </si>
  <si>
    <t>AUSTIN HUGHES ELECTRONICS LIMITED</t>
  </si>
  <si>
    <t>1 year extended warranty for Cyberview, refer Quotation No.Q2603115</t>
  </si>
  <si>
    <t>ZM1601013</t>
  </si>
  <si>
    <t>BTB/183/2026</t>
  </si>
  <si>
    <t>P AV/8024/MA/LS26</t>
  </si>
  <si>
    <t>MTS</t>
  </si>
  <si>
    <t>TEM License and Services renewal, refer Quotation date on 13-Apr-2026</t>
  </si>
  <si>
    <t>ZM1601239</t>
  </si>
  <si>
    <t>UID-26-06-0292</t>
  </si>
  <si>
    <t>BTB/184/2026</t>
  </si>
  <si>
    <t>Hong Kong Metropolitan University</t>
  </si>
  <si>
    <t>P/7682/MAMA/WW26</t>
  </si>
  <si>
    <t>Mitel IP Phone system Maintenance renewal, refer quotation on 14-May-2026</t>
  </si>
  <si>
    <t>ZM1602165</t>
  </si>
  <si>
    <t>UID-26-07-0019</t>
  </si>
  <si>
    <t>BTB/185/2026</t>
  </si>
  <si>
    <t>4260400009CB</t>
  </si>
  <si>
    <t>Maintenance Service renewal, refer quotation QT-2600004 dated on 3-jul-26</t>
  </si>
  <si>
    <t>ZM1602848</t>
  </si>
  <si>
    <t>UID-26-06-0291-1A</t>
  </si>
  <si>
    <t>BTB/186/2026</t>
  </si>
  <si>
    <t>The Hong Kong University of Science and Technology</t>
  </si>
  <si>
    <t>P/8053/MAMA/CB26</t>
  </si>
  <si>
    <t>Renewal of Support and Maintenance Services, refer Quotation No  SQ-HKS00740 dated on 13-Mar-26</t>
  </si>
  <si>
    <t>ZM1606058</t>
  </si>
  <si>
    <t>UID-26-07-0044</t>
  </si>
  <si>
    <t>BTB/187/2026</t>
  </si>
  <si>
    <t>The Fullerton Ocean Park Hotel HK</t>
  </si>
  <si>
    <t>P/8027/MAMA/CF25</t>
  </si>
  <si>
    <t>Renewal of Support and Maintenance Services, refer Quotation No  SQ-HKS00781 dated on 02-Jun-26</t>
  </si>
  <si>
    <t>ZM1602303</t>
  </si>
  <si>
    <t>UID-26-07-0068</t>
  </si>
  <si>
    <t>BTB/188/2026</t>
  </si>
  <si>
    <t>KAU YAN COLLEGE</t>
  </si>
  <si>
    <t>W260790086NI (2026WB514NI)</t>
  </si>
  <si>
    <t>ProVision Digital International Ltd.</t>
  </si>
  <si>
    <t>Maintenance Service renewal, refer quotation Q2026-06040 dated on 9-jul-26</t>
  </si>
  <si>
    <t>ZM1603409</t>
  </si>
  <si>
    <t>Ivy Ng</t>
  </si>
  <si>
    <t>UID-26-07-0069</t>
  </si>
  <si>
    <t>BTB/189/2026</t>
  </si>
  <si>
    <t>Liu Chong Hing Investment Ltd</t>
  </si>
  <si>
    <t>P/8049/MAMA/WW26</t>
  </si>
  <si>
    <t>Avaya Service Charge for IPOSS Contract ID 4050833. Email dated on 13-Jul-2026</t>
  </si>
  <si>
    <t>ZM1603332</t>
  </si>
  <si>
    <t>UID-26-07-0091</t>
  </si>
  <si>
    <t>BTB/190/2026</t>
  </si>
  <si>
    <t>P/7986/MAMA/JI25</t>
  </si>
  <si>
    <t>Avaya Service Charge, refer Quotation No. SHK70527C0</t>
  </si>
  <si>
    <t>ZM1603634</t>
  </si>
  <si>
    <t>UID-26-07-0015</t>
  </si>
  <si>
    <t>BTB/191/2026</t>
  </si>
  <si>
    <t>The Fullerton Ocean Park Hotel</t>
  </si>
  <si>
    <t>Maintenance Service renewal, refer quotation QHK020002974 dated on 2-jul-26</t>
  </si>
  <si>
    <t>ZM1603995</t>
  </si>
  <si>
    <t xml:space="preserve">Connie Mak  </t>
  </si>
  <si>
    <t>UID-26-07-0068-10b</t>
  </si>
  <si>
    <t>BTB/192/2026</t>
  </si>
  <si>
    <t>Annual Maintenance for TeleCARE CAS, refer quotation dated 16-Jul-2026</t>
  </si>
  <si>
    <t>ZM1603117</t>
  </si>
  <si>
    <t>NONBTB/193/2026</t>
  </si>
  <si>
    <t>HONG KONG DESIGN CENTRE LIMITED</t>
  </si>
  <si>
    <t>4260790096AC (Quotation 42026WB213AC_V2)</t>
  </si>
  <si>
    <t>Maintenance Service, refer quotation QT-2600008 dated on 15-jul-26</t>
  </si>
  <si>
    <t>ZM1606081</t>
  </si>
  <si>
    <t xml:space="preserve">Abby Chan </t>
  </si>
  <si>
    <t>UID-26-07-0126-2-3</t>
  </si>
  <si>
    <t>NONBTB/194/2026</t>
  </si>
  <si>
    <t>Maintenance Service, refer quotation Q2026050009R dated on 14-jul-26</t>
  </si>
  <si>
    <t>ZM1607229</t>
  </si>
  <si>
    <t>NONBTB/195/2026</t>
  </si>
  <si>
    <t>P AV/1046/WA/BN17</t>
  </si>
  <si>
    <t>Avaya SA renewal Charges, refer Quotation Ref.CIL26/Q/0023 (Avaya Contract ID41416508 &amp; 41416509)</t>
  </si>
  <si>
    <t>ZM1603968</t>
  </si>
  <si>
    <t>Leung, Gary NT</t>
  </si>
  <si>
    <t>UID-26-02-0154</t>
  </si>
  <si>
    <t>Top Urgent</t>
  </si>
  <si>
    <t>NONBTB/196/2026</t>
  </si>
  <si>
    <t>Avaya SA renewal Charges, refer Quotation Ref.CIL26/Q/0019 (Avaya Contract ID41417081)</t>
  </si>
  <si>
    <t>ZM1603967</t>
  </si>
  <si>
    <t>BTB/197/2026</t>
  </si>
  <si>
    <t>HKC Hotel Ltd T/A Hilton Garden Inn HK Mongkok</t>
  </si>
  <si>
    <t>P/8039/MAMA/TH26-A</t>
  </si>
  <si>
    <t>SV9300 Telephone System Software Assurance, refer Agreement No.QTN-26049053-ESD-R01</t>
  </si>
  <si>
    <t>ZM1606341</t>
  </si>
  <si>
    <t>UID-26-07-0172</t>
  </si>
  <si>
    <t>BTB/198/2026</t>
  </si>
  <si>
    <t>Annual Maintenance for iConnect system, refer quotation dated 24-Mar-2026</t>
  </si>
  <si>
    <t>ZM1606305</t>
  </si>
  <si>
    <t>BTB/199/2026</t>
  </si>
  <si>
    <t>P/8039/MAMA/TH26-B</t>
  </si>
  <si>
    <t>Renewal of Support and Maintenance Services, refer Quotation No  SQ-HKS00739 dated on 22-Jun-26</t>
  </si>
  <si>
    <t>ZM1606282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</si>
  <si>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BTB/200/2026</t>
    </r>
  </si>
  <si>
    <t xml:space="preserve">SAN WUI COMMERCIAL SOCIETY SCHOOL </t>
  </si>
  <si>
    <t>W260600871L3</t>
  </si>
  <si>
    <t>Maintenance Service renewal, refer quotation Q2026050019R dated on 22-jul-26</t>
  </si>
  <si>
    <t>ZM1604847</t>
  </si>
  <si>
    <t>UID-26-07-0036</t>
  </si>
  <si>
    <t>BTB/201/2026</t>
  </si>
  <si>
    <t>Swire Properties Hotel Management Ltd</t>
  </si>
  <si>
    <t>P/8040/MAMA/TH26</t>
  </si>
  <si>
    <t>Renewal of Support and Maintenance Services, refer Quotation No  SQ-HKS00802 dated on 3-Jul-26</t>
  </si>
  <si>
    <t>ZM1605215</t>
  </si>
  <si>
    <t>UID-26-07-0193</t>
  </si>
  <si>
    <t>BTB/202/2026</t>
  </si>
  <si>
    <t>SV9300 Telephone System Software Assurance, refer Agreement No.QTN-26049281-ESD</t>
  </si>
  <si>
    <t>ZM1606359</t>
  </si>
  <si>
    <t>BTB/203/2026</t>
  </si>
  <si>
    <t>Chong Hing Bank Limited</t>
  </si>
  <si>
    <t>P/8288/WAWA/WW26</t>
  </si>
  <si>
    <t>Avaya Services Renewal, refer 10-Jul-26 Sales Order Confirmation</t>
  </si>
  <si>
    <t>ZM1605228</t>
  </si>
  <si>
    <t>UID-26-07-0222</t>
  </si>
  <si>
    <t>Request issue PO to Vendor on/before 30-Jul-2026</t>
  </si>
  <si>
    <t>BTB/204/2026</t>
  </si>
  <si>
    <t xml:space="preserve">HONG KONG DESIGN CENTRE LIMITED </t>
  </si>
  <si>
    <t>Maintenance Service renewal, refer quotation QT-2600027 dated on 22-jul-26</t>
  </si>
  <si>
    <t>ZM1606448</t>
  </si>
  <si>
    <t>UID-26-07-0126-3</t>
  </si>
  <si>
    <t>BTB/205/2026</t>
  </si>
  <si>
    <t>Maintenance Service renewal, refer quotation Q2026070020R2 dated on 29-jun-26</t>
  </si>
  <si>
    <t>ZM1605363</t>
  </si>
  <si>
    <t>UID-26-07-0126-4</t>
  </si>
  <si>
    <t>BTB/206/2026</t>
  </si>
  <si>
    <t>Tender Ref:PRO/T176/26/SC
P/7985/MAMA/J225</t>
  </si>
  <si>
    <t>AVAYA HONG KONG COMPANY LTD
AVAYA INTERNATIONAL SALES LTD</t>
  </si>
  <si>
    <t>Avaya Service Support, refer Quote Reference Number SHK704YXJ8 SHK704YXMW SHK704YXN3 SHK704YXPB SHK704YXQM SHK704YXTM SHK704YXV5 SHK704YXWV SHK704YXYF SHK70502PY SHK70502Q1 SHK70502VB SHK70502XG SHK70502YQ SHK70502YV SHK7050303 SHK70502TQ SHK70502Y9</t>
  </si>
  <si>
    <t>30-Jul-26
13-Aug-26</t>
  </si>
  <si>
    <t>ZM1605112
ZM1605113
ZM1607844
ZM1607865</t>
  </si>
  <si>
    <t>274,600.73
240,783.13
3,887.77
29,717.57</t>
  </si>
  <si>
    <t>Super urgent. Request issue PO to Vendor on/before 30-Jul-2026
(1) ZM1605112 - USD35,019.35 (2) ZM1605113 - USD30,706.65
(3) ZM1607844 - USD495.80 (4) ZM1607865 - USD3,789.83
ZM1607153 - USD4,285.63 = PO Cancelled</t>
  </si>
  <si>
    <t>BTB/207/2026</t>
  </si>
  <si>
    <t>China Minsheng Banking Corp Ltd</t>
  </si>
  <si>
    <t>P/8130/MAMA/JI26</t>
  </si>
  <si>
    <t>Avaya Subscription Renewal, refer Quotation SHK7052W5T</t>
  </si>
  <si>
    <t>ZM1605260</t>
  </si>
  <si>
    <t>UID-26-07-0224</t>
  </si>
  <si>
    <t>BTB/208/2026</t>
  </si>
  <si>
    <t>Avaya Services Renewal, refer Quote Reference Number SHK70538YH</t>
  </si>
  <si>
    <t>ZM1605265</t>
  </si>
  <si>
    <t>BTB/209/2026</t>
  </si>
  <si>
    <t>Tung Wah Group of Hospital</t>
  </si>
  <si>
    <t>P/7990/WAWA/YT25</t>
  </si>
  <si>
    <t>Annual Maintenance Service, refer Quo. No.Q4502458 Rev.:2</t>
  </si>
  <si>
    <t>ZM1606610</t>
  </si>
  <si>
    <t>Choi, Jackie LP /
Leung, Gary NT</t>
  </si>
  <si>
    <t>BTB/210/2026</t>
  </si>
  <si>
    <t>IVR Systems Maintenance Service Renewal, refer Quotation Ref:IQ10517-1025</t>
  </si>
  <si>
    <t>ZM1606612</t>
  </si>
  <si>
    <t>BTB/211/2026</t>
  </si>
  <si>
    <t>The Jockey Club Kau Sai Chau Public Golf Course Ltd</t>
  </si>
  <si>
    <t>P/8125/MAMA/LS26</t>
  </si>
  <si>
    <t>iConnect</t>
  </si>
  <si>
    <t>Annual Maintenance for iConnect CAS, refer Quotation date 26-Jun-2026</t>
  </si>
  <si>
    <t>ZM1606717</t>
  </si>
  <si>
    <t>UID-26-08-0008</t>
  </si>
  <si>
    <t>BTB/212/2026</t>
  </si>
  <si>
    <t xml:space="preserve">HONG KONG AIRCRAFT ENGRG CO LTD </t>
  </si>
  <si>
    <t>4260790018LS</t>
  </si>
  <si>
    <t>Apex Linkage Ltd</t>
  </si>
  <si>
    <t>Maintenance Service renewal, refer quotation QT-202510445_R1 Quote item 1 dated on 8-jul-26</t>
  </si>
  <si>
    <t>ZM1609539</t>
  </si>
  <si>
    <t xml:space="preserve">Sammi Leung </t>
  </si>
  <si>
    <t>UID-26-08-0017-1-2</t>
  </si>
  <si>
    <t>BTB/213/2026</t>
  </si>
  <si>
    <t>Maintenance Service renewal, refer quotation QT-202510445_R1 Quote item 4 dated on 8-jul-26</t>
  </si>
  <si>
    <t>ZM1609542</t>
  </si>
  <si>
    <t>BTB/214/2026</t>
  </si>
  <si>
    <t>P/8054/MAMA/YR26</t>
  </si>
  <si>
    <t>Systec Engineering Limited</t>
  </si>
  <si>
    <t>1 Year Maintenance for UPS, refer Quotation No. SELQ-26-B-150601</t>
  </si>
  <si>
    <t>ZM1606722</t>
  </si>
  <si>
    <t>Nicky Po</t>
  </si>
  <si>
    <t>UID-26-08-0042</t>
  </si>
  <si>
    <t>Request issue PO to Vendor on/before 11-Aug-2026</t>
  </si>
  <si>
    <t>BTB/215/2026</t>
  </si>
  <si>
    <t>Takki Communications &amp; Networks Limited</t>
  </si>
  <si>
    <t>Provide Labour for replace the damaged Stainless-steel Enclosure, refer Quotation No.Q260014</t>
  </si>
  <si>
    <t>ZM1607394</t>
  </si>
  <si>
    <t>BTB/216/2026</t>
  </si>
  <si>
    <t>Bank of China (Hong Kong) Limited</t>
  </si>
  <si>
    <t>P AV/8101/MAMA/KW26</t>
  </si>
  <si>
    <t>AVAYAINTERNATIONALSALESLTD</t>
  </si>
  <si>
    <t>Avaya Services Renewal, refer Quote Reference Number SHK7052TC4</t>
  </si>
  <si>
    <t>ZM1607098</t>
  </si>
  <si>
    <t>UID-26-08-0067</t>
  </si>
  <si>
    <t>&lt;Top Urgent&gt; Request issue PO to Vendor on/before 12-Aug-2026</t>
  </si>
  <si>
    <t>NONBTB/217/2026</t>
  </si>
  <si>
    <t>ASIAWORLD-EXPO MANAGEMENT LTD</t>
  </si>
  <si>
    <t>4260890072TS</t>
  </si>
  <si>
    <t>Labour Work to replace LED Modules, refer quotation no. Q2026070028 dated on 17/7/2026</t>
  </si>
  <si>
    <t xml:space="preserve">Kelvin Lam </t>
  </si>
  <si>
    <t>UID-26-08-0033</t>
  </si>
  <si>
    <t>NONBTB/218/2026</t>
  </si>
  <si>
    <t>4260890167TS</t>
  </si>
  <si>
    <t>CYBER WORLD CREATIONS (HK) LTD.</t>
  </si>
  <si>
    <t>Onsite 98" TV Replacement (Samsung QM98T-B), refer quotation no. Q202607012 dated on 12/7/2026</t>
  </si>
  <si>
    <t>UID-26-08-0105</t>
  </si>
  <si>
    <t>BTB/219/2026</t>
  </si>
  <si>
    <t>EVANGEL HOSPITAL</t>
  </si>
  <si>
    <t>P/8128/MAMA/YT26</t>
  </si>
  <si>
    <t>SPS Renewal refer SR Reference no. 00878138</t>
  </si>
  <si>
    <t>ZM1608921</t>
  </si>
  <si>
    <t>UID-26-08-0104</t>
  </si>
  <si>
    <t>BTB/220/2026</t>
  </si>
  <si>
    <t>HA-Cheshire Home (CCH)</t>
  </si>
  <si>
    <t>P/8134/MAMA/YT26</t>
  </si>
  <si>
    <t>IVR System On-site Support, refer quotation no.IQ10629R1-0626</t>
  </si>
  <si>
    <t>ZM1609796</t>
  </si>
  <si>
    <t>UID-26-08-0131</t>
  </si>
  <si>
    <t>BTB/221/2026</t>
  </si>
  <si>
    <t>EXPERT SYSTEMS IVR (SERVICES) LTD</t>
  </si>
  <si>
    <t>Quintet Voicemail System Maintenance Service Renewal, refer quotation no.SQ8026-0626</t>
  </si>
  <si>
    <t>ZM1609560</t>
  </si>
  <si>
    <t>BTB/222/2026</t>
  </si>
  <si>
    <t>Proposal of UPS Maintenance Renewal, refer Contract No. AEMMRC-26-818981</t>
  </si>
  <si>
    <t>ZM1609578</t>
  </si>
  <si>
    <t>BTB/223/2026</t>
  </si>
  <si>
    <t>Proposal of UPS Maintenance Renewal, refer Contract No. AEMMRC-26-818982</t>
  </si>
  <si>
    <t>ZM1609537</t>
  </si>
  <si>
    <t>BTB/224/2026</t>
  </si>
  <si>
    <t>Hong Kong Telecommnications (HK) Ltd - CSL PRO</t>
  </si>
  <si>
    <t>2026WB290YR</t>
  </si>
  <si>
    <t>1 Year Onsite Hardware Maintenance Service - SUN Netra X4270, refer Quotation No. 80005588</t>
  </si>
  <si>
    <t>ZF1609426</t>
  </si>
  <si>
    <t>UID-26-08-0173-2</t>
  </si>
  <si>
    <t>Request issue PO to Vendor on/before 26-Aug-2026</t>
  </si>
  <si>
    <t>BTB/225/2026</t>
  </si>
  <si>
    <t>HA-Hong Kong Eye Hospital</t>
  </si>
  <si>
    <t>P AL/7088/MA/DW24</t>
  </si>
  <si>
    <t>Quintet VMS Maintenance Service Renewal, refer quotation no.IQ10600-0426</t>
  </si>
  <si>
    <t>ZM1609551</t>
  </si>
  <si>
    <t xml:space="preserve">Theo Yim </t>
  </si>
  <si>
    <t>UID-25-08-0024</t>
  </si>
  <si>
    <t>BTB/226/2026</t>
  </si>
  <si>
    <t>Annual Maintenance Service for Sensaphone System, refer quotation no.SELQ-26-B-100801</t>
  </si>
  <si>
    <t>ZM1609569</t>
  </si>
  <si>
    <t>BTB/227/2026</t>
  </si>
  <si>
    <t>SPS Renewal refer SC Reference no.11977703</t>
  </si>
  <si>
    <t>BTB/228/2026</t>
  </si>
  <si>
    <t>ONE OFF</t>
  </si>
  <si>
    <t>Maintenance Service renewal, refer quotation QT-22500095 dated on 14-Aug-26</t>
  </si>
  <si>
    <t>NONBTB/229/2026</t>
  </si>
  <si>
    <t>4260890245TS</t>
  </si>
  <si>
    <t>Maintenance Service renewal, refer quotation Q2026080007R dated on 3-Aug-26</t>
  </si>
  <si>
    <t xml:space="preserve">Simon Tan </t>
  </si>
  <si>
    <t>UID-26-08-0183</t>
  </si>
  <si>
    <t>BTB/230/2026</t>
  </si>
  <si>
    <t>CHEERLORD INVESTMENT LTD C/O W HONG KONG</t>
  </si>
  <si>
    <t>P/8102/MAMA/CF26</t>
  </si>
  <si>
    <t>UCB Annual Support, refer Quotation ID.QTN-26049172-ESD-R01</t>
  </si>
  <si>
    <t>ZM1609589</t>
  </si>
  <si>
    <t>Wong, Calvin KW / Leung, Gary NT</t>
  </si>
  <si>
    <t>UID-26-08-0210</t>
  </si>
  <si>
    <t>Request issue PO to Vendor on/before 31-Aug-2026</t>
  </si>
  <si>
    <t>BTB/231/2026</t>
  </si>
  <si>
    <t>SV9500 Telephone System Software Assurance, refer Agreement No.QTN-26049173-ESD</t>
  </si>
  <si>
    <t>ZM1609581</t>
  </si>
  <si>
    <t>BTB/232/2026</t>
  </si>
  <si>
    <t>HA-Pok Oi Hospital (POH)</t>
  </si>
  <si>
    <t>P/8099/MAMA/YT26</t>
  </si>
  <si>
    <t>Proposal of UPS Maintenance Renewal Contract, refer Contract Number: AEMMRC-26-818979</t>
  </si>
  <si>
    <t>ZM1609800</t>
  </si>
  <si>
    <t>UID-26-08-0199</t>
  </si>
  <si>
    <t>BTB/233/2026</t>
  </si>
  <si>
    <t>Proposal of UPS Maintenance Renewal Contract, refer Contract Number: AEMMRC-26-818980</t>
  </si>
  <si>
    <t>ZM1609803</t>
  </si>
  <si>
    <t>BTB/234/2026</t>
  </si>
  <si>
    <t>Quintet &amp; IVR Systems Maintenance Service Renewal, refer quotation no IQ10619-0526 on 20-May-2026</t>
  </si>
  <si>
    <t>ZM1609807</t>
  </si>
  <si>
    <t>Joey Pang (Yukie)</t>
  </si>
  <si>
    <t>BTB/235/2026</t>
  </si>
  <si>
    <t>HYSAN PROPERTY MANAGEMENT LIMITED</t>
  </si>
  <si>
    <t xml:space="preserve">4260890243CB </t>
  </si>
  <si>
    <t>One Time Maintenance Service for LED display, refer Quotation No.Q2026070024R on 16-Jul-2026</t>
  </si>
  <si>
    <t>UID-26-08-0156</t>
  </si>
  <si>
    <t>BTB/236/2026</t>
  </si>
  <si>
    <t>LIVE NATION VENUES (HK) COMPANY LIMITED</t>
  </si>
  <si>
    <t>4260890312CF</t>
  </si>
  <si>
    <t>Maintenance Service renewal, refer quotation HKT2026-Q05131 dated on 13-May-26</t>
  </si>
  <si>
    <t xml:space="preserve">Connie Mak </t>
  </si>
  <si>
    <t>UID-26-08-0240</t>
  </si>
  <si>
    <t xml:space="preserve">Y </t>
  </si>
  <si>
    <t>BTB/237/2026</t>
  </si>
  <si>
    <t>HUTCHISON PROPERTY GROUP LIMITED</t>
  </si>
  <si>
    <t>P/8098/MAMA/TH26</t>
  </si>
  <si>
    <t>Annual Maintenance of TeleCARE Call Accounting System, refer Quotation date on 10-Aug-26</t>
  </si>
  <si>
    <t>ZM1610308</t>
  </si>
  <si>
    <t>NONBTB/238/2026</t>
  </si>
  <si>
    <t>Union Medical Centre Ltd c/o Union Hospital</t>
  </si>
  <si>
    <t>P/7414/MAMA/YT24</t>
  </si>
  <si>
    <t>Austin Hughes</t>
  </si>
  <si>
    <t>1 Year extended warranty for Cyberview, refer Quotation#Q2606115</t>
  </si>
  <si>
    <t>UID-26-08-0270</t>
  </si>
  <si>
    <t>BTB/239/2026</t>
  </si>
  <si>
    <t>H COMMERCE MANAGEMENT LIMITED</t>
  </si>
  <si>
    <t>4260190063CB</t>
  </si>
  <si>
    <t>Maintenance Service renewal, refer quotation Q2026070046R dated on 14-Aug-26</t>
  </si>
  <si>
    <t>Chan, Ina YK</t>
  </si>
  <si>
    <t>UID-26-08-0272-1</t>
  </si>
  <si>
    <t>BTB/240/2026</t>
  </si>
  <si>
    <t>JPT Global Solutions Ltd.</t>
  </si>
  <si>
    <t>Maintenance Service renewal, refer quotation JQ-A0317-25 (Rev2) dated on 21-Aug-26</t>
  </si>
  <si>
    <t>UID-26-08-0272-3</t>
  </si>
  <si>
    <t>BTB/241/2026</t>
  </si>
  <si>
    <t>HA-HAITCC</t>
  </si>
  <si>
    <t>P/8131/MAMA/YT26</t>
  </si>
  <si>
    <t>Integrated Global Solutions Limited</t>
  </si>
  <si>
    <t>BMC Remedy Software Maintenance, refer 260817_02_HKT_HA</t>
  </si>
  <si>
    <t>UID-26-09-0024</t>
  </si>
  <si>
    <t>BTB/242/2026</t>
  </si>
  <si>
    <t>IGS on-going 7x24 Support for SDS (Service Desk System), refer 260817_01_HKT_Support</t>
  </si>
  <si>
    <t>BTB/243/2026</t>
  </si>
  <si>
    <t>Quintet 64-port Voicemail System Maintenance Service Renewal, refer quotation no.IQ10620-0526</t>
  </si>
  <si>
    <t>BTB/244/2026</t>
  </si>
  <si>
    <t>SPS Charge, refer SC Reference No.11980096</t>
  </si>
  <si>
    <t>BTB/245/2026</t>
  </si>
  <si>
    <t>CENTURY GOLD INVESTMENT LTD</t>
  </si>
  <si>
    <t>P/8237/MAMA/CF26</t>
  </si>
  <si>
    <t>Renewal of Support and Maintenance Services, refer Quotation No  SQ-HKS00821 dated on 10-Jul-2026</t>
  </si>
  <si>
    <t>UID-26-08-0266</t>
  </si>
  <si>
    <t>BTB/246/2026</t>
  </si>
  <si>
    <t>AWE</t>
  </si>
  <si>
    <t>4230890175MD</t>
  </si>
  <si>
    <t>3 rd Year Warranty Maintenance Service renewal, refer quotation Q2023070008R4 dated on 1-Sep-26</t>
  </si>
  <si>
    <t>UID-23-09-SS1-00002</t>
  </si>
  <si>
    <t>BTB/247/2026</t>
  </si>
  <si>
    <t>4 th Year Warranty Maintenance Service renewal, refer quotation Q2023070008R5 dated on 1-Sep-26</t>
  </si>
  <si>
    <t>BTB/248/2026</t>
  </si>
  <si>
    <t>HKT TELESERVICES INTERNATIONAL LIMITED</t>
  </si>
  <si>
    <t>H260900189YR </t>
  </si>
  <si>
    <t>Maintenance Service renewal, refer quotation 35082903,35214354 &amp; 35202882 (Rev.t) dated on 13-Jul-26</t>
  </si>
  <si>
    <t>Yau, Ricky CH</t>
  </si>
  <si>
    <t>UID-26-09-0043</t>
  </si>
  <si>
    <t>NONBTB/249/2026</t>
  </si>
  <si>
    <t>STANFORD HOTEL HONG KONG</t>
  </si>
  <si>
    <t>P/8084/MAMA/TH26</t>
  </si>
  <si>
    <t>SV9300 Telephone System Software Assurance, refer Agreement No. QTN-26049174-ESD</t>
  </si>
  <si>
    <t>UID-26-09-0083</t>
  </si>
  <si>
    <t xml:space="preserve">NONBTB reason : NEC item will be EOS after 31-Mar-2028 and HKT will continue to provide service. Confirm vendor quota is 19 months. </t>
  </si>
  <si>
    <t>NONBTB/250/2026</t>
  </si>
  <si>
    <t>IFC Propertie Management Ltd</t>
  </si>
  <si>
    <t>P/8137/MAMA/CB26</t>
  </si>
  <si>
    <t>Oneoff</t>
  </si>
  <si>
    <t>Polycom SoundStation VTX1000 1.00 2,370.00 2,370.00
Polycom SoundStation2 EX 1.00 2,470.00 2,470.00
Mitel 6920 IP phone 3.00 770.00 2,310.00
Mitel 6930 IP phone</t>
  </si>
  <si>
    <t>UID-26-09-0062</t>
  </si>
  <si>
    <t>BTB/251/2026</t>
  </si>
  <si>
    <t>THE SHANGHAI COMM &amp; SAVINGS BANK LTD</t>
  </si>
  <si>
    <t>P/8189/MAMA/J226</t>
  </si>
  <si>
    <t>Avaya Service Charge, refer Quotation No. SHK7052LLG</t>
  </si>
  <si>
    <t>UID-26-09-0067</t>
  </si>
  <si>
    <t>BTB Mtce PR - Year 2026(UC/VC)</t>
  </si>
  <si>
    <t>UC (Include Avaya SC)</t>
  </si>
  <si>
    <t>VC</t>
  </si>
  <si>
    <t>UC + VC</t>
  </si>
  <si>
    <t>PR Issued Mth</t>
  </si>
  <si>
    <t>Total PO Amount (HK$)</t>
  </si>
  <si>
    <r>
      <t xml:space="preserve">Total Nos Of PR Issued 
</t>
    </r>
    <r>
      <rPr>
        <sz val="9"/>
        <color indexed="12"/>
        <rFont val="Tahoma"/>
        <family val="2"/>
      </rPr>
      <t>(Included cancel case)</t>
    </r>
  </si>
  <si>
    <t>Nos Of Cancel Case</t>
  </si>
  <si>
    <t>Total</t>
  </si>
  <si>
    <t>Grand Total</t>
  </si>
  <si>
    <t>No Of Case Total</t>
  </si>
  <si>
    <t>B2B Product</t>
  </si>
  <si>
    <t xml:space="preserve">Case Handled By </t>
  </si>
  <si>
    <t>Invoice No./
DN No.</t>
  </si>
  <si>
    <t>Email Confirmation Date / Invoice Date</t>
  </si>
  <si>
    <t>type (e.g. Winsuite……)</t>
  </si>
  <si>
    <t>Date to UM/Mgr</t>
  </si>
  <si>
    <t>Joey Pang</t>
    <phoneticPr fontId="24" type="noConversion"/>
  </si>
  <si>
    <t>NONBTB/001/2025</t>
    <phoneticPr fontId="24" type="noConversion"/>
  </si>
  <si>
    <t>C716</t>
    <phoneticPr fontId="24" type="noConversion"/>
  </si>
  <si>
    <t>P/4840/WA/SD21</t>
  </si>
  <si>
    <t>ESI</t>
    <phoneticPr fontId="24" type="noConversion"/>
  </si>
  <si>
    <t>Maintenance Service renewal, refer quotation no EQ22724A-0924 dated on 23-Dec-2024</t>
    <phoneticPr fontId="24" type="noConversion"/>
  </si>
  <si>
    <t>Ina Chan</t>
    <phoneticPr fontId="24" type="noConversion"/>
  </si>
  <si>
    <t>Kelvin Lam</t>
    <phoneticPr fontId="24" type="noConversion"/>
  </si>
  <si>
    <t>UID-24-01-4324</t>
    <phoneticPr fontId="24" type="noConversion"/>
  </si>
  <si>
    <t>NONBTB/002/2025</t>
    <phoneticPr fontId="24" type="noConversion"/>
  </si>
  <si>
    <t>Airport Authority</t>
    <phoneticPr fontId="24" type="noConversion"/>
  </si>
  <si>
    <t xml:space="preserve">2024WB892	</t>
    <phoneticPr fontId="24" type="noConversion"/>
  </si>
  <si>
    <t xml:space="preserve">one time </t>
    <phoneticPr fontId="24" type="noConversion"/>
  </si>
  <si>
    <t>Sunny Engineering Service limited</t>
    <phoneticPr fontId="24" type="noConversion"/>
  </si>
  <si>
    <t>MTP3500 800Mhz Tetra Portable Radio, refer quotation no PCQ-24-006 dated on 12-Dec-2024</t>
    <phoneticPr fontId="24" type="noConversion"/>
  </si>
  <si>
    <t>Simon Tan</t>
    <phoneticPr fontId="24" type="noConversion"/>
  </si>
  <si>
    <t>NONBTB/003/2025</t>
    <phoneticPr fontId="24" type="noConversion"/>
  </si>
  <si>
    <t>eTrinity Technology Limited</t>
    <phoneticPr fontId="24" type="noConversion"/>
  </si>
  <si>
    <t>CCTV Equipment , refer quotation no Q20241217KL01 dated on 17-Dec-2024</t>
    <phoneticPr fontId="24" type="noConversion"/>
  </si>
  <si>
    <t>BTB/004/2025</t>
  </si>
  <si>
    <t>CAX1</t>
  </si>
  <si>
    <t>OCBC (Hong Kong) Limited 28406200</t>
  </si>
  <si>
    <t>P AV/7304/MAMA/J324</t>
  </si>
  <si>
    <t>Avaya Subscription Renewal, refer quotation no.SHK7039LHX</t>
  </si>
  <si>
    <t>UID-25-01-0003</t>
  </si>
  <si>
    <t>S235010136</t>
  </si>
  <si>
    <t>BTB/005/2025</t>
  </si>
  <si>
    <t>HSH Management Service Limited</t>
  </si>
  <si>
    <t>P NE/7294/MAMA/WC24</t>
  </si>
  <si>
    <t>Renewal of Support and Maintenance Service, refer SM Ref No.SQ-HKS00389</t>
  </si>
  <si>
    <t>UID-25-01-0008</t>
  </si>
  <si>
    <t>INVMC000538</t>
  </si>
  <si>
    <t>NONBTB/006/2025</t>
    <phoneticPr fontId="24" type="noConversion"/>
  </si>
  <si>
    <t>Advanced System Technology Ltd.</t>
    <phoneticPr fontId="24" type="noConversion"/>
  </si>
  <si>
    <t>ACS system, refer quotation no Q2412-191 dated on 16-Dec-2024</t>
    <phoneticPr fontId="24" type="noConversion"/>
  </si>
  <si>
    <t>NONBTB/007/2025</t>
    <phoneticPr fontId="24" type="noConversion"/>
  </si>
  <si>
    <t>Proficiency Industrial Products LTD</t>
    <phoneticPr fontId="24" type="noConversion"/>
  </si>
  <si>
    <t>operation training of aerial Work Platforms, refer quotation no SDQ24.199 dated on 13-Dec-2024</t>
    <phoneticPr fontId="24" type="noConversion"/>
  </si>
  <si>
    <t>BTB/008/2025</t>
    <phoneticPr fontId="24" type="noConversion"/>
  </si>
  <si>
    <t>00244825</t>
    <phoneticPr fontId="24" type="noConversion"/>
  </si>
  <si>
    <t>PUI KIU MIDDLE SCHOOL</t>
  </si>
  <si>
    <t>W241101119L3</t>
  </si>
  <si>
    <t>Maintenance Service renewal, refer quotation no Q2024110008 dated on 5-Nov-2024</t>
    <phoneticPr fontId="24" type="noConversion"/>
  </si>
  <si>
    <t>Liang, Aka ZH</t>
    <phoneticPr fontId="24" type="noConversion"/>
  </si>
  <si>
    <t>UID-25-01-0036</t>
  </si>
  <si>
    <t>BTB/009/2025</t>
  </si>
  <si>
    <t>P AV/7322/MA/LS24</t>
  </si>
  <si>
    <t>Avaya Subscription Renewal, refer quotation date on 08-Jan-2025</t>
  </si>
  <si>
    <t>Jackie Choi</t>
  </si>
  <si>
    <t>UID-25-01-0028</t>
  </si>
  <si>
    <t>S235010131</t>
  </si>
  <si>
    <t>NONBTB/010/2025</t>
  </si>
  <si>
    <t>Tung Wah Group of Hospitals - Wong Fung Ling</t>
  </si>
  <si>
    <t>P AL/6581/MA/BL23</t>
  </si>
  <si>
    <t>SPS Renewal refer SC Reference no.11754785</t>
  </si>
  <si>
    <t>Brandy Liu</t>
  </si>
  <si>
    <t>Wallace Hong</t>
  </si>
  <si>
    <t>UID-24-02-0055</t>
  </si>
  <si>
    <t>BTB/011/2025</t>
  </si>
  <si>
    <t>Hongo Enterprises Ltd T/A Crowne Plaza Hong Kong Kowloon East</t>
  </si>
  <si>
    <t>P NE/7223/MA/AZ24</t>
  </si>
  <si>
    <t>Renewal of Support and Maintenance Services, refer SMA Ref. No.SQ-HKS00394</t>
  </si>
  <si>
    <t>Alice Yang</t>
  </si>
  <si>
    <t>UID-25-01-0039</t>
  </si>
  <si>
    <t>INVMC000537</t>
  </si>
  <si>
    <t>BTB/012/2025</t>
  </si>
  <si>
    <t>A.S Watson Retail (HK) Limited</t>
  </si>
  <si>
    <t>P AV/7291/MA/AN24</t>
  </si>
  <si>
    <t>Avaya SA Renewal, refer quotation dated on 13-Jan-25</t>
  </si>
  <si>
    <t>UID-24-12-0191</t>
  </si>
  <si>
    <t>S235010144</t>
  </si>
  <si>
    <t>BTB/013/2025</t>
  </si>
  <si>
    <t>Avaya Hong Kong Compnay Limited</t>
  </si>
  <si>
    <t>Avaya SA Renewal, refer quotation reference.25636493</t>
  </si>
  <si>
    <t>BTB/014/2025</t>
  </si>
  <si>
    <t>Avaya SA Renewal, refer quotation reference.25636495</t>
  </si>
  <si>
    <t>BTB/015/2025</t>
  </si>
  <si>
    <t>P AV/7501/WB/NI24</t>
  </si>
  <si>
    <t>InfoTalk Corporation Limited</t>
  </si>
  <si>
    <t>Annual Support for Project of 1823 Telephony System, refer quotation no.HKT-2024121011R2</t>
  </si>
  <si>
    <t>UID-25-01-0063</t>
  </si>
  <si>
    <t>NONBTB/016/2025</t>
  </si>
  <si>
    <t>Campbell Foods HK Ltd</t>
  </si>
  <si>
    <t>P AV/7208/MA/AZ24</t>
  </si>
  <si>
    <t>Avaya Maintenance Renewal, refer Contract ID 41354614 email dated on 16-Oct-2024</t>
  </si>
  <si>
    <t>UID-25-01-0069</t>
  </si>
  <si>
    <t>S235020059</t>
  </si>
  <si>
    <t>BTB/017/2025</t>
  </si>
  <si>
    <t>P AV/7317/MA/AW24</t>
  </si>
  <si>
    <t>Avaya Subscription Renewal, refer quotation No.SHK703KC06</t>
  </si>
  <si>
    <t>Ada Wong</t>
  </si>
  <si>
    <t>UID-25-01-0103</t>
  </si>
  <si>
    <t>BTB/018/2025</t>
  </si>
  <si>
    <t>Avaya SA Renewal, refer quotation reference.25643248</t>
  </si>
  <si>
    <t>BTB/019/2025</t>
  </si>
  <si>
    <t>Avaya CAS Renewal, refer quotation reference.25636598</t>
  </si>
  <si>
    <t>NONBTB/020/2025</t>
    <phoneticPr fontId="24" type="noConversion"/>
  </si>
  <si>
    <t>LAW TING PONG SECONDARY SCHOOL</t>
  </si>
  <si>
    <t xml:space="preserve">W241101103L3 </t>
  </si>
  <si>
    <t>Xtreme Lighting Limited</t>
    <phoneticPr fontId="24" type="noConversion"/>
  </si>
  <si>
    <t>Maintenance Service renewal, refer quotation no Q2024110009 dated on 5-Nov-2024</t>
    <phoneticPr fontId="24" type="noConversion"/>
  </si>
  <si>
    <t>BTB/021/2025</t>
  </si>
  <si>
    <t>P AV/7300/MA/CF24</t>
  </si>
  <si>
    <t>Avaya Subscription Renewal, refer quotation date on 17-Jan-25</t>
  </si>
  <si>
    <t>UID-25-01-0114</t>
  </si>
  <si>
    <t>S235020058</t>
  </si>
  <si>
    <t>BTB/022/2025</t>
  </si>
  <si>
    <t>Avaya SA Renewal, refer quotation reference.25636516</t>
  </si>
  <si>
    <t>BTB/023/2025</t>
  </si>
  <si>
    <t>HA - Tin Shui Wai Hospital</t>
  </si>
  <si>
    <t>P AL/7230/MA/BL24</t>
  </si>
  <si>
    <t>SPS Renewal refer SC Reference no.11754784</t>
  </si>
  <si>
    <t>UID-24-12-0073</t>
  </si>
  <si>
    <t>BTB/024/2025</t>
  </si>
  <si>
    <t>On Talent Technology Ltd</t>
  </si>
  <si>
    <t>Maintenance Support refer Quotation No.Q24-07-5222v1</t>
  </si>
  <si>
    <t>BTB/025/2025</t>
  </si>
  <si>
    <t>Automated Systems (HK) Ltd</t>
  </si>
  <si>
    <t>Sun Server Maintenance Service, refer Quotation No.KN/0441/MV/24</t>
  </si>
  <si>
    <t>NONBTB/026/2025</t>
  </si>
  <si>
    <t>P AL/7095/MA/BL24</t>
  </si>
  <si>
    <t>Action Engineering Co Ltd</t>
  </si>
  <si>
    <t>Battey Replacement Work for HAHO Project, refer Quotation Ref: MC/2024/0557</t>
  </si>
  <si>
    <t>UID-24-10-0001</t>
  </si>
  <si>
    <r>
      <rPr>
        <i/>
        <strike/>
        <sz val="10"/>
        <color rgb="FF000000"/>
        <rFont val="Tahoma"/>
      </rPr>
      <t>GSP send PO to Vendor on 5/3, await delivery stock</t>
    </r>
    <r>
      <rPr>
        <sz val="10"/>
        <color rgb="FF000000"/>
        <rFont val="Tahoma"/>
      </rPr>
      <t xml:space="preserve">    endorsed by Wallace on 26-Feb-26</t>
    </r>
  </si>
  <si>
    <t>NONBTB/027/2025</t>
  </si>
  <si>
    <t>Robertsons Solictitors</t>
  </si>
  <si>
    <t>2024WB487DS</t>
  </si>
  <si>
    <t>Labour Charges for on-site check iConnect Call Accounting System</t>
  </si>
  <si>
    <t>UID-25-01-0019</t>
  </si>
  <si>
    <t>Keyline Case</t>
  </si>
  <si>
    <t>BTB/028/2025</t>
    <phoneticPr fontId="24" type="noConversion"/>
  </si>
  <si>
    <t>MANDARIN ORIENTAL HOTEL GROUP LTD</t>
  </si>
  <si>
    <t>L241201743AZ</t>
  </si>
  <si>
    <t>Maintenance Service renewal, refer quotation no EQ22732-0924 dated on 28-Sep-2024</t>
    <phoneticPr fontId="24" type="noConversion"/>
  </si>
  <si>
    <t>UID-25-01-0191</t>
  </si>
  <si>
    <t>RN#3154997</t>
  </si>
  <si>
    <t>NONBTB/029/2025</t>
  </si>
  <si>
    <t>SV9100 SWA License Renewal, refer Email Quotation on 08-Jan-2025</t>
  </si>
  <si>
    <t>BTB/030/2025</t>
    <phoneticPr fontId="24" type="noConversion"/>
  </si>
  <si>
    <t>W250101149L2</t>
  </si>
  <si>
    <t>Maintenance Service renewal, refer quotation no Q2024120034 dated on 27-Dec-2024</t>
    <phoneticPr fontId="24" type="noConversion"/>
  </si>
  <si>
    <t>Monster Liang</t>
    <phoneticPr fontId="24" type="noConversion"/>
  </si>
  <si>
    <t>UID-25-01-0192</t>
  </si>
  <si>
    <t>Urgent Request</t>
    <phoneticPr fontId="24" type="noConversion"/>
  </si>
  <si>
    <t>RN3154601</t>
  </si>
  <si>
    <t>BTB/031/2025</t>
  </si>
  <si>
    <t>DFS Group Limited</t>
  </si>
  <si>
    <t>P AV/7097/MA/KW24</t>
  </si>
  <si>
    <t>Avaya Annual Maintenance, refer Contract No.41362165, 41362164</t>
  </si>
  <si>
    <t>UID-24-09-0065</t>
  </si>
  <si>
    <t>Email received on 24/1, 17:24. request place PO on 27/1</t>
  </si>
  <si>
    <t>BTB/032/2025</t>
  </si>
  <si>
    <t>Avaya Annual Maintenance, refer Contract No.41363300</t>
  </si>
  <si>
    <t>BTB/033/2025</t>
  </si>
  <si>
    <t>Avaya Annual Maintenance, refer Contract No.41365901</t>
  </si>
  <si>
    <t>BTB/034/2025</t>
  </si>
  <si>
    <t>China Int'l Capital Corp HK Sec LTD</t>
  </si>
  <si>
    <t>P AV/7328/MA/AZ24</t>
  </si>
  <si>
    <t>Avaya Subscription Renewal, refer quotation No.CIL24/Q/0259</t>
  </si>
  <si>
    <t>UID-25-01-0208</t>
  </si>
  <si>
    <t>Email received on 24/1, 18:50. request place PO on 28/1</t>
  </si>
  <si>
    <t>BTB/035/2025</t>
  </si>
  <si>
    <t>Avaya SA Renewal, refer quotation reference.25635881</t>
  </si>
  <si>
    <t>BTB/036/2025</t>
  </si>
  <si>
    <t>PCCW Digital Solutions Limited (EU:HKEX)</t>
  </si>
  <si>
    <t>P AV/7382/MA/AZ24</t>
  </si>
  <si>
    <t>UID-25-01-0209</t>
  </si>
  <si>
    <t>Email received on 24/1, 19:17. request place PO on 28/1</t>
  </si>
  <si>
    <t>NONBTB/037/2025</t>
  </si>
  <si>
    <t>Hong Kong Exchanges and Clearing Ltd</t>
  </si>
  <si>
    <t>P AV/7309/MA/AC24</t>
  </si>
  <si>
    <t>Avaya Subscription Renewal, refer quotation No.SHK703JW6R</t>
  </si>
  <si>
    <t>UID-24-12-0047</t>
  </si>
  <si>
    <t>Top Urgent Request</t>
  </si>
  <si>
    <t>Email received on 27/1</t>
  </si>
  <si>
    <t>SEIN250019</t>
  </si>
  <si>
    <t>NONBTB/038/2025</t>
  </si>
  <si>
    <t>Nikko Asset Management Hong Kong Limited</t>
  </si>
  <si>
    <t>P AV/7026/WB/BS23</t>
  </si>
  <si>
    <t>4 Months Avaya Maintenance extension, refer Contract No.25649647 (Previous Contract No.41380760)</t>
  </si>
  <si>
    <t>UID-24-07-0060</t>
  </si>
  <si>
    <t>NONBTB/039/2025</t>
    <phoneticPr fontId="24" type="noConversion"/>
  </si>
  <si>
    <t>2024WB892</t>
    <phoneticPr fontId="24" type="noConversion"/>
  </si>
  <si>
    <t>PhyLogic Solutions Limited</t>
  </si>
  <si>
    <t>Supply of tools &amp; equiment delivery to HKIA , refer quotation no. Qk 20250116003V3  dated on 24-Jan-2025</t>
    <phoneticPr fontId="24" type="noConversion"/>
  </si>
  <si>
    <t>NONBTB/040/2025</t>
    <phoneticPr fontId="24" type="noConversion"/>
  </si>
  <si>
    <t>Supply of tools &amp; equiment delivery to HKIA , refer quotation no. Qk 20250116002V3  dated on 24-Jan-2025</t>
    <phoneticPr fontId="24" type="noConversion"/>
  </si>
  <si>
    <t>NONBTB/041/2025</t>
    <phoneticPr fontId="24" type="noConversion"/>
  </si>
  <si>
    <t>Supply of tools &amp; equiment delivery to HKIA , refer quotation no. Qk 20250116001V3  dated on 24-Jan-2025</t>
    <phoneticPr fontId="24" type="noConversion"/>
  </si>
  <si>
    <t>NONBTB/042/2025</t>
    <phoneticPr fontId="24" type="noConversion"/>
  </si>
  <si>
    <t>Supply of tools &amp; equiment delivery to HKIA , refer quotation no. Qk 20250124001  dated on 24-Jan-2025</t>
    <phoneticPr fontId="24" type="noConversion"/>
  </si>
  <si>
    <t>BTB/043/2025</t>
  </si>
  <si>
    <t>The Bank of East Asia, Limited</t>
  </si>
  <si>
    <t>P AV/7376/MAMA/JI24</t>
  </si>
  <si>
    <t>Avaya Subscription Renewal, refer quotation No.SHK703CN2K</t>
  </si>
  <si>
    <t>UID-25-01-0228</t>
  </si>
  <si>
    <t>S235020060</t>
  </si>
  <si>
    <t>BTB/044/2025</t>
  </si>
  <si>
    <t>Avaya SA Renewal, refer quotation reference.25645004 (Previous Contract Number.41360888)</t>
  </si>
  <si>
    <t>Cancelled by Gary on 03-Feb by Email</t>
  </si>
  <si>
    <t>BTB/045/2025</t>
  </si>
  <si>
    <t>Philip Securities (HK) Ltd</t>
  </si>
  <si>
    <t>P /7375/MA/CF24</t>
  </si>
  <si>
    <t>2 sets of AudioCodes M1KB CHAMPS Plan Fee, refer Quotation Ref: IQ10365a-1124</t>
  </si>
  <si>
    <t>Daniel Tsui</t>
  </si>
  <si>
    <t>UID-25-02-0003</t>
  </si>
  <si>
    <t>BTB/046/2025</t>
  </si>
  <si>
    <t>PCCW Digital Solutions Limited (EU:IRD)</t>
  </si>
  <si>
    <t>P AV/7404/WA/PA24</t>
  </si>
  <si>
    <t>Avaya SA Renewal, refer quotation reference.25644063 (Previous Contract Number.41363939)</t>
  </si>
  <si>
    <t>Tommy Pak</t>
  </si>
  <si>
    <t>UID-25-02-0010</t>
  </si>
  <si>
    <t>Please issue PO on/before 11/2</t>
  </si>
  <si>
    <t>BTB/047/2025</t>
  </si>
  <si>
    <t>Avaya SA Renewal, refer quotation reference.25644062 (Previous Contract Number.41255427)</t>
  </si>
  <si>
    <t>BTB/048/2025</t>
  </si>
  <si>
    <t>Fubon Bank (Hong Kong) Limited</t>
  </si>
  <si>
    <t>P AV/7321/MA/LS24</t>
  </si>
  <si>
    <t>Avaya SA Renewal, refer quotation reference. 25647111</t>
  </si>
  <si>
    <t>UID-25-02-0008</t>
  </si>
  <si>
    <t>Request issue PO on/before 7/2</t>
  </si>
  <si>
    <t>BTB/049/2025</t>
  </si>
  <si>
    <t>Avaya Subscription Renewal, refer Sales Order Confirmaition issue on 31-Dec-24</t>
  </si>
  <si>
    <t>BTB/050/2025</t>
    <phoneticPr fontId="24" type="noConversion"/>
  </si>
  <si>
    <t>LOK SIN TONG LEUNG CHIK WAI MEMORIAL SCH</t>
  </si>
  <si>
    <t>W241201910L2</t>
  </si>
  <si>
    <t>Maintenance Service renewal, refer quotation no Q2025010017 dated on 22-Jan-2025</t>
    <phoneticPr fontId="24" type="noConversion"/>
  </si>
  <si>
    <t>UID-25-02-0011</t>
  </si>
  <si>
    <t>BTB/051/2025</t>
    <phoneticPr fontId="24" type="noConversion"/>
  </si>
  <si>
    <t>4250290052NP</t>
  </si>
  <si>
    <t>Maintenance Renew of Cisco , refer quotation no :4769322600 dated on 12-Jan-2025</t>
    <phoneticPr fontId="24" type="noConversion"/>
  </si>
  <si>
    <t>Nicky Po</t>
    <phoneticPr fontId="24" type="noConversion"/>
  </si>
  <si>
    <t>UID-25-02-0054</t>
  </si>
  <si>
    <t>Urgent B2B</t>
  </si>
  <si>
    <t>BTB/052/2025</t>
    <phoneticPr fontId="24" type="noConversion"/>
  </si>
  <si>
    <t>LULULEMON HK LTD</t>
  </si>
  <si>
    <t>4241200015AZ</t>
  </si>
  <si>
    <t>Vega</t>
    <phoneticPr fontId="24" type="noConversion"/>
  </si>
  <si>
    <t>Maintenance Service renewal, refer quotation no Q-2400005PMR01 dated on 2-Jan-2025</t>
    <phoneticPr fontId="24" type="noConversion"/>
  </si>
  <si>
    <t>UID-25-02-0059</t>
  </si>
  <si>
    <t>Request issue PO on/before 7/2 (RN3154599)</t>
  </si>
  <si>
    <t>BTB/053/2025</t>
  </si>
  <si>
    <t>D AC/7442/MAMA/J225</t>
  </si>
  <si>
    <t>AudioCodes M800C Media Gateway CHAMP Plan Renewal, refer quotation no.IQ10383a-1224</t>
  </si>
  <si>
    <t>UID-25-02-0046</t>
  </si>
  <si>
    <t>BTB/054/2025</t>
    <phoneticPr fontId="24" type="noConversion"/>
  </si>
  <si>
    <t>2024WB831/CB</t>
  </si>
  <si>
    <t>SOCIF LIMITED</t>
  </si>
  <si>
    <t>Maintenance Service renewal, refer quotation no SOC-HKT-HKCEC-Maintenance-2025-V1]dated on 3-Jan-2025</t>
    <phoneticPr fontId="24" type="noConversion"/>
  </si>
  <si>
    <t>UID-25-01-0057</t>
  </si>
  <si>
    <t>BTB/055/2025</t>
  </si>
  <si>
    <t>Carl Zeise Far East Co Ltd</t>
  </si>
  <si>
    <t>P/7509/MA/AZ24</t>
  </si>
  <si>
    <t>Adjunct Maintenance Service Renewal, refer quotation no.22768291_Rev0</t>
  </si>
  <si>
    <t>UID-25-02-0086</t>
  </si>
  <si>
    <t>BTB/056/2025</t>
    <phoneticPr fontId="24" type="noConversion"/>
  </si>
  <si>
    <t>SHANGHAI COMMERCIAL BANK Branch</t>
  </si>
  <si>
    <t>4241200028J2</t>
  </si>
  <si>
    <t>Nexus2s</t>
  </si>
  <si>
    <t>Maintenance Service renewal, refer quotation no QT-2500003 Maintenance-2025-V1]dated on 4-Feb-2025</t>
    <phoneticPr fontId="24" type="noConversion"/>
  </si>
  <si>
    <t xml:space="preserve">Jeffrey Lam </t>
    <phoneticPr fontId="24" type="noConversion"/>
  </si>
  <si>
    <t>UID-25-02-0045</t>
  </si>
  <si>
    <t>BTB/057/2025</t>
    <phoneticPr fontId="24" type="noConversion"/>
  </si>
  <si>
    <t>CREDIT AGRICOLE CORP. &amp; INVESTMENT BANK</t>
  </si>
  <si>
    <t>4241200008JI</t>
  </si>
  <si>
    <t>Maintenance Renew of Cisco , refer quotation no :431866726 dated on 30-Jan-2025</t>
    <phoneticPr fontId="24" type="noConversion"/>
  </si>
  <si>
    <t>Janet Hsui</t>
    <phoneticPr fontId="24" type="noConversion"/>
  </si>
  <si>
    <t>UID-25-02-0112</t>
  </si>
  <si>
    <t>URGENT BTB</t>
  </si>
  <si>
    <t>BTB/058/2025</t>
  </si>
  <si>
    <t>P AV/7585/WB/NI25
2025WB077NI</t>
  </si>
  <si>
    <t>Avaya CMS Hardware &amp; System Software Licenses, refer quotation no. CIL24/Q/0447</t>
  </si>
  <si>
    <t>UID-25-02-0145</t>
  </si>
  <si>
    <t>Super Urgent</t>
  </si>
  <si>
    <t>Request issue PO on/before 19/2, email received on 18/2 16:13</t>
  </si>
  <si>
    <t>BTB/059/2025</t>
  </si>
  <si>
    <t>Avaya Professional Service, refer quotation no.CIL24/Q/0449</t>
  </si>
  <si>
    <t>NONBTB/060/2025</t>
  </si>
  <si>
    <t>P NE/7341/WA/PA24</t>
  </si>
  <si>
    <t>NEC SV9100 Maintenance Services Renewal, refer email quotation date on 10-Jan-2025</t>
  </si>
  <si>
    <t>UID-25-02-0083</t>
  </si>
  <si>
    <t>NONBTB/061/2025</t>
  </si>
  <si>
    <t>P NE/7508/MA/YR24</t>
  </si>
  <si>
    <t>NEC SV9300 Telephone System Software Assurance, refer quotation no.QTN-25047939-ESD</t>
  </si>
  <si>
    <t>UID-25-02-0113</t>
  </si>
  <si>
    <t>BTB/062/2025</t>
  </si>
  <si>
    <t>HA - Alice Ho Miu Ling Nethersole Hospital(AHNH) and Tai Po(TPH)</t>
  </si>
  <si>
    <t>P AL/7012/MA/PA25</t>
  </si>
  <si>
    <t>3 years Maintenance Services Renewal, refer Quo.No.Q4500726 on 27-Mar-2025</t>
  </si>
  <si>
    <t>Hold</t>
  </si>
  <si>
    <t>by Wallace</t>
  </si>
  <si>
    <t>UID-25-02-0077</t>
  </si>
  <si>
    <t>New Quote provide by Connie on 28-Mar-2025, hold by Wallace</t>
  </si>
  <si>
    <t>BTB/063/2025</t>
  </si>
  <si>
    <t>3 years Maintnenance for iConnect CAS+iFax+IVR 8port+VMS 16 port+IPC, refer Quotation date on 04-Feb-2025</t>
  </si>
  <si>
    <t>NONBTB/064/2025</t>
  </si>
  <si>
    <t>Annual Maintenance of Blackbox item (AHNH), refer Quotation No.AEMMRC-24-818041 (AHNH25-28) $15900
Annual Maintenance of Blackbox item (TPH), refer Quotation No.AEMMRC-24-818042 (TPH25-28) $15900</t>
  </si>
  <si>
    <t>IN-2580-0920-0101</t>
  </si>
  <si>
    <t>NONBTB/065/2025</t>
  </si>
  <si>
    <t>Wilkinson &amp; Grist</t>
  </si>
  <si>
    <t>P MT/7582/WB/AC25</t>
  </si>
  <si>
    <t>Mitel</t>
  </si>
  <si>
    <t>Mitel Transfer Fee, refer email dated on 17-Feb-2025</t>
  </si>
  <si>
    <t>UID-25-02-0143</t>
  </si>
  <si>
    <t>Urgent</t>
  </si>
  <si>
    <t>BTB/066/2025</t>
  </si>
  <si>
    <t>Livi Bank Limited</t>
  </si>
  <si>
    <t>P/7399/MA/KW24</t>
  </si>
  <si>
    <t>Ingram Micro (China) Limited</t>
  </si>
  <si>
    <t>AudioCodes M800C Auunal Support, refer Quote ID: QUO-1803121-F3C4Q6</t>
  </si>
  <si>
    <t>UID-25-02-0093</t>
  </si>
  <si>
    <t>BTB/067/2025</t>
  </si>
  <si>
    <t>P AV/7363/MAMA/ND24</t>
  </si>
  <si>
    <t>Avaya IPO Renewal, refer Quotation No.SHK703Q7J2</t>
  </si>
  <si>
    <t>Dennis Ng</t>
  </si>
  <si>
    <t>UID-25-02-0163</t>
  </si>
  <si>
    <t>S235030092</t>
  </si>
  <si>
    <t>BTB/068/2025</t>
  </si>
  <si>
    <t>P AV/7400/MAMA/CB24</t>
  </si>
  <si>
    <t>Avaya Subscription Renewal, refer quotation No.SHK703CN9N</t>
  </si>
  <si>
    <t>UID-25-02-0122</t>
  </si>
  <si>
    <t>S235030094</t>
  </si>
  <si>
    <t>BTB/069/2025</t>
    <phoneticPr fontId="24" type="noConversion"/>
  </si>
  <si>
    <t>Maintenance Service renewal, refer quotation no Q-00341PM dated on 1-Jan-2025</t>
    <phoneticPr fontId="24" type="noConversion"/>
  </si>
  <si>
    <t xml:space="preserve">Dennis Ng </t>
  </si>
  <si>
    <t>NONBTB/070/2025</t>
    <phoneticPr fontId="24" type="noConversion"/>
  </si>
  <si>
    <t>4250190059TS</t>
  </si>
  <si>
    <t>Chinotech International Limited</t>
  </si>
  <si>
    <t>O&amp;M Training &amp;Certification, refer quotation no HK24HKTHKAT1MN dated on 28-Jan-2025</t>
    <phoneticPr fontId="24" type="noConversion"/>
  </si>
  <si>
    <t>BTB/071/2025</t>
  </si>
  <si>
    <t>P AV/7585/WB/NI25
2025WB123NI</t>
  </si>
  <si>
    <t>Avaya Software License for CMS Agents &amp; Supervisors, refer quotation no. CIL24/Q/0448</t>
  </si>
  <si>
    <t>UID-25-02-0232</t>
  </si>
  <si>
    <t>Request issue PO on/before 28/2, email received on 26/2 10:54</t>
  </si>
  <si>
    <t>BTB/072/2025</t>
  </si>
  <si>
    <t>P NE/7398/MA/LS24</t>
  </si>
  <si>
    <t>Renewal of Support and Maintenance Services, refer SMA Ref. No.SQ-HKS00491</t>
  </si>
  <si>
    <t>UID-25-02-0235</t>
  </si>
  <si>
    <t>INVMC000579</t>
  </si>
  <si>
    <t>BTB/073/2025</t>
    <phoneticPr fontId="24" type="noConversion"/>
  </si>
  <si>
    <t>THE IMC OF S.K.H. ST. MICHAEL'S PRI SCH</t>
  </si>
  <si>
    <t>W250101212L3</t>
  </si>
  <si>
    <t>Maintenance Service renewal, refer quotation no Q2024120015 dated on 3-Feb-2025</t>
    <phoneticPr fontId="24" type="noConversion"/>
  </si>
  <si>
    <t>Aka Laing</t>
    <phoneticPr fontId="24" type="noConversion"/>
  </si>
  <si>
    <t>UID-25-02-0084</t>
    <phoneticPr fontId="24" type="noConversion"/>
  </si>
  <si>
    <t>BTB/074/2025</t>
    <phoneticPr fontId="24" type="noConversion"/>
  </si>
  <si>
    <t>CHINA CONSTRUCTION BANK (ASIA) CORP LTD</t>
    <phoneticPr fontId="24" type="noConversion"/>
  </si>
  <si>
    <t>4250400004JI</t>
  </si>
  <si>
    <t>Maintenance Renew of Cisco , refer quotation no Web ID :98685121 dated on 25-Feb-2025</t>
    <phoneticPr fontId="24" type="noConversion"/>
  </si>
  <si>
    <t>UID-25-02-0258</t>
  </si>
  <si>
    <t>NONBTB/075/2025</t>
  </si>
  <si>
    <t>HA - Hong Kong Buddhist Hospital</t>
  </si>
  <si>
    <t>P AL/7004/MA/BL24</t>
  </si>
  <si>
    <t>SPS Renewal refer SC Reference no.11781066</t>
  </si>
  <si>
    <t>UID-24-08-0014</t>
  </si>
  <si>
    <t>BTB/076/2025</t>
    <phoneticPr fontId="24" type="noConversion"/>
  </si>
  <si>
    <t>CONSTRUCTION INDUSTRY COUNCIL</t>
  </si>
  <si>
    <t>4250290078PA</t>
  </si>
  <si>
    <t>All Solution LTD</t>
    <phoneticPr fontId="24" type="noConversion"/>
  </si>
  <si>
    <t>Maintenance Service renewal, refer quotation no HKT-Q104 dated on 13-Dec-24</t>
    <phoneticPr fontId="24" type="noConversion"/>
  </si>
  <si>
    <t>Connie Chan</t>
    <phoneticPr fontId="24" type="noConversion"/>
  </si>
  <si>
    <t>UID-25-02-0092</t>
  </si>
  <si>
    <t>BTB/077/2025</t>
    <phoneticPr fontId="24" type="noConversion"/>
  </si>
  <si>
    <t>Shine Union Limited</t>
    <phoneticPr fontId="24" type="noConversion"/>
  </si>
  <si>
    <t>Maintenance Service renewal, refer quotation no SQ1462409020(2) dated on 30-Dec-24</t>
    <phoneticPr fontId="24" type="noConversion"/>
  </si>
  <si>
    <t>25-Jul-2025
$13500</t>
  </si>
  <si>
    <t>BTB/078/2025</t>
    <phoneticPr fontId="24" type="noConversion"/>
  </si>
  <si>
    <t>CONSTRUCTION INDUSTRY COUNCIL</t>
    <phoneticPr fontId="24" type="noConversion"/>
  </si>
  <si>
    <t>Atelier Engineering Limited</t>
    <phoneticPr fontId="24" type="noConversion"/>
  </si>
  <si>
    <t>Maintenance Service renewal, refer quotation no Q240348 dated on 31-Dec-24</t>
    <phoneticPr fontId="24" type="noConversion"/>
  </si>
  <si>
    <t>BTB/079/2025</t>
    <phoneticPr fontId="24" type="noConversion"/>
  </si>
  <si>
    <t>Battery Replacement Service, refer quotation no Q250005 dated on 6-Jan-25</t>
    <phoneticPr fontId="24" type="noConversion"/>
  </si>
  <si>
    <t>BTB/080/2025</t>
  </si>
  <si>
    <t>HA-North Lantau Hospital (NLH)</t>
  </si>
  <si>
    <t>P AL/6941/MA/BL23</t>
  </si>
  <si>
    <t>Quintet VMS System, Alarn Panel Systems for CaMS, IVR &amp; VMS Maintenance Service Renewal, refer Quotation No.IQ10142R2-1123 (HK$9980+8002)
IVR Systems Maintenance Service Renewal, refer Quotation No.IQ10143R2-1123 (HK$28,664)
CaMS &amp; Mbical System Maintenance Service Renewal, refer Quotation No.IQ10144R2-1123 (HK$48,287.50)</t>
  </si>
  <si>
    <t>UID-24-05-0186</t>
  </si>
  <si>
    <t>BTB/081/2025</t>
  </si>
  <si>
    <t>P AV/7626/WB/NI24
2025WB17NI</t>
  </si>
  <si>
    <t>Avaya TSAPI License Renewal, refer quotation ref:CIL24/Q/0422 on 13-Mar-2025</t>
  </si>
  <si>
    <t>UID-25-03-0046</t>
  </si>
  <si>
    <t>Request issue PO on/before 12/3, email received on 6/3 17:07</t>
  </si>
  <si>
    <t>BTB/082/2025</t>
  </si>
  <si>
    <t>The Peninsula Hong Kong Hotel</t>
  </si>
  <si>
    <t>P NE/7431/MAMA/WC24</t>
  </si>
  <si>
    <t>NEC Q-Master Annual Maintenance, refer Quotation No.QTN-24047453-ESD-R02</t>
  </si>
  <si>
    <t>UID-25-03-0065</t>
  </si>
  <si>
    <t>BTB/083/2025</t>
  </si>
  <si>
    <t>NEC UCB Voice Logger Maintenance, refer Quotation No.QTN-24047454-ESD</t>
  </si>
  <si>
    <t>NONBTB/084/2025</t>
  </si>
  <si>
    <t>Dickson Concepts Ltd</t>
  </si>
  <si>
    <t>P MT/7292/MAMA/ND24</t>
  </si>
  <si>
    <t>Maintenance Servies renewal, refer email Quotation dated on 01-Mar-2025</t>
  </si>
  <si>
    <t>UID-25-03-0069</t>
  </si>
  <si>
    <t>Amend Cost from USD393.3 to USD434.75 on 27/3</t>
  </si>
  <si>
    <t>BTB/085/2025</t>
    <phoneticPr fontId="24" type="noConversion"/>
  </si>
  <si>
    <t>Maintenance Service renewal, refer quotation no Q-2500015PM dated on 3-Jan-2025</t>
    <phoneticPr fontId="24" type="noConversion"/>
  </si>
  <si>
    <t>no uid</t>
    <phoneticPr fontId="24" type="noConversion"/>
  </si>
  <si>
    <t>BTB/086/2025</t>
    <phoneticPr fontId="24" type="noConversion"/>
  </si>
  <si>
    <t>CHINA CONSTRUCTION BANK (ASIA) CORP LTD</t>
  </si>
  <si>
    <t>L250100007JI</t>
  </si>
  <si>
    <t>12mth</t>
    <phoneticPr fontId="24" type="noConversion"/>
  </si>
  <si>
    <t>Maintenance Renew of Cisco , refer quotation no Web ID :98797718 dated on 13-Mar-2025</t>
    <phoneticPr fontId="24" type="noConversion"/>
  </si>
  <si>
    <t>UID-25-03-0103</t>
  </si>
  <si>
    <t>BTB/087/2025</t>
  </si>
  <si>
    <t>HKSH Eastern Medical Centre Ltd (Shau Kei Wan)</t>
  </si>
  <si>
    <t>P AL/7302/MA/CP24</t>
  </si>
  <si>
    <t>SPS Renewal refer SC Reference no.11747665</t>
  </si>
  <si>
    <t>UID-25-03-0096</t>
  </si>
  <si>
    <t>PR rejected by GSP.  Cancelled by Lau, Coco WY on 03-Apr-2025</t>
  </si>
  <si>
    <t>BTB/088/2025</t>
  </si>
  <si>
    <t>HKSH Eastern Medical Centre Ltd (Kung Ngam Village Road)</t>
  </si>
  <si>
    <t>P AL/7506/WA/CP24</t>
  </si>
  <si>
    <t>SPS Renewal refer SC Reference no.11773188</t>
  </si>
  <si>
    <t>UID-25-03-0102</t>
  </si>
  <si>
    <t>BTB/089/2025</t>
  </si>
  <si>
    <t>Management Company of Olympic House Ltd</t>
  </si>
  <si>
    <t>P AL/7472/MAMA/YR24</t>
  </si>
  <si>
    <t>Quintet VMS Maintenance Service Renewal, refer Quotation No.IQ10390R1-0125</t>
  </si>
  <si>
    <t>UID-25-03-0111</t>
  </si>
  <si>
    <t>BTB/090/2025</t>
  </si>
  <si>
    <t>P AL/7396/MA/YR24</t>
  </si>
  <si>
    <t>Annual Maintenance Service Renewal, refer Quotation No.Q4500321</t>
  </si>
  <si>
    <t>UID-25-03-0116</t>
  </si>
  <si>
    <t>SB(Ricky) informed not purchase the B2B on 18-Mar.</t>
  </si>
  <si>
    <t>BTB/091/2025</t>
    <phoneticPr fontId="24" type="noConversion"/>
  </si>
  <si>
    <t>H250390188NI</t>
  </si>
  <si>
    <t>Zoom</t>
    <phoneticPr fontId="24" type="noConversion"/>
  </si>
  <si>
    <t>Maintenance Service renewal, refer quotation no Q3128259</t>
    <phoneticPr fontId="24" type="noConversion"/>
  </si>
  <si>
    <t>Ng, Ivy WY</t>
  </si>
  <si>
    <t>URGENT (PO to Zoom on or before 17 Mar 2025) email received 17-Mar-2025 14:11</t>
    <phoneticPr fontId="24" type="noConversion"/>
  </si>
  <si>
    <t>BTB/092/2025</t>
  </si>
  <si>
    <t>OCBC (Hong Kong) Limited</t>
  </si>
  <si>
    <t>P AV/7624/MAMA/KW2</t>
  </si>
  <si>
    <t>Avaya Subscription Renewal for FL#52019165, refer quotation dated on 27-Feb-2025</t>
  </si>
  <si>
    <t>Ho Chun Sing / Gary Leung</t>
  </si>
  <si>
    <t>UID-25-03-0125</t>
  </si>
  <si>
    <t>Place PO to Avaya before 25-May-2025</t>
  </si>
  <si>
    <t>SEIN250066</t>
  </si>
  <si>
    <t>NONBTB/093/2025</t>
    <phoneticPr fontId="24" type="noConversion"/>
  </si>
  <si>
    <t>4250190059TS</t>
    <phoneticPr fontId="24" type="noConversion"/>
  </si>
  <si>
    <t>China Mobile HK Co Ltd</t>
  </si>
  <si>
    <t>5G GATEWAY, SUB6, MMWAVE, AX1800, refer Reference no. DSC17903589897</t>
    <phoneticPr fontId="24" type="noConversion"/>
  </si>
  <si>
    <t>URGENT</t>
  </si>
  <si>
    <t>NONBTB/094/2025</t>
    <phoneticPr fontId="24" type="noConversion"/>
  </si>
  <si>
    <t>Phylogic Solutions Ltd</t>
  </si>
  <si>
    <t>supply &amp; Bedding PVC Floor mats, refer Reference no.QK 20250226001</t>
    <phoneticPr fontId="24" type="noConversion"/>
  </si>
  <si>
    <t>NONBTB/095/2025</t>
    <phoneticPr fontId="24" type="noConversion"/>
  </si>
  <si>
    <t>T1 Equipment, refer Reference no. HK24HKTHKAT1MN REVB</t>
    <phoneticPr fontId="24" type="noConversion"/>
  </si>
  <si>
    <t>NONBTB/096/2025</t>
    <phoneticPr fontId="24" type="noConversion"/>
  </si>
  <si>
    <t>Extra Service, refer Reference no. HK24HKTHKAT1MN REVH</t>
    <phoneticPr fontId="24" type="noConversion"/>
  </si>
  <si>
    <t>NONBTB/097/2025</t>
    <phoneticPr fontId="24" type="noConversion"/>
  </si>
  <si>
    <t>Device supply and provisioninge, refer Reference no. HK24HKTHKAT1MN REVF</t>
    <phoneticPr fontId="24" type="noConversion"/>
  </si>
  <si>
    <t>BTB/098/2025</t>
  </si>
  <si>
    <t>P/7443/MAMA/LS24</t>
  </si>
  <si>
    <t>AudioCodes IP430HD Phone Set Support Service Plan, refer Quotation IQ10373-1224 on 10-Dec-24</t>
  </si>
  <si>
    <t>UID-25-03-0143</t>
  </si>
  <si>
    <t>BTB/099/2025</t>
  </si>
  <si>
    <t>AudionCodes M1KB CHAMPS Plan Annual Fee, refer Quotation IQ10374-1224 on 10-Dec-24</t>
  </si>
  <si>
    <t>BTB/100/2025</t>
  </si>
  <si>
    <t>AudioCodes mediant 1000B Media Gateway, refer Quotation IQ10366-1124 on 22-Nov-24</t>
  </si>
  <si>
    <t>BTB/101/2025</t>
  </si>
  <si>
    <t>Chubb Hong Kong Ltd</t>
  </si>
  <si>
    <t>P AV/7349/MAMA/LS24</t>
  </si>
  <si>
    <t>Avaya Subscription Renewal for FL#52013398, refer quotation dated on 17-Feb-2025</t>
  </si>
  <si>
    <t>S235030230</t>
  </si>
  <si>
    <t>BTB/102/2025</t>
  </si>
  <si>
    <t>3 years Sun Server Maintenance Service, refer Quotation No.KN/0688/MV/24v2</t>
  </si>
  <si>
    <t>BTB/103/2025</t>
  </si>
  <si>
    <t>Avaya SA Renewal Charges, refer Quotation No.CIL24/Q/0459 on 12-Feb-2025</t>
  </si>
  <si>
    <t>BTB/104/2025</t>
  </si>
  <si>
    <t>Auberge Discovery Bay Hong Kong</t>
  </si>
  <si>
    <t>P AL/7487/MAMA/CB24</t>
  </si>
  <si>
    <t>Renewal of Support and Maintenance Services, refer SMA Ref. No.SQ-HKS00500 on 20-Jan-25</t>
  </si>
  <si>
    <t>UID-25-03-0194</t>
  </si>
  <si>
    <t>INVMC000584</t>
  </si>
  <si>
    <t>NONBTB/105/2025</t>
  </si>
  <si>
    <t>P NE/7434/MAMA/CF24</t>
  </si>
  <si>
    <t>Product Support of NEC UCB System, refer Agreement No.QTN-25047897-ESD</t>
  </si>
  <si>
    <t>UID-25-03-0196</t>
  </si>
  <si>
    <t>NONBTB/106/2025</t>
  </si>
  <si>
    <t>HKT Teleservices International Limited (BPF13)</t>
  </si>
  <si>
    <t>P AV/7665/WA/IL24</t>
  </si>
  <si>
    <t>Avaya SA Renewal Charges, refer Quotation No.CIL24/Q/0540 on 21-Mar-2025</t>
  </si>
  <si>
    <t>UID-25-03-0225</t>
  </si>
  <si>
    <t>Request issue PO to Vendor on/before 27-Mar-2025, email received on 26-Mar-2025</t>
  </si>
  <si>
    <t>NONBTB/107/2025</t>
  </si>
  <si>
    <t>P MT/7401/MAMA/CB24</t>
  </si>
  <si>
    <t>SV9300 Telephone System Software Assurance, refer Agreement No.QTN-25047940-ESD</t>
  </si>
  <si>
    <t>UID-25-03-0215</t>
  </si>
  <si>
    <t>NONBTB/108/2025</t>
  </si>
  <si>
    <t>Maintnenance for iConnect CAS+PMS+VMS 16 ports, refer Quotation date on 05-Feb-2025</t>
  </si>
  <si>
    <r>
      <rPr>
        <sz val="10"/>
        <color rgb="FFFF0000"/>
        <rFont val="Tahoma"/>
        <family val="2"/>
      </rPr>
      <t>NON</t>
    </r>
    <r>
      <rPr>
        <sz val="10"/>
        <rFont val="Tahoma"/>
        <family val="2"/>
      </rPr>
      <t>BTB/109/2025</t>
    </r>
  </si>
  <si>
    <t>P NE/7666/WB/AC25</t>
  </si>
  <si>
    <t>Renewal of Support and Maintenance Services, refer SMA Ref. No.SQ-HKS00425 on 28-Feb-25</t>
  </si>
  <si>
    <t>UID-25-03-0219</t>
  </si>
  <si>
    <t>INVMC000485</t>
  </si>
  <si>
    <t>BTB/110/2025</t>
  </si>
  <si>
    <t>No Specified</t>
  </si>
  <si>
    <t>Maintenance Service for HPE ML570G4/G5 Server, refer Email on 09-Sep-2024</t>
  </si>
  <si>
    <t>by Calvin</t>
  </si>
  <si>
    <t>Hold by Calvin Wong</t>
  </si>
  <si>
    <t>BTB/111/2025</t>
  </si>
  <si>
    <t>P AL/7430/MAMA/ND24</t>
  </si>
  <si>
    <t>Annual Maintenance of iConnect CAS+VMS8port+PC, refer Quotation date on 22-Jan-25</t>
  </si>
  <si>
    <t>UID-25-03-0264</t>
  </si>
  <si>
    <t>Joey Pang 
(by Mandy)</t>
  </si>
  <si>
    <r>
      <rPr>
        <sz val="10"/>
        <color rgb="FFFF0000"/>
        <rFont val="Tahoma"/>
        <family val="2"/>
      </rPr>
      <t>NON</t>
    </r>
    <r>
      <rPr>
        <sz val="10"/>
        <rFont val="Tahoma"/>
        <family val="2"/>
      </rPr>
      <t>BTB/112/2025</t>
    </r>
  </si>
  <si>
    <t>Proficiency Industrial Products Ltd</t>
  </si>
  <si>
    <t>Provision of Operation Training for Aerial Work Platforms in Hong Kong International Airpport, refer Ref:SDQ25.023 on 24-Mar-2025</t>
  </si>
  <si>
    <t xml:space="preserve">Joey Pang </t>
    <phoneticPr fontId="24" type="noConversion"/>
  </si>
  <si>
    <t>NONBTB/113/2025</t>
    <phoneticPr fontId="24" type="noConversion"/>
  </si>
  <si>
    <t>L250390071WC</t>
    <phoneticPr fontId="24" type="noConversion"/>
  </si>
  <si>
    <t>Cisco</t>
    <phoneticPr fontId="24" type="noConversion"/>
  </si>
  <si>
    <t>Maintenance Renew of Cisco , refer quotation no Web ID :4767896524 dated on 2-Jan-25</t>
    <phoneticPr fontId="24" type="noConversion"/>
  </si>
  <si>
    <t>Cammy Wong</t>
    <phoneticPr fontId="24" type="noConversion"/>
  </si>
  <si>
    <t>UID-25-03-0045</t>
  </si>
  <si>
    <r>
      <rPr>
        <strike/>
        <sz val="10"/>
        <rFont val="Tahoma"/>
        <family val="2"/>
      </rPr>
      <t>NON</t>
    </r>
    <r>
      <rPr>
        <sz val="10"/>
        <rFont val="Tahoma"/>
        <family val="2"/>
      </rPr>
      <t>BTB/114/2025</t>
    </r>
  </si>
  <si>
    <t>Hysan IT Services Company Limited</t>
    <phoneticPr fontId="24" type="noConversion"/>
  </si>
  <si>
    <t>L250190148TS</t>
  </si>
  <si>
    <t>Maintenance Service renewal, refer quotation noQVIZ196402 dated on 24-OCT-2024</t>
    <phoneticPr fontId="24" type="noConversion"/>
  </si>
  <si>
    <t>UID-25-01-0070</t>
  </si>
  <si>
    <t>BTB/115/2025</t>
  </si>
  <si>
    <t>China Int'l Capital Corp HK Sec Ltd
Hong Kong Center for Construction Robotics</t>
  </si>
  <si>
    <t>Synnex Technology International (HK) Ltd</t>
  </si>
  <si>
    <t>VMware vSphere Enterprise Plus 1st Year Subscription, refer email Quotation on 01-Apr-2025</t>
  </si>
  <si>
    <t>Sindy Cheung</t>
  </si>
  <si>
    <t>Carlos Chan</t>
  </si>
  <si>
    <t>Storage Case charge to Avaya IPO</t>
  </si>
  <si>
    <t>BTB/116/2025</t>
  </si>
  <si>
    <t>Miramar Global Sourcing Company Limited</t>
  </si>
  <si>
    <t>P AV/7384/MA/YR24</t>
  </si>
  <si>
    <t>Renewal of Support and Maintenance Services, refer Quotation No  SQ-HKS00474 dated on 12/12/2024</t>
  </si>
  <si>
    <t>UID-25-04-0037</t>
  </si>
  <si>
    <t>INVMC000596</t>
  </si>
  <si>
    <t>BTB/117/2025</t>
  </si>
  <si>
    <t>Novotel Citygate Hong Kong</t>
  </si>
  <si>
    <t>P AL/7465/MA/TH24</t>
  </si>
  <si>
    <t>Renewal of Support and Maintenance Services, refer Quotation No  SQ-HKS00494 dated on 14/03/2025</t>
  </si>
  <si>
    <t>UID-25-04-0048</t>
  </si>
  <si>
    <t>cheched by Wallace on 8-Feb-26, payment for 1st year support service</t>
  </si>
  <si>
    <t>INVMC000595-US8800</t>
  </si>
  <si>
    <t>NONBTB/118/2025</t>
  </si>
  <si>
    <t>Shenwan Hongyuan (HK) Ltd</t>
  </si>
  <si>
    <t>P AV/7474/MA/KW24</t>
  </si>
  <si>
    <t>Annual Maintenance of TeleCARE CAS, refer quotation date on 10-Feb-25</t>
  </si>
  <si>
    <t>BTB/119/2025</t>
    <phoneticPr fontId="24" type="noConversion"/>
  </si>
  <si>
    <t>G250400083J2</t>
  </si>
  <si>
    <t>Nexus2s</t>
    <phoneticPr fontId="24" type="noConversion"/>
  </si>
  <si>
    <t>Maintenance Service renewal, refer quotation noQT-2500014 dated on 14-Mar-25</t>
    <phoneticPr fontId="24" type="noConversion"/>
  </si>
  <si>
    <t>Jeffrey Lam</t>
    <phoneticPr fontId="24" type="noConversion"/>
  </si>
  <si>
    <t>UID-25-04-0063</t>
  </si>
  <si>
    <t>BTB/120/2025</t>
    <phoneticPr fontId="24" type="noConversion"/>
  </si>
  <si>
    <t>vega</t>
    <phoneticPr fontId="24" type="noConversion"/>
  </si>
  <si>
    <t>Maintenance Service renewal, refer quotation no.Q-2500528PS dated on 24-Mar-25</t>
    <phoneticPr fontId="24" type="noConversion"/>
  </si>
  <si>
    <t>BTB/121/2025</t>
  </si>
  <si>
    <t>MLC Maintenance, refer Quotation No.QTN-24047455-ESD</t>
  </si>
  <si>
    <t>P11096743</t>
  </si>
  <si>
    <t>NONBTB/122/2025</t>
  </si>
  <si>
    <t>SV9500 Telephone System Software Assurance, refer Agreement No.QTN-24047452-ESD-R03</t>
  </si>
  <si>
    <t>P11096740</t>
  </si>
  <si>
    <t>NONBTB/123/2025</t>
  </si>
  <si>
    <t>Renewal of Support and Maintenance Services, refer Quotation No  SQ-HKS00417 dated on 26/08/2024</t>
  </si>
  <si>
    <t>INVMC000607</t>
  </si>
  <si>
    <t>BTB/124/2025</t>
  </si>
  <si>
    <t>Leisure and Cultural Services Department</t>
  </si>
  <si>
    <t>P AL/6939/MA/CP25</t>
  </si>
  <si>
    <t>Quintet VMS Maintenance Service Renewal, refer Quotation No.IQ10415-0225</t>
  </si>
  <si>
    <t>UID-25-04-0084</t>
  </si>
  <si>
    <t>BTB/125/2025</t>
    <phoneticPr fontId="24" type="noConversion"/>
  </si>
  <si>
    <t>4250500011CP</t>
  </si>
  <si>
    <t>Maintenance Service Renewal, refer Quotation No.Q2025030017R dated on 16-Mar-2025</t>
    <phoneticPr fontId="24" type="noConversion"/>
  </si>
  <si>
    <t>UID-25-04-0089</t>
  </si>
  <si>
    <t>NONBTB/126/2025</t>
    <phoneticPr fontId="24" type="noConversion"/>
  </si>
  <si>
    <t>Motorola Solutions Asia Pac Ltd CO HKPF</t>
  </si>
  <si>
    <t>PAV1530MABN16</t>
  </si>
  <si>
    <t>one time</t>
    <phoneticPr fontId="24" type="noConversion"/>
  </si>
  <si>
    <t>Pro Audio Development LTD</t>
    <phoneticPr fontId="24" type="noConversion"/>
  </si>
  <si>
    <t>43' UHD Smart Business TV Signage, refer Quotation No.QPC-121807 dated on 21-Mar-2025</t>
    <phoneticPr fontId="24" type="noConversion"/>
  </si>
  <si>
    <t>BTB/127/2025</t>
    <phoneticPr fontId="24" type="noConversion"/>
  </si>
  <si>
    <t>CITIC METAL GROUP LIMITED</t>
  </si>
  <si>
    <t>4250200002CB</t>
  </si>
  <si>
    <t>Maintenance Service renewal, refer quotation no.Q-2500111PMR01 dated on 18-Feb-25</t>
    <phoneticPr fontId="24" type="noConversion"/>
  </si>
  <si>
    <t>UID-25-03-0063</t>
  </si>
  <si>
    <t>BTB/128/2025</t>
    <phoneticPr fontId="24" type="noConversion"/>
  </si>
  <si>
    <t>Ingram Micro (China) Limited</t>
    <phoneticPr fontId="24" type="noConversion"/>
  </si>
  <si>
    <t>Maintenance Service renewal, refer quotation ID. QUO-1805603-G4J3W1 dated on 21-Jan-25</t>
    <phoneticPr fontId="24" type="noConversion"/>
  </si>
  <si>
    <t>BTB/129/2025</t>
    <phoneticPr fontId="24" type="noConversion"/>
  </si>
  <si>
    <t>G250490183NI</t>
  </si>
  <si>
    <t>Chubb Hong Kong Limited</t>
    <phoneticPr fontId="24" type="noConversion"/>
  </si>
  <si>
    <t>Maintenance Service renewal, refer Site No. 35284698(REV.1) dated on 27-Mar-2025</t>
    <phoneticPr fontId="24" type="noConversion"/>
  </si>
  <si>
    <t>Ivy Ng</t>
    <phoneticPr fontId="24" type="noConversion"/>
  </si>
  <si>
    <t>UID-25-04-0100</t>
  </si>
  <si>
    <t>BTB/130/2025</t>
  </si>
  <si>
    <t>ING Bank N.V.</t>
  </si>
  <si>
    <t>D AC/7571/MA/JI25</t>
  </si>
  <si>
    <t>Maintenance Service of AudioCodes M800C Media Gateway ACTS 24x7 and Managed Spares, refer quotation no.IQ10404a-0225</t>
  </si>
  <si>
    <t>UID-25-04-0122</t>
  </si>
  <si>
    <t>BTB/131/2025</t>
  </si>
  <si>
    <t>P AV/7477/MAMA/ND24</t>
  </si>
  <si>
    <t>Annual License Fee and Offsite Support, refer quotation no.HKT-25020511R</t>
  </si>
  <si>
    <t>UID-25-04-0128</t>
  </si>
  <si>
    <t>Request issue PO to Vendor before 29-Apr</t>
  </si>
  <si>
    <t>BTB/132/2025</t>
    <phoneticPr fontId="24" type="noConversion"/>
  </si>
  <si>
    <t>HKUGA PRIMARY SCHOOL</t>
  </si>
  <si>
    <t>W241001264L3</t>
  </si>
  <si>
    <t>Maintenance Service renewal, refer Quotation No.2025040027 dates on 24-apr-2025</t>
    <phoneticPr fontId="24" type="noConversion"/>
  </si>
  <si>
    <t>Aka Liang</t>
    <phoneticPr fontId="24" type="noConversion"/>
  </si>
  <si>
    <t>UID-25-04-0150</t>
  </si>
  <si>
    <t>Urgent BTB PR Request</t>
  </si>
  <si>
    <t>Mandy Lee
(Joey Pang)</t>
  </si>
  <si>
    <t>NONBTB/133/2025</t>
    <phoneticPr fontId="24" type="noConversion"/>
  </si>
  <si>
    <t>HKT Teleservices International Limited (Efficiency Office)</t>
  </si>
  <si>
    <t>Chinacomm International ltd</t>
  </si>
  <si>
    <t>SA Renewal Charges, refer Quotation Ref.CIL25/Q/0023</t>
    <phoneticPr fontId="24" type="noConversion"/>
  </si>
  <si>
    <t>1. 22-Aug-25
2.
3.</t>
  </si>
  <si>
    <t>Ricky Yau</t>
    <phoneticPr fontId="24" type="noConversion"/>
  </si>
  <si>
    <t>1st CIL25/I/0065</t>
  </si>
  <si>
    <t>NONBTB/134/2025</t>
    <phoneticPr fontId="24" type="noConversion"/>
  </si>
  <si>
    <t>SA Renewal Charges, refer Quotation Ref.CIL25/Q/0021</t>
    <phoneticPr fontId="24" type="noConversion"/>
  </si>
  <si>
    <t>Request issue PO to Vendor before 29-Apr. 1st mark receipt on 25/7/25 but rejected by CAP</t>
  </si>
  <si>
    <t>1st CIL25/I/0067</t>
  </si>
  <si>
    <t>NONBTB/135/2025</t>
    <phoneticPr fontId="24" type="noConversion"/>
  </si>
  <si>
    <t>SA Renewal Charges, refer Quotation Ref.CIL25/Q/0022</t>
    <phoneticPr fontId="24" type="noConversion"/>
  </si>
  <si>
    <t>1ST CIL25/I/0066</t>
  </si>
  <si>
    <t>BTB/136/2025</t>
    <phoneticPr fontId="24" type="noConversion"/>
  </si>
  <si>
    <t>Synnex Technology International (HK) Ltd</t>
    <phoneticPr fontId="24" type="noConversion"/>
  </si>
  <si>
    <t>Dell PowerEdge R740, refer Quotation No.Q29/25 dates on 23-apr-2025</t>
    <phoneticPr fontId="24" type="noConversion"/>
  </si>
  <si>
    <r>
      <rPr>
        <sz val="10"/>
        <color rgb="FFFF0000"/>
        <rFont val="Tahoma"/>
        <family val="2"/>
      </rPr>
      <t>NON</t>
    </r>
    <r>
      <rPr>
        <sz val="10"/>
        <rFont val="Tahoma"/>
        <family val="2"/>
      </rPr>
      <t>BTB/137/2025</t>
    </r>
    <phoneticPr fontId="24" type="noConversion"/>
  </si>
  <si>
    <t xml:space="preserve">HK UNIVERSITY OF SCIENCE &amp; TECHNOLOGY </t>
  </si>
  <si>
    <t>4241000008CB</t>
  </si>
  <si>
    <t>Maintenance Service renewal, refer Quotation No.EQ22724B-0924-REV1 dates on 25-apr-2025</t>
    <phoneticPr fontId="24" type="noConversion"/>
  </si>
  <si>
    <t>UID-25-04-0178</t>
  </si>
  <si>
    <t>BTB/138/2025</t>
  </si>
  <si>
    <t>CREDIT AGRICOLE CIB</t>
  </si>
  <si>
    <t>F250500019JI</t>
  </si>
  <si>
    <t>Greensboro Telecom Limited</t>
  </si>
  <si>
    <t>RightFax Maintenance renewal, refer Quotation No.GQ250024v2 dated on 28-Apr-25</t>
  </si>
  <si>
    <t>UID-25-04-0198</t>
  </si>
  <si>
    <t>NONBTB/139/2025</t>
  </si>
  <si>
    <t>Favour Link International Ltd - iclub To Kwa Wan Hotel</t>
  </si>
  <si>
    <t>P NE/7446/MA/TH24</t>
  </si>
  <si>
    <t>Renewal of Support and Maintenance Services, refer Quotation No  SQ-HKS00477 dated on 13/12/2024</t>
  </si>
  <si>
    <t>UID-25-05-0003</t>
  </si>
  <si>
    <t>BTB/140/2025</t>
  </si>
  <si>
    <t>Henderson Real Estate Agency Ltd</t>
  </si>
  <si>
    <t>P MT/7325/MAMA/CB24</t>
  </si>
  <si>
    <t>Proposal of UPS Maintenance Renewal, refer Contract Number:AEMMRC-25-818261</t>
  </si>
  <si>
    <t>UID-25-05-0009</t>
  </si>
  <si>
    <t>checked by Wallace on 3-Feb-26</t>
  </si>
  <si>
    <t>NONBTB/141/2025</t>
    <phoneticPr fontId="24" type="noConversion"/>
  </si>
  <si>
    <t>Million Hope Ind Ltd</t>
  </si>
  <si>
    <t xml:space="preserve"> 4241200027CB</t>
  </si>
  <si>
    <t>Nexlen Internation Limited</t>
    <phoneticPr fontId="24" type="noConversion"/>
  </si>
  <si>
    <t>on -Site Services, refer Quotation No.SQ-202503-055-0 dates on 24-Mar-2025</t>
    <phoneticPr fontId="24" type="noConversion"/>
  </si>
  <si>
    <t>UID-25-04-0125</t>
    <phoneticPr fontId="24" type="noConversion"/>
  </si>
  <si>
    <t>NONBTB/142/2025</t>
    <phoneticPr fontId="24" type="noConversion"/>
  </si>
  <si>
    <t>Wo Hing Radio Co., LTD</t>
    <phoneticPr fontId="24" type="noConversion"/>
  </si>
  <si>
    <t>SSP-78 Stainless Steel Panel, S206B-2/1534 SPDT 1-1 Roundkey, refer Email dates on 19-Mar-2025</t>
    <phoneticPr fontId="24" type="noConversion"/>
  </si>
  <si>
    <t>BTB/143/2025</t>
  </si>
  <si>
    <t>P NE/7528/MA/CF25</t>
  </si>
  <si>
    <t>Renewal of Support and Maintenance Services, refer Quotation No  SQ-HKS00514 dated on 14/02/2025</t>
  </si>
  <si>
    <t>UID-25-05-0054</t>
  </si>
  <si>
    <t>INVMC000610</t>
  </si>
  <si>
    <t>BTB/144/2025</t>
    <phoneticPr fontId="24" type="noConversion"/>
  </si>
  <si>
    <t>PCCW GLOBAL LIMITED C/O Console Connect (HK)Limited</t>
    <phoneticPr fontId="24" type="noConversion"/>
  </si>
  <si>
    <t>G250590038NI (2025WB047NI)</t>
  </si>
  <si>
    <t>Man Fung Technology Limited</t>
    <phoneticPr fontId="24" type="noConversion"/>
  </si>
  <si>
    <t>Logitech C922 , refer Quotation No.80005082 dates on 8-May-2025</t>
    <phoneticPr fontId="24" type="noConversion"/>
  </si>
  <si>
    <t>UID-25-05-0064</t>
  </si>
  <si>
    <t>BTB/145/2025</t>
  </si>
  <si>
    <t>P AV/7536/MA/KW24</t>
  </si>
  <si>
    <t>Avaya IPO Service Renewal, refer Quotation No.SHK703XX6F</t>
  </si>
  <si>
    <t>UID-25-05-0082</t>
  </si>
  <si>
    <t>BTB/146/2025</t>
  </si>
  <si>
    <t>ELCHK, Tuen Mun District Health Centre</t>
  </si>
  <si>
    <t>4250400006YR</t>
  </si>
  <si>
    <t>License Service renewal for digital signage board, refer Quotation No.ABQ25041001 date on 10-Apr-2025</t>
  </si>
  <si>
    <t>UID-25-05-0083</t>
  </si>
  <si>
    <t>BTB/147/2025</t>
  </si>
  <si>
    <t>HKT Teleservices International Limited (Call Center-OLK2)</t>
  </si>
  <si>
    <t>2025WB335NI</t>
  </si>
  <si>
    <t>Sun Server Maintenance Service, refer Quotation No.KN/0130/MV/25</t>
  </si>
  <si>
    <t>UID-25-05-0105</t>
  </si>
  <si>
    <t>Urgent Request issue PO to Vendor before 23-May</t>
  </si>
  <si>
    <t>BTB/148/2025</t>
    <phoneticPr fontId="24" type="noConversion"/>
  </si>
  <si>
    <t>Sensetime</t>
  </si>
  <si>
    <t>Maintenance Service, refer Quotation No.ST202504024001-00 dated on 24-Apr-2025</t>
    <phoneticPr fontId="24" type="noConversion"/>
  </si>
  <si>
    <t>NONBTB/149/2025</t>
    <phoneticPr fontId="24" type="noConversion"/>
  </si>
  <si>
    <t>FootfallCam</t>
    <phoneticPr fontId="24" type="noConversion"/>
  </si>
  <si>
    <t>Maintenance Service, refer Quotation No.MN250509_FFC dated on 9-May-2025</t>
    <phoneticPr fontId="24" type="noConversion"/>
  </si>
  <si>
    <t>NONBTB/150/2025</t>
    <phoneticPr fontId="24" type="noConversion"/>
  </si>
  <si>
    <t>4250190002TS</t>
    <phoneticPr fontId="24" type="noConversion"/>
  </si>
  <si>
    <t>Xander International (HK) Ltd.</t>
  </si>
  <si>
    <t>Onsite update the patch file on T1 server including installation &amp; software support of the patch file under MGV Application, refer Quotation No.XHK2025040701R dated on 8-Apr-2025</t>
    <phoneticPr fontId="24" type="noConversion"/>
  </si>
  <si>
    <t>BTB/151/2025</t>
    <phoneticPr fontId="24" type="noConversion"/>
  </si>
  <si>
    <t>Manulife (International) Ltd</t>
  </si>
  <si>
    <t>4250200020YR</t>
  </si>
  <si>
    <t xml:space="preserve">Dropick Ltd </t>
  </si>
  <si>
    <t>Maintenance Service, refer Quotation No.HKT2025-Q04141 dated on 14-Apr-2025</t>
    <phoneticPr fontId="24" type="noConversion"/>
  </si>
  <si>
    <t>UID-25-05-0192</t>
  </si>
  <si>
    <t>BTB/152/2025</t>
    <phoneticPr fontId="24" type="noConversion"/>
  </si>
  <si>
    <t>Schot Ltd</t>
  </si>
  <si>
    <t>Maintenance Service, refer Quotation by email dated on 28-Apr-2025</t>
    <phoneticPr fontId="24" type="noConversion"/>
  </si>
  <si>
    <t>BTB/153/2025</t>
  </si>
  <si>
    <t>P AV/7485/MAMA/LS24</t>
  </si>
  <si>
    <t>Avaya Supscription Renewal, refer Quotation No.SHK703PXJV</t>
  </si>
  <si>
    <t>UID-25-05-0183</t>
  </si>
  <si>
    <t>SEIN250258</t>
  </si>
  <si>
    <t>BTB/154/2025</t>
  </si>
  <si>
    <t>Avaya SA Renewal, refer Quotation No.SHK703RWP7</t>
  </si>
  <si>
    <t>NONBTB/155/2025</t>
  </si>
  <si>
    <t>P AV/7572/MA/LS25</t>
  </si>
  <si>
    <t>Avaya SA Renewal Charges, refer Quotation No.CIL25/Q/0033</t>
  </si>
  <si>
    <t>UID-25-05-0194</t>
  </si>
  <si>
    <t>CIL25/I/0219</t>
  </si>
  <si>
    <t>NONBTB/156/2025</t>
  </si>
  <si>
    <t>Avaya SA Renewal Charges, refer Quotation No.CIL25/Q/0034 &amp; CIL25/Q/0035</t>
  </si>
  <si>
    <t>CIL25/I/0020
CIL25/I/0021</t>
  </si>
  <si>
    <t>NONBTB/154/2025</t>
  </si>
  <si>
    <t>Feng Yuan China Co., Ltd</t>
  </si>
  <si>
    <t>Training course, refer Quotation NoQ2504126ULS-R1 dated on 8-May-2025</t>
    <phoneticPr fontId="24" type="noConversion"/>
  </si>
  <si>
    <t>NONBTB/158/2025</t>
  </si>
  <si>
    <t>Cordoba Homes Mgt Ltd</t>
  </si>
  <si>
    <t>P AV/7459/MAMA/CB25</t>
  </si>
  <si>
    <t>Avaya IPOSS Support Renewal, refer Quotation No.SHK70401H1</t>
  </si>
  <si>
    <t>UID-25-05-0226</t>
  </si>
  <si>
    <t>SEIN250323</t>
  </si>
  <si>
    <t>BTB/159/2025</t>
  </si>
  <si>
    <t>UPS Maintenace Service, refer Quotation No.: KN/0337/PC/25</t>
  </si>
  <si>
    <t>NONBTB/160/2025</t>
  </si>
  <si>
    <t>Hong Kong Police Force-36616000</t>
  </si>
  <si>
    <t>one off</t>
  </si>
  <si>
    <t>Sensaphone Battery Replacement, refer Quo. No.Q4501232</t>
  </si>
  <si>
    <t>no uid</t>
  </si>
  <si>
    <t>NONBTB/161/2025</t>
  </si>
  <si>
    <t>Avaya Service Charge for Avaya Contract ID 41387847, 41387838, 41387848</t>
  </si>
  <si>
    <t>SEIN250556</t>
  </si>
  <si>
    <t>BTB/162/2025</t>
  </si>
  <si>
    <t>P AV/7522/MA/LS25</t>
  </si>
  <si>
    <t>Avaya Subscription Renewal, refer Quotation No.CIL24/Q/0512</t>
  </si>
  <si>
    <t>UID-25-06-0083</t>
  </si>
  <si>
    <t>CIL25/I/123</t>
  </si>
  <si>
    <t>NONBTB/163/2025</t>
  </si>
  <si>
    <t>Promise (HK) Co Ltd</t>
  </si>
  <si>
    <t>P AV/7512/MAMA/CB25</t>
  </si>
  <si>
    <t>Avaya Subscription Renewal, refer Quotation No.SHK703PXGM</t>
  </si>
  <si>
    <t>UID-25-06-0094</t>
  </si>
  <si>
    <t>SEIN250345</t>
  </si>
  <si>
    <t>BTB/164/2025</t>
  </si>
  <si>
    <t>Regal Oriental Hotel</t>
  </si>
  <si>
    <t>P NE/7440/MA/TH24</t>
  </si>
  <si>
    <t>NEC SV8500 Annual Maintenance, refer Agreement No.QTN-25048165-ESD</t>
  </si>
  <si>
    <t>UID-25-06-0115</t>
  </si>
  <si>
    <t>P11096741</t>
  </si>
  <si>
    <t>NONBTB/165/2025</t>
  </si>
  <si>
    <t>Renewal of Support and Maintenance Services, refer Quotation No  SQ-HKS00493 dated on 09/01/2025</t>
  </si>
  <si>
    <t>INVMC000635</t>
  </si>
  <si>
    <t>NONBTB/166/2025</t>
  </si>
  <si>
    <t>P NE/7479/MA/TH24</t>
  </si>
  <si>
    <t>Renewal of Support and Maintenance Services, refer Quotation No  SQ-HKS00515 dated on 14/02/2025</t>
  </si>
  <si>
    <t>UID-25-06-0116</t>
  </si>
  <si>
    <t>INVMC000636</t>
  </si>
  <si>
    <t>BTB/167/2025</t>
    <phoneticPr fontId="24" type="noConversion"/>
  </si>
  <si>
    <t>Wintech</t>
  </si>
  <si>
    <t>maintenance service,  refer Quotation No.QCPE240452 dated on 28-May-2025</t>
    <phoneticPr fontId="24" type="noConversion"/>
  </si>
  <si>
    <t>BTB/168/2025</t>
  </si>
  <si>
    <t>The Murray Hong Kong</t>
  </si>
  <si>
    <t>P NE/7811/WB/AC25</t>
  </si>
  <si>
    <t>NEC SV9500 Telephone System Software Assurance renewal, refer Quotaton No.QTN-24047560-ESD</t>
  </si>
  <si>
    <t>UID-25-06-0120</t>
  </si>
  <si>
    <t>NONBTB/169/2025</t>
  </si>
  <si>
    <t>Avaya SA Renewal, refer quotation no. SHK7042YMY</t>
  </si>
  <si>
    <t>Sales request issue 6 x POs</t>
  </si>
  <si>
    <t>NONBTB/170/2025</t>
  </si>
  <si>
    <t>Avaya SA Renewal, refer quotation no. SHK703Y1GF</t>
  </si>
  <si>
    <t>NONBTB/171/2025</t>
  </si>
  <si>
    <t>Avaya SA Renewal, refer quotation no. SHK7043112</t>
  </si>
  <si>
    <t>P11096742</t>
  </si>
  <si>
    <t>NONBTB/172/2025</t>
  </si>
  <si>
    <t>Avaya SA Renewal, refer quotation no. SHK7043J06</t>
  </si>
  <si>
    <t>NONBTB/173/2025</t>
  </si>
  <si>
    <t>Avaya SA Renewal, refer quotation no. SHK7041361</t>
  </si>
  <si>
    <t>NONBTB/174/2025</t>
  </si>
  <si>
    <t>Avaya SA Renewal, refer quotation no. SHK7043107</t>
  </si>
  <si>
    <t>NONBTB/175/2025</t>
  </si>
  <si>
    <t>Standard Chartered Bank Hong Kong Ltd</t>
  </si>
  <si>
    <t>P AV/7815/WB/TS25</t>
  </si>
  <si>
    <t>Oracle</t>
  </si>
  <si>
    <t>Technical Support Services renewal, refer Support Service No.:15279280 &amp; 6275378</t>
  </si>
  <si>
    <t>UID-25-06-0181</t>
  </si>
  <si>
    <t>Request issue PO to Vendor no later than 27-Jun-2025</t>
  </si>
  <si>
    <t>840036350
840036349</t>
  </si>
  <si>
    <t>NONBTB/176/2025</t>
  </si>
  <si>
    <t>HA-Our Lady of Maryknoll Hospital (OLMH)</t>
  </si>
  <si>
    <t>P AL/7551/MA/CO25</t>
  </si>
  <si>
    <t>ESI</t>
  </si>
  <si>
    <t>Quintet Voicemail Support Renewal, refer Quotation Ref: SQ7895-0325</t>
  </si>
  <si>
    <t>UID-25-06-0230</t>
  </si>
  <si>
    <t>BTB/177/2025</t>
  </si>
  <si>
    <t>Annual Mainterance Service of Blackbox item, refer quotation no : AEMMRC-25-818300(OLMH)</t>
  </si>
  <si>
    <t>BTB/178/2025</t>
  </si>
  <si>
    <t>P /7030/WA/JI24</t>
  </si>
  <si>
    <t>I20250710ZUI</t>
  </si>
  <si>
    <t>BTB/179/2025</t>
    <phoneticPr fontId="24" type="noConversion"/>
  </si>
  <si>
    <t>4250700020CB</t>
  </si>
  <si>
    <t>Maintenance Renew of Cisco , refer quotation no 232244514 dated on 25-Jun-25</t>
    <phoneticPr fontId="24" type="noConversion"/>
  </si>
  <si>
    <t>UID-25-06-0245</t>
  </si>
  <si>
    <t>BTB/180/2025</t>
  </si>
  <si>
    <t>Avaya Subscription Renewal, refer Sales Order Confirmaition issue on 26-Jun-25</t>
  </si>
  <si>
    <t>SEIN250465</t>
  </si>
  <si>
    <t>NONBTB/181/2025</t>
  </si>
  <si>
    <t>P AV/7558/MAMA/J225</t>
  </si>
  <si>
    <t>Avaya Service Charge for IPOSS Contract ID 41386552</t>
  </si>
  <si>
    <t>UID-25-07-0004</t>
  </si>
  <si>
    <t>SEIN250451</t>
  </si>
  <si>
    <t>BTB/182/2025</t>
    <phoneticPr fontId="24" type="noConversion"/>
  </si>
  <si>
    <t>02244825</t>
    <phoneticPr fontId="24" type="noConversion"/>
  </si>
  <si>
    <t>ASBURY METHODIST PRIMARY SCHOOL</t>
  </si>
  <si>
    <t>W250400840L2</t>
  </si>
  <si>
    <t>Maintenance Renew, refer quotation no Q2025030012 dated on 2-Jul-25</t>
    <phoneticPr fontId="24" type="noConversion"/>
  </si>
  <si>
    <t>Monster Liang</t>
  </si>
  <si>
    <t>UID-25-07-0026</t>
    <phoneticPr fontId="24" type="noConversion"/>
  </si>
  <si>
    <t>NONBTB/183/2025</t>
  </si>
  <si>
    <t>Cheerlord Investment Ltd - W Hong Kong</t>
  </si>
  <si>
    <t>P NE/7081/MAMA/AC24</t>
  </si>
  <si>
    <t>SV9500 Telephone System Software Assurance, refer Agreement No.QTN-24047064-ESD-2</t>
  </si>
  <si>
    <t>UID-24-08-0010</t>
  </si>
  <si>
    <t>P11096910</t>
  </si>
  <si>
    <t>BTB/184/2025</t>
  </si>
  <si>
    <t>SA Renewal Charges, refer quotation no.CIL25/Q/0044</t>
  </si>
  <si>
    <t>CIL25I0171</t>
  </si>
  <si>
    <t>BTB/185/2025</t>
  </si>
  <si>
    <t>P AL/7517/MA/CP25</t>
  </si>
  <si>
    <t>SPS Renewal refer SC Reference no.11802220</t>
  </si>
  <si>
    <t>UID-25-07-0113</t>
  </si>
  <si>
    <t>BTB/186/2025</t>
  </si>
  <si>
    <t>HA-Yan Chai Hospital</t>
  </si>
  <si>
    <t>P AL/6977/MA/BL24</t>
  </si>
  <si>
    <t>CaMS, Mobicall Maintenance Service Renewal, refer quotation no.SQ7765R5-0124 ($31612)
IVR System Maintenance Service Renewal, refer quotation ref.SQ7766R4-0124 ($26545)</t>
  </si>
  <si>
    <t>UID-24-06-0136</t>
  </si>
  <si>
    <t>NONBTB/187/2025</t>
  </si>
  <si>
    <t>HA-Wong Chuk Hang (WCH)</t>
  </si>
  <si>
    <t>P /7660/WAWAS/YT25</t>
  </si>
  <si>
    <t>Annual Maintenance of Blackbox item (WCH), refer Quotation No.AEMMRC-25-818270 (WCH) $4800</t>
  </si>
  <si>
    <t>UID-25-07-0118</t>
  </si>
  <si>
    <t>IN-2580-0908-0101</t>
  </si>
  <si>
    <t>NONBTB/188/2025</t>
  </si>
  <si>
    <t>Proposal of UPS Maintenance Renewal, refer Contract Number: AEMMRC-25-818281</t>
  </si>
  <si>
    <t>NONBTB/189/2025</t>
  </si>
  <si>
    <t>Annual Maintenance of iConnect VMS Business 4 port +IPC(1ste), refer Quotation date on 11-Apr-2025</t>
  </si>
  <si>
    <t>checked by Wallace on 12-Feb-26</t>
  </si>
  <si>
    <t>NONBTB/190/2025</t>
  </si>
  <si>
    <t>SPS Renewal refer SC Reference no.11836420 (PXAL)</t>
  </si>
  <si>
    <t>22783568</t>
  </si>
  <si>
    <t>BTB/191/2025</t>
  </si>
  <si>
    <t>IVR System Maintenance Service Renewal, refer Quotation ID: IQ10428-0325</t>
  </si>
  <si>
    <t>UID-25-07-0122</t>
  </si>
  <si>
    <t>BTB/192/2025</t>
  </si>
  <si>
    <t>P /7734/WAWA/TH25</t>
  </si>
  <si>
    <t>AudioCodes Mediant 800C Media Gateway Support Contract Renewal, refer quotation no.: EQ23192a-0525</t>
  </si>
  <si>
    <t>UID-25-07-0159</t>
  </si>
  <si>
    <t>NA</t>
  </si>
  <si>
    <r>
      <rPr>
        <strike/>
        <sz val="10"/>
        <rFont val="Tahoma"/>
        <family val="2"/>
      </rPr>
      <t>NON</t>
    </r>
    <r>
      <rPr>
        <sz val="10"/>
        <rFont val="Tahoma"/>
        <family val="2"/>
      </rPr>
      <t>BTB/193/2025</t>
    </r>
  </si>
  <si>
    <t>KBC Bank NV</t>
  </si>
  <si>
    <t>P AV/7595/MAMA/J225</t>
  </si>
  <si>
    <r>
      <t xml:space="preserve">Avaya Service Charge for IPOSS Contract ID </t>
    </r>
    <r>
      <rPr>
        <strike/>
        <sz val="10"/>
        <rFont val="Tahoma"/>
        <family val="2"/>
      </rPr>
      <t>41396928</t>
    </r>
    <r>
      <rPr>
        <sz val="10"/>
        <rFont val="Tahoma"/>
        <family val="2"/>
      </rPr>
      <t xml:space="preserve"> </t>
    </r>
    <r>
      <rPr>
        <sz val="10"/>
        <color rgb="FFFF0000"/>
        <rFont val="Tahoma"/>
        <family val="2"/>
      </rPr>
      <t>SHK7047JGF</t>
    </r>
  </si>
  <si>
    <t>UID-25-07-0181</t>
  </si>
  <si>
    <t>PO(1547806) Canell by Vendor on 07-Aug, Old PR#6201835</t>
  </si>
  <si>
    <t>SEIN250551</t>
  </si>
  <si>
    <t>BTB/194/2025</t>
  </si>
  <si>
    <t>P MT/7561/MAMA/ND25</t>
  </si>
  <si>
    <t>Maintenance Servies renewal, refer email Quotation dated on 01-Mar-2025</t>
    <phoneticPr fontId="24" type="noConversion"/>
  </si>
  <si>
    <t>UID-25-07-0217</t>
  </si>
  <si>
    <t>BTB/195/2025</t>
    <phoneticPr fontId="24" type="noConversion"/>
  </si>
  <si>
    <t xml:space="preserve">CONSTRUCTION INDUSTRY COUNCIL </t>
  </si>
  <si>
    <t>4250290078PA</t>
    <phoneticPr fontId="24" type="noConversion"/>
  </si>
  <si>
    <t>HK DEEPINSIGHT TECH CO., LIMITED</t>
    <phoneticPr fontId="24" type="noConversion"/>
  </si>
  <si>
    <t>Carmera x2, refer quotation no 202506060 dated on 6-Jun-25</t>
    <phoneticPr fontId="24" type="noConversion"/>
  </si>
  <si>
    <t>BTB/196/2025</t>
    <phoneticPr fontId="24" type="noConversion"/>
  </si>
  <si>
    <t>TECHNICAL ELECTRONIC SYSTEM ENGINEERING LIMTED</t>
  </si>
  <si>
    <t>Maintenance Servies, refer quotation no TE251004 dated on 5-Jun-25</t>
    <phoneticPr fontId="24" type="noConversion"/>
  </si>
  <si>
    <t>BTB/197/2025</t>
  </si>
  <si>
    <t>KPMG</t>
  </si>
  <si>
    <t>P AV/7621/MA/KW25</t>
  </si>
  <si>
    <t>Avaya Subscription Renewal, refer quotation No.CIL25/Q/0062</t>
  </si>
  <si>
    <t>UID-25-08-0009</t>
  </si>
  <si>
    <t>Request issue PO to Vendor before 11-Aug. (NON PABX product - passed to LCA</t>
  </si>
  <si>
    <t>BTB/198/2025</t>
  </si>
  <si>
    <t>Quintet VMS Maintenance Service Renewal, refer quotation no.IQ10414-0225</t>
  </si>
  <si>
    <t>BTB/199/2025</t>
  </si>
  <si>
    <t>Annual Maintenance Service for Sensaphone System, refer quotation no.SELQ-25-B-180801</t>
  </si>
  <si>
    <t>Quotation revised on 18/8</t>
  </si>
  <si>
    <t>NONBTB/200/2025</t>
  </si>
  <si>
    <t>SPS Renewal refer SC Reference no.11848454</t>
  </si>
  <si>
    <t>404369045</t>
  </si>
  <si>
    <t>BTB/201/2025</t>
  </si>
  <si>
    <t>Hong Kong Police Force_19990999</t>
  </si>
  <si>
    <t>P AV/1530/MA/BN16</t>
  </si>
  <si>
    <t>Annual Maintenance of UPS, refer Quotation No.AEMMRC-25-818403R1</t>
  </si>
  <si>
    <t>BTB/202/2025</t>
  </si>
  <si>
    <t>P AV/7600/MA/AW25</t>
  </si>
  <si>
    <t>Avaya Subscription Renewal, refer Quotation SHK7043T3K</t>
  </si>
  <si>
    <t>UID-25-08-0111</t>
  </si>
  <si>
    <t>Request issue PO to Vendor cob 22-Aug-2025</t>
  </si>
  <si>
    <t>4955899368</t>
  </si>
  <si>
    <t>BTB/203/2025</t>
  </si>
  <si>
    <t>The Jockey Club Kau Sai Chau Public Golf</t>
  </si>
  <si>
    <t>P AV/7641/MAMA/LS25</t>
  </si>
  <si>
    <t>Annual Maintenance for iConnect CAS, refer quotation date on 07-Jul-2025</t>
  </si>
  <si>
    <t>UID-25-08-0115</t>
  </si>
  <si>
    <t>BTB/204/2025</t>
  </si>
  <si>
    <t>P AV/7566/MA/JI25</t>
  </si>
  <si>
    <t>Avaya Subscription Renewal, refer Quotation SHK7042YMQ</t>
  </si>
  <si>
    <t>UID-25-08-0116</t>
  </si>
  <si>
    <t>Request issue PO to Vendor cob 28-Aug-2025</t>
  </si>
  <si>
    <t>BTB/205/2025</t>
  </si>
  <si>
    <t>P NE/7557/MAMA/CB25</t>
  </si>
  <si>
    <t>Renewal of Support and Maintenance Services, refer Quotation No  SQ-HKS00543 dated on 02/04/2025</t>
  </si>
  <si>
    <t>UID-25-08-0147</t>
  </si>
  <si>
    <t>INVMC000669</t>
  </si>
  <si>
    <t>NONBTB/206/2025</t>
  </si>
  <si>
    <t>The Fullerton Ocean Park Hotel Hong Kong</t>
  </si>
  <si>
    <t>P AL/7526/MA/CF24</t>
  </si>
  <si>
    <t>Renewal of Support and Maintenance Services, refer Quotation No  SQ-HKS00529 dated on 13/3/25</t>
  </si>
  <si>
    <t>UID-25-08-0097</t>
  </si>
  <si>
    <t xml:space="preserve">INVMC000674 </t>
  </si>
  <si>
    <t>BTB/207/2025</t>
  </si>
  <si>
    <t>Chow Tak Fook Life Insurance Company Limited (FT Life)</t>
  </si>
  <si>
    <t>P AV/7590/MA/JI25</t>
  </si>
  <si>
    <t>Avaya Subscription Renewal, refer Quotation SHK7046LP1</t>
  </si>
  <si>
    <t>UID-25-08-0136</t>
  </si>
  <si>
    <t>BTB/208/2025</t>
    <phoneticPr fontId="24" type="noConversion"/>
  </si>
  <si>
    <t>Avaya SA Renewal, refer quotation no. SHK7046LQQ</t>
    <phoneticPr fontId="24" type="noConversion"/>
  </si>
  <si>
    <t>BTB/209/2025</t>
    <phoneticPr fontId="24" type="noConversion"/>
  </si>
  <si>
    <t>MTR Corporation Limited</t>
    <phoneticPr fontId="24" type="noConversion"/>
  </si>
  <si>
    <t>4250190051ND</t>
    <phoneticPr fontId="24" type="noConversion"/>
  </si>
  <si>
    <t>Maintenance Servies fee, refer  Quotation no.Q2025080019 dated on 25-Aug-2025</t>
    <phoneticPr fontId="24" type="noConversion"/>
  </si>
  <si>
    <t>Dennis Ng</t>
    <phoneticPr fontId="24" type="noConversion"/>
  </si>
  <si>
    <t>BTB/210/2025</t>
    <phoneticPr fontId="24" type="noConversion"/>
  </si>
  <si>
    <t>P/7526/MAMA/CF25</t>
  </si>
  <si>
    <t>Exclusive Networks JJNet Hong Kong Limited</t>
    <phoneticPr fontId="24" type="noConversion"/>
  </si>
  <si>
    <t>Maintenance Servies fee, refer  Quotation no.QHK020000108 dated on 18-Aug-2025</t>
    <phoneticPr fontId="24" type="noConversion"/>
  </si>
  <si>
    <t>NONBTB/211/2025</t>
  </si>
  <si>
    <t>Howse Williams</t>
  </si>
  <si>
    <t>P/7381/MAMA/CB25</t>
  </si>
  <si>
    <t>Avaya Subscription Renewal, refer Quotation SHK7046HMN</t>
  </si>
  <si>
    <t>UID-25-08-0137</t>
  </si>
  <si>
    <t>SEIN250570</t>
  </si>
  <si>
    <t>NONBTB/212/2025</t>
  </si>
  <si>
    <t>Avaya SA Renewal, refer quotation no. SHK7047090</t>
  </si>
  <si>
    <t>1. 31-Oct-25
2.
3.</t>
  </si>
  <si>
    <t>1. USD721.80, RN3179286, 31-Oct-2025</t>
  </si>
  <si>
    <t>4955902676</t>
  </si>
  <si>
    <t>BTB/213/2025</t>
  </si>
  <si>
    <t>P /7612/MAMA/YT25</t>
  </si>
  <si>
    <t>Quintet &amp; IVR Systems Maintenance Service Renewal, refer quotation no IQ10445-0425 on 02-May-2025</t>
  </si>
  <si>
    <t>BTB/214/2025</t>
  </si>
  <si>
    <t>Proposal of UPS Maintenance Renewal Contract, refer Contract Number: AEMMRC-25-818410</t>
  </si>
  <si>
    <t>BTB/215/2025</t>
  </si>
  <si>
    <t>Proposal of UPS Maintenance Renewal Contract, refer Contract Number: AEMMRC-25-818411</t>
  </si>
  <si>
    <t>checked by Wallace on3-eb-26</t>
  </si>
  <si>
    <t>BTB/216/2025</t>
  </si>
  <si>
    <t>Hutchison Property Group Limited</t>
  </si>
  <si>
    <t>P/7610/MAMA/TH25</t>
  </si>
  <si>
    <t>Annual Maintenance for iConnect TeleCARE Call Accounting System, refer quotation date on 25-Jul-2025</t>
  </si>
  <si>
    <t>UID-25-08-0211</t>
  </si>
  <si>
    <t>BTB/217/2025</t>
    <phoneticPr fontId="24" type="noConversion"/>
  </si>
  <si>
    <t>4250800030LS</t>
  </si>
  <si>
    <t>Golden Wealth Technology Ltd</t>
  </si>
  <si>
    <t>Maintenance Servies  Renewal, refer  Quotation no.GWQ2508001 dated on 8-Aug-2025</t>
    <phoneticPr fontId="24" type="noConversion"/>
  </si>
  <si>
    <t>Sammi Leung</t>
    <phoneticPr fontId="24" type="noConversion"/>
  </si>
  <si>
    <t>UID-25-08-0228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</si>
  <si>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BTB/218/2025</t>
    </r>
  </si>
  <si>
    <t>Sensetime Group Limited</t>
    <phoneticPr fontId="24" type="noConversion"/>
  </si>
  <si>
    <t>Maintenance Servies  Renewal, refer  Quotation no.202507180001-001r1 dated on 18-Jul-2025</t>
    <phoneticPr fontId="24" type="noConversion"/>
  </si>
  <si>
    <t>3-9-25 checked</t>
    <phoneticPr fontId="24" type="noConversion"/>
  </si>
  <si>
    <t>NONBTB/219/2025</t>
  </si>
  <si>
    <t>P AV/7591/MAMA/ND25</t>
  </si>
  <si>
    <t>Avaya Service Charge for IPOSS Contract ID 41385275</t>
  </si>
  <si>
    <t>UID-25-08-0257</t>
  </si>
  <si>
    <t>SEIN250559</t>
  </si>
  <si>
    <t>NONBTB/220/2025</t>
  </si>
  <si>
    <t>P /7327/MAMA/LS25</t>
  </si>
  <si>
    <t>AudioCodes M3K V0IP Gateway On-site Support Service Plan for HKJC Tsing Yi Site, refer quotation ref.:IQ10396b-0125</t>
  </si>
  <si>
    <t>Request issue PO to Vendor before 29-Aug-25, 16:00</t>
  </si>
  <si>
    <t>NONBTB/221/2025</t>
    <phoneticPr fontId="24" type="noConversion"/>
  </si>
  <si>
    <t xml:space="preserve">HANISON CONSTRUCTION CO LTD </t>
  </si>
  <si>
    <t>4250890333CB (2025WB750CB)</t>
  </si>
  <si>
    <t>Nexlen International Limited</t>
  </si>
  <si>
    <t>Power supply Servies fee, refer  Quotation no.SQ-202508-037 dated on 14-Aug-2025</t>
    <phoneticPr fontId="24" type="noConversion"/>
  </si>
  <si>
    <t>UID-25-08-0423</t>
  </si>
  <si>
    <t>BTB/222/2025</t>
  </si>
  <si>
    <t>Hong Kong Adventist Hospital - Tsuen Wan</t>
  </si>
  <si>
    <t>P /7586/MAMA/YT25</t>
  </si>
  <si>
    <t>Quintet &amp; IVR Systems Maintenance Service Renewal, refer quotation no IQ10446R1-0425 on 14-Jul-25</t>
  </si>
  <si>
    <t>UID-25-08-0430</t>
  </si>
  <si>
    <t>NONBTB/223/2025</t>
  </si>
  <si>
    <t>P/7066/WAWA/YT25</t>
  </si>
  <si>
    <t>Quintet &amp; IVR Systems Maintenance Service Renewal, refer quotation no IQ10427-0325 on 19-Mar-25</t>
  </si>
  <si>
    <t>UID-25-08-0432</t>
  </si>
  <si>
    <t>NONBTB/224/2025</t>
  </si>
  <si>
    <t>Proposal of UPS Maintenance Renewal Contract, refer Contract Number: AEMMRC-25-818430</t>
  </si>
  <si>
    <t>Hold and cancell by Wallace on 02-Oct-2025</t>
  </si>
  <si>
    <t>NONBTB/225/2025</t>
  </si>
  <si>
    <t>Spare parts - refer Quotation No.QN4844r1/0825</t>
  </si>
  <si>
    <t>checked by Wallace on 5-May-26, with two separated invoices</t>
  </si>
  <si>
    <t>BTB/226/2025</t>
  </si>
  <si>
    <t>Favour Link International Ltd - iclub Sheung Wan Hotel</t>
  </si>
  <si>
    <t>P NE/7538/MA/TH24</t>
  </si>
  <si>
    <t>NEC UCB Maintenance, refer Quotation No.QTN-25048299-ESD</t>
  </si>
  <si>
    <t>UID-25-09-0003</t>
  </si>
  <si>
    <t>BTB/227/2025</t>
  </si>
  <si>
    <t>Renewal of Support and Maintenance Services, refer Quotation No  SQ-HKS00535 dated on 28/3/25</t>
  </si>
  <si>
    <t>INVMC000688</t>
  </si>
  <si>
    <t>BTB/228/2025</t>
  </si>
  <si>
    <t xml:space="preserve">P AV/7650/MA/JI25 </t>
  </si>
  <si>
    <t>Avaya Subscription Renewal, refer Quotation SHK70470B2</t>
  </si>
  <si>
    <t>UID-25-09-0022</t>
  </si>
  <si>
    <t>BTB/229/2025</t>
  </si>
  <si>
    <t>SPS renewal refer SR#00828543</t>
  </si>
  <si>
    <t>checked by Wallacew on 26-Feb-26</t>
  </si>
  <si>
    <t>BTB/230/2025</t>
    <phoneticPr fontId="24" type="noConversion"/>
  </si>
  <si>
    <t>UNITED OVERSEAS BANK LTD</t>
  </si>
  <si>
    <t>4241100024ND/H250901036ND</t>
    <phoneticPr fontId="24" type="noConversion"/>
  </si>
  <si>
    <t>iASPEC Technologies Limited</t>
  </si>
  <si>
    <t>Maintenance Servies Renewal, refer  Quotation no.QN2025-807 dated on 31-Mar-2025</t>
    <phoneticPr fontId="24" type="noConversion"/>
  </si>
  <si>
    <t>UID-25-09-0044</t>
  </si>
  <si>
    <t>vender PO before 8/Sep/2025 to meet Vender iAspec quotation valid end date</t>
  </si>
  <si>
    <t>NONBTB/231/2025</t>
  </si>
  <si>
    <t>P/7646/MAMA/YT25</t>
  </si>
  <si>
    <t>IVR System On-site Support, refer quotation no.IQ10465-0525</t>
  </si>
  <si>
    <t>NONBTB/232/2025</t>
  </si>
  <si>
    <t>Quintet Voicemail System Maintenance Service Renewal, refer quotation no.SQ7917-0525</t>
  </si>
  <si>
    <t>BTB/233/2025</t>
  </si>
  <si>
    <t>Proposal of UPS Maintenance Renewal, refer Contract No. AEMMRC-25-818426</t>
  </si>
  <si>
    <t>BTB/234/2025</t>
  </si>
  <si>
    <t>Proposal of UPS Maintenance Renewal, refer Contract No. AEMMRC-25-818427</t>
  </si>
  <si>
    <t>BTB/235/2025</t>
  </si>
  <si>
    <t>The Clearwater Bay Golf &amp; Country Club</t>
  </si>
  <si>
    <t>P/7606/MAMA/TH25</t>
  </si>
  <si>
    <r>
      <rPr>
        <strike/>
        <sz val="10"/>
        <color rgb="FF000000"/>
        <rFont val="Tahoma"/>
      </rPr>
      <t xml:space="preserve">Man Fung Technology Limited
</t>
    </r>
    <r>
      <rPr>
        <sz val="10"/>
        <color rgb="FF000000"/>
        <rFont val="Tahoma"/>
      </rPr>
      <t>PICS Telecom International Asia Limited</t>
    </r>
  </si>
  <si>
    <t>4068 IP Phone x 5, 4028 IP Phone x 5, 4038 IP Phone x 2, GN9120 Wireless handset x 1</t>
  </si>
  <si>
    <t>UID-25-09-0108</t>
  </si>
  <si>
    <t>Parts for Customer.  Change supplier</t>
  </si>
  <si>
    <t>NONBTB/236/2025</t>
  </si>
  <si>
    <t>P/7765/MAMA/CB25</t>
  </si>
  <si>
    <t>Avaya Subscription Renewal, refer Quotation SHK7046RMY</t>
  </si>
  <si>
    <t>UID-25-09-0134</t>
  </si>
  <si>
    <t>BTB/237/2025</t>
  </si>
  <si>
    <t>ASIAWORLD-EXPO MANAGEMENT LIMITED</t>
  </si>
  <si>
    <t>4250890157J2</t>
  </si>
  <si>
    <t>　</t>
  </si>
  <si>
    <t>Maintenance Servies Renewal, refer Quotation no.Q202508060 dated on 19-Aug-2025</t>
  </si>
  <si>
    <t>UID-25-09-0073</t>
  </si>
  <si>
    <t>BTB/238/2025</t>
  </si>
  <si>
    <t>Maintenance Servies Renewal, refer Quotation no.Q2025080012R2 dated on 18-Aug-2025</t>
  </si>
  <si>
    <t>BTB/239/2025</t>
  </si>
  <si>
    <t xml:space="preserve">HONG KONG  NOTE PRINTING </t>
  </si>
  <si>
    <t>H250990162WC</t>
  </si>
  <si>
    <t xml:space="preserve"> Zoom Communications, Inc. ('Zoom')</t>
  </si>
  <si>
    <t>Maintenance Servies Renewal, refer Quotation no.Q3457539 dated on 10-Apr-2025</t>
  </si>
  <si>
    <t>UID-25-09-0183</t>
  </si>
  <si>
    <t>BTB/240/2025</t>
  </si>
  <si>
    <t>PCCW Digital Solutions Limited C/O Water Supplies Dept</t>
  </si>
  <si>
    <t>P/7617/MAMA/YR25</t>
  </si>
  <si>
    <t> </t>
  </si>
  <si>
    <t>Proposal of UPS Maintenance Renewal, refer Contract No. AEMMRC-25-818394(A)</t>
  </si>
  <si>
    <t>UID-25-09-0241</t>
  </si>
  <si>
    <t>Request issue PO to Vendor on 18-Sep. Old UID-25-09-0052</t>
  </si>
  <si>
    <t>NONBTB/241/2025</t>
  </si>
  <si>
    <t>Accounting and Financial Reporting Council</t>
  </si>
  <si>
    <t>P/7887/MA/CF25</t>
  </si>
  <si>
    <t>one</t>
  </si>
  <si>
    <t>MP58 Teams, refer Vendor email Quotation on 3-Jun-2025</t>
  </si>
  <si>
    <t>UID-25-08-0173</t>
  </si>
  <si>
    <t>BTB/242/2025</t>
  </si>
  <si>
    <t>The Luxw Manor</t>
  </si>
  <si>
    <t>P/7647/MA/TH25</t>
  </si>
  <si>
    <t>Annual Maintenance of iConnect CAS+PMSi+4 port Voicemail+PC, refer quotation date on 06-Aug-2025</t>
  </si>
  <si>
    <t>UID-25-09-0227</t>
  </si>
  <si>
    <t>BTB/243/2025</t>
  </si>
  <si>
    <t>Alcatel IP Touch 4018 &amp; 4038 IP Phone, refer quotation#19337688888</t>
  </si>
  <si>
    <t>BTB/244/2025</t>
  </si>
  <si>
    <t>HKT Services Ltd</t>
  </si>
  <si>
    <t>P/7380/MAMA/YR25</t>
  </si>
  <si>
    <t>Avaya SA renewal Chages, refer Quotation Ref:CIL25/Q/0052 (cc Contract No.41378335)</t>
  </si>
  <si>
    <t>1. 26-Mar-26
2. 
3.</t>
  </si>
  <si>
    <t>UID-25-09-0291</t>
  </si>
  <si>
    <t>SB request issue PO to Vendor on or before 25-Sep. Yearly payment x 3</t>
  </si>
  <si>
    <t>BTB/245/2025</t>
  </si>
  <si>
    <t>P/7608/MAMA/YT25</t>
  </si>
  <si>
    <t>Quintet System Maintenance Service Renewal, refer quotation no IQ10448-0525 on 06-May-2025</t>
  </si>
  <si>
    <t>BTB/246/2025</t>
  </si>
  <si>
    <t>IVR System Maintenance Service Renewal, refer quotation no IQ10449-0525 on 06-May-2025</t>
  </si>
  <si>
    <t>BTB/247/2025</t>
  </si>
  <si>
    <t>Proposal of UPS Maintenance Renewal, refer Contract No. AEMMRC-25-818453</t>
  </si>
  <si>
    <t>BTB/248/2025</t>
  </si>
  <si>
    <t>Proposal of UPS Maintenance Renewal, refer Contract No. AEMMRC-25-818454</t>
  </si>
  <si>
    <t>BTB/249/2025</t>
  </si>
  <si>
    <t>HA-Tang Siu Kin Hospital</t>
  </si>
  <si>
    <t>Quintet 4.2 Voicemail System Maintenance Service Renewal, refer quotation no.IQ10040-0623</t>
  </si>
  <si>
    <t>BTB/250/2025</t>
  </si>
  <si>
    <t>P/7120/MAMA/YT24</t>
  </si>
  <si>
    <t>SPS Charge, refer SC Reference No.11848213</t>
  </si>
  <si>
    <t>UID-25-09-0385</t>
  </si>
  <si>
    <t>BTB/251/2025</t>
  </si>
  <si>
    <t>Quintet 64-port Voicemail System Maintenance Service Renewal, refer quotation no.IQ10461-0525</t>
  </si>
  <si>
    <t>BTB/252/2025</t>
  </si>
  <si>
    <t>Integrated Global Solutions Ltd</t>
  </si>
  <si>
    <t>IGS on-going 7x24 Support for SDS (Service Desk System), refer 250826_01_HKT_Support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</si>
  <si>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BTB/253/2025</t>
    </r>
  </si>
  <si>
    <t>BMC Remedy Software Maintenance, refer 250826_02_HKT_HA</t>
  </si>
  <si>
    <t>ZM1579118</t>
  </si>
  <si>
    <t>Hold by Wallace. SB confirm change to BTB PR on 16/1</t>
  </si>
  <si>
    <t>BTB/254/2025</t>
  </si>
  <si>
    <t>TAIPEI FUBON COML BANK CO LTD</t>
  </si>
  <si>
    <t xml:space="preserve"> 4250800029LS</t>
  </si>
  <si>
    <t>Maintenance Renew of Cisco , refer quotation no 81751269 dated on 18-SEP-25</t>
  </si>
  <si>
    <t>UID-25-09-0441-1</t>
  </si>
  <si>
    <t>BTB/255/2025</t>
  </si>
  <si>
    <t>DBS BANK (HONG KONG) LIMITED</t>
  </si>
  <si>
    <t>4250900005J3</t>
  </si>
  <si>
    <t>Maintenance Service renewal, refer quotation no.Q-2501307PMR01 dated on 1-AUG-25</t>
  </si>
  <si>
    <t>UID-25-09-0375</t>
  </si>
  <si>
    <t>NONBTB/256/2025</t>
  </si>
  <si>
    <t>Hong Kong Life Insurance Ltd</t>
  </si>
  <si>
    <t>P/7764/MA/KW25</t>
  </si>
  <si>
    <t>Avaya Maintenance Support refer Quotation No.AHK7049F7N</t>
  </si>
  <si>
    <t>ZM1566353</t>
  </si>
  <si>
    <t>UID-25-10-0010</t>
  </si>
  <si>
    <t>NONBTB/257/2025</t>
  </si>
  <si>
    <t>Avaya Subscription Renew refer Quotation No.SHK7049CTW</t>
  </si>
  <si>
    <t>ZM1566491</t>
  </si>
  <si>
    <t>NONBTB/258/2025</t>
  </si>
  <si>
    <t>4251090009CP</t>
  </si>
  <si>
    <t>All Solution LTD</t>
  </si>
  <si>
    <t>Maintenance Service renewal, refer quotation no HKT-Q113 dated on 20-Sep-25</t>
  </si>
  <si>
    <t>UID-25-10-0014</t>
  </si>
  <si>
    <t>NONBTB/259/2025</t>
  </si>
  <si>
    <t>Shine Union Limited</t>
  </si>
  <si>
    <t>Maintenance Service renewal, refer quotation no SQ1462507001(1) dated on 2-Jul-25</t>
  </si>
  <si>
    <t>NONBTB/260/2025</t>
  </si>
  <si>
    <t>Atelier Engineering Limited</t>
  </si>
  <si>
    <t>Maintenance Service renewal, refer quotation no Q250165 dated on 19-Sep-25</t>
  </si>
  <si>
    <t>NONBTB/261/2025</t>
  </si>
  <si>
    <t>HUAWEI</t>
  </si>
  <si>
    <t xml:space="preserve">Maintenance Service renewal, refer quotation no 0000Ht84082253202508260022 &amp; 0000Ht84082253202507070026 by email </t>
  </si>
  <si>
    <t>NONBTB/262/2025</t>
  </si>
  <si>
    <t>DCSS Technology (Hong Kong) Ltd</t>
  </si>
  <si>
    <t xml:space="preserve">Maintenance Service renewal, refer quotation no PID20250618-HWMA-HKT-20207v2 dated on 17-Sep-2025 </t>
  </si>
  <si>
    <t>NONBTB/263/2025</t>
  </si>
  <si>
    <t>Maintenance Service renewal, refer quotation no 0000Hd00603451202509050002 Dated on 8-Sep-25</t>
  </si>
  <si>
    <t>NONBTB/264/2025</t>
  </si>
  <si>
    <t xml:space="preserve">Maintenance Service renewal, refer quotation no TE251014 dated on 29-Aug-2025 </t>
  </si>
  <si>
    <t>NONBTB/265/2025</t>
  </si>
  <si>
    <t>eTrinity Technology Limited</t>
  </si>
  <si>
    <t xml:space="preserve">CCTV System, refer quotation no Q20250828SL01 dated on 28-Aug-2025 </t>
  </si>
  <si>
    <t>BTB/266/2025</t>
  </si>
  <si>
    <t>DBS BANK (HONG KONG) Limited</t>
  </si>
  <si>
    <t>4250900004J3</t>
  </si>
  <si>
    <t xml:space="preserve">Vega </t>
  </si>
  <si>
    <t>Maintenance Service renewal, refer quotation noQ-2501306PMR01 dated on 1-Aug-2025</t>
  </si>
  <si>
    <t>UID-25-10-0041-12</t>
  </si>
  <si>
    <t>NONBTB/267/2025</t>
  </si>
  <si>
    <t>CITAQ V8 printer, refer quotation noQ2500097 dated on 25-Sep-2025</t>
  </si>
  <si>
    <t>BTB/268/2025</t>
  </si>
  <si>
    <t>ITC Properties Management Ltd</t>
  </si>
  <si>
    <t>P/7888/WBWB/TS25</t>
  </si>
  <si>
    <t>VTX1000*1, 2 EX*1, 6920*3, 6930*3</t>
  </si>
  <si>
    <t>UID-25-10-0004</t>
  </si>
  <si>
    <t>BTB/269/2025</t>
  </si>
  <si>
    <t xml:space="preserve">THE ISF PRE-SCHOOL LIMITED </t>
  </si>
  <si>
    <t xml:space="preserve"> W250701080L3</t>
  </si>
  <si>
    <t>NEXUS25 ASIA Limited</t>
  </si>
  <si>
    <t>Maintenance Service renewal, refer quotation no QT-2500060 dated on 8-OCT-2025</t>
  </si>
  <si>
    <t>UID-25-10-0164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</si>
  <si>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BTB/270/2025</t>
    </r>
  </si>
  <si>
    <t>PricewaterhouseCoopers Ltd</t>
  </si>
  <si>
    <t>P/7655/MAMA/CB25</t>
  </si>
  <si>
    <t>Avaya Subscription Renew refer Quotation No.SHK70464FF</t>
  </si>
  <si>
    <t>UID-25-10-0224</t>
  </si>
  <si>
    <t>BTB/2670/2025</t>
  </si>
  <si>
    <t>SPS Charge, refer SC Reference No.11869181</t>
  </si>
  <si>
    <t>BTB/272/2025</t>
  </si>
  <si>
    <t>Sun Hung Kai Real Estate Agency Ltd</t>
  </si>
  <si>
    <t>P AV/7677/MA/CF25</t>
  </si>
  <si>
    <t>Avaya Maintenance Support refer Quotation No.SHK70461YM</t>
  </si>
  <si>
    <t>1. 16-Dec-25
2.
3.</t>
  </si>
  <si>
    <t>UID-25-10-0378</t>
  </si>
  <si>
    <t>USD1,828.2/year</t>
  </si>
  <si>
    <t>BTB/273/2025</t>
  </si>
  <si>
    <t>Avaya Subscription Renew refer Quotation No.SHK704BY0N</t>
  </si>
  <si>
    <t>USD57,895.2/year</t>
  </si>
  <si>
    <t>NONBTB/274/2025</t>
  </si>
  <si>
    <t>Avaya Subscription Renew refer Quotation No.SHK7045VFW</t>
  </si>
  <si>
    <t>Refer LCA PR#6228761</t>
  </si>
  <si>
    <t>BTB/275/2025</t>
  </si>
  <si>
    <t>P AL/6847/WA/AC23</t>
  </si>
  <si>
    <t>SPS Charges, refer SC Reference No.11869182</t>
  </si>
  <si>
    <t>UID-24-04-0161</t>
  </si>
  <si>
    <t>BTB/276/2025</t>
  </si>
  <si>
    <t>Hong Kong Police Force - 36616000</t>
  </si>
  <si>
    <t>Battery Replacement Service, refer quotation no AEMQ-25-818347</t>
  </si>
  <si>
    <t>BTB/277/2025</t>
  </si>
  <si>
    <t>Maintenance Support refer Email Quotation on 12-Aug-2025</t>
  </si>
  <si>
    <t>BTB/278/2025</t>
  </si>
  <si>
    <t>Capital Charm Holdings Limited-Regala Skycity Hotel</t>
  </si>
  <si>
    <t>P /7562/MA/TH25</t>
  </si>
  <si>
    <t>Renewal of Support and Maintenance Services, refer Quotation No  SQ-HKS00605 dated on 20/08/25</t>
  </si>
  <si>
    <t>UID-25-10-0421</t>
  </si>
  <si>
    <t>BTB/279/2025</t>
  </si>
  <si>
    <t>SV9500 Telephone System Software Assurance, refer Agreement No.QTN:25048517-ESD-R01</t>
  </si>
  <si>
    <t>BTB/280/2025</t>
  </si>
  <si>
    <t>The Hong Kong Jockey Club - Tsing Yi Site</t>
  </si>
  <si>
    <t>P AV/7693/MA/LS25</t>
  </si>
  <si>
    <t>AudioCodes M3K Gateway On-site Support Service Plan, refer quotation no.IQ10495a-0925</t>
  </si>
  <si>
    <t>UID-25-10-0402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</si>
  <si>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BTB/281/2025</t>
    </r>
  </si>
  <si>
    <t>AudioCodes M3K Support Service Plan, refer quotation no.IQ10496a-0925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</si>
  <si>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BTB/282/2025</t>
    </r>
  </si>
  <si>
    <t>AudioCodes M1KB and MP114 CHAMPS Plan refer quotation no.IQ10497a-0925</t>
  </si>
  <si>
    <t>BTB/283/2025</t>
  </si>
  <si>
    <t>WHAMPOA GARDEN MANAGEMENT LTD_</t>
  </si>
  <si>
    <t>4251090233TH</t>
  </si>
  <si>
    <t>Maintenance Service renewal, refer quotation noQ2025100040 dated on 16-Oct-2025</t>
  </si>
  <si>
    <t>UID-25-10-0478</t>
  </si>
  <si>
    <t>BTB/284/2025</t>
  </si>
  <si>
    <t>United Asia Finance Limited</t>
  </si>
  <si>
    <t>P /7676/MA/JI25</t>
  </si>
  <si>
    <t>AudioCodes M1000B Gateway CHAMPS Support Plan for UAF, refer quotation no.IQ10482-0825</t>
  </si>
  <si>
    <t> 1563329</t>
  </si>
  <si>
    <t>UID-25-10-0483</t>
  </si>
  <si>
    <t>SB request issue PO to Vendor on or before 31-Oct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</si>
  <si>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BTB/285/2025</t>
    </r>
  </si>
  <si>
    <t>Good Standing (Hong Kong) Limited</t>
  </si>
  <si>
    <t>P NE/7712/MA/JI25</t>
  </si>
  <si>
    <t>SV9300 Telephone System Software Assurance, refer agreement no.QTN-25048634-ESD</t>
  </si>
  <si>
    <t>UID-25-10-0466</t>
  </si>
  <si>
    <t>BTB/286/2025</t>
  </si>
  <si>
    <t>Service Support refer Quotation No.SQ-HKS00616</t>
  </si>
  <si>
    <t>BTB/287/2025</t>
  </si>
  <si>
    <t>Ultimate Lead Limited - Regal iClub MongKok Hotel</t>
  </si>
  <si>
    <t>P NE/7567/MAMA/TH25</t>
  </si>
  <si>
    <t>Service Support refer Quotation No.SQ-HKS00576</t>
  </si>
  <si>
    <t>UID-25-10-0468</t>
  </si>
  <si>
    <t>BTB/288/2025</t>
  </si>
  <si>
    <t>SV9300 Telephone System Software Assurance, refer agreement no.QTN-25048498-ESD</t>
  </si>
  <si>
    <t>BTB/289/2025</t>
  </si>
  <si>
    <t>Safe Investment Company Limited</t>
  </si>
  <si>
    <t>P /7686/MAMA/TH25</t>
  </si>
  <si>
    <t>Avaya IPO Support refer Quotation No.SHK704B11K &amp; SHK704B13X</t>
  </si>
  <si>
    <t>UID-25-10-0481</t>
  </si>
  <si>
    <t>NONBTB/290/2025</t>
  </si>
  <si>
    <t>P NE/7598/MA/CF25</t>
  </si>
  <si>
    <t>UCB Annual Support, refer Quotation ID.QTN-25048440-ESD-R01</t>
  </si>
  <si>
    <t>ZM1566349</t>
  </si>
  <si>
    <t>UID-25-10-0499</t>
  </si>
  <si>
    <t>NONBTB/291/2025</t>
  </si>
  <si>
    <t>SV9500 Telephone System Software Assurance, refer Agreement No.QTN-25048455-ESD-R02</t>
  </si>
  <si>
    <t>ZM1568197</t>
  </si>
  <si>
    <t>BTB/292/2025</t>
  </si>
  <si>
    <t>PCCW-HKT Limited (C773)</t>
  </si>
  <si>
    <t>P/7758/MAMA/YR25</t>
  </si>
  <si>
    <t>Avaya IPO Support for Contract ID41398119</t>
  </si>
  <si>
    <t>UID-25-11-0039</t>
  </si>
  <si>
    <t>SB request issue PO to Vendor on or before 10-Nov</t>
  </si>
  <si>
    <t>BTB/293/2025</t>
  </si>
  <si>
    <t>Wilson Communications Ltd</t>
  </si>
  <si>
    <t>P AV/7687/MAMA/ND25</t>
  </si>
  <si>
    <t>Avaya IPO Support refer Quotation No.SHK704FLJJ</t>
  </si>
  <si>
    <t>UID-25-11-0053</t>
  </si>
  <si>
    <t>BTB/294/2025</t>
  </si>
  <si>
    <t>HKT Teleservices</t>
  </si>
  <si>
    <t>H251190018YR</t>
  </si>
  <si>
    <t>Innotech International Distribution Ltd.</t>
  </si>
  <si>
    <t>Maintenance Service renewal, refer quotation nHK ITI-HKT-2510008v1 dated on 15-Oct-2025</t>
  </si>
  <si>
    <t>UID-25-11-0043</t>
  </si>
  <si>
    <t>BTB/295/2025</t>
  </si>
  <si>
    <t>D /7797/WAWA/YR25</t>
  </si>
  <si>
    <t>Avaya SA Renewal Charges for Contract No.41378339, refer Quotation ref: CIL/25/Q/0049</t>
  </si>
  <si>
    <t>UID-25-11-0092</t>
  </si>
  <si>
    <t>SB request issue PO to Vendor on 10-Nov</t>
  </si>
  <si>
    <t>BTB/296/2025</t>
  </si>
  <si>
    <t>Avaya SA Renewal Charges for Contract No.41389630(12MTHS) &amp; 41410606(6 MTHS), refer Quotation ref: CIL/25/Q/0182</t>
  </si>
  <si>
    <t>BTB/297/2025</t>
  </si>
  <si>
    <t>THE HONG KONG JOCKEY CLUB</t>
  </si>
  <si>
    <t>4250890130LS</t>
  </si>
  <si>
    <t>B&amp;T Engineering Limited</t>
  </si>
  <si>
    <t>Maintenance Service renewal, refer quotation NO.INV0240923009R2 on 13-Oct-2025</t>
  </si>
  <si>
    <t>UID-25-10-0400-2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</si>
  <si>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BTB/298/2025</t>
    </r>
  </si>
  <si>
    <t>Pacific Century Group Holdings (HK) Limited</t>
  </si>
  <si>
    <t>D /7463/MAMA/YR25</t>
  </si>
  <si>
    <t>Avaya SA Renewal Charges for Contract No.41391104, refer Quotation ref: CIL25/Q/0225</t>
  </si>
  <si>
    <t>ZM1568210</t>
  </si>
  <si>
    <t>UID-25-11-0094</t>
  </si>
  <si>
    <t>SB request issue PO to Vendor on 17-Nov</t>
  </si>
  <si>
    <t>NONBTB/299/2025</t>
  </si>
  <si>
    <t>The Chinese University of Hong Kong</t>
  </si>
  <si>
    <t>P /7711/MAMA/MZ25</t>
  </si>
  <si>
    <t>Mitel SWA renewal, refer quotation created on 21-10-2025</t>
  </si>
  <si>
    <t>ZM1565333</t>
  </si>
  <si>
    <t>UID-25-11-0095</t>
  </si>
  <si>
    <t>BTB/300/2025</t>
  </si>
  <si>
    <t>Hong Kong Shue Yan University</t>
  </si>
  <si>
    <t>P /7720/MAMA/TH25</t>
  </si>
  <si>
    <t>SV9300 Telephone System Software Assurance, refer agreement no.QTN-25048732-ESD</t>
  </si>
  <si>
    <t>ZM1568194</t>
  </si>
  <si>
    <t>UID-25-11-0102</t>
  </si>
  <si>
    <t>BTB/301/2025</t>
  </si>
  <si>
    <t>TechTronic Industries Co Ltd (TTI)</t>
  </si>
  <si>
    <t>D /7737/MA/CF25</t>
  </si>
  <si>
    <t>AudioCodes ACTS Annual Support Plan Renewal, refer Quotation Ref#EQ23385c-0825</t>
  </si>
  <si>
    <t>ZM1565334</t>
  </si>
  <si>
    <t>UID-25-11-0107</t>
  </si>
  <si>
    <t>BTB/302/2025</t>
  </si>
  <si>
    <t>P /7844/MA/KW25</t>
  </si>
  <si>
    <t>2 sets of AudioCodes M1KB CHAMPS Plan Fee, refer Quotation Ref: IQ10515-1025</t>
  </si>
  <si>
    <t>ZM1565335</t>
  </si>
  <si>
    <t>UID-25-11-0119</t>
  </si>
  <si>
    <t>BTB/303/2025</t>
  </si>
  <si>
    <t>Lanson Place Hotel</t>
  </si>
  <si>
    <t>P /7991/WAWA/TH25</t>
  </si>
  <si>
    <t>Service Technology Partners Limited</t>
  </si>
  <si>
    <t>PBX annual license subscription and maintenance fee, refer Quotation date on 13-Nov</t>
  </si>
  <si>
    <t>ZM1572459</t>
  </si>
  <si>
    <t>1. 9-Feb-26
2.</t>
  </si>
  <si>
    <t>UID-25-11-0152</t>
  </si>
  <si>
    <t>checked by Wallace on 8-Feb-26. invoice/ payment for 1st year service</t>
  </si>
  <si>
    <t>BTB/304/2025</t>
  </si>
  <si>
    <t>Phone Set Spare, refer quotation No.80005228</t>
  </si>
  <si>
    <t>ZM1591462</t>
  </si>
  <si>
    <t>BTB/305/2025</t>
  </si>
  <si>
    <t>P AV/7763/MA/JI25</t>
  </si>
  <si>
    <t>Avaya Subscription Renewal,  refer Quotation No.SHK7047NV5</t>
  </si>
  <si>
    <t>ZM1566482</t>
  </si>
  <si>
    <t>UID-25-11-0156</t>
  </si>
  <si>
    <t>BTB/306/2025</t>
  </si>
  <si>
    <t>Ribbon SBC SW Support renewal, refer Quote ID: QUO-2248717-L8X4R3</t>
  </si>
  <si>
    <t>ZM1568309</t>
  </si>
  <si>
    <t>Hold by SB on 13-Oct</t>
  </si>
  <si>
    <t>BTB/307/2025</t>
  </si>
  <si>
    <t>HK JEBN Limited</t>
  </si>
  <si>
    <t>P /7194/MAMA/CB25</t>
  </si>
  <si>
    <t>Avaya IPO Support refer Quotation No.SHK704FJ5R</t>
  </si>
  <si>
    <t>ZM1567133</t>
  </si>
  <si>
    <t>UID-25-11-0167</t>
  </si>
  <si>
    <t>BTB/308/2025</t>
  </si>
  <si>
    <t>CONCORDIA LUTHERAN SCHOOL - NORTH POINT</t>
  </si>
  <si>
    <t>W250901249L2</t>
  </si>
  <si>
    <t>Maintenance Service renewal, refer quotation NO.Q2025090014R4 on 18-Nov-2025</t>
  </si>
  <si>
    <t>UID-25-11-0171</t>
  </si>
  <si>
    <t>BTB/309/2025</t>
  </si>
  <si>
    <t>H251190213YR (2025WB905YR</t>
  </si>
  <si>
    <t xml:space="preserve">Maintenance Service renewal, refer quotation 35082903, 35214354 , 35202882 - SM Quote </t>
  </si>
  <si>
    <t>UID-25-11-0182</t>
  </si>
  <si>
    <t>PO to Chubb on or before 21 Nov 2025) </t>
  </si>
  <si>
    <t>BTB/310/2025</t>
  </si>
  <si>
    <t>TSUEN WAN TRADE ASSN PRIMARY SCH</t>
  </si>
  <si>
    <t>W250101217L3</t>
  </si>
  <si>
    <t>Maintenance Service renewal, refer quotation NO.Q2025070038R6 on 19-Nov-2025</t>
  </si>
  <si>
    <t>UID-25-11-0191</t>
  </si>
  <si>
    <t>BTB/311/2025</t>
  </si>
  <si>
    <t>W251100966L3</t>
  </si>
  <si>
    <t>Maintenance Service renewal, refer quotation NO.Q2025110020 on 13-Nov-2025</t>
  </si>
  <si>
    <t>UID-25-11-0285</t>
  </si>
  <si>
    <t xml:space="preserve"> URGENT*</t>
  </si>
  <si>
    <t>BTB/312/2025</t>
  </si>
  <si>
    <t>iClub Fortress Hill Hotel</t>
  </si>
  <si>
    <t>P /7656/MAMA/TH25</t>
  </si>
  <si>
    <t>Product Support of NEC UCB System, refer Agreement No.QTN-25048558-ESD</t>
  </si>
  <si>
    <t>ZM1568195</t>
  </si>
  <si>
    <t>UID-25-11-0174</t>
  </si>
  <si>
    <t>BTB/313/2025</t>
  </si>
  <si>
    <t>Service Support refer Quotation No.SQ-HKS00575</t>
  </si>
  <si>
    <t>ZM1568219</t>
  </si>
  <si>
    <t>BTB/314/2025</t>
  </si>
  <si>
    <t>HA-Queen Mary Hospital (QMH)</t>
  </si>
  <si>
    <t>P /7772/MAMA/YT25</t>
  </si>
  <si>
    <t>Quinet &amp; IVR Systems Maintenance Service Renewal, refer Quotation Ref.:IQ10436-0325</t>
  </si>
  <si>
    <t>ZM1571266</t>
  </si>
  <si>
    <t>UID-25-11-0279</t>
  </si>
  <si>
    <t>BTB/315/2025</t>
  </si>
  <si>
    <t>AEM Technology Limited</t>
  </si>
  <si>
    <t>Annual Maintenance of Blackbox, refer Quotation No.AEMMRC-25-818242(QMH25-26)</t>
  </si>
  <si>
    <t>ZM1571877</t>
  </si>
  <si>
    <t>checked by Wallace on 13-Feb-26</t>
  </si>
  <si>
    <t>BTB/316/2025</t>
  </si>
  <si>
    <t>Annual Maintenance of UPS, refer Quotation No.AEMMRC-25-818243</t>
  </si>
  <si>
    <t>ZM1571265</t>
  </si>
  <si>
    <t>NONBTB/317/2025</t>
  </si>
  <si>
    <t>SPS Renewal refer SC Reference no.11889171</t>
  </si>
  <si>
    <t>ZM1574921</t>
  </si>
  <si>
    <t>checked by Wallace on 5-May-26</t>
  </si>
  <si>
    <t>NONBTB/318/2025</t>
  </si>
  <si>
    <t>SPS Renewal refer SC Reference no.11889172</t>
  </si>
  <si>
    <t>ZM1572864</t>
  </si>
  <si>
    <t>BTB/319/2025</t>
  </si>
  <si>
    <t>SPS Renewal refer SC Reference no.11889169</t>
  </si>
  <si>
    <t>ZM1571325</t>
  </si>
  <si>
    <t>BTB/320/2025</t>
  </si>
  <si>
    <t>KONICA MINOLTA BUSINESS TECHNOLOGIES</t>
  </si>
  <si>
    <t>4250800025CF</t>
  </si>
  <si>
    <t>Maintenance Service renewal, refer quotation QT-2500042R2 on 13-Nov-2025</t>
  </si>
  <si>
    <t>UID-25-11-0121</t>
  </si>
  <si>
    <t>NONBTB/321/2025</t>
  </si>
  <si>
    <t>Campbell Soup Asia Ltd</t>
  </si>
  <si>
    <t>P /7732/MAMA/TH25</t>
  </si>
  <si>
    <t>Avaya IPOSS Support for the Contract ID#41404176</t>
  </si>
  <si>
    <t>ZM1568639</t>
  </si>
  <si>
    <t>BTB/322/2025</t>
  </si>
  <si>
    <t>HA-Grantham Hospital (GH)</t>
  </si>
  <si>
    <t>P /7862/MAMA/YT25</t>
  </si>
  <si>
    <t>Quintet &amp; IVR Systems Maintenance Service Renewal, refer Quotation Ref.:IQ10470-0625</t>
  </si>
  <si>
    <t>ZM1571268</t>
  </si>
  <si>
    <t>UID-25-11-0348</t>
  </si>
  <si>
    <t>BTB/323/2025</t>
  </si>
  <si>
    <t>Annual Maintenance of Blackbox, refer Quotation No.AEMMRC-25-818390(GH)</t>
  </si>
  <si>
    <t>ZM1571915</t>
  </si>
  <si>
    <t>BTB/324/2025</t>
  </si>
  <si>
    <t>Annual Maintenance of UPS, refer Quotation No.AEMMRC-25-818391</t>
  </si>
  <si>
    <t>ZM1571263</t>
  </si>
  <si>
    <t>NONBTB/325/2025</t>
  </si>
  <si>
    <t>SPS Renewal refer SC Reference no.11890269</t>
  </si>
  <si>
    <t>ZM1571324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</si>
  <si>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BTB/326/2025</t>
    </r>
  </si>
  <si>
    <t>Long Kinetic Limited c/o Hyatt Centric Victoria Harbour Hong Kong</t>
  </si>
  <si>
    <t>P /7708/MAMA/TH25</t>
  </si>
  <si>
    <t>Product Support of NEC UCB System, refer Agreement No.QTN-25048669-ESD-R01</t>
  </si>
  <si>
    <t>ZM1568866</t>
  </si>
  <si>
    <t>UID-25-11-0383</t>
  </si>
  <si>
    <t>GSP reject BTB PR on 15/12. SB confirm Place NBTB order on 17/12.</t>
  </si>
  <si>
    <t>BTB/327/2025</t>
  </si>
  <si>
    <t>SV9500 Telephone System Software Assurance, refer agreement no.QTN-25048668-ESD-R01</t>
  </si>
  <si>
    <t>ZM1568865</t>
  </si>
  <si>
    <t>BTB/328/2025</t>
  </si>
  <si>
    <t>Renewal of Support and Maintenance Services, refer Quotation No  SQ-HKS00644 dated on 22/10/25</t>
  </si>
  <si>
    <t>ZM1568868</t>
  </si>
  <si>
    <t>1. 19-Dec-25
2.</t>
  </si>
  <si>
    <t>BTB/329/2025</t>
  </si>
  <si>
    <t>HKT Teleservices International Limited</t>
  </si>
  <si>
    <t>P AV/2047/MAMA/IY24</t>
  </si>
  <si>
    <t>Avaya SA Renewal Charges, refer quotation No.CIL25/Q/0187</t>
  </si>
  <si>
    <t>ZM1568867</t>
  </si>
  <si>
    <t>BTB/330/2025</t>
  </si>
  <si>
    <t xml:space="preserve">Hong Kong Teleservices </t>
  </si>
  <si>
    <t>H251290004YR (2025WB856YR)</t>
  </si>
  <si>
    <t>Maintenance Service renewal, refer quotation HK ITI-HKT-2510006v4 on 1-Dec-2025</t>
  </si>
  <si>
    <t>UID-25-12-0008</t>
  </si>
  <si>
    <t>PO to Innotech on or before 3 Dec 2025</t>
  </si>
  <si>
    <r>
      <rPr>
        <strike/>
        <sz val="10"/>
        <color rgb="FFFF0000"/>
        <rFont val="Tahoma"/>
      </rPr>
      <t>NON</t>
    </r>
    <r>
      <rPr>
        <strike/>
        <sz val="10"/>
        <color rgb="FF000000"/>
        <rFont val="Tahoma"/>
      </rPr>
      <t>BTB/331/2025</t>
    </r>
  </si>
  <si>
    <t>4251200009KW</t>
  </si>
  <si>
    <t>Vega Technology Limited</t>
  </si>
  <si>
    <t>Maintenance Service renewal, refer quotation noQ-2501487PMR0201 dated on 3-Sep-2025</t>
  </si>
  <si>
    <t>Cheung, Marcus TH</t>
  </si>
  <si>
    <t>UID-25-12-0023</t>
  </si>
  <si>
    <t>BTB/332/2025</t>
  </si>
  <si>
    <t>Correctional Services Department</t>
  </si>
  <si>
    <t>P/7736/WAWA/IL25</t>
  </si>
  <si>
    <t>Deltapath Limited</t>
  </si>
  <si>
    <t>Annual Maintenance Renewal, refer Quotation No.QTN-06884-13</t>
  </si>
  <si>
    <t>ZM1569115</t>
  </si>
  <si>
    <t>UID-25-12-0022</t>
  </si>
  <si>
    <r>
      <rPr>
        <strike/>
        <sz val="10"/>
        <color rgb="FF000000"/>
        <rFont val="Tahoma"/>
      </rPr>
      <t>NON</t>
    </r>
    <r>
      <rPr>
        <sz val="10"/>
        <color rgb="FF000000"/>
        <rFont val="Tahoma"/>
      </rPr>
      <t>BTB/333/2025</t>
    </r>
  </si>
  <si>
    <t>Suez (Asia Pacific) Limited</t>
  </si>
  <si>
    <t>P/7767/MA/CF25</t>
  </si>
  <si>
    <t>Avaya IPOSS Support, refer quotation No.SHK704HRQ7</t>
  </si>
  <si>
    <t>ZM1570500</t>
  </si>
  <si>
    <t>UID-25-12-0055</t>
  </si>
  <si>
    <t>BTB/334/2025</t>
  </si>
  <si>
    <t>Meijer Trading Limited</t>
  </si>
  <si>
    <t>P /7769/MAMA/J225V1</t>
  </si>
  <si>
    <t>AudioCodes M800 Maintenance Service Renewal, refer Quotation NoIQ10486-0825</t>
  </si>
  <si>
    <t>ZM1569315</t>
  </si>
  <si>
    <t>UID-25-11-0392</t>
  </si>
  <si>
    <t>BTB/335/2025</t>
  </si>
  <si>
    <t>P /7726/MAMA/YT25</t>
  </si>
  <si>
    <t>IVR &amp; Quintet System Maintenance Service Renewal, refer quotation no SQ7934-0825</t>
  </si>
  <si>
    <t>ZM1570852</t>
  </si>
  <si>
    <t>checked by Wallace 3-Feb-26</t>
  </si>
  <si>
    <t>BTB/336/2025</t>
  </si>
  <si>
    <t>Elibo Engineering Limited</t>
  </si>
  <si>
    <t>Maintenance Service, refer quotation no.Q4502269 on 03/10/2025</t>
  </si>
  <si>
    <t>ZM1570853</t>
  </si>
  <si>
    <t>BTB/337/2025</t>
  </si>
  <si>
    <t>P AV/7799/MAMA/LS25</t>
  </si>
  <si>
    <t>Avaya IPOSS Subscription renewal, refer Quotation No.SHK7045VMN</t>
  </si>
  <si>
    <t>ZM1570448</t>
  </si>
  <si>
    <t>UID-25-12-0078</t>
  </si>
  <si>
    <t>NONBTB/338/2025</t>
  </si>
  <si>
    <t>Maintenance Service, refer quotation no Q2025080017R2 dated on 25-Aug-2025</t>
  </si>
  <si>
    <t>Charing Wong</t>
  </si>
  <si>
    <t>BTB/339/2025</t>
  </si>
  <si>
    <t>W260101227L3</t>
  </si>
  <si>
    <t>Maintenance Service renewal, refer quotation no Q2025100062R dated on 11-Dec-2025</t>
  </si>
  <si>
    <t>UID-25-12-0122</t>
  </si>
  <si>
    <t>BTB/340/2025</t>
  </si>
  <si>
    <t xml:space="preserve">HO FUNG COLLEGE </t>
  </si>
  <si>
    <t>W250901268L3</t>
  </si>
  <si>
    <t>ProVision Digital International Limited</t>
  </si>
  <si>
    <t>Maintenance Service renewal, refer quotation no Q2025-12028 dated on 12-Dec-2025</t>
  </si>
  <si>
    <t>ZM1575772</t>
  </si>
  <si>
    <t>UID-25-12-0133</t>
  </si>
  <si>
    <r>
      <rPr>
        <sz val="10"/>
        <color rgb="FFFF0000"/>
        <rFont val="Tahoma"/>
      </rPr>
      <t>NON</t>
    </r>
    <r>
      <rPr>
        <sz val="10"/>
        <color rgb="FF000000"/>
        <rFont val="Tahoma"/>
      </rPr>
      <t>BTB/341/2025</t>
    </r>
  </si>
  <si>
    <t>4251290125ND</t>
  </si>
  <si>
    <t>Maintenance Service item D2, refer quotation no Q202512079 dated on 23-Dec-2025</t>
  </si>
  <si>
    <t>ZM1576168</t>
  </si>
  <si>
    <t>UID-25-12-0146</t>
  </si>
  <si>
    <t>BTB/342/2025</t>
  </si>
  <si>
    <t>P/8033/MAMA/CF25</t>
  </si>
  <si>
    <t>AudioCodes MA Renewal, refer Quote ID: QUO-2249517-Z7W4T3</t>
  </si>
  <si>
    <t>ZM1571365</t>
  </si>
  <si>
    <t>UID-25-12-0192</t>
  </si>
  <si>
    <t>BTB/343/2025</t>
  </si>
  <si>
    <t xml:space="preserve">CONSTRUCTION INDUSTRY COUNCIL (CIC) </t>
  </si>
  <si>
    <t>L251290084CP</t>
  </si>
  <si>
    <t>HK DEEPINSIGHT TECH CO., LIMITED</t>
  </si>
  <si>
    <t>Maintenance Service Renewal, refer quotation dated on 2-Dec-2025</t>
  </si>
  <si>
    <t>ZM1594752</t>
  </si>
  <si>
    <t>UID-25-12-0136</t>
  </si>
  <si>
    <t>NONBTB/344/2025</t>
  </si>
  <si>
    <t>Maintenance Service Renewal, refer quotation no 0000Ht84082253202511210030</t>
  </si>
  <si>
    <t>ZM1593163</t>
  </si>
  <si>
    <t>BTB/345/2025</t>
  </si>
  <si>
    <t>P AV/7835/MA/AW</t>
  </si>
  <si>
    <t>Avaya SA Renewal Charges, refer quotation No.SHK704HHV1</t>
  </si>
  <si>
    <t>ZM1570759</t>
  </si>
  <si>
    <t>UID-25-12-0194</t>
  </si>
  <si>
    <t>BTB/346/2025</t>
  </si>
  <si>
    <t>Labour Charge for Power Suspension Support, refer Quotation No.SOWC250164</t>
  </si>
  <si>
    <t>Cancel</t>
  </si>
  <si>
    <t>Cancelled by Kiwi Wong on 05-Jan by Email</t>
  </si>
  <si>
    <t>BTB/347/2025</t>
  </si>
  <si>
    <t>P/7792/MAMA/JS25</t>
  </si>
  <si>
    <t>Avaya Subscription renewal, refer Quotation No.SHK704JXC1</t>
  </si>
  <si>
    <t>ZM1571173</t>
  </si>
  <si>
    <t>UID-25-12-0183</t>
  </si>
  <si>
    <t>Reques issue PO before 23-Dec</t>
  </si>
  <si>
    <t>BTB/348//2025</t>
  </si>
  <si>
    <t>Avaya SA renewal, refer Quotation No.SHK704B1C6</t>
  </si>
  <si>
    <t>ZM1570973</t>
  </si>
  <si>
    <t>BTB/349/2025</t>
  </si>
  <si>
    <t>TWGHS Fung Yiu King Hospital</t>
  </si>
  <si>
    <t>P AL/6772/MA/BL23</t>
  </si>
  <si>
    <t>Quintet Maintenance Service Renwel. Refer quotation No.IQ10502-0925 on 17/10/25</t>
  </si>
  <si>
    <t>ZM1572115</t>
  </si>
  <si>
    <t>UID-23-11-SS2-00025</t>
  </si>
  <si>
    <t>BTB/350/2025</t>
  </si>
  <si>
    <t>Annual Maintenance of Blackbox, refer Quotation No.AEMQ-23-817343R1(FYKH)</t>
  </si>
  <si>
    <t>ZM1573674</t>
  </si>
  <si>
    <t>BTB/351/2025</t>
  </si>
  <si>
    <t>Annual Maintenance of UPS, refer Quotation No.AEMMRC-23-800698</t>
  </si>
  <si>
    <t>ZM1572113</t>
  </si>
  <si>
    <t>BTB/352/2025</t>
  </si>
  <si>
    <t>SPS Renewal refer SC Reference no.11898743</t>
  </si>
  <si>
    <t>ZM1572250</t>
  </si>
  <si>
    <r>
      <rPr>
        <strike/>
        <sz val="10"/>
        <color rgb="FFFF0000"/>
        <rFont val="Tahoma"/>
      </rPr>
      <t>NON</t>
    </r>
    <r>
      <rPr>
        <sz val="10"/>
        <color rgb="FF000000"/>
        <rFont val="Tahoma"/>
      </rPr>
      <t>BTB/353/2025</t>
    </r>
  </si>
  <si>
    <t>4250990206CB</t>
  </si>
  <si>
    <t>Maintenance Service renewal, refer quotation no EQ23443A-1025-REV1 dated on 18-Dec-2025</t>
  </si>
  <si>
    <t>ZM1573306</t>
  </si>
  <si>
    <t>UID-25-12-0207</t>
  </si>
  <si>
    <r>
      <rPr>
        <strike/>
        <sz val="10"/>
        <color rgb="FFFF0000"/>
        <rFont val="Tahoma"/>
      </rPr>
      <t>NON</t>
    </r>
    <r>
      <rPr>
        <sz val="10"/>
        <color rgb="FF000000"/>
        <rFont val="Tahoma"/>
      </rPr>
      <t>BTB/354/2025</t>
    </r>
  </si>
  <si>
    <t>HA-Haven of Hope Hospital</t>
  </si>
  <si>
    <t>P AL/7727/MAMA/YT25</t>
  </si>
  <si>
    <t>Quintet Maintenance Service Renwel. Refer quotation No.IQ10501-0925 on 23/09/25</t>
  </si>
  <si>
    <t>ZM1574745</t>
  </si>
  <si>
    <t>UID-25-12-0275</t>
  </si>
  <si>
    <t>Informed by SB to change to BTB by email on 06-Jan-2026</t>
  </si>
  <si>
    <t>BTB/355/2025</t>
  </si>
  <si>
    <t>SPS Renewal refer SC Reference no.11887647</t>
  </si>
  <si>
    <t>ZM1572658</t>
  </si>
  <si>
    <t>BTB/356/2025</t>
  </si>
  <si>
    <t>4251200030TH</t>
  </si>
  <si>
    <t>Nexus25</t>
  </si>
  <si>
    <t>Maintenance Service renewal, refer quotation email dated on 26-Nov-2025</t>
  </si>
  <si>
    <t>ZM1582255</t>
  </si>
  <si>
    <t>UID-25-12-0123</t>
  </si>
  <si>
    <t>BTB/357/2025</t>
  </si>
  <si>
    <t>P/7792/MAMA/J325</t>
  </si>
  <si>
    <t>Avaya ACRA renewal, refer Quotation No.SHK704F3R5</t>
  </si>
  <si>
    <t>ACRA is not handled by UCBV</t>
  </si>
  <si>
    <t>BTB/358/2025</t>
  </si>
  <si>
    <t>Bank of Communication Co Ltd</t>
  </si>
  <si>
    <t>P/7798/MAMA/MZ25</t>
  </si>
  <si>
    <t>Avaya Hong Kong Company Ltd</t>
  </si>
  <si>
    <t>Avaya SA renewal, refer Quotation No.SHK704HX8M</t>
  </si>
  <si>
    <t>ZM1571518</t>
  </si>
  <si>
    <t>UID-25-12-0310</t>
  </si>
  <si>
    <t>BTB/359/2025</t>
  </si>
  <si>
    <t>Avaya SA renewal, refer Quotation No.SHK704B1BV</t>
  </si>
  <si>
    <t>ZM1571522</t>
  </si>
  <si>
    <t>BTB/360/2025</t>
  </si>
  <si>
    <t>Avaya International Sales Ltd</t>
  </si>
  <si>
    <t>Avaya SA renewal, refer Quotation No.SHK704F3QH</t>
  </si>
  <si>
    <t>ZM1571521</t>
  </si>
  <si>
    <t>BTB/361/2025</t>
  </si>
  <si>
    <t>Avaya Subscription renewal, refer Quotation No.SHK704C4QF</t>
  </si>
  <si>
    <t>ZM1571520</t>
  </si>
  <si>
    <t>BTB/362/2025</t>
  </si>
  <si>
    <t>Avaya SA renewal, refer Quotation No.SHK704B129</t>
  </si>
  <si>
    <t>ZM1571519</t>
  </si>
  <si>
    <t>BTB/363/2025</t>
  </si>
  <si>
    <t>D/7889/WAWA/YR25</t>
  </si>
  <si>
    <t>Avaya SA renewal, refer Quotation No.CIL25/Q/0042</t>
  </si>
  <si>
    <t>ZM1571804</t>
  </si>
  <si>
    <t>UID-25-12-0318</t>
  </si>
  <si>
    <t>PO issue to Vendor before 29-Dec</t>
  </si>
  <si>
    <t>BTB/364/2025</t>
  </si>
  <si>
    <t>L251201131TH</t>
  </si>
  <si>
    <t>Maintenance Service renewal, refer quotation no EQ23565-1125 dated on 6-Novc-2025</t>
  </si>
  <si>
    <t> ZM1573320</t>
  </si>
  <si>
    <t>UID-25-12-0305</t>
  </si>
  <si>
    <t>BTB/365/2025</t>
  </si>
  <si>
    <t>W260101201L3</t>
  </si>
  <si>
    <t>Maintenance Service renewal, refer quotation no Q2025110053R2dated on 3-Dec-2025</t>
  </si>
  <si>
    <t>ZM1579843</t>
  </si>
  <si>
    <t>UID-25-12-0333</t>
  </si>
  <si>
    <t>BTB/366/2025</t>
  </si>
  <si>
    <t>P AV/7785/MAMA/YR25</t>
  </si>
  <si>
    <t>Year 3 Support Services for Project of 1823 Telephony System, refer Quotation#.PCCW-20251224100</t>
  </si>
  <si>
    <t>ZM1572238</t>
  </si>
  <si>
    <t>UID-25-12-0358</t>
  </si>
  <si>
    <t>Urgen</t>
  </si>
  <si>
    <t>PO issue to Vendor before 30-Dec</t>
  </si>
  <si>
    <t>BTB/367/2025</t>
  </si>
  <si>
    <t>P AV/7775/MA/KW25</t>
  </si>
  <si>
    <t>Avaya Subscription renewal, refer Quotation No.SHK7044765</t>
  </si>
  <si>
    <t>ZM1572198</t>
  </si>
  <si>
    <t>UID-25-12-0140</t>
  </si>
  <si>
    <t>NONBTB/368/2025</t>
  </si>
  <si>
    <t>Avaya Subscription renewal, refer Quotation No.SHK704B8K4</t>
  </si>
  <si>
    <t>ZM1572199</t>
  </si>
  <si>
    <t>BTB/369/2025</t>
  </si>
  <si>
    <t>Golden News Enterprises Ltd</t>
  </si>
  <si>
    <t>Support Service Charge, refer Quotation: PCCW/151/08/25</t>
  </si>
  <si>
    <t>ZM1572294</t>
  </si>
  <si>
    <t>NONBTB/370/2025</t>
  </si>
  <si>
    <t>PABX Interface charge, refer Quotation: PCCW/152-A1/08/25</t>
  </si>
  <si>
    <t>ZM1572296</t>
  </si>
  <si>
    <t>BTB/371/2025</t>
  </si>
  <si>
    <t>P/7884/MAMA/CB25</t>
  </si>
  <si>
    <t>UPS Maintenace Service, refer Quotation No.: KN/0637/PC/25</t>
  </si>
  <si>
    <t>ZM1572463</t>
  </si>
  <si>
    <t>UID-25-12-0304</t>
  </si>
  <si>
    <t>BTB/372/2025</t>
  </si>
  <si>
    <t>P/7733/MA/TH25</t>
  </si>
  <si>
    <t>FCS Computer Systems Ltd</t>
  </si>
  <si>
    <t>Renewal of Support and Maintenance Services, refer Quotation No  SQ-HKS00642 dated on 10/12/25</t>
  </si>
  <si>
    <t>ZM1572464</t>
  </si>
  <si>
    <t>UID-25-12-0369</t>
  </si>
  <si>
    <t>Site (HK/PRC/Others)</t>
  </si>
  <si>
    <t>Email Confirmation Date</t>
  </si>
  <si>
    <t>Agreement No.</t>
  </si>
  <si>
    <t>USD</t>
  </si>
  <si>
    <t>Customer No</t>
  </si>
  <si>
    <t>Pre-alert Month</t>
  </si>
  <si>
    <t>NONBTB
2025-0101A</t>
  </si>
  <si>
    <t>P AV/7117/MA/ND24 (M1190-19E/EI/006)</t>
  </si>
  <si>
    <t>Avaya Service Charge for Avaya Contract ID 41360885</t>
  </si>
  <si>
    <t>UID-24-09-0197</t>
  </si>
  <si>
    <t>NONBTB
2025-0102A</t>
  </si>
  <si>
    <t>P AV/4920/MA/LA21
PRO/T033/21/CW</t>
  </si>
  <si>
    <t>Avaya Service Charge for Avaya Contract ID 41360579</t>
  </si>
  <si>
    <t>UID-23-04-SS1-00022</t>
  </si>
  <si>
    <t>NONBTB
2025-0103A</t>
  </si>
  <si>
    <t>Avaya Service Charge for Avaya Contract ID 41362362 ( refer Quotation Ref: CIL24/Q/0407)</t>
  </si>
  <si>
    <t>NONBTB
2025-0104A</t>
  </si>
  <si>
    <t>Avaya Service Charge for Avaya Contract ID 41362363</t>
  </si>
  <si>
    <t>NONBTB
2025-0201A</t>
  </si>
  <si>
    <t>P AV/6800/MA/CA23</t>
  </si>
  <si>
    <t>Avaya Service Charge for Avaya Contract ID 41387481</t>
  </si>
  <si>
    <t>UID-24-03-0120</t>
  </si>
  <si>
    <t>2025-0202A</t>
  </si>
  <si>
    <t>P AV/1046/WA/BN17
(PO No./QL3007216)</t>
  </si>
  <si>
    <t>Avaya Service Charge for Avaya Contract ID 41363031</t>
  </si>
  <si>
    <t>NONBTB
2025-0203A</t>
  </si>
  <si>
    <t>Hong Kong Police Force-19995999</t>
  </si>
  <si>
    <t>Avaya Service Charge for Avaya Contract ID 41363032</t>
  </si>
  <si>
    <t>2025-0301A</t>
  </si>
  <si>
    <t>Avaya SA Renewal Charges, refer Quotation Ref: CIL24/Q/0461 &amp; CIL24/Q/0460</t>
  </si>
  <si>
    <t>2025-0302A</t>
  </si>
  <si>
    <t>Avaya Service Charge for Avaya Contract ID 41365286</t>
  </si>
  <si>
    <t>Ho Chun Sing</t>
  </si>
  <si>
    <t>2025-0401A</t>
  </si>
  <si>
    <t>Avaya SA Renewal Charges, refer Quotation Ref: CIL24/Q/0494, CIL24/Q/0496, CIL24/Q/0499, CIL24/Q/0501</t>
  </si>
  <si>
    <t>NONBTB
2025-0402A</t>
  </si>
  <si>
    <t>Avaya Service Charge for Avaya Contract ID 41369037, 41369234, 41369224, 41369226, 41369229, 41369036, 41369034, 41369035, 41369228, 41369225, 41369230, 41369233, 41369240, 41369239, 412369221,41369227, 41369231, 41369232, 41369241, 412369010</t>
  </si>
  <si>
    <t>NONBTB
2025-0403A</t>
  </si>
  <si>
    <t>Avaya SA Support for Contract ID 25652310  (Previous Contract No.41369223)
Avaya SA Support for Contract ID 25652311  (Previous Contract No.41369201)</t>
  </si>
  <si>
    <t>NONBTB
2025-0404A</t>
  </si>
  <si>
    <t>Avaya SA Renewal Charges, refer Quotation Ref: CIL24/Q/0497, CIL24/Q/0498, CIL24/Q/0500</t>
  </si>
  <si>
    <t>NONBTB
2025-0501A</t>
  </si>
  <si>
    <t>P AV/7488/MAMA/ND24</t>
  </si>
  <si>
    <t>Avaya Service Charge for Avaya Contract ID 41372127</t>
  </si>
  <si>
    <t>UID-25-05-0107</t>
  </si>
  <si>
    <t>SEIN250241</t>
  </si>
  <si>
    <t>2025-0502A</t>
  </si>
  <si>
    <r>
      <t xml:space="preserve">Avaya Service Charge for Avaya Contract ID 41372116, 41372117, 41372115, </t>
    </r>
    <r>
      <rPr>
        <strike/>
        <sz val="10"/>
        <rFont val="Tahoma"/>
        <family val="2"/>
      </rPr>
      <t>41372106</t>
    </r>
    <r>
      <rPr>
        <sz val="10"/>
        <rFont val="Tahoma"/>
        <family val="2"/>
      </rPr>
      <t>, 41372102, 41372104, 41372100, 41372119, 41372103, 41372105, 41372101, 41372118, 41372114</t>
    </r>
  </si>
  <si>
    <t>9011024082-92, 9011024094</t>
  </si>
  <si>
    <t>2025-0503A</t>
  </si>
  <si>
    <t>Avaya Service Charge for Avaya Contract ID 41372106</t>
  </si>
  <si>
    <t>NONBTB
2025-0601A</t>
  </si>
  <si>
    <t>Avaya Service Charge for Avaya Contract ID 41378209, 41376210, 41378208, 41378211, 41378207</t>
  </si>
  <si>
    <t>90110241853-187</t>
  </si>
  <si>
    <t>NONBTB
2025-0701A</t>
  </si>
  <si>
    <t>Avaya Service Charge for Avaya Contract ID 41381542, 41381543, 41351545, 41381503, 41381493m 41381544, 41381551, 41381501, SHK7046HJL</t>
  </si>
  <si>
    <t>Urgent, request issue PO to Vendor before 26-Jul</t>
  </si>
  <si>
    <t>9011024272-79</t>
  </si>
  <si>
    <t>NONBTB
2025-0702A</t>
  </si>
  <si>
    <t>Avaya Service Charge for Avaya Contract ID 41381549 (refer Quote Ref No.SHK7046HJL)</t>
  </si>
  <si>
    <t>NONBTB
2025-0703A</t>
  </si>
  <si>
    <t>Avaya SA Renewal Charges, refer Quotation Ref: CIL24/Q/0509 (CC Contract No.41367392, 41379573, 41379864, 41380376, 41380391, 41380377, 41380388)</t>
  </si>
  <si>
    <t>2025-0704A</t>
  </si>
  <si>
    <t>Avaya SA Renewal Charges, refer Quotation Ref: CIL25/Q/0043 (CC Contract No.41378324)</t>
  </si>
  <si>
    <t>Urgent, request issue PO need to be placed on or before 31-July-2025</t>
  </si>
  <si>
    <t>2025-0705A</t>
  </si>
  <si>
    <r>
      <t xml:space="preserve">Avaya Service Charge, refer Quote Reference No. SHK704623K, </t>
    </r>
    <r>
      <rPr>
        <strike/>
        <sz val="10"/>
        <rFont val="Tahoma"/>
        <family val="2"/>
      </rPr>
      <t>SHK704674V, SHK7046M26</t>
    </r>
  </si>
  <si>
    <t>Cancelled</t>
  </si>
  <si>
    <t>Urgent, request issue PO need to be placed on or before 31-July-2025 (SHK704674V &amp; SHK7046M26 await new quote)</t>
  </si>
  <si>
    <t>NONBTB
2025-0801A</t>
  </si>
  <si>
    <t>Avaya SA Renewal Charges, refer Quotation Ref: CIL25/Q/0070 (CC Contract No.41389592)</t>
  </si>
  <si>
    <t>NONBTB
2025-0802A</t>
  </si>
  <si>
    <t>Avaya Service Charge for Avaya Contract ID 41389841 (refer Quote Ref#SHK7043H5W)</t>
  </si>
  <si>
    <t>NONBTB
2025-0803A</t>
  </si>
  <si>
    <t>Avaya Hong Kong Company Limited
Avaya International Sales Ltd</t>
  </si>
  <si>
    <t>Avaya Service Charge, refer Quote Reference No. SHK7047B4T, SHK7047YC2</t>
  </si>
  <si>
    <t>1551763
1551822</t>
  </si>
  <si>
    <t>tbc
27-Oct-2025</t>
  </si>
  <si>
    <t>25018.57
26942.87</t>
  </si>
  <si>
    <t>tbc
4955899135</t>
  </si>
  <si>
    <t>2025-0804A</t>
  </si>
  <si>
    <t>Avaya Service Charge, refer Quote Reference No. SHK7041CN4, SHK7044R5Y</t>
  </si>
  <si>
    <t>1551760
1551827</t>
  </si>
  <si>
    <t>30-Oct-2025
27-Oct-2025</t>
  </si>
  <si>
    <t>4630.75
31002.31</t>
  </si>
  <si>
    <t>9011024342
4955902675</t>
  </si>
  <si>
    <t>2025-0805A</t>
  </si>
  <si>
    <t>Avaya Service Charge, refer Quote Reference No. SHK7047VR5</t>
  </si>
  <si>
    <t>2025-0901A</t>
  </si>
  <si>
    <t>Avaya Service Charge, refer Quote Reference No. SHK7043H3H, SHK7043HLY, SHK7043HG2, SHK7043HG1, SHK7043HC7, SHK7043H92</t>
  </si>
  <si>
    <t>2025-0902A</t>
  </si>
  <si>
    <t>Avaya Service Charge, refer Quote Reference No. SHK7044R36, SHK7043HLK, SHK7043HC3, SHK7043HF6</t>
  </si>
  <si>
    <t>1555736
1555919</t>
  </si>
  <si>
    <t>29257.31
45093.89</t>
  </si>
  <si>
    <t>2025-0903A</t>
  </si>
  <si>
    <t>Avaya SA Renewal Charges, refer Quotation Ref: CIL25/Q/0121 (CC Contract No.41387455 &amp; 41387453)</t>
  </si>
  <si>
    <t>NONBTB
2025-1001A</t>
  </si>
  <si>
    <t>Avaya Service Charge for Avaya Contract ID 41393077 (refer Quote Ref#SH70459P2)</t>
  </si>
  <si>
    <t>NONBTB
2025-1002A</t>
  </si>
  <si>
    <t>Avaya SA Renewal Charges, refer Quotation Ref: CIL25/Q/0159 (CC Contract No.41386825 &amp; 41386827)</t>
  </si>
  <si>
    <t>2025-1003A</t>
  </si>
  <si>
    <t>Hong Kong Police Force-19436611800</t>
  </si>
  <si>
    <t>P AV/6826/MA/EH23
(PO No.QL3013630)</t>
  </si>
  <si>
    <t>Avaya Service Charge for Avaya Contract ID 4003110</t>
  </si>
  <si>
    <t>UID-24-10-0279</t>
  </si>
  <si>
    <t>PR Cancelled refer Gary Email on 21-Oct</t>
  </si>
  <si>
    <t>NONBTB
2025-1201A</t>
  </si>
  <si>
    <t>Avaya Service Charge for Avaya Contract ID 41397353 (refer Quote Ref#SHK704B186)</t>
  </si>
  <si>
    <t>ZM1570502</t>
  </si>
  <si>
    <t>request issue PO to Vendor before 22-Dec. Change to BTB
GSP reject BTB PR on 19/12. SB confirm Place NBTB order on 19/12. Waiting for Carlos re-approval</t>
  </si>
  <si>
    <t>Amend Quotation</t>
  </si>
  <si>
    <t>Quotation will be exipry on 30-Sep</t>
  </si>
  <si>
    <t>BTB Mtce PR - Year 2025(UC/VC)</t>
  </si>
  <si>
    <t>BTB Mtce PR - Year 2025 (Avaya Serivce Charge)</t>
  </si>
  <si>
    <t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</si>
</sst>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(&quot;HK$&quot;* #,##0.00_);_(&quot;HK$&quot;* \(#,##0.00\);_(&quot;HK$&quot;* &quot;-&quot;??_);_(@_)"/>
    <numFmt numFmtId="166" formatCode="&quot;$&quot;#,##0.00"/>
    <numFmt numFmtId="167" formatCode="&quot;$&quot;#,##0.00;[Red]&quot;$&quot;#,##0.00"/>
    <numFmt numFmtId="168" formatCode="0.00_ "/>
    <numFmt numFmtId="169" formatCode="[$-409]dd\-mmm\-yy;@"/>
    <numFmt numFmtId="170" formatCode="[$$-404]#,##0.00_);[Red]\([$$-404]#,##0.00\)"/>
    <numFmt numFmtId="171" formatCode="0_ "/>
    <numFmt numFmtId="172" formatCode="[$-409]d\-mmm\-yy;@"/>
  </numFmts>
  <fonts count="55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  <font>
      <b/>
      <sz val="10"/>
      <color indexed="10"/>
      <name val="Tahoma"/>
      <family val="2"/>
    </font>
    <font>
      <sz val="10"/>
      <color rgb="FFFF0000"/>
      <name val="Tahoma"/>
      <family val="2"/>
    </font>
    <font>
      <sz val="12"/>
      <name val="新細明體"/>
      <family val="1"/>
      <charset val="136"/>
    </font>
    <font>
      <sz val="10"/>
      <color indexed="10"/>
      <name val="Tahoma"/>
      <family val="2"/>
    </font>
    <font>
      <sz val="9"/>
      <color indexed="81"/>
      <name val="Tahoma"/>
      <family val="2"/>
    </font>
    <font>
      <b/>
      <sz val="12"/>
      <color indexed="12"/>
      <name val="Tahoma"/>
      <family val="2"/>
    </font>
    <font>
      <b/>
      <sz val="9"/>
      <color indexed="12"/>
      <name val="Tahoma"/>
      <family val="2"/>
    </font>
    <font>
      <b/>
      <u/>
      <sz val="9"/>
      <color indexed="10"/>
      <name val="Tahoma"/>
      <family val="2"/>
    </font>
    <font>
      <b/>
      <u/>
      <sz val="9"/>
      <color indexed="12"/>
      <name val="Tahoma"/>
      <family val="2"/>
    </font>
    <font>
      <sz val="9"/>
      <color indexed="12"/>
      <name val="Tahoma"/>
      <family val="2"/>
    </font>
    <font>
      <sz val="9"/>
      <color indexed="10"/>
      <name val="Tahoma"/>
      <family val="2"/>
    </font>
    <font>
      <b/>
      <sz val="9"/>
      <color indexed="10"/>
      <name val="Tahoma"/>
      <family val="2"/>
    </font>
    <font>
      <sz val="9"/>
      <color indexed="18"/>
      <name val="Tahoma"/>
      <family val="2"/>
    </font>
    <font>
      <b/>
      <sz val="9"/>
      <name val="Tahoma"/>
      <family val="2"/>
    </font>
    <font>
      <sz val="9"/>
      <color theme="1"/>
      <name val="Tahoma"/>
      <family val="2"/>
    </font>
    <font>
      <sz val="9"/>
      <name val="細明體"/>
      <family val="3"/>
      <charset val="136"/>
    </font>
    <font>
      <sz val="10"/>
      <name val="Tahoma"/>
      <family val="2"/>
      <charset val="136"/>
    </font>
    <font>
      <sz val="11"/>
      <color rgb="FF9C6500"/>
      <name val="Calibri"/>
      <family val="2"/>
      <charset val="136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sz val="12"/>
      <name val="Times New Roman"/>
      <family val="1"/>
    </font>
    <font>
      <b/>
      <sz val="9"/>
      <color indexed="81"/>
      <name val="Tahoma"/>
      <family val="2"/>
    </font>
    <font>
      <strike/>
      <sz val="10"/>
      <name val="Tahoma"/>
      <family val="2"/>
    </font>
    <font>
      <strike/>
      <sz val="10"/>
      <color rgb="FFFF0000"/>
      <name val="Tahoma"/>
      <family val="2"/>
    </font>
    <font>
      <sz val="10"/>
      <name val="Tahoma"/>
    </font>
    <font>
      <sz val="10"/>
      <color indexed="10"/>
      <name val="Tahoma"/>
    </font>
    <font>
      <sz val="10"/>
      <color rgb="FFFF0000"/>
      <name val="Tahoma"/>
    </font>
    <font>
      <sz val="10"/>
      <color theme="1"/>
      <name val="Tahoma"/>
    </font>
    <font>
      <strike/>
      <sz val="10"/>
      <color rgb="FF000000"/>
      <name val="Tahoma"/>
    </font>
    <font>
      <sz val="10"/>
      <color rgb="FF000000"/>
      <name val="Tahoma"/>
    </font>
    <font>
      <sz val="9"/>
      <name val="Tahoma"/>
      <family val="2"/>
    </font>
    <font>
      <sz val="10"/>
      <color rgb="FF000000"/>
      <name val="Tahoma"/>
      <family val="2"/>
    </font>
    <font>
      <sz val="11"/>
      <color rgb="FF242424"/>
      <name val="Calibri"/>
      <family val="2"/>
      <charset val="1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strike/>
      <sz val="10"/>
      <color rgb="FFFF0000"/>
      <name val="Tahoma"/>
    </font>
    <font>
      <i/>
      <strike/>
      <sz val="10"/>
      <color rgb="FF000000"/>
      <name val="Tahoma"/>
    </font>
    <font>
      <b/>
      <sz val="10"/>
      <color rgb="FFC82613"/>
      <name val="Calibri"/>
      <family val="2"/>
      <charset val="1"/>
    </font>
    <font>
      <b/>
      <u/>
      <sz val="10"/>
      <color rgb="FFC82613"/>
      <name val="Calibri"/>
      <family val="2"/>
      <charset val="1"/>
    </font>
    <font>
      <strike/>
      <sz val="10"/>
      <name val="Tahoma"/>
    </font>
    <font>
      <strike/>
      <sz val="10"/>
      <color indexed="10"/>
      <name val="Tahoma"/>
      <family val="2"/>
    </font>
    <font>
      <strike/>
      <sz val="10"/>
      <color theme="1"/>
      <name val="Tahoma"/>
      <family val="2"/>
    </font>
    <font>
      <sz val="11"/>
      <color rgb="FF000000"/>
      <name val="Calibri"/>
      <family val="2"/>
      <charset val="1"/>
    </font>
    <font>
      <sz val="10"/>
      <color indexed="12"/>
      <name val="Tahoma"/>
      <family val="2"/>
    </font>
    <font>
      <sz val="11"/>
      <color rgb="FF000000"/>
      <name val="Aptos"/>
      <family val="2"/>
      <charset val="1"/>
    </font>
    <font>
      <b/>
      <sz val="10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3">
    <xf numFmtId="0" fontId="0" fillId="0" borderId="0"/>
    <xf numFmtId="0" fontId="4" fillId="0" borderId="0"/>
    <xf numFmtId="0" fontId="11" fillId="0" borderId="0"/>
    <xf numFmtId="9" fontId="2" fillId="0" borderId="0" applyFont="0" applyFill="0" applyBorder="0" applyAlignment="0" applyProtection="0"/>
    <xf numFmtId="0" fontId="11" fillId="0" borderId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165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1" fillId="0" borderId="20" applyNumberFormat="0" applyFont="0" applyFill="0" applyAlignment="0" applyProtection="0"/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/>
  </cellStyleXfs>
  <cellXfs count="430">
    <xf numFmtId="0" fontId="0" fillId="0" borderId="0" xfId="0"/>
    <xf numFmtId="0" fontId="3" fillId="0" borderId="0" xfId="0" applyFont="1"/>
    <xf numFmtId="0" fontId="5" fillId="0" borderId="1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right" vertical="center" wrapText="1"/>
    </xf>
    <xf numFmtId="15" fontId="7" fillId="2" borderId="3" xfId="1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5" fontId="7" fillId="2" borderId="4" xfId="1" applyNumberFormat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40" fontId="7" fillId="2" borderId="3" xfId="1" applyNumberFormat="1" applyFont="1" applyFill="1" applyBorder="1" applyAlignment="1">
      <alignment horizontal="center" vertical="center" wrapText="1"/>
    </xf>
    <xf numFmtId="15" fontId="7" fillId="3" borderId="6" xfId="1" applyNumberFormat="1" applyFont="1" applyFill="1" applyBorder="1" applyAlignment="1">
      <alignment horizontal="center" vertical="center" wrapText="1"/>
    </xf>
    <xf numFmtId="15" fontId="7" fillId="3" borderId="7" xfId="1" applyNumberFormat="1" applyFont="1" applyFill="1" applyBorder="1" applyAlignment="1">
      <alignment horizontal="center" vertical="center" wrapText="1"/>
    </xf>
    <xf numFmtId="168" fontId="7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9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9" fontId="12" fillId="5" borderId="13" xfId="2" applyNumberFormat="1" applyFont="1" applyFill="1" applyBorder="1" applyAlignment="1">
      <alignment horizontal="center" vertical="center"/>
    </xf>
    <xf numFmtId="164" fontId="10" fillId="0" borderId="2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5" fontId="10" fillId="0" borderId="0" xfId="0" applyNumberFormat="1" applyFont="1" applyAlignment="1">
      <alignment horizontal="left" vertical="center" wrapText="1"/>
    </xf>
    <xf numFmtId="17" fontId="1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1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0" fontId="6" fillId="0" borderId="12" xfId="0" applyNumberFormat="1" applyFont="1" applyBorder="1" applyAlignment="1">
      <alignment horizontal="right" vertical="center"/>
    </xf>
    <xf numFmtId="40" fontId="6" fillId="0" borderId="13" xfId="0" applyNumberFormat="1" applyFont="1" applyBorder="1" applyAlignment="1">
      <alignment horizontal="right" vertical="center"/>
    </xf>
    <xf numFmtId="169" fontId="6" fillId="0" borderId="14" xfId="0" applyNumberFormat="1" applyFont="1" applyBorder="1" applyAlignment="1">
      <alignment horizontal="center" vertical="center"/>
    </xf>
    <xf numFmtId="169" fontId="6" fillId="0" borderId="15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/>
    </xf>
    <xf numFmtId="164" fontId="5" fillId="0" borderId="1" xfId="1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right" vertical="center" wrapText="1"/>
    </xf>
    <xf numFmtId="15" fontId="15" fillId="0" borderId="0" xfId="1" applyNumberFormat="1" applyFont="1" applyAlignment="1">
      <alignment horizontal="center" wrapText="1"/>
    </xf>
    <xf numFmtId="0" fontId="15" fillId="0" borderId="0" xfId="1" applyFont="1" applyAlignment="1">
      <alignment horizontal="center" wrapText="1"/>
    </xf>
    <xf numFmtId="0" fontId="15" fillId="0" borderId="0" xfId="1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15" fontId="15" fillId="6" borderId="0" xfId="1" applyNumberFormat="1" applyFont="1" applyFill="1" applyAlignment="1">
      <alignment horizontal="center" wrapText="1"/>
    </xf>
    <xf numFmtId="15" fontId="16" fillId="3" borderId="18" xfId="1" applyNumberFormat="1" applyFont="1" applyFill="1" applyBorder="1" applyAlignment="1">
      <alignment horizontal="center" wrapText="1"/>
    </xf>
    <xf numFmtId="0" fontId="17" fillId="3" borderId="18" xfId="1" applyFont="1" applyFill="1" applyBorder="1" applyAlignment="1">
      <alignment horizontal="center" wrapText="1"/>
    </xf>
    <xf numFmtId="0" fontId="15" fillId="3" borderId="18" xfId="1" applyFont="1" applyFill="1" applyBorder="1" applyAlignment="1">
      <alignment horizontal="center" wrapText="1"/>
    </xf>
    <xf numFmtId="15" fontId="16" fillId="4" borderId="18" xfId="1" applyNumberFormat="1" applyFont="1" applyFill="1" applyBorder="1" applyAlignment="1">
      <alignment horizontal="center" wrapText="1"/>
    </xf>
    <xf numFmtId="0" fontId="17" fillId="4" borderId="18" xfId="1" applyFont="1" applyFill="1" applyBorder="1" applyAlignment="1">
      <alignment horizontal="center" wrapText="1"/>
    </xf>
    <xf numFmtId="0" fontId="15" fillId="4" borderId="18" xfId="1" applyFont="1" applyFill="1" applyBorder="1" applyAlignment="1">
      <alignment horizontal="center" wrapText="1"/>
    </xf>
    <xf numFmtId="17" fontId="18" fillId="0" borderId="0" xfId="1" quotePrefix="1" applyNumberFormat="1" applyFont="1" applyAlignment="1">
      <alignment horizontal="center" vertical="center" wrapText="1"/>
    </xf>
    <xf numFmtId="170" fontId="19" fillId="0" borderId="0" xfId="1" quotePrefix="1" applyNumberFormat="1" applyFont="1" applyAlignment="1">
      <alignment horizontal="right" vertical="center" wrapText="1"/>
    </xf>
    <xf numFmtId="15" fontId="18" fillId="0" borderId="0" xfId="1" applyNumberFormat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5" fontId="18" fillId="6" borderId="0" xfId="1" applyNumberFormat="1" applyFont="1" applyFill="1" applyAlignment="1">
      <alignment horizontal="center" vertical="center" wrapText="1"/>
    </xf>
    <xf numFmtId="170" fontId="20" fillId="4" borderId="0" xfId="1" quotePrefix="1" applyNumberFormat="1" applyFont="1" applyFill="1" applyAlignment="1">
      <alignment horizontal="right" vertical="center" wrapText="1"/>
    </xf>
    <xf numFmtId="15" fontId="15" fillId="4" borderId="0" xfId="1" applyNumberFormat="1" applyFont="1" applyFill="1" applyAlignment="1">
      <alignment horizontal="center" vertical="center" wrapText="1"/>
    </xf>
    <xf numFmtId="0" fontId="15" fillId="4" borderId="0" xfId="1" applyFont="1" applyFill="1" applyAlignment="1">
      <alignment horizontal="center" vertical="center" wrapText="1"/>
    </xf>
    <xf numFmtId="170" fontId="19" fillId="0" borderId="18" xfId="1" applyNumberFormat="1" applyFont="1" applyBorder="1" applyAlignment="1">
      <alignment horizontal="right" vertical="center" wrapText="1"/>
    </xf>
    <xf numFmtId="0" fontId="18" fillId="0" borderId="18" xfId="1" applyFont="1" applyBorder="1" applyAlignment="1">
      <alignment horizontal="center" vertical="center" wrapText="1"/>
    </xf>
    <xf numFmtId="170" fontId="20" fillId="4" borderId="18" xfId="1" applyNumberFormat="1" applyFont="1" applyFill="1" applyBorder="1" applyAlignment="1">
      <alignment horizontal="right" vertical="center" wrapText="1"/>
    </xf>
    <xf numFmtId="0" fontId="15" fillId="4" borderId="18" xfId="1" applyFont="1" applyFill="1" applyBorder="1" applyAlignment="1">
      <alignment horizontal="center" vertical="center" wrapText="1"/>
    </xf>
    <xf numFmtId="15" fontId="15" fillId="0" borderId="0" xfId="1" applyNumberFormat="1" applyFont="1" applyAlignment="1">
      <alignment horizontal="center" vertical="center" wrapText="1"/>
    </xf>
    <xf numFmtId="170" fontId="20" fillId="0" borderId="19" xfId="1" applyNumberFormat="1" applyFont="1" applyBorder="1" applyAlignment="1">
      <alignment horizontal="right" vertical="center" wrapText="1"/>
    </xf>
    <xf numFmtId="0" fontId="15" fillId="0" borderId="0" xfId="1" applyFont="1" applyAlignment="1">
      <alignment horizontal="center" vertical="center" wrapText="1"/>
    </xf>
    <xf numFmtId="171" fontId="15" fillId="0" borderId="19" xfId="3" applyNumberFormat="1" applyFont="1" applyBorder="1" applyAlignment="1">
      <alignment horizontal="center" vertical="center" wrapText="1"/>
    </xf>
    <xf numFmtId="15" fontId="15" fillId="6" borderId="0" xfId="1" applyNumberFormat="1" applyFont="1" applyFill="1" applyAlignment="1">
      <alignment horizontal="center" vertical="center" wrapText="1"/>
    </xf>
    <xf numFmtId="170" fontId="20" fillId="4" borderId="19" xfId="1" applyNumberFormat="1" applyFont="1" applyFill="1" applyBorder="1" applyAlignment="1">
      <alignment horizontal="right" vertical="center" wrapText="1"/>
    </xf>
    <xf numFmtId="171" fontId="15" fillId="4" borderId="19" xfId="3" applyNumberFormat="1" applyFont="1" applyFill="1" applyBorder="1" applyAlignment="1">
      <alignment horizontal="center" vertical="center" wrapText="1"/>
    </xf>
    <xf numFmtId="170" fontId="15" fillId="0" borderId="0" xfId="1" applyNumberFormat="1" applyFont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70" fontId="21" fillId="7" borderId="0" xfId="0" applyNumberFormat="1" applyFont="1" applyFill="1" applyAlignment="1">
      <alignment horizontal="right" wrapText="1"/>
    </xf>
    <xf numFmtId="0" fontId="22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170" fontId="21" fillId="0" borderId="0" xfId="0" applyNumberFormat="1" applyFont="1" applyAlignment="1">
      <alignment horizontal="right" wrapText="1"/>
    </xf>
    <xf numFmtId="171" fontId="21" fillId="7" borderId="0" xfId="0" applyNumberFormat="1" applyFont="1" applyFill="1" applyAlignment="1">
      <alignment horizontal="center" wrapText="1"/>
    </xf>
    <xf numFmtId="171" fontId="21" fillId="0" borderId="0" xfId="0" applyNumberFormat="1" applyFont="1" applyAlignment="1">
      <alignment horizontal="center" wrapText="1"/>
    </xf>
    <xf numFmtId="0" fontId="23" fillId="0" borderId="0" xfId="0" applyFont="1"/>
    <xf numFmtId="0" fontId="3" fillId="0" borderId="0" xfId="0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15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166" fontId="15" fillId="0" borderId="0" xfId="1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" fontId="6" fillId="0" borderId="0" xfId="0" applyNumberFormat="1" applyFont="1" applyAlignment="1">
      <alignment vertical="center" wrapText="1"/>
    </xf>
    <xf numFmtId="169" fontId="6" fillId="9" borderId="12" xfId="0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169" fontId="6" fillId="10" borderId="0" xfId="0" applyNumberFormat="1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quotePrefix="1" applyFont="1" applyFill="1" applyAlignment="1">
      <alignment horizontal="center" vertical="center" wrapText="1"/>
    </xf>
    <xf numFmtId="0" fontId="6" fillId="10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/>
    </xf>
    <xf numFmtId="40" fontId="6" fillId="10" borderId="12" xfId="0" applyNumberFormat="1" applyFont="1" applyFill="1" applyBorder="1" applyAlignment="1">
      <alignment horizontal="right" vertical="center"/>
    </xf>
    <xf numFmtId="40" fontId="6" fillId="10" borderId="13" xfId="0" applyNumberFormat="1" applyFont="1" applyFill="1" applyBorder="1" applyAlignment="1">
      <alignment horizontal="right" vertical="center"/>
    </xf>
    <xf numFmtId="169" fontId="6" fillId="10" borderId="14" xfId="0" applyNumberFormat="1" applyFont="1" applyFill="1" applyBorder="1" applyAlignment="1">
      <alignment horizontal="center" vertical="center"/>
    </xf>
    <xf numFmtId="169" fontId="6" fillId="10" borderId="15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 wrapText="1"/>
    </xf>
    <xf numFmtId="168" fontId="6" fillId="10" borderId="0" xfId="0" applyNumberFormat="1" applyFont="1" applyFill="1" applyAlignment="1">
      <alignment horizontal="left" vertical="center" wrapText="1"/>
    </xf>
    <xf numFmtId="169" fontId="6" fillId="10" borderId="12" xfId="0" applyNumberFormat="1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169" fontId="12" fillId="10" borderId="13" xfId="2" applyNumberFormat="1" applyFont="1" applyFill="1" applyBorder="1" applyAlignment="1">
      <alignment horizontal="center" vertical="center"/>
    </xf>
    <xf numFmtId="164" fontId="10" fillId="10" borderId="2" xfId="1" applyNumberFormat="1" applyFont="1" applyFill="1" applyBorder="1" applyAlignment="1">
      <alignment horizontal="right" vertical="center" wrapText="1"/>
    </xf>
    <xf numFmtId="0" fontId="6" fillId="10" borderId="0" xfId="0" applyFont="1" applyFill="1" applyAlignment="1">
      <alignment horizontal="left" vertical="center"/>
    </xf>
    <xf numFmtId="15" fontId="10" fillId="10" borderId="0" xfId="0" applyNumberFormat="1" applyFont="1" applyFill="1" applyAlignment="1">
      <alignment horizontal="left" vertical="center" wrapText="1"/>
    </xf>
    <xf numFmtId="17" fontId="12" fillId="10" borderId="0" xfId="0" applyNumberFormat="1" applyFont="1" applyFill="1" applyAlignment="1">
      <alignment horizontal="left" vertical="center" wrapText="1"/>
    </xf>
    <xf numFmtId="0" fontId="3" fillId="10" borderId="0" xfId="0" applyFont="1" applyFill="1" applyAlignment="1">
      <alignment vertical="center"/>
    </xf>
    <xf numFmtId="169" fontId="6" fillId="0" borderId="1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0" fontId="10" fillId="0" borderId="13" xfId="0" applyNumberFormat="1" applyFont="1" applyBorder="1" applyAlignment="1">
      <alignment horizontal="right" vertical="center"/>
    </xf>
    <xf numFmtId="169" fontId="6" fillId="11" borderId="12" xfId="0" applyNumberFormat="1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169" fontId="10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4" fontId="32" fillId="0" borderId="2" xfId="1" applyNumberFormat="1" applyFont="1" applyBorder="1" applyAlignment="1">
      <alignment horizontal="right" vertical="center" wrapText="1"/>
    </xf>
    <xf numFmtId="15" fontId="32" fillId="0" borderId="0" xfId="0" applyNumberFormat="1" applyFont="1" applyAlignment="1">
      <alignment horizontal="left" vertical="center" wrapText="1"/>
    </xf>
    <xf numFmtId="169" fontId="32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40" fontId="32" fillId="0" borderId="12" xfId="0" applyNumberFormat="1" applyFont="1" applyBorder="1" applyAlignment="1">
      <alignment horizontal="right" vertical="center"/>
    </xf>
    <xf numFmtId="40" fontId="32" fillId="0" borderId="13" xfId="0" applyNumberFormat="1" applyFont="1" applyBorder="1" applyAlignment="1">
      <alignment horizontal="right" vertical="center"/>
    </xf>
    <xf numFmtId="169" fontId="32" fillId="0" borderId="14" xfId="0" applyNumberFormat="1" applyFont="1" applyBorder="1" applyAlignment="1">
      <alignment horizontal="center" vertical="center"/>
    </xf>
    <xf numFmtId="169" fontId="32" fillId="0" borderId="15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168" fontId="32" fillId="0" borderId="0" xfId="0" applyNumberFormat="1" applyFont="1" applyAlignment="1">
      <alignment horizontal="left" vertical="center" wrapText="1"/>
    </xf>
    <xf numFmtId="0" fontId="32" fillId="9" borderId="13" xfId="0" applyFont="1" applyFill="1" applyBorder="1" applyAlignment="1">
      <alignment horizontal="center" vertical="center"/>
    </xf>
    <xf numFmtId="169" fontId="32" fillId="5" borderId="13" xfId="2" applyNumberFormat="1" applyFont="1" applyFill="1" applyBorder="1" applyAlignment="1">
      <alignment horizontal="center" vertical="center"/>
    </xf>
    <xf numFmtId="17" fontId="32" fillId="0" borderId="0" xfId="0" applyNumberFormat="1" applyFont="1" applyAlignment="1">
      <alignment horizontal="left" vertical="center" wrapText="1"/>
    </xf>
    <xf numFmtId="0" fontId="32" fillId="0" borderId="0" xfId="0" applyFont="1"/>
    <xf numFmtId="0" fontId="6" fillId="1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9" fontId="12" fillId="5" borderId="13" xfId="2" applyNumberFormat="1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2" fontId="3" fillId="0" borderId="0" xfId="0" applyNumberFormat="1" applyFont="1" applyAlignment="1">
      <alignment horizontal="center" vertical="center"/>
    </xf>
    <xf numFmtId="172" fontId="32" fillId="0" borderId="0" xfId="0" applyNumberFormat="1" applyFont="1" applyAlignment="1">
      <alignment horizontal="center" vertical="center"/>
    </xf>
    <xf numFmtId="172" fontId="6" fillId="0" borderId="0" xfId="0" applyNumberFormat="1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169" fontId="6" fillId="12" borderId="0" xfId="0" applyNumberFormat="1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6" fillId="12" borderId="0" xfId="0" quotePrefix="1" applyFont="1" applyFill="1" applyAlignment="1">
      <alignment horizontal="center" vertical="center" wrapText="1"/>
    </xf>
    <xf numFmtId="0" fontId="6" fillId="12" borderId="0" xfId="0" applyFont="1" applyFill="1" applyAlignment="1">
      <alignment vertical="center" wrapText="1"/>
    </xf>
    <xf numFmtId="15" fontId="6" fillId="12" borderId="0" xfId="0" applyNumberFormat="1" applyFont="1" applyFill="1" applyAlignment="1">
      <alignment horizontal="center" vertical="center" wrapText="1"/>
    </xf>
    <xf numFmtId="40" fontId="6" fillId="12" borderId="12" xfId="0" applyNumberFormat="1" applyFont="1" applyFill="1" applyBorder="1" applyAlignment="1">
      <alignment horizontal="right" vertical="center"/>
    </xf>
    <xf numFmtId="40" fontId="6" fillId="12" borderId="13" xfId="0" applyNumberFormat="1" applyFont="1" applyFill="1" applyBorder="1" applyAlignment="1">
      <alignment horizontal="right" vertical="center"/>
    </xf>
    <xf numFmtId="169" fontId="6" fillId="12" borderId="14" xfId="0" applyNumberFormat="1" applyFont="1" applyFill="1" applyBorder="1" applyAlignment="1">
      <alignment horizontal="center" vertical="center"/>
    </xf>
    <xf numFmtId="169" fontId="6" fillId="12" borderId="15" xfId="0" applyNumberFormat="1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/>
    </xf>
    <xf numFmtId="168" fontId="6" fillId="12" borderId="0" xfId="0" applyNumberFormat="1" applyFont="1" applyFill="1" applyAlignment="1">
      <alignment horizontal="left" vertical="center" wrapText="1"/>
    </xf>
    <xf numFmtId="169" fontId="6" fillId="12" borderId="12" xfId="0" applyNumberFormat="1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169" fontId="12" fillId="12" borderId="13" xfId="2" applyNumberFormat="1" applyFont="1" applyFill="1" applyBorder="1" applyAlignment="1">
      <alignment horizontal="center" vertical="center"/>
    </xf>
    <xf numFmtId="164" fontId="12" fillId="12" borderId="2" xfId="1" applyNumberFormat="1" applyFont="1" applyFill="1" applyBorder="1" applyAlignment="1">
      <alignment horizontal="right" vertical="center" wrapText="1"/>
    </xf>
    <xf numFmtId="0" fontId="6" fillId="12" borderId="0" xfId="0" applyFont="1" applyFill="1" applyAlignment="1">
      <alignment horizontal="left" vertical="center"/>
    </xf>
    <xf numFmtId="15" fontId="10" fillId="12" borderId="0" xfId="0" applyNumberFormat="1" applyFont="1" applyFill="1" applyAlignment="1">
      <alignment horizontal="left" vertical="center" wrapText="1"/>
    </xf>
    <xf numFmtId="17" fontId="12" fillId="12" borderId="0" xfId="0" applyNumberFormat="1" applyFont="1" applyFill="1" applyAlignment="1">
      <alignment horizontal="left" vertical="center" wrapText="1"/>
    </xf>
    <xf numFmtId="0" fontId="3" fillId="12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/>
    </xf>
    <xf numFmtId="169" fontId="6" fillId="0" borderId="0" xfId="0" quotePrefix="1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 wrapText="1"/>
    </xf>
    <xf numFmtId="40" fontId="33" fillId="0" borderId="12" xfId="0" applyNumberFormat="1" applyFont="1" applyBorder="1" applyAlignment="1">
      <alignment horizontal="right" vertical="center"/>
    </xf>
    <xf numFmtId="40" fontId="33" fillId="0" borderId="13" xfId="0" applyNumberFormat="1" applyFont="1" applyBorder="1" applyAlignment="1">
      <alignment horizontal="right" vertical="center"/>
    </xf>
    <xf numFmtId="169" fontId="33" fillId="0" borderId="14" xfId="0" applyNumberFormat="1" applyFont="1" applyBorder="1" applyAlignment="1">
      <alignment horizontal="center" vertical="center"/>
    </xf>
    <xf numFmtId="169" fontId="33" fillId="0" borderId="15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168" fontId="33" fillId="0" borderId="0" xfId="0" applyNumberFormat="1" applyFont="1" applyAlignment="1">
      <alignment horizontal="left" vertical="center" wrapText="1"/>
    </xf>
    <xf numFmtId="169" fontId="33" fillId="9" borderId="12" xfId="0" applyNumberFormat="1" applyFont="1" applyFill="1" applyBorder="1" applyAlignment="1">
      <alignment horizontal="center" vertical="center"/>
    </xf>
    <xf numFmtId="0" fontId="33" fillId="9" borderId="13" xfId="0" applyFont="1" applyFill="1" applyBorder="1" applyAlignment="1">
      <alignment horizontal="center" vertical="center"/>
    </xf>
    <xf numFmtId="164" fontId="35" fillId="0" borderId="2" xfId="1" applyNumberFormat="1" applyFont="1" applyBorder="1" applyAlignment="1">
      <alignment horizontal="right" vertical="center" wrapText="1"/>
    </xf>
    <xf numFmtId="15" fontId="35" fillId="0" borderId="0" xfId="0" applyNumberFormat="1" applyFont="1" applyAlignment="1">
      <alignment horizontal="left" vertical="center" wrapText="1"/>
    </xf>
    <xf numFmtId="17" fontId="34" fillId="0" borderId="0" xfId="0" applyNumberFormat="1" applyFont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172" fontId="33" fillId="0" borderId="0" xfId="0" applyNumberFormat="1" applyFont="1" applyAlignment="1">
      <alignment horizontal="center" vertical="center" wrapText="1"/>
    </xf>
    <xf numFmtId="0" fontId="33" fillId="0" borderId="0" xfId="0" quotePrefix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164" fontId="39" fillId="0" borderId="1" xfId="1" applyNumberFormat="1" applyFont="1" applyBorder="1" applyAlignment="1">
      <alignment horizontal="right" vertical="center" wrapText="1"/>
    </xf>
    <xf numFmtId="164" fontId="6" fillId="0" borderId="2" xfId="1" applyNumberFormat="1" applyFont="1" applyBorder="1" applyAlignment="1">
      <alignment horizontal="right" vertical="center" wrapText="1"/>
    </xf>
    <xf numFmtId="0" fontId="40" fillId="0" borderId="0" xfId="0" applyFont="1"/>
    <xf numFmtId="0" fontId="3" fillId="10" borderId="0" xfId="0" applyFont="1" applyFill="1" applyAlignment="1">
      <alignment vertical="center" wrapText="1"/>
    </xf>
    <xf numFmtId="15" fontId="6" fillId="10" borderId="0" xfId="0" applyNumberFormat="1" applyFont="1" applyFill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164" fontId="12" fillId="10" borderId="2" xfId="1" applyNumberFormat="1" applyFont="1" applyFill="1" applyBorder="1" applyAlignment="1">
      <alignment horizontal="right" vertical="center" wrapText="1"/>
    </xf>
    <xf numFmtId="0" fontId="40" fillId="10" borderId="0" xfId="0" applyFont="1" applyFill="1"/>
    <xf numFmtId="0" fontId="40" fillId="0" borderId="0" xfId="0" applyFont="1" applyAlignment="1">
      <alignment horizontal="center" wrapText="1"/>
    </xf>
    <xf numFmtId="16" fontId="3" fillId="0" borderId="0" xfId="0" applyNumberFormat="1" applyFont="1" applyAlignment="1">
      <alignment horizontal="center" vertical="center"/>
    </xf>
    <xf numFmtId="0" fontId="41" fillId="0" borderId="0" xfId="0" applyFont="1"/>
    <xf numFmtId="0" fontId="37" fillId="0" borderId="0" xfId="0" applyFont="1" applyAlignment="1">
      <alignment horizontal="left" vertical="center" wrapText="1"/>
    </xf>
    <xf numFmtId="169" fontId="33" fillId="11" borderId="12" xfId="0" applyNumberFormat="1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15" fontId="6" fillId="0" borderId="0" xfId="0" applyNumberFormat="1" applyFont="1" applyAlignment="1">
      <alignment wrapText="1"/>
    </xf>
    <xf numFmtId="0" fontId="6" fillId="0" borderId="0" xfId="0" applyFont="1"/>
    <xf numFmtId="4" fontId="6" fillId="0" borderId="12" xfId="0" applyNumberFormat="1" applyFont="1" applyBorder="1"/>
    <xf numFmtId="0" fontId="6" fillId="0" borderId="13" xfId="0" applyFont="1" applyBorder="1"/>
    <xf numFmtId="15" fontId="6" fillId="0" borderId="21" xfId="0" applyNumberFormat="1" applyFont="1" applyBorder="1"/>
    <xf numFmtId="15" fontId="6" fillId="0" borderId="13" xfId="0" applyNumberFormat="1" applyFont="1" applyBorder="1"/>
    <xf numFmtId="0" fontId="10" fillId="13" borderId="13" xfId="0" applyFont="1" applyFill="1" applyBorder="1"/>
    <xf numFmtId="4" fontId="10" fillId="0" borderId="2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16" fontId="10" fillId="0" borderId="0" xfId="0" applyNumberFormat="1" applyFont="1" applyAlignment="1">
      <alignment wrapText="1"/>
    </xf>
    <xf numFmtId="0" fontId="42" fillId="0" borderId="0" xfId="0" applyFont="1"/>
    <xf numFmtId="0" fontId="43" fillId="0" borderId="0" xfId="0" applyFont="1"/>
    <xf numFmtId="0" fontId="7" fillId="3" borderId="16" xfId="1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/>
    </xf>
    <xf numFmtId="15" fontId="7" fillId="2" borderId="30" xfId="1" applyNumberFormat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/>
    </xf>
    <xf numFmtId="15" fontId="7" fillId="2" borderId="32" xfId="1" applyNumberFormat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8" fillId="3" borderId="23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27" xfId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4" xfId="0" applyFont="1" applyBorder="1" applyAlignment="1">
      <alignment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30" xfId="0" applyFont="1" applyBorder="1" applyAlignment="1">
      <alignment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167" fontId="9" fillId="3" borderId="23" xfId="1" applyNumberFormat="1" applyFont="1" applyFill="1" applyBorder="1" applyAlignment="1">
      <alignment horizontal="center" vertical="center" wrapText="1"/>
    </xf>
    <xf numFmtId="167" fontId="9" fillId="3" borderId="24" xfId="1" applyNumberFormat="1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15" fontId="6" fillId="11" borderId="12" xfId="0" applyNumberFormat="1" applyFont="1" applyFill="1" applyBorder="1"/>
    <xf numFmtId="0" fontId="6" fillId="11" borderId="13" xfId="0" applyFont="1" applyFill="1" applyBorder="1"/>
    <xf numFmtId="169" fontId="34" fillId="5" borderId="13" xfId="2" applyNumberFormat="1" applyFont="1" applyFill="1" applyBorder="1" applyAlignment="1">
      <alignment horizontal="center" vertical="center"/>
    </xf>
    <xf numFmtId="169" fontId="34" fillId="5" borderId="13" xfId="2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15" fontId="8" fillId="6" borderId="0" xfId="1" applyNumberFormat="1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6" fillId="14" borderId="0" xfId="0" applyFont="1" applyFill="1" applyAlignment="1">
      <alignment horizontal="center" vertical="center" wrapText="1"/>
    </xf>
    <xf numFmtId="169" fontId="6" fillId="14" borderId="0" xfId="0" applyNumberFormat="1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quotePrefix="1" applyFont="1" applyFill="1" applyAlignment="1">
      <alignment horizontal="center" vertical="center" wrapText="1"/>
    </xf>
    <xf numFmtId="0" fontId="6" fillId="14" borderId="0" xfId="0" applyFont="1" applyFill="1" applyAlignment="1">
      <alignment vertical="center" wrapText="1"/>
    </xf>
    <xf numFmtId="40" fontId="6" fillId="14" borderId="12" xfId="0" applyNumberFormat="1" applyFont="1" applyFill="1" applyBorder="1" applyAlignment="1">
      <alignment horizontal="right" vertical="center"/>
    </xf>
    <xf numFmtId="40" fontId="6" fillId="14" borderId="13" xfId="0" applyNumberFormat="1" applyFont="1" applyFill="1" applyBorder="1" applyAlignment="1">
      <alignment horizontal="right" vertical="center"/>
    </xf>
    <xf numFmtId="169" fontId="6" fillId="14" borderId="14" xfId="0" applyNumberFormat="1" applyFont="1" applyFill="1" applyBorder="1" applyAlignment="1">
      <alignment horizontal="center" vertical="center"/>
    </xf>
    <xf numFmtId="169" fontId="6" fillId="14" borderId="15" xfId="0" applyNumberFormat="1" applyFont="1" applyFill="1" applyBorder="1" applyAlignment="1">
      <alignment horizontal="center" vertical="center"/>
    </xf>
    <xf numFmtId="0" fontId="6" fillId="14" borderId="0" xfId="0" applyFont="1" applyFill="1" applyAlignment="1">
      <alignment horizontal="left" vertical="center" wrapText="1"/>
    </xf>
    <xf numFmtId="168" fontId="6" fillId="14" borderId="0" xfId="0" applyNumberFormat="1" applyFont="1" applyFill="1" applyAlignment="1">
      <alignment horizontal="left" vertical="center" wrapText="1"/>
    </xf>
    <xf numFmtId="169" fontId="6" fillId="14" borderId="12" xfId="0" applyNumberFormat="1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169" fontId="12" fillId="14" borderId="13" xfId="2" applyNumberFormat="1" applyFont="1" applyFill="1" applyBorder="1" applyAlignment="1">
      <alignment horizontal="center" vertical="center"/>
    </xf>
    <xf numFmtId="164" fontId="10" fillId="14" borderId="2" xfId="1" applyNumberFormat="1" applyFont="1" applyFill="1" applyBorder="1" applyAlignment="1">
      <alignment horizontal="right" vertical="center" wrapText="1"/>
    </xf>
    <xf numFmtId="15" fontId="10" fillId="14" borderId="0" xfId="0" applyNumberFormat="1" applyFont="1" applyFill="1" applyAlignment="1">
      <alignment horizontal="left" vertical="center" wrapText="1"/>
    </xf>
    <xf numFmtId="17" fontId="12" fillId="14" borderId="0" xfId="0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center" vertical="center"/>
    </xf>
    <xf numFmtId="0" fontId="33" fillId="11" borderId="13" xfId="0" applyFont="1" applyFill="1" applyBorder="1"/>
    <xf numFmtId="15" fontId="33" fillId="11" borderId="12" xfId="0" applyNumberFormat="1" applyFont="1" applyFill="1" applyBorder="1"/>
    <xf numFmtId="0" fontId="33" fillId="5" borderId="0" xfId="0" applyFont="1" applyFill="1" applyAlignment="1">
      <alignment horizontal="center" vertical="center" wrapText="1"/>
    </xf>
    <xf numFmtId="0" fontId="6" fillId="11" borderId="0" xfId="0" quotePrefix="1" applyFont="1" applyFill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 wrapText="1"/>
    </xf>
    <xf numFmtId="16" fontId="6" fillId="0" borderId="13" xfId="0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center" vertical="center" wrapText="1"/>
    </xf>
    <xf numFmtId="169" fontId="10" fillId="14" borderId="0" xfId="0" applyNumberFormat="1" applyFont="1" applyFill="1" applyAlignment="1">
      <alignment horizontal="center" vertical="center" wrapText="1"/>
    </xf>
    <xf numFmtId="0" fontId="3" fillId="14" borderId="0" xfId="0" applyFont="1" applyFill="1" applyAlignment="1">
      <alignment vertical="center"/>
    </xf>
    <xf numFmtId="0" fontId="40" fillId="0" borderId="0" xfId="0" applyFont="1" applyAlignment="1">
      <alignment horizontal="center" vertical="center" wrapText="1"/>
    </xf>
    <xf numFmtId="169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40" fontId="40" fillId="0" borderId="13" xfId="0" applyNumberFormat="1" applyFont="1" applyBorder="1" applyAlignment="1">
      <alignment horizontal="right" vertical="center"/>
    </xf>
    <xf numFmtId="169" fontId="40" fillId="0" borderId="14" xfId="0" applyNumberFormat="1" applyFont="1" applyBorder="1" applyAlignment="1">
      <alignment horizontal="center" vertical="center"/>
    </xf>
    <xf numFmtId="169" fontId="40" fillId="0" borderId="1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168" fontId="40" fillId="0" borderId="0" xfId="0" applyNumberFormat="1" applyFont="1" applyAlignment="1">
      <alignment horizontal="left" vertical="center" wrapText="1"/>
    </xf>
    <xf numFmtId="169" fontId="40" fillId="9" borderId="12" xfId="0" applyNumberFormat="1" applyFont="1" applyFill="1" applyBorder="1" applyAlignment="1">
      <alignment horizontal="center" vertical="center"/>
    </xf>
    <xf numFmtId="169" fontId="40" fillId="5" borderId="13" xfId="2" applyNumberFormat="1" applyFont="1" applyFill="1" applyBorder="1" applyAlignment="1">
      <alignment horizontal="center" vertical="center"/>
    </xf>
    <xf numFmtId="164" fontId="40" fillId="0" borderId="2" xfId="1" applyNumberFormat="1" applyFont="1" applyBorder="1" applyAlignment="1">
      <alignment horizontal="right" vertical="center" wrapText="1"/>
    </xf>
    <xf numFmtId="0" fontId="40" fillId="0" borderId="0" xfId="0" applyFont="1" applyAlignment="1">
      <alignment horizontal="left" vertical="center"/>
    </xf>
    <xf numFmtId="15" fontId="40" fillId="0" borderId="0" xfId="0" applyNumberFormat="1" applyFont="1" applyAlignment="1">
      <alignment horizontal="left" vertical="center" wrapText="1"/>
    </xf>
    <xf numFmtId="0" fontId="40" fillId="0" borderId="0" xfId="0" applyFont="1" applyAlignment="1">
      <alignment vertical="center"/>
    </xf>
    <xf numFmtId="172" fontId="40" fillId="0" borderId="0" xfId="0" applyNumberFormat="1" applyFont="1" applyAlignment="1">
      <alignment horizontal="center" vertical="center"/>
    </xf>
    <xf numFmtId="0" fontId="7" fillId="2" borderId="38" xfId="1" applyFont="1" applyFill="1" applyBorder="1" applyAlignment="1">
      <alignment horizontal="center" vertical="center"/>
    </xf>
    <xf numFmtId="15" fontId="7" fillId="2" borderId="38" xfId="1" applyNumberFormat="1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 wrapText="1"/>
    </xf>
    <xf numFmtId="40" fontId="7" fillId="2" borderId="41" xfId="1" applyNumberFormat="1" applyFont="1" applyFill="1" applyBorder="1" applyAlignment="1">
      <alignment horizontal="center" vertical="center" wrapText="1"/>
    </xf>
    <xf numFmtId="15" fontId="7" fillId="3" borderId="42" xfId="1" applyNumberFormat="1" applyFont="1" applyFill="1" applyBorder="1" applyAlignment="1">
      <alignment horizontal="center" vertical="center" wrapText="1"/>
    </xf>
    <xf numFmtId="15" fontId="7" fillId="3" borderId="43" xfId="1" applyNumberFormat="1" applyFont="1" applyFill="1" applyBorder="1" applyAlignment="1">
      <alignment horizontal="center" vertical="center" wrapText="1"/>
    </xf>
    <xf numFmtId="0" fontId="7" fillId="3" borderId="38" xfId="1" applyFont="1" applyFill="1" applyBorder="1" applyAlignment="1">
      <alignment horizontal="center" vertical="center"/>
    </xf>
    <xf numFmtId="168" fontId="7" fillId="3" borderId="38" xfId="0" applyNumberFormat="1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horizontal="center" vertical="center" wrapText="1"/>
    </xf>
    <xf numFmtId="0" fontId="8" fillId="3" borderId="41" xfId="1" applyFont="1" applyFill="1" applyBorder="1" applyAlignment="1">
      <alignment horizontal="center" vertical="center" wrapText="1"/>
    </xf>
    <xf numFmtId="167" fontId="9" fillId="3" borderId="44" xfId="1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69" fontId="31" fillId="0" borderId="0" xfId="0" applyNumberFormat="1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quotePrefix="1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40" fontId="31" fillId="0" borderId="12" xfId="0" applyNumberFormat="1" applyFont="1" applyBorder="1" applyAlignment="1">
      <alignment horizontal="right" vertical="center"/>
    </xf>
    <xf numFmtId="40" fontId="31" fillId="0" borderId="13" xfId="0" applyNumberFormat="1" applyFont="1" applyBorder="1" applyAlignment="1">
      <alignment horizontal="right" vertical="center"/>
    </xf>
    <xf numFmtId="169" fontId="31" fillId="0" borderId="14" xfId="0" applyNumberFormat="1" applyFont="1" applyBorder="1" applyAlignment="1">
      <alignment horizontal="center" vertical="center"/>
    </xf>
    <xf numFmtId="169" fontId="31" fillId="0" borderId="15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68" fontId="31" fillId="0" borderId="0" xfId="0" applyNumberFormat="1" applyFont="1" applyAlignment="1">
      <alignment horizontal="left" vertical="center" wrapText="1"/>
    </xf>
    <xf numFmtId="169" fontId="31" fillId="9" borderId="12" xfId="0" applyNumberFormat="1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169" fontId="49" fillId="5" borderId="13" xfId="2" applyNumberFormat="1" applyFont="1" applyFill="1" applyBorder="1" applyAlignment="1">
      <alignment horizontal="center" vertical="center"/>
    </xf>
    <xf numFmtId="17" fontId="49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172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3" fillId="1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5" borderId="0" xfId="0" quotePrefix="1" applyFont="1" applyFill="1" applyAlignment="1">
      <alignment horizontal="center" vertical="center" wrapText="1"/>
    </xf>
    <xf numFmtId="0" fontId="40" fillId="15" borderId="0" xfId="0" applyFont="1" applyFill="1" applyAlignment="1">
      <alignment horizontal="center" vertical="center"/>
    </xf>
    <xf numFmtId="0" fontId="40" fillId="15" borderId="0" xfId="0" quotePrefix="1" applyFont="1" applyFill="1" applyAlignment="1">
      <alignment horizontal="center" vertical="center" wrapText="1"/>
    </xf>
    <xf numFmtId="0" fontId="40" fillId="15" borderId="0" xfId="0" applyFont="1" applyFill="1" applyAlignment="1">
      <alignment horizontal="center" vertical="center" wrapText="1"/>
    </xf>
    <xf numFmtId="0" fontId="6" fillId="0" borderId="45" xfId="0" applyFont="1" applyBorder="1" applyAlignment="1">
      <alignment horizontal="left" vertical="center" wrapText="1"/>
    </xf>
    <xf numFmtId="169" fontId="6" fillId="0" borderId="46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172" fontId="50" fillId="0" borderId="0" xfId="0" applyNumberFormat="1" applyFont="1" applyAlignment="1">
      <alignment horizontal="center" vertical="center"/>
    </xf>
    <xf numFmtId="0" fontId="50" fillId="0" borderId="0" xfId="0" applyFont="1"/>
    <xf numFmtId="0" fontId="33" fillId="0" borderId="0" xfId="0" applyFont="1" applyAlignment="1">
      <alignment horizontal="left" vertical="center"/>
    </xf>
    <xf numFmtId="172" fontId="36" fillId="0" borderId="0" xfId="0" applyNumberFormat="1" applyFont="1" applyAlignment="1">
      <alignment horizontal="center" vertical="center"/>
    </xf>
    <xf numFmtId="0" fontId="51" fillId="0" borderId="0" xfId="0" applyFont="1"/>
    <xf numFmtId="168" fontId="38" fillId="0" borderId="0" xfId="0" applyNumberFormat="1" applyFont="1" applyAlignment="1">
      <alignment horizontal="left" vertical="center" wrapText="1"/>
    </xf>
    <xf numFmtId="0" fontId="6" fillId="5" borderId="13" xfId="0" applyFont="1" applyFill="1" applyBorder="1" applyAlignment="1">
      <alignment horizontal="center" vertical="center"/>
    </xf>
    <xf numFmtId="0" fontId="40" fillId="5" borderId="13" xfId="0" applyFont="1" applyFill="1" applyBorder="1" applyAlignment="1">
      <alignment horizontal="center" vertical="center"/>
    </xf>
    <xf numFmtId="169" fontId="6" fillId="0" borderId="12" xfId="0" applyNumberFormat="1" applyFont="1" applyBorder="1" applyAlignment="1">
      <alignment horizontal="center" vertical="center" wrapText="1"/>
    </xf>
    <xf numFmtId="17" fontId="3" fillId="0" borderId="0" xfId="0" applyNumberFormat="1" applyFont="1" applyAlignment="1">
      <alignment horizontal="left" vertical="center" wrapText="1"/>
    </xf>
    <xf numFmtId="17" fontId="3" fillId="14" borderId="0" xfId="0" applyNumberFormat="1" applyFont="1" applyFill="1" applyAlignment="1">
      <alignment horizontal="left" vertical="center" wrapText="1"/>
    </xf>
    <xf numFmtId="17" fontId="50" fillId="0" borderId="0" xfId="0" applyNumberFormat="1" applyFont="1" applyAlignment="1">
      <alignment horizontal="left" vertical="center" wrapText="1"/>
    </xf>
    <xf numFmtId="17" fontId="36" fillId="0" borderId="0" xfId="0" applyNumberFormat="1" applyFont="1" applyAlignment="1">
      <alignment horizontal="left" vertical="center" wrapText="1"/>
    </xf>
    <xf numFmtId="17" fontId="52" fillId="0" borderId="0" xfId="1" quotePrefix="1" applyNumberFormat="1" applyFont="1" applyAlignment="1">
      <alignment horizontal="center" vertical="center" wrapText="1"/>
    </xf>
    <xf numFmtId="170" fontId="12" fillId="0" borderId="0" xfId="1" quotePrefix="1" applyNumberFormat="1" applyFont="1" applyAlignment="1">
      <alignment horizontal="right" vertical="center" wrapText="1"/>
    </xf>
    <xf numFmtId="15" fontId="52" fillId="0" borderId="0" xfId="1" applyNumberFormat="1" applyFont="1" applyAlignment="1">
      <alignment horizontal="center" vertical="center" wrapText="1"/>
    </xf>
    <xf numFmtId="0" fontId="52" fillId="0" borderId="0" xfId="1" applyFont="1" applyAlignment="1">
      <alignment horizontal="center" vertical="center" wrapText="1"/>
    </xf>
    <xf numFmtId="15" fontId="52" fillId="6" borderId="0" xfId="1" applyNumberFormat="1" applyFont="1" applyFill="1" applyAlignment="1">
      <alignment horizontal="center" vertical="center" wrapText="1"/>
    </xf>
    <xf numFmtId="170" fontId="9" fillId="4" borderId="0" xfId="1" quotePrefix="1" applyNumberFormat="1" applyFont="1" applyFill="1" applyAlignment="1">
      <alignment horizontal="right" vertical="center" wrapText="1"/>
    </xf>
    <xf numFmtId="15" fontId="8" fillId="4" borderId="0" xfId="1" applyNumberFormat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170" fontId="12" fillId="0" borderId="18" xfId="1" applyNumberFormat="1" applyFont="1" applyBorder="1" applyAlignment="1">
      <alignment horizontal="right" vertical="center" wrapText="1"/>
    </xf>
    <xf numFmtId="0" fontId="52" fillId="0" borderId="18" xfId="1" applyFont="1" applyBorder="1" applyAlignment="1">
      <alignment horizontal="center" vertical="center" wrapText="1"/>
    </xf>
    <xf numFmtId="170" fontId="9" fillId="4" borderId="18" xfId="1" applyNumberFormat="1" applyFont="1" applyFill="1" applyBorder="1" applyAlignment="1">
      <alignment horizontal="right" vertical="center" wrapText="1"/>
    </xf>
    <xf numFmtId="0" fontId="8" fillId="4" borderId="18" xfId="1" applyFont="1" applyFill="1" applyBorder="1" applyAlignment="1">
      <alignment horizontal="center" vertical="center" wrapText="1"/>
    </xf>
    <xf numFmtId="15" fontId="8" fillId="0" borderId="0" xfId="1" applyNumberFormat="1" applyFont="1" applyAlignment="1">
      <alignment horizontal="center" vertical="center" wrapText="1"/>
    </xf>
    <xf numFmtId="170" fontId="9" fillId="0" borderId="19" xfId="1" applyNumberFormat="1" applyFont="1" applyBorder="1" applyAlignment="1">
      <alignment horizontal="right" vertical="center" wrapText="1"/>
    </xf>
    <xf numFmtId="0" fontId="8" fillId="0" borderId="0" xfId="1" applyFont="1" applyAlignment="1">
      <alignment horizontal="center" vertical="center" wrapText="1"/>
    </xf>
    <xf numFmtId="171" fontId="8" fillId="0" borderId="19" xfId="3" applyNumberFormat="1" applyFont="1" applyBorder="1" applyAlignment="1">
      <alignment horizontal="center" vertical="center" wrapText="1"/>
    </xf>
    <xf numFmtId="15" fontId="8" fillId="6" borderId="0" xfId="1" applyNumberFormat="1" applyFont="1" applyFill="1" applyAlignment="1">
      <alignment horizontal="center" vertical="center" wrapText="1"/>
    </xf>
    <xf numFmtId="170" fontId="9" fillId="4" borderId="19" xfId="1" applyNumberFormat="1" applyFont="1" applyFill="1" applyBorder="1" applyAlignment="1">
      <alignment horizontal="right" vertical="center" wrapText="1"/>
    </xf>
    <xf numFmtId="171" fontId="8" fillId="4" borderId="19" xfId="3" applyNumberFormat="1" applyFont="1" applyFill="1" applyBorder="1" applyAlignment="1">
      <alignment horizontal="center" vertical="center" wrapText="1"/>
    </xf>
    <xf numFmtId="17" fontId="40" fillId="0" borderId="0" xfId="0" applyNumberFormat="1" applyFont="1" applyAlignment="1">
      <alignment horizontal="left" vertical="center" wrapText="1"/>
    </xf>
    <xf numFmtId="17" fontId="3" fillId="5" borderId="0" xfId="0" applyNumberFormat="1" applyFont="1" applyFill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17" fontId="38" fillId="0" borderId="0" xfId="0" applyNumberFormat="1" applyFont="1" applyAlignment="1">
      <alignment horizontal="left" vertical="center" wrapText="1"/>
    </xf>
    <xf numFmtId="169" fontId="10" fillId="10" borderId="0" xfId="0" applyNumberFormat="1" applyFont="1" applyFill="1" applyAlignment="1">
      <alignment horizontal="center" vertical="center" wrapText="1"/>
    </xf>
    <xf numFmtId="17" fontId="3" fillId="10" borderId="0" xfId="0" applyNumberFormat="1" applyFont="1" applyFill="1" applyAlignment="1">
      <alignment horizontal="left" vertical="center" wrapText="1"/>
    </xf>
    <xf numFmtId="172" fontId="3" fillId="10" borderId="0" xfId="0" applyNumberFormat="1" applyFont="1" applyFill="1" applyAlignment="1">
      <alignment horizontal="center" vertical="center"/>
    </xf>
    <xf numFmtId="169" fontId="10" fillId="0" borderId="15" xfId="0" applyNumberFormat="1" applyFont="1" applyBorder="1" applyAlignment="1">
      <alignment horizontal="center" vertical="center"/>
    </xf>
    <xf numFmtId="40" fontId="6" fillId="0" borderId="0" xfId="0" applyNumberFormat="1" applyFont="1" applyAlignment="1">
      <alignment horizontal="right" vertical="center"/>
    </xf>
    <xf numFmtId="16" fontId="40" fillId="0" borderId="0" xfId="0" applyNumberFormat="1" applyFont="1" applyAlignment="1">
      <alignment vertical="center" wrapText="1"/>
    </xf>
    <xf numFmtId="40" fontId="40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 wrapText="1"/>
    </xf>
    <xf numFmtId="16" fontId="6" fillId="10" borderId="0" xfId="0" applyNumberFormat="1" applyFont="1" applyFill="1" applyAlignment="1">
      <alignment vertical="center" wrapText="1"/>
    </xf>
    <xf numFmtId="40" fontId="6" fillId="10" borderId="0" xfId="0" applyNumberFormat="1" applyFont="1" applyFill="1" applyAlignment="1">
      <alignment horizontal="right" vertical="center"/>
    </xf>
    <xf numFmtId="0" fontId="33" fillId="0" borderId="0" xfId="0" applyFont="1" applyAlignment="1">
      <alignment vertical="center"/>
    </xf>
    <xf numFmtId="0" fontId="6" fillId="14" borderId="0" xfId="0" applyFont="1" applyFill="1" applyAlignment="1">
      <alignment vertical="center"/>
    </xf>
    <xf numFmtId="40" fontId="6" fillId="14" borderId="0" xfId="0" applyNumberFormat="1" applyFont="1" applyFill="1" applyAlignment="1">
      <alignment horizontal="right" vertical="center"/>
    </xf>
    <xf numFmtId="16" fontId="31" fillId="0" borderId="0" xfId="0" applyNumberFormat="1" applyFont="1" applyAlignment="1">
      <alignment vertical="center" wrapText="1"/>
    </xf>
    <xf numFmtId="40" fontId="31" fillId="0" borderId="0" xfId="0" applyNumberFormat="1" applyFont="1" applyAlignment="1">
      <alignment horizontal="right" vertical="center"/>
    </xf>
    <xf numFmtId="16" fontId="33" fillId="0" borderId="0" xfId="0" applyNumberFormat="1" applyFont="1" applyAlignment="1">
      <alignment vertical="center" wrapText="1"/>
    </xf>
    <xf numFmtId="40" fontId="33" fillId="0" borderId="0" xfId="0" applyNumberFormat="1" applyFont="1" applyAlignment="1">
      <alignment horizontal="right" vertical="center"/>
    </xf>
    <xf numFmtId="0" fontId="53" fillId="0" borderId="0" xfId="0" applyFont="1"/>
    <xf numFmtId="0" fontId="7" fillId="2" borderId="0" xfId="1" applyFont="1" applyFill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40" fontId="6" fillId="0" borderId="47" xfId="0" applyNumberFormat="1" applyFont="1" applyBorder="1" applyAlignment="1">
      <alignment horizontal="right" vertical="center"/>
    </xf>
    <xf numFmtId="40" fontId="40" fillId="0" borderId="47" xfId="0" applyNumberFormat="1" applyFont="1" applyBorder="1" applyAlignment="1">
      <alignment horizontal="right" vertical="center"/>
    </xf>
    <xf numFmtId="40" fontId="6" fillId="0" borderId="47" xfId="0" applyNumberFormat="1" applyFont="1" applyBorder="1" applyAlignment="1">
      <alignment horizontal="right" vertical="center" wrapText="1"/>
    </xf>
    <xf numFmtId="40" fontId="6" fillId="10" borderId="47" xfId="0" applyNumberFormat="1" applyFont="1" applyFill="1" applyBorder="1" applyAlignment="1">
      <alignment horizontal="right" vertical="center"/>
    </xf>
    <xf numFmtId="40" fontId="6" fillId="14" borderId="47" xfId="0" applyNumberFormat="1" applyFont="1" applyFill="1" applyBorder="1" applyAlignment="1">
      <alignment horizontal="right" vertical="center"/>
    </xf>
    <xf numFmtId="40" fontId="31" fillId="0" borderId="47" xfId="0" applyNumberFormat="1" applyFont="1" applyBorder="1" applyAlignment="1">
      <alignment horizontal="right" vertical="center"/>
    </xf>
    <xf numFmtId="40" fontId="33" fillId="0" borderId="47" xfId="0" applyNumberFormat="1" applyFont="1" applyBorder="1" applyAlignment="1">
      <alignment horizontal="right" vertical="center"/>
    </xf>
    <xf numFmtId="40" fontId="7" fillId="2" borderId="38" xfId="1" applyNumberFormat="1" applyFont="1" applyFill="1" applyBorder="1" applyAlignment="1">
      <alignment horizontal="center" vertical="center" wrapText="1"/>
    </xf>
    <xf numFmtId="0" fontId="54" fillId="2" borderId="47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40" fontId="7" fillId="2" borderId="5" xfId="1" applyNumberFormat="1" applyFont="1" applyFill="1" applyBorder="1" applyAlignment="1">
      <alignment horizontal="center" vertical="center"/>
    </xf>
    <xf numFmtId="40" fontId="7" fillId="2" borderId="6" xfId="1" applyNumberFormat="1" applyFont="1" applyFill="1" applyBorder="1" applyAlignment="1">
      <alignment horizontal="center" vertical="center"/>
    </xf>
    <xf numFmtId="166" fontId="7" fillId="3" borderId="6" xfId="1" applyNumberFormat="1" applyFont="1" applyFill="1" applyBorder="1" applyAlignment="1">
      <alignment horizontal="center" vertical="center"/>
    </xf>
    <xf numFmtId="166" fontId="7" fillId="3" borderId="7" xfId="1" applyNumberFormat="1" applyFont="1" applyFill="1" applyBorder="1" applyAlignment="1">
      <alignment horizontal="center" vertical="center"/>
    </xf>
    <xf numFmtId="15" fontId="8" fillId="3" borderId="0" xfId="1" applyNumberFormat="1" applyFont="1" applyFill="1" applyAlignment="1">
      <alignment horizontal="center" wrapText="1"/>
    </xf>
    <xf numFmtId="15" fontId="8" fillId="4" borderId="0" xfId="1" applyNumberFormat="1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7" fontId="9" fillId="3" borderId="10" xfId="1" applyNumberFormat="1" applyFont="1" applyFill="1" applyBorder="1" applyAlignment="1">
      <alignment horizontal="center" vertical="center" wrapText="1"/>
    </xf>
    <xf numFmtId="167" fontId="9" fillId="3" borderId="11" xfId="1" applyNumberFormat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5" fontId="7" fillId="2" borderId="3" xfId="1" applyNumberFormat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 wrapText="1"/>
    </xf>
    <xf numFmtId="0" fontId="7" fillId="3" borderId="17" xfId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5" fontId="15" fillId="3" borderId="0" xfId="1" applyNumberFormat="1" applyFont="1" applyFill="1" applyAlignment="1">
      <alignment horizontal="center" wrapText="1"/>
    </xf>
    <xf numFmtId="15" fontId="15" fillId="4" borderId="0" xfId="1" applyNumberFormat="1" applyFont="1" applyFill="1" applyAlignment="1">
      <alignment horizontal="center" wrapText="1"/>
    </xf>
  </cellXfs>
  <cellStyles count="23">
    <cellStyle name="0,0_x000d__x000a_NA_x000d__x000a_" xfId="22" xr:uid="{00000000-0005-0000-0000-000000000000}"/>
    <cellStyle name="Comma 2" xfId="7" xr:uid="{00000000-0005-0000-0000-000001000000}"/>
    <cellStyle name="Comma 3" xfId="13" xr:uid="{00000000-0005-0000-0000-000002000000}"/>
    <cellStyle name="Comma 4" xfId="16" xr:uid="{00000000-0005-0000-0000-000003000000}"/>
    <cellStyle name="Comma 5" xfId="6" xr:uid="{00000000-0005-0000-0000-000004000000}"/>
    <cellStyle name="Currency 2" xfId="12" xr:uid="{00000000-0005-0000-0000-000005000000}"/>
    <cellStyle name="Hyperlink 2" xfId="20" xr:uid="{00000000-0005-0000-0000-000006000000}"/>
    <cellStyle name="Hyperlink 3" xfId="21" xr:uid="{00000000-0005-0000-0000-000007000000}"/>
    <cellStyle name="Neutral 2" xfId="17" xr:uid="{00000000-0005-0000-0000-000008000000}"/>
    <cellStyle name="Normal" xfId="0" builtinId="0"/>
    <cellStyle name="Normal 2" xfId="2" xr:uid="{00000000-0005-0000-0000-00000A000000}"/>
    <cellStyle name="Normal 2 2" xfId="11" xr:uid="{00000000-0005-0000-0000-00000B000000}"/>
    <cellStyle name="Normal 3" xfId="19" xr:uid="{00000000-0005-0000-0000-00000C000000}"/>
    <cellStyle name="Normal 4" xfId="5" xr:uid="{00000000-0005-0000-0000-00000D000000}"/>
    <cellStyle name="Normal 6" xfId="4" xr:uid="{00000000-0005-0000-0000-00000E000000}"/>
    <cellStyle name="Percent 2" xfId="3" xr:uid="{00000000-0005-0000-0000-00000F000000}"/>
    <cellStyle name="Percent 2 2" xfId="9" xr:uid="{00000000-0005-0000-0000-000010000000}"/>
    <cellStyle name="Percent 3" xfId="14" xr:uid="{00000000-0005-0000-0000-000011000000}"/>
    <cellStyle name="Percent 4" xfId="8" xr:uid="{00000000-0005-0000-0000-000012000000}"/>
    <cellStyle name="v42_input" xfId="18" xr:uid="{00000000-0005-0000-0000-000013000000}"/>
    <cellStyle name="一般 2" xfId="10" xr:uid="{00000000-0005-0000-0000-000014000000}"/>
    <cellStyle name="一般_Report - Monthly_SME - Sep 08" xfId="15" xr:uid="{00000000-0005-0000-0000-000015000000}"/>
    <cellStyle name="一般_Sheet1" xfId="1" xr:uid="{00000000-0005-0000-0000-000016000000}"/>
  </cellStyles>
  <dxfs count="6"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g, Joey CY" id="{999D6AB3-3750-45EA-89CC-CF9A051A7ABD}" userId="S::02005986@corphq.hk.pccw.com::066b7edb-13f4-4b03-9973-cd40cdf2ce2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44" dT="2025-12-29T03:40:04.75" personId="{999D6AB3-3750-45EA-89CC-CF9A051A7ABD}" id="{BFD35880-C678-4A5D-B06C-ADD45028BA5A}">
    <text>xtreme amend to Cyber world. 29-Dec-2025</text>
  </threadedComment>
  <threadedComment ref="D356" dT="2026-01-02T02:18:20.94" personId="{999D6AB3-3750-45EA-89CC-CF9A051A7ABD}" id="{151FF16D-A6EB-4A20-B19E-D29C789E2103}">
    <text>amend to btb 2-Jan-2026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7AC5-D657-491A-970F-EF90F11C757F}">
  <sheetPr>
    <pageSetUpPr fitToPage="1"/>
  </sheetPr>
  <dimension ref="A1:AF359"/>
  <sheetViews>
    <sheetView zoomScale="85" zoomScaleNormal="85" workbookViewId="0">
      <pane xSplit="9" ySplit="3" topLeftCell="J4" activePane="bottomRight" state="frozen"/>
      <selection pane="topRight" activeCell="C259" sqref="C259"/>
      <selection pane="bottomLeft" activeCell="C259" sqref="C259"/>
      <selection pane="bottomRight" activeCell="J13" sqref="J13"/>
    </sheetView>
  </sheetViews>
  <sheetFormatPr defaultColWidth="9.140625" defaultRowHeight="12.75"/>
  <cols>
    <col min="1" max="1" width="5.28515625" style="1" bestFit="1" customWidth="1"/>
    <col min="2" max="2" width="11.28515625" style="1" customWidth="1"/>
    <col min="3" max="3" width="13.42578125" style="1" customWidth="1"/>
    <col min="4" max="4" width="18.42578125" style="1" customWidth="1"/>
    <col min="5" max="5" width="8.42578125" style="1" customWidth="1"/>
    <col min="6" max="6" width="14.5703125" style="1" customWidth="1"/>
    <col min="7" max="7" width="14" style="1" customWidth="1"/>
    <col min="8" max="8" width="11.85546875" style="1" customWidth="1"/>
    <col min="9" max="9" width="11.42578125" style="1" customWidth="1"/>
    <col min="10" max="10" width="44" style="1" customWidth="1"/>
    <col min="11" max="12" width="12.5703125" style="1" customWidth="1"/>
    <col min="13" max="13" width="25.42578125" style="1" customWidth="1"/>
    <col min="14" max="14" width="16.140625" style="1" customWidth="1"/>
    <col min="15" max="15" width="12.85546875" style="1" customWidth="1"/>
    <col min="16" max="16" width="13.85546875" style="1" customWidth="1"/>
    <col min="17" max="17" width="12.28515625" style="1" customWidth="1"/>
    <col min="18" max="18" width="31.42578125" style="1" customWidth="1"/>
    <col min="19" max="19" width="79" style="1" customWidth="1"/>
    <col min="20" max="20" width="11.28515625" style="1" customWidth="1"/>
    <col min="21" max="21" width="13" style="1" customWidth="1"/>
    <col min="22" max="22" width="13.140625" style="1" customWidth="1"/>
    <col min="23" max="23" width="17.42578125" style="1" customWidth="1"/>
    <col min="24" max="24" width="12.85546875" style="1" customWidth="1"/>
    <col min="25" max="25" width="13.42578125" style="1" customWidth="1"/>
    <col min="26" max="26" width="12.140625" style="1" customWidth="1"/>
    <col min="27" max="27" width="11" style="1" customWidth="1"/>
    <col min="28" max="28" width="22.42578125" style="1" customWidth="1"/>
    <col min="29" max="29" width="18.140625" style="36" customWidth="1"/>
    <col min="30" max="30" width="78.7109375" style="1" customWidth="1"/>
    <col min="31" max="31" width="20.85546875" style="80" customWidth="1"/>
    <col min="32" max="32" width="21.42578125" style="80" customWidth="1"/>
    <col min="33" max="16384" width="9.140625" style="1"/>
  </cols>
  <sheetData>
    <row r="1" spans="1:32" ht="32.25" customHeight="1">
      <c r="I1" s="220">
        <f>SUBTOTAL(2,I4:I494)</f>
        <v>0</v>
      </c>
      <c r="N1" s="188">
        <f>SUBTOTAL(9,N4:N9114)</f>
        <v>0</v>
      </c>
      <c r="W1" s="189">
        <f>SUBTOTAL(9,W4:W9114)</f>
        <v>0</v>
      </c>
    </row>
    <row r="2" spans="1:32" ht="25.5">
      <c r="A2" s="221" t="s">
        <v>0</v>
      </c>
      <c r="B2" s="222" t="s">
        <v>1</v>
      </c>
      <c r="C2" s="222" t="s">
        <v>2</v>
      </c>
      <c r="D2" s="223" t="s">
        <v>3</v>
      </c>
      <c r="E2" s="223" t="s">
        <v>4</v>
      </c>
      <c r="F2" s="223" t="s">
        <v>5</v>
      </c>
      <c r="G2" s="223" t="s">
        <v>6</v>
      </c>
      <c r="H2" s="223" t="s">
        <v>7</v>
      </c>
      <c r="I2" s="228" t="s">
        <v>8</v>
      </c>
      <c r="J2" s="230" t="s">
        <v>9</v>
      </c>
      <c r="K2" s="409" t="s">
        <v>10</v>
      </c>
      <c r="L2" s="409"/>
      <c r="M2" s="409"/>
      <c r="N2" s="410" t="s">
        <v>11</v>
      </c>
      <c r="O2" s="411"/>
      <c r="P2" s="412" t="s">
        <v>12</v>
      </c>
      <c r="Q2" s="413"/>
      <c r="R2" s="215" t="s">
        <v>13</v>
      </c>
      <c r="S2" s="5" t="s">
        <v>14</v>
      </c>
      <c r="T2" s="231" t="s">
        <v>15</v>
      </c>
      <c r="U2" s="232" t="s">
        <v>16</v>
      </c>
      <c r="V2" s="233" t="s">
        <v>17</v>
      </c>
      <c r="W2" s="242" t="s">
        <v>18</v>
      </c>
      <c r="X2" s="234" t="s">
        <v>19</v>
      </c>
      <c r="Y2" s="235"/>
      <c r="Z2" s="236" t="s">
        <v>20</v>
      </c>
      <c r="AA2" s="237"/>
      <c r="AB2" s="245" t="s">
        <v>21</v>
      </c>
      <c r="AC2" s="234" t="s">
        <v>22</v>
      </c>
      <c r="AD2" s="234" t="s">
        <v>23</v>
      </c>
      <c r="AE2" s="247" t="s">
        <v>24</v>
      </c>
      <c r="AF2" s="248" t="s">
        <v>25</v>
      </c>
    </row>
    <row r="3" spans="1:32" ht="27" customHeight="1">
      <c r="A3" s="224"/>
      <c r="B3" s="225"/>
      <c r="C3" s="225"/>
      <c r="D3" s="226"/>
      <c r="E3" s="226"/>
      <c r="F3" s="226"/>
      <c r="G3" s="226"/>
      <c r="H3" s="226"/>
      <c r="I3" s="227"/>
      <c r="J3" s="229"/>
      <c r="K3" s="9" t="s">
        <v>26</v>
      </c>
      <c r="L3" s="4" t="s">
        <v>27</v>
      </c>
      <c r="M3" s="10" t="s">
        <v>28</v>
      </c>
      <c r="N3" s="11" t="s">
        <v>29</v>
      </c>
      <c r="O3" s="11" t="s">
        <v>30</v>
      </c>
      <c r="P3" s="12" t="s">
        <v>26</v>
      </c>
      <c r="Q3" s="13" t="s">
        <v>27</v>
      </c>
      <c r="R3" s="216"/>
      <c r="S3" s="14" t="s">
        <v>31</v>
      </c>
      <c r="T3" s="219"/>
      <c r="U3" s="218"/>
      <c r="V3" s="217"/>
      <c r="W3" s="243"/>
      <c r="X3" s="238" t="s">
        <v>32</v>
      </c>
      <c r="Y3" s="239" t="s">
        <v>33</v>
      </c>
      <c r="Z3" s="240" t="s">
        <v>34</v>
      </c>
      <c r="AA3" s="241" t="s">
        <v>35</v>
      </c>
      <c r="AB3" s="246"/>
      <c r="AC3" s="238" t="s">
        <v>36</v>
      </c>
      <c r="AD3" s="238"/>
      <c r="AE3" s="244"/>
      <c r="AF3" s="241"/>
    </row>
    <row r="4" spans="1:32" ht="27" customHeight="1">
      <c r="A4" s="15">
        <v>1</v>
      </c>
      <c r="B4" s="81"/>
      <c r="C4" s="15"/>
      <c r="D4" s="15"/>
      <c r="E4" s="26"/>
      <c r="F4" s="27"/>
      <c r="G4" s="27"/>
      <c r="H4" s="81"/>
      <c r="I4" s="27"/>
      <c r="J4" s="28"/>
      <c r="K4" s="81"/>
      <c r="L4" s="81"/>
      <c r="M4" s="88"/>
      <c r="N4" s="29"/>
      <c r="O4" s="30"/>
      <c r="P4" s="31"/>
      <c r="Q4" s="32"/>
      <c r="R4" s="20"/>
      <c r="S4" s="33"/>
      <c r="T4" s="89"/>
      <c r="U4" s="90"/>
      <c r="V4" s="18"/>
      <c r="W4" s="19"/>
      <c r="X4" s="20"/>
      <c r="Y4" s="21"/>
      <c r="Z4" s="22"/>
      <c r="AA4" s="23"/>
      <c r="AB4" s="27"/>
      <c r="AC4" s="80"/>
      <c r="AD4" s="24"/>
      <c r="AF4" s="140"/>
    </row>
    <row r="5" spans="1:32" ht="27" customHeight="1">
      <c r="A5" s="15">
        <f>A4+1</f>
        <v>2</v>
      </c>
      <c r="B5" s="81"/>
      <c r="C5" s="15"/>
      <c r="D5" s="15"/>
      <c r="E5" s="26"/>
      <c r="F5" s="27"/>
      <c r="G5" s="27"/>
      <c r="H5" s="81"/>
      <c r="I5" s="27"/>
      <c r="J5" s="28"/>
      <c r="K5" s="81"/>
      <c r="L5" s="81"/>
      <c r="M5" s="88"/>
      <c r="N5" s="29"/>
      <c r="O5" s="30"/>
      <c r="P5" s="31"/>
      <c r="Q5" s="32"/>
      <c r="R5" s="20"/>
      <c r="S5" s="33"/>
      <c r="T5" s="89"/>
      <c r="U5" s="90"/>
      <c r="V5" s="18"/>
      <c r="W5" s="19"/>
      <c r="X5" s="20"/>
      <c r="Y5" s="21"/>
      <c r="Z5" s="22"/>
      <c r="AA5" s="23"/>
      <c r="AB5" s="27"/>
      <c r="AC5" s="80"/>
      <c r="AD5" s="24"/>
      <c r="AF5" s="140"/>
    </row>
    <row r="6" spans="1:32" ht="27" customHeight="1">
      <c r="A6" s="15">
        <f t="shared" ref="A6:A45" si="0">A5+1</f>
        <v>3</v>
      </c>
      <c r="B6" s="81"/>
      <c r="C6" s="15"/>
      <c r="D6" s="15"/>
      <c r="E6" s="26"/>
      <c r="F6" s="27"/>
      <c r="G6" s="27"/>
      <c r="H6" s="81"/>
      <c r="I6" s="27"/>
      <c r="J6" s="28"/>
      <c r="K6" s="81"/>
      <c r="L6" s="81"/>
      <c r="M6" s="88"/>
      <c r="N6" s="29"/>
      <c r="O6" s="30"/>
      <c r="P6" s="31"/>
      <c r="Q6" s="32"/>
      <c r="R6" s="20"/>
      <c r="S6" s="33"/>
      <c r="T6" s="89"/>
      <c r="U6" s="90"/>
      <c r="V6" s="18"/>
      <c r="W6" s="19"/>
      <c r="X6" s="20"/>
      <c r="Y6" s="21"/>
      <c r="Z6" s="22"/>
      <c r="AA6" s="23"/>
      <c r="AB6" s="27"/>
      <c r="AC6" s="80"/>
      <c r="AD6" s="24"/>
      <c r="AF6" s="140"/>
    </row>
    <row r="7" spans="1:32" ht="27" customHeight="1">
      <c r="A7" s="15">
        <f t="shared" si="0"/>
        <v>4</v>
      </c>
      <c r="B7" s="81"/>
      <c r="C7" s="15"/>
      <c r="D7" s="15"/>
      <c r="E7" s="26"/>
      <c r="F7" s="27"/>
      <c r="G7" s="27"/>
      <c r="H7" s="81"/>
      <c r="I7" s="27"/>
      <c r="J7" s="28"/>
      <c r="K7" s="81"/>
      <c r="L7" s="81"/>
      <c r="M7" s="88"/>
      <c r="N7" s="29"/>
      <c r="O7" s="30"/>
      <c r="P7" s="31"/>
      <c r="Q7" s="32"/>
      <c r="R7" s="20"/>
      <c r="S7" s="33"/>
      <c r="T7" s="89"/>
      <c r="U7" s="90"/>
      <c r="V7" s="18"/>
      <c r="W7" s="19"/>
      <c r="X7" s="20"/>
      <c r="Y7" s="21"/>
      <c r="Z7" s="22"/>
      <c r="AA7" s="23"/>
      <c r="AB7" s="27"/>
      <c r="AC7" s="80"/>
      <c r="AD7" s="24"/>
      <c r="AF7" s="140"/>
    </row>
    <row r="8" spans="1:32" ht="27" customHeight="1">
      <c r="A8" s="15">
        <f t="shared" si="0"/>
        <v>5</v>
      </c>
      <c r="B8" s="81"/>
      <c r="C8" s="15"/>
      <c r="D8" s="15"/>
      <c r="E8" s="26"/>
      <c r="F8" s="27"/>
      <c r="G8" s="27"/>
      <c r="H8" s="81"/>
      <c r="I8" s="27"/>
      <c r="J8" s="28"/>
      <c r="K8" s="81"/>
      <c r="L8" s="81"/>
      <c r="M8" s="88"/>
      <c r="N8" s="29"/>
      <c r="O8" s="30"/>
      <c r="P8" s="31"/>
      <c r="Q8" s="32"/>
      <c r="R8" s="20"/>
      <c r="S8" s="33"/>
      <c r="T8" s="89"/>
      <c r="U8" s="90"/>
      <c r="V8" s="18"/>
      <c r="W8" s="19"/>
      <c r="X8" s="20"/>
      <c r="Y8" s="21"/>
      <c r="Z8" s="22"/>
      <c r="AA8" s="23"/>
      <c r="AB8" s="27"/>
      <c r="AC8" s="80"/>
      <c r="AD8" s="24"/>
      <c r="AF8" s="140"/>
    </row>
    <row r="9" spans="1:32" ht="27" customHeight="1">
      <c r="A9" s="15">
        <f t="shared" si="0"/>
        <v>6</v>
      </c>
      <c r="B9" s="81"/>
      <c r="C9" s="15"/>
      <c r="D9" s="15"/>
      <c r="E9" s="26"/>
      <c r="F9" s="27"/>
      <c r="G9" s="27"/>
      <c r="H9" s="81"/>
      <c r="I9" s="27"/>
      <c r="J9" s="28"/>
      <c r="K9" s="81"/>
      <c r="L9" s="81"/>
      <c r="M9" s="88"/>
      <c r="N9" s="29"/>
      <c r="O9" s="30"/>
      <c r="P9" s="31"/>
      <c r="Q9" s="32"/>
      <c r="R9" s="20"/>
      <c r="S9" s="33"/>
      <c r="T9" s="89"/>
      <c r="U9" s="90"/>
      <c r="V9" s="18"/>
      <c r="W9" s="19"/>
      <c r="X9" s="20"/>
      <c r="Y9" s="21"/>
      <c r="Z9" s="22"/>
      <c r="AA9" s="23"/>
      <c r="AB9" s="27"/>
      <c r="AC9" s="80"/>
      <c r="AD9" s="24"/>
      <c r="AF9" s="140"/>
    </row>
    <row r="10" spans="1:32" ht="27" customHeight="1">
      <c r="A10" s="15">
        <f t="shared" si="0"/>
        <v>7</v>
      </c>
      <c r="B10" s="81"/>
      <c r="C10" s="15"/>
      <c r="D10" s="15"/>
      <c r="E10" s="26"/>
      <c r="F10" s="27"/>
      <c r="G10" s="27"/>
      <c r="H10" s="81"/>
      <c r="I10" s="27"/>
      <c r="J10" s="28"/>
      <c r="K10" s="81"/>
      <c r="L10" s="81"/>
      <c r="M10" s="88"/>
      <c r="N10" s="29"/>
      <c r="O10" s="30"/>
      <c r="P10" s="31"/>
      <c r="Q10" s="32"/>
      <c r="R10" s="20"/>
      <c r="S10" s="33"/>
      <c r="T10" s="89"/>
      <c r="U10" s="90"/>
      <c r="V10" s="18"/>
      <c r="W10" s="19"/>
      <c r="X10" s="20"/>
      <c r="Y10" s="21"/>
      <c r="Z10" s="22"/>
      <c r="AA10" s="23"/>
      <c r="AB10" s="27"/>
      <c r="AC10" s="80"/>
      <c r="AD10" s="24"/>
      <c r="AF10" s="140"/>
    </row>
    <row r="11" spans="1:32" ht="27" customHeight="1">
      <c r="A11" s="15">
        <f t="shared" si="0"/>
        <v>8</v>
      </c>
      <c r="B11" s="81"/>
      <c r="C11" s="15"/>
      <c r="D11" s="15"/>
      <c r="E11" s="26"/>
      <c r="F11" s="27"/>
      <c r="G11" s="27"/>
      <c r="H11" s="81"/>
      <c r="I11" s="27"/>
      <c r="J11" s="28"/>
      <c r="K11" s="81"/>
      <c r="L11" s="81"/>
      <c r="M11" s="88"/>
      <c r="N11" s="29"/>
      <c r="O11" s="30"/>
      <c r="P11" s="31"/>
      <c r="Q11" s="32"/>
      <c r="R11" s="20"/>
      <c r="S11" s="33"/>
      <c r="T11" s="89"/>
      <c r="U11" s="90"/>
      <c r="V11" s="18"/>
      <c r="W11" s="19"/>
      <c r="X11" s="20"/>
      <c r="Y11" s="21"/>
      <c r="Z11" s="22"/>
      <c r="AA11" s="23"/>
      <c r="AB11" s="27"/>
      <c r="AC11" s="80"/>
      <c r="AD11" s="24"/>
      <c r="AF11" s="140"/>
    </row>
    <row r="12" spans="1:32" ht="27" customHeight="1">
      <c r="A12" s="15">
        <f t="shared" si="0"/>
        <v>9</v>
      </c>
      <c r="B12" s="81"/>
      <c r="C12" s="15"/>
      <c r="D12" s="15"/>
      <c r="E12" s="26"/>
      <c r="F12" s="27"/>
      <c r="G12" s="27"/>
      <c r="H12" s="81"/>
      <c r="I12" s="27"/>
      <c r="J12" s="28"/>
      <c r="K12" s="81"/>
      <c r="L12" s="81"/>
      <c r="M12" s="88"/>
      <c r="N12" s="29"/>
      <c r="O12" s="30"/>
      <c r="P12" s="31"/>
      <c r="Q12" s="32"/>
      <c r="R12" s="20"/>
      <c r="S12" s="33"/>
      <c r="T12" s="89"/>
      <c r="U12" s="90"/>
      <c r="V12" s="18"/>
      <c r="W12" s="19"/>
      <c r="X12" s="20"/>
      <c r="Y12" s="21"/>
      <c r="Z12" s="22"/>
      <c r="AA12" s="23"/>
      <c r="AB12" s="27"/>
      <c r="AC12" s="80"/>
      <c r="AD12" s="24"/>
      <c r="AF12" s="140"/>
    </row>
    <row r="13" spans="1:32" ht="27" customHeight="1">
      <c r="A13" s="15">
        <f t="shared" si="0"/>
        <v>10</v>
      </c>
      <c r="B13" s="81"/>
      <c r="C13" s="15"/>
      <c r="D13" s="15"/>
      <c r="E13" s="26"/>
      <c r="F13" s="27"/>
      <c r="G13" s="27"/>
      <c r="H13" s="81"/>
      <c r="I13" s="27"/>
      <c r="J13" s="28"/>
      <c r="K13" s="81"/>
      <c r="L13" s="81"/>
      <c r="M13" s="88"/>
      <c r="N13" s="29"/>
      <c r="O13" s="30"/>
      <c r="P13" s="31"/>
      <c r="Q13" s="32"/>
      <c r="R13" s="20"/>
      <c r="S13" s="33"/>
      <c r="T13" s="89"/>
      <c r="U13" s="90"/>
      <c r="V13" s="18"/>
      <c r="W13" s="19"/>
      <c r="X13" s="20"/>
      <c r="Y13" s="21"/>
      <c r="Z13" s="22"/>
      <c r="AA13" s="23"/>
      <c r="AB13" s="27"/>
      <c r="AC13" s="80"/>
      <c r="AD13" s="24"/>
      <c r="AF13" s="140"/>
    </row>
    <row r="14" spans="1:32" ht="27" customHeight="1">
      <c r="A14" s="15">
        <f t="shared" si="0"/>
        <v>11</v>
      </c>
      <c r="B14" s="81"/>
      <c r="C14" s="15"/>
      <c r="D14" s="15"/>
      <c r="E14" s="26"/>
      <c r="F14" s="27"/>
      <c r="G14" s="27"/>
      <c r="H14" s="81"/>
      <c r="I14" s="27"/>
      <c r="J14" s="28"/>
      <c r="K14" s="81"/>
      <c r="L14" s="81"/>
      <c r="M14" s="88"/>
      <c r="N14" s="29"/>
      <c r="O14" s="30"/>
      <c r="P14" s="31"/>
      <c r="Q14" s="32"/>
      <c r="R14" s="20"/>
      <c r="S14" s="33"/>
      <c r="T14" s="89"/>
      <c r="U14" s="90"/>
      <c r="V14" s="18"/>
      <c r="W14" s="19"/>
      <c r="X14" s="20"/>
      <c r="Y14" s="21"/>
      <c r="Z14" s="22"/>
      <c r="AA14" s="23"/>
      <c r="AB14" s="27"/>
      <c r="AC14" s="80"/>
      <c r="AD14" s="24"/>
      <c r="AF14" s="140"/>
    </row>
    <row r="15" spans="1:32" ht="27" customHeight="1">
      <c r="A15" s="15">
        <f t="shared" si="0"/>
        <v>12</v>
      </c>
      <c r="B15" s="81"/>
      <c r="C15" s="15"/>
      <c r="D15" s="15"/>
      <c r="E15" s="26"/>
      <c r="F15" s="27"/>
      <c r="G15" s="27"/>
      <c r="H15" s="81"/>
      <c r="I15" s="27"/>
      <c r="J15" s="28"/>
      <c r="K15" s="81"/>
      <c r="L15" s="81"/>
      <c r="M15" s="88"/>
      <c r="N15" s="29"/>
      <c r="O15" s="30"/>
      <c r="P15" s="31"/>
      <c r="Q15" s="32"/>
      <c r="R15" s="20"/>
      <c r="S15" s="33"/>
      <c r="T15" s="89"/>
      <c r="U15" s="90"/>
      <c r="V15" s="18"/>
      <c r="W15" s="19"/>
      <c r="X15" s="20"/>
      <c r="Y15" s="21"/>
      <c r="Z15" s="22"/>
      <c r="AA15" s="23"/>
      <c r="AB15" s="27"/>
      <c r="AC15" s="80"/>
      <c r="AD15" s="24"/>
      <c r="AF15" s="140"/>
    </row>
    <row r="16" spans="1:32" ht="27" customHeight="1">
      <c r="A16" s="15">
        <f t="shared" si="0"/>
        <v>13</v>
      </c>
      <c r="B16" s="81"/>
      <c r="C16" s="15"/>
      <c r="D16" s="15"/>
      <c r="E16" s="26"/>
      <c r="F16" s="27"/>
      <c r="G16" s="27"/>
      <c r="H16" s="81"/>
      <c r="I16" s="27"/>
      <c r="J16" s="28"/>
      <c r="K16" s="81"/>
      <c r="L16" s="81"/>
      <c r="M16" s="88"/>
      <c r="N16" s="29"/>
      <c r="O16" s="30"/>
      <c r="P16" s="31"/>
      <c r="Q16" s="32"/>
      <c r="R16" s="20"/>
      <c r="S16" s="33"/>
      <c r="T16" s="89"/>
      <c r="U16" s="90"/>
      <c r="V16" s="18"/>
      <c r="W16" s="19"/>
      <c r="X16" s="20"/>
      <c r="Y16" s="21"/>
      <c r="Z16" s="22"/>
      <c r="AA16" s="23"/>
      <c r="AB16" s="27"/>
      <c r="AC16" s="80"/>
      <c r="AD16" s="24"/>
      <c r="AF16" s="140"/>
    </row>
    <row r="17" spans="1:32" ht="27" customHeight="1">
      <c r="A17" s="15">
        <f t="shared" si="0"/>
        <v>14</v>
      </c>
      <c r="B17" s="81"/>
      <c r="C17" s="15"/>
      <c r="D17" s="15"/>
      <c r="E17" s="26"/>
      <c r="F17" s="27"/>
      <c r="G17" s="27"/>
      <c r="H17" s="81"/>
      <c r="I17" s="27"/>
      <c r="J17" s="28"/>
      <c r="K17" s="81"/>
      <c r="L17" s="81"/>
      <c r="M17" s="88"/>
      <c r="N17" s="29"/>
      <c r="O17" s="30"/>
      <c r="P17" s="31"/>
      <c r="Q17" s="32"/>
      <c r="R17" s="20"/>
      <c r="S17" s="33"/>
      <c r="T17" s="89"/>
      <c r="U17" s="90"/>
      <c r="V17" s="18"/>
      <c r="W17" s="19"/>
      <c r="X17" s="20"/>
      <c r="Y17" s="21"/>
      <c r="Z17" s="22"/>
      <c r="AA17" s="23"/>
      <c r="AB17" s="27"/>
      <c r="AC17" s="80"/>
      <c r="AD17" s="24"/>
      <c r="AF17" s="140"/>
    </row>
    <row r="18" spans="1:32" ht="27" customHeight="1">
      <c r="A18" s="15">
        <f t="shared" si="0"/>
        <v>15</v>
      </c>
      <c r="B18" s="81"/>
      <c r="C18" s="15"/>
      <c r="D18" s="15"/>
      <c r="E18" s="26"/>
      <c r="F18" s="27"/>
      <c r="G18" s="27"/>
      <c r="H18" s="81"/>
      <c r="I18" s="27"/>
      <c r="J18" s="28"/>
      <c r="K18" s="81"/>
      <c r="L18" s="81"/>
      <c r="M18" s="88"/>
      <c r="N18" s="29"/>
      <c r="O18" s="30"/>
      <c r="P18" s="31"/>
      <c r="Q18" s="32"/>
      <c r="R18" s="20"/>
      <c r="S18" s="33"/>
      <c r="T18" s="89"/>
      <c r="U18" s="90"/>
      <c r="V18" s="18"/>
      <c r="W18" s="19"/>
      <c r="X18" s="20"/>
      <c r="Y18" s="21"/>
      <c r="Z18" s="22"/>
      <c r="AA18" s="23"/>
      <c r="AB18" s="27"/>
      <c r="AC18" s="80"/>
      <c r="AD18" s="24"/>
      <c r="AF18" s="140"/>
    </row>
    <row r="19" spans="1:32" ht="27" customHeight="1">
      <c r="A19" s="15">
        <f t="shared" si="0"/>
        <v>16</v>
      </c>
      <c r="B19" s="81"/>
      <c r="C19" s="15"/>
      <c r="D19" s="15"/>
      <c r="E19" s="26"/>
      <c r="F19" s="27"/>
      <c r="G19" s="27"/>
      <c r="H19" s="81"/>
      <c r="I19" s="27"/>
      <c r="J19" s="28"/>
      <c r="K19" s="81"/>
      <c r="L19" s="81"/>
      <c r="M19" s="88"/>
      <c r="N19" s="29"/>
      <c r="O19" s="30"/>
      <c r="P19" s="31"/>
      <c r="Q19" s="32"/>
      <c r="R19" s="20"/>
      <c r="S19" s="33"/>
      <c r="T19" s="89"/>
      <c r="U19" s="90"/>
      <c r="V19" s="18"/>
      <c r="W19" s="19"/>
      <c r="X19" s="20"/>
      <c r="Y19" s="21"/>
      <c r="Z19" s="22"/>
      <c r="AA19" s="23"/>
      <c r="AB19" s="27"/>
      <c r="AC19" s="80"/>
      <c r="AD19" s="24"/>
      <c r="AF19" s="140"/>
    </row>
    <row r="20" spans="1:32" ht="27" customHeight="1">
      <c r="A20" s="15">
        <f t="shared" si="0"/>
        <v>17</v>
      </c>
      <c r="B20" s="81"/>
      <c r="C20" s="15"/>
      <c r="D20" s="15"/>
      <c r="E20" s="26"/>
      <c r="F20" s="27"/>
      <c r="G20" s="27"/>
      <c r="H20" s="81"/>
      <c r="I20" s="27"/>
      <c r="J20" s="28"/>
      <c r="K20" s="81"/>
      <c r="L20" s="81"/>
      <c r="M20" s="88"/>
      <c r="N20" s="29"/>
      <c r="O20" s="30"/>
      <c r="P20" s="31"/>
      <c r="Q20" s="32"/>
      <c r="R20" s="20"/>
      <c r="S20" s="33"/>
      <c r="T20" s="89"/>
      <c r="U20" s="90"/>
      <c r="V20" s="18"/>
      <c r="W20" s="19"/>
      <c r="X20" s="20"/>
      <c r="Y20" s="21"/>
      <c r="Z20" s="22"/>
      <c r="AA20" s="23"/>
      <c r="AB20" s="27"/>
      <c r="AC20" s="80"/>
      <c r="AD20" s="24"/>
      <c r="AF20" s="140"/>
    </row>
    <row r="21" spans="1:32" ht="27" customHeight="1">
      <c r="A21" s="15">
        <f t="shared" si="0"/>
        <v>18</v>
      </c>
      <c r="B21" s="81"/>
      <c r="C21" s="15"/>
      <c r="D21" s="15"/>
      <c r="E21" s="26"/>
      <c r="F21" s="27"/>
      <c r="G21" s="27"/>
      <c r="H21" s="81"/>
      <c r="I21" s="27"/>
      <c r="J21" s="28"/>
      <c r="K21" s="81"/>
      <c r="L21" s="81"/>
      <c r="M21" s="88"/>
      <c r="N21" s="29"/>
      <c r="O21" s="30"/>
      <c r="P21" s="31"/>
      <c r="Q21" s="32"/>
      <c r="R21" s="20"/>
      <c r="S21" s="33"/>
      <c r="T21" s="89"/>
      <c r="U21" s="90"/>
      <c r="V21" s="18"/>
      <c r="W21" s="19"/>
      <c r="X21" s="20"/>
      <c r="Y21" s="21"/>
      <c r="Z21" s="22"/>
      <c r="AA21" s="23"/>
      <c r="AB21" s="27"/>
      <c r="AC21" s="80"/>
      <c r="AD21" s="24"/>
      <c r="AF21" s="140"/>
    </row>
    <row r="22" spans="1:32" ht="27" customHeight="1">
      <c r="A22" s="15">
        <f t="shared" si="0"/>
        <v>19</v>
      </c>
      <c r="B22" s="81"/>
      <c r="C22" s="15"/>
      <c r="D22" s="15"/>
      <c r="E22" s="26"/>
      <c r="F22" s="27"/>
      <c r="G22" s="27"/>
      <c r="H22" s="81"/>
      <c r="I22" s="27"/>
      <c r="J22" s="28"/>
      <c r="K22" s="81"/>
      <c r="L22" s="81"/>
      <c r="M22" s="88"/>
      <c r="N22" s="29"/>
      <c r="O22" s="30"/>
      <c r="P22" s="31"/>
      <c r="Q22" s="32"/>
      <c r="R22" s="20"/>
      <c r="S22" s="33"/>
      <c r="T22" s="89"/>
      <c r="U22" s="90"/>
      <c r="V22" s="18"/>
      <c r="W22" s="19"/>
      <c r="X22" s="20"/>
      <c r="Y22" s="21"/>
      <c r="Z22" s="22"/>
      <c r="AA22" s="23"/>
      <c r="AB22" s="27"/>
      <c r="AC22" s="80"/>
      <c r="AD22" s="24"/>
      <c r="AF22" s="140"/>
    </row>
    <row r="23" spans="1:32" ht="27" customHeight="1">
      <c r="A23" s="15">
        <f t="shared" si="0"/>
        <v>20</v>
      </c>
      <c r="B23" s="81"/>
      <c r="C23" s="15"/>
      <c r="D23" s="15"/>
      <c r="E23" s="26"/>
      <c r="F23" s="27"/>
      <c r="G23" s="27"/>
      <c r="H23" s="81"/>
      <c r="I23" s="27"/>
      <c r="J23" s="28"/>
      <c r="K23" s="81"/>
      <c r="L23" s="81"/>
      <c r="M23" s="88"/>
      <c r="N23" s="29"/>
      <c r="O23" s="30"/>
      <c r="P23" s="31"/>
      <c r="Q23" s="32"/>
      <c r="R23" s="20"/>
      <c r="S23" s="33"/>
      <c r="T23" s="89"/>
      <c r="U23" s="90"/>
      <c r="V23" s="18"/>
      <c r="W23" s="19"/>
      <c r="X23" s="20"/>
      <c r="Y23" s="21"/>
      <c r="Z23" s="22"/>
      <c r="AA23" s="23"/>
      <c r="AB23" s="27"/>
      <c r="AC23" s="80"/>
      <c r="AD23" s="24"/>
      <c r="AF23" s="140"/>
    </row>
    <row r="24" spans="1:32" ht="27" customHeight="1">
      <c r="A24" s="15">
        <f t="shared" si="0"/>
        <v>21</v>
      </c>
      <c r="B24" s="81"/>
      <c r="C24" s="15"/>
      <c r="D24" s="15"/>
      <c r="E24" s="26"/>
      <c r="F24" s="27"/>
      <c r="G24" s="27"/>
      <c r="H24" s="81"/>
      <c r="I24" s="27"/>
      <c r="J24" s="28"/>
      <c r="K24" s="81"/>
      <c r="L24" s="81"/>
      <c r="M24" s="88"/>
      <c r="N24" s="29"/>
      <c r="O24" s="30"/>
      <c r="P24" s="31"/>
      <c r="Q24" s="32"/>
      <c r="R24" s="20"/>
      <c r="S24" s="33"/>
      <c r="T24" s="89"/>
      <c r="U24" s="90"/>
      <c r="V24" s="18"/>
      <c r="W24" s="19"/>
      <c r="X24" s="20"/>
      <c r="Y24" s="21"/>
      <c r="Z24" s="22"/>
      <c r="AA24" s="23"/>
      <c r="AB24" s="27"/>
      <c r="AC24" s="80"/>
      <c r="AD24" s="24"/>
      <c r="AF24" s="140"/>
    </row>
    <row r="25" spans="1:32" ht="27" customHeight="1">
      <c r="A25" s="15">
        <f t="shared" si="0"/>
        <v>22</v>
      </c>
      <c r="B25" s="81"/>
      <c r="C25" s="15"/>
      <c r="D25" s="15"/>
      <c r="E25" s="26"/>
      <c r="F25" s="27"/>
      <c r="G25" s="27"/>
      <c r="H25" s="81"/>
      <c r="I25" s="27"/>
      <c r="J25" s="28"/>
      <c r="K25" s="81"/>
      <c r="L25" s="81"/>
      <c r="M25" s="88"/>
      <c r="N25" s="29"/>
      <c r="O25" s="30"/>
      <c r="P25" s="31"/>
      <c r="Q25" s="32"/>
      <c r="R25" s="20"/>
      <c r="S25" s="33"/>
      <c r="T25" s="89"/>
      <c r="U25" s="90"/>
      <c r="V25" s="18"/>
      <c r="W25" s="19"/>
      <c r="X25" s="20"/>
      <c r="Y25" s="21"/>
      <c r="Z25" s="22"/>
      <c r="AA25" s="23"/>
      <c r="AB25" s="27"/>
      <c r="AC25" s="80"/>
      <c r="AD25" s="24"/>
      <c r="AF25" s="140"/>
    </row>
    <row r="26" spans="1:32" ht="27" customHeight="1">
      <c r="A26" s="15">
        <f t="shared" si="0"/>
        <v>23</v>
      </c>
      <c r="B26" s="81"/>
      <c r="C26" s="15"/>
      <c r="D26" s="15"/>
      <c r="E26" s="26"/>
      <c r="F26" s="27"/>
      <c r="G26" s="27"/>
      <c r="H26" s="81"/>
      <c r="I26" s="27"/>
      <c r="J26" s="28"/>
      <c r="K26" s="81"/>
      <c r="L26" s="81"/>
      <c r="M26" s="88"/>
      <c r="N26" s="29"/>
      <c r="O26" s="30"/>
      <c r="P26" s="31"/>
      <c r="Q26" s="32"/>
      <c r="R26" s="20"/>
      <c r="S26" s="33"/>
      <c r="T26" s="89"/>
      <c r="U26" s="90"/>
      <c r="V26" s="18"/>
      <c r="W26" s="19"/>
      <c r="X26" s="20"/>
      <c r="Y26" s="21"/>
      <c r="Z26" s="22"/>
      <c r="AA26" s="23"/>
      <c r="AB26" s="27"/>
      <c r="AC26" s="80"/>
      <c r="AD26" s="24"/>
      <c r="AF26" s="140"/>
    </row>
    <row r="27" spans="1:32" ht="27" customHeight="1">
      <c r="A27" s="15">
        <f t="shared" si="0"/>
        <v>24</v>
      </c>
      <c r="B27" s="81"/>
      <c r="C27" s="15"/>
      <c r="D27" s="15"/>
      <c r="E27" s="26"/>
      <c r="F27" s="27"/>
      <c r="G27" s="27"/>
      <c r="H27" s="81"/>
      <c r="I27" s="27"/>
      <c r="J27" s="28"/>
      <c r="K27" s="81"/>
      <c r="L27" s="81"/>
      <c r="M27" s="88"/>
      <c r="N27" s="29"/>
      <c r="O27" s="30"/>
      <c r="P27" s="31"/>
      <c r="Q27" s="32"/>
      <c r="R27" s="20"/>
      <c r="S27" s="33"/>
      <c r="T27" s="89"/>
      <c r="U27" s="90"/>
      <c r="V27" s="18"/>
      <c r="W27" s="19"/>
      <c r="X27" s="20"/>
      <c r="Y27" s="21"/>
      <c r="Z27" s="22"/>
      <c r="AA27" s="23"/>
      <c r="AB27" s="27"/>
      <c r="AC27" s="80"/>
      <c r="AD27" s="24"/>
      <c r="AF27" s="140"/>
    </row>
    <row r="28" spans="1:32" ht="27" customHeight="1">
      <c r="A28" s="15">
        <f t="shared" si="0"/>
        <v>25</v>
      </c>
      <c r="B28" s="81"/>
      <c r="C28" s="15"/>
      <c r="D28" s="15"/>
      <c r="E28" s="26"/>
      <c r="F28" s="27"/>
      <c r="G28" s="27"/>
      <c r="H28" s="81"/>
      <c r="I28" s="27"/>
      <c r="J28" s="28"/>
      <c r="K28" s="81"/>
      <c r="L28" s="81"/>
      <c r="M28" s="88"/>
      <c r="N28" s="29"/>
      <c r="O28" s="30"/>
      <c r="P28" s="31"/>
      <c r="Q28" s="32"/>
      <c r="R28" s="20"/>
      <c r="S28" s="33"/>
      <c r="T28" s="89"/>
      <c r="U28" s="90"/>
      <c r="V28" s="18"/>
      <c r="W28" s="19"/>
      <c r="X28" s="20"/>
      <c r="Y28" s="21"/>
      <c r="Z28" s="22"/>
      <c r="AA28" s="23"/>
      <c r="AB28" s="27"/>
      <c r="AC28" s="80"/>
      <c r="AD28" s="24"/>
      <c r="AF28" s="140"/>
    </row>
    <row r="29" spans="1:32" ht="27" customHeight="1">
      <c r="A29" s="15">
        <f t="shared" si="0"/>
        <v>26</v>
      </c>
      <c r="B29" s="81"/>
      <c r="C29" s="15"/>
      <c r="D29" s="15"/>
      <c r="E29" s="26"/>
      <c r="F29" s="27"/>
      <c r="G29" s="27"/>
      <c r="H29" s="81"/>
      <c r="I29" s="27"/>
      <c r="J29" s="28"/>
      <c r="K29" s="81"/>
      <c r="L29" s="81"/>
      <c r="M29" s="88"/>
      <c r="N29" s="29"/>
      <c r="O29" s="30"/>
      <c r="P29" s="31"/>
      <c r="Q29" s="32"/>
      <c r="R29" s="20"/>
      <c r="S29" s="33"/>
      <c r="T29" s="89"/>
      <c r="U29" s="90"/>
      <c r="V29" s="18"/>
      <c r="W29" s="19"/>
      <c r="X29" s="20"/>
      <c r="Y29" s="21"/>
      <c r="Z29" s="22"/>
      <c r="AA29" s="23"/>
      <c r="AB29" s="27"/>
      <c r="AC29" s="80"/>
      <c r="AD29" s="24"/>
      <c r="AF29" s="140"/>
    </row>
    <row r="30" spans="1:32" ht="27" customHeight="1">
      <c r="A30" s="15">
        <f t="shared" si="0"/>
        <v>27</v>
      </c>
      <c r="B30" s="81"/>
      <c r="C30" s="15"/>
      <c r="D30" s="15"/>
      <c r="E30" s="26"/>
      <c r="F30" s="27"/>
      <c r="G30" s="27"/>
      <c r="H30" s="81"/>
      <c r="I30" s="27"/>
      <c r="J30" s="28"/>
      <c r="K30" s="81"/>
      <c r="L30" s="81"/>
      <c r="M30" s="88"/>
      <c r="N30" s="29"/>
      <c r="O30" s="30"/>
      <c r="P30" s="31"/>
      <c r="Q30" s="32"/>
      <c r="R30" s="20"/>
      <c r="S30" s="33"/>
      <c r="T30" s="89"/>
      <c r="U30" s="90"/>
      <c r="V30" s="18"/>
      <c r="W30" s="19"/>
      <c r="X30" s="20"/>
      <c r="Y30" s="21"/>
      <c r="Z30" s="22"/>
      <c r="AA30" s="23"/>
      <c r="AB30" s="27"/>
      <c r="AC30" s="80"/>
      <c r="AD30" s="24"/>
      <c r="AF30" s="140"/>
    </row>
    <row r="31" spans="1:32" ht="27" customHeight="1">
      <c r="A31" s="15">
        <f t="shared" si="0"/>
        <v>28</v>
      </c>
      <c r="B31" s="81"/>
      <c r="C31" s="15"/>
      <c r="D31" s="15"/>
      <c r="E31" s="26"/>
      <c r="F31" s="27"/>
      <c r="G31" s="27"/>
      <c r="H31" s="81"/>
      <c r="I31" s="27"/>
      <c r="J31" s="28"/>
      <c r="K31" s="81"/>
      <c r="L31" s="81"/>
      <c r="M31" s="88"/>
      <c r="N31" s="29"/>
      <c r="O31" s="30"/>
      <c r="P31" s="31"/>
      <c r="Q31" s="32"/>
      <c r="R31" s="20"/>
      <c r="S31" s="33"/>
      <c r="T31" s="89"/>
      <c r="U31" s="90"/>
      <c r="V31" s="18"/>
      <c r="W31" s="19"/>
      <c r="X31" s="20"/>
      <c r="Y31" s="21"/>
      <c r="Z31" s="22"/>
      <c r="AA31" s="23"/>
      <c r="AB31" s="27"/>
      <c r="AC31" s="80"/>
      <c r="AD31" s="24"/>
      <c r="AF31" s="140"/>
    </row>
    <row r="32" spans="1:32" ht="27" customHeight="1">
      <c r="A32" s="15">
        <f t="shared" si="0"/>
        <v>29</v>
      </c>
      <c r="B32" s="81"/>
      <c r="C32" s="15"/>
      <c r="D32" s="15"/>
      <c r="E32" s="26"/>
      <c r="F32" s="27"/>
      <c r="G32" s="27"/>
      <c r="H32" s="81"/>
      <c r="I32" s="27"/>
      <c r="J32" s="28"/>
      <c r="K32" s="81"/>
      <c r="L32" s="81"/>
      <c r="M32" s="88"/>
      <c r="N32" s="29"/>
      <c r="O32" s="30"/>
      <c r="P32" s="31"/>
      <c r="Q32" s="32"/>
      <c r="R32" s="20"/>
      <c r="S32" s="33"/>
      <c r="T32" s="89"/>
      <c r="U32" s="90"/>
      <c r="V32" s="18"/>
      <c r="W32" s="19"/>
      <c r="X32" s="20"/>
      <c r="Y32" s="21"/>
      <c r="Z32" s="22"/>
      <c r="AA32" s="23"/>
      <c r="AB32" s="27"/>
      <c r="AC32" s="80"/>
      <c r="AD32" s="24"/>
      <c r="AF32" s="140"/>
    </row>
    <row r="33" spans="1:32" ht="27" customHeight="1">
      <c r="A33" s="15">
        <f t="shared" si="0"/>
        <v>30</v>
      </c>
      <c r="B33" s="81"/>
      <c r="C33" s="15"/>
      <c r="D33" s="15"/>
      <c r="E33" s="26"/>
      <c r="F33" s="27"/>
      <c r="G33" s="27"/>
      <c r="H33" s="81"/>
      <c r="I33" s="27"/>
      <c r="J33" s="28"/>
      <c r="K33" s="81"/>
      <c r="L33" s="81"/>
      <c r="M33" s="88"/>
      <c r="N33" s="29"/>
      <c r="O33" s="30"/>
      <c r="P33" s="31"/>
      <c r="Q33" s="32"/>
      <c r="R33" s="20"/>
      <c r="S33" s="33"/>
      <c r="T33" s="89"/>
      <c r="U33" s="90"/>
      <c r="V33" s="18"/>
      <c r="W33" s="19"/>
      <c r="X33" s="20"/>
      <c r="Y33" s="21"/>
      <c r="Z33" s="22"/>
      <c r="AA33" s="23"/>
      <c r="AB33" s="27"/>
      <c r="AC33" s="80"/>
      <c r="AD33" s="24"/>
      <c r="AF33" s="140"/>
    </row>
    <row r="34" spans="1:32" ht="27" customHeight="1">
      <c r="A34" s="15">
        <f t="shared" si="0"/>
        <v>31</v>
      </c>
      <c r="B34" s="81"/>
      <c r="C34" s="15"/>
      <c r="D34" s="15"/>
      <c r="E34" s="26"/>
      <c r="F34" s="27"/>
      <c r="G34" s="27"/>
      <c r="H34" s="81"/>
      <c r="I34" s="27"/>
      <c r="J34" s="28"/>
      <c r="K34" s="81"/>
      <c r="L34" s="81"/>
      <c r="M34" s="88"/>
      <c r="N34" s="29"/>
      <c r="O34" s="30"/>
      <c r="P34" s="31"/>
      <c r="Q34" s="32"/>
      <c r="R34" s="20"/>
      <c r="S34" s="33"/>
      <c r="T34" s="89"/>
      <c r="U34" s="90"/>
      <c r="V34" s="18"/>
      <c r="W34" s="19"/>
      <c r="X34" s="20"/>
      <c r="Y34" s="21"/>
      <c r="Z34" s="22"/>
      <c r="AA34" s="23"/>
      <c r="AB34" s="27"/>
      <c r="AC34" s="80"/>
      <c r="AD34" s="24"/>
      <c r="AF34" s="140"/>
    </row>
    <row r="35" spans="1:32" ht="27" customHeight="1">
      <c r="A35" s="15">
        <f t="shared" si="0"/>
        <v>32</v>
      </c>
      <c r="B35" s="81"/>
      <c r="C35" s="15"/>
      <c r="D35" s="15"/>
      <c r="E35" s="26"/>
      <c r="F35" s="27"/>
      <c r="G35" s="27"/>
      <c r="H35" s="81"/>
      <c r="I35" s="27"/>
      <c r="J35" s="28"/>
      <c r="K35" s="81"/>
      <c r="L35" s="81"/>
      <c r="M35" s="88"/>
      <c r="N35" s="29"/>
      <c r="O35" s="30"/>
      <c r="P35" s="31"/>
      <c r="Q35" s="32"/>
      <c r="R35" s="20"/>
      <c r="S35" s="33"/>
      <c r="T35" s="89"/>
      <c r="U35" s="90"/>
      <c r="V35" s="18"/>
      <c r="W35" s="19"/>
      <c r="X35" s="20"/>
      <c r="Y35" s="21"/>
      <c r="Z35" s="22"/>
      <c r="AA35" s="23"/>
      <c r="AB35" s="27"/>
      <c r="AC35" s="80"/>
      <c r="AD35" s="24"/>
      <c r="AF35" s="140"/>
    </row>
    <row r="36" spans="1:32" ht="27" customHeight="1">
      <c r="A36" s="15">
        <f t="shared" si="0"/>
        <v>33</v>
      </c>
      <c r="B36" s="81"/>
      <c r="C36" s="15"/>
      <c r="D36" s="15"/>
      <c r="E36" s="26"/>
      <c r="F36" s="27"/>
      <c r="G36" s="27"/>
      <c r="H36" s="81"/>
      <c r="I36" s="27"/>
      <c r="J36" s="28"/>
      <c r="K36" s="81"/>
      <c r="L36" s="81"/>
      <c r="M36" s="88"/>
      <c r="N36" s="29"/>
      <c r="O36" s="30"/>
      <c r="P36" s="31"/>
      <c r="Q36" s="32"/>
      <c r="R36" s="20"/>
      <c r="S36" s="33"/>
      <c r="T36" s="89"/>
      <c r="U36" s="90"/>
      <c r="V36" s="18"/>
      <c r="W36" s="19"/>
      <c r="X36" s="20"/>
      <c r="Y36" s="21"/>
      <c r="Z36" s="22"/>
      <c r="AA36" s="23"/>
      <c r="AB36" s="27"/>
      <c r="AC36" s="80"/>
      <c r="AD36" s="24"/>
      <c r="AF36" s="140"/>
    </row>
    <row r="37" spans="1:32" ht="27" customHeight="1">
      <c r="A37" s="15">
        <f t="shared" si="0"/>
        <v>34</v>
      </c>
      <c r="B37" s="81"/>
      <c r="C37" s="15"/>
      <c r="D37" s="15"/>
      <c r="E37" s="26"/>
      <c r="F37" s="27"/>
      <c r="G37" s="27"/>
      <c r="H37" s="81"/>
      <c r="I37" s="27"/>
      <c r="J37" s="28"/>
      <c r="K37" s="81"/>
      <c r="L37" s="81"/>
      <c r="M37" s="88"/>
      <c r="N37" s="29"/>
      <c r="O37" s="30"/>
      <c r="P37" s="31"/>
      <c r="Q37" s="32"/>
      <c r="R37" s="20"/>
      <c r="S37" s="33"/>
      <c r="T37" s="89"/>
      <c r="U37" s="90"/>
      <c r="V37" s="18"/>
      <c r="W37" s="19"/>
      <c r="X37" s="20"/>
      <c r="Y37" s="21"/>
      <c r="Z37" s="22"/>
      <c r="AA37" s="23"/>
      <c r="AB37" s="27"/>
      <c r="AC37" s="80"/>
      <c r="AD37" s="24"/>
      <c r="AF37" s="140"/>
    </row>
    <row r="38" spans="1:32" ht="27" customHeight="1">
      <c r="A38" s="15">
        <f t="shared" si="0"/>
        <v>35</v>
      </c>
      <c r="B38" s="81"/>
      <c r="C38" s="15"/>
      <c r="D38" s="15"/>
      <c r="E38" s="26"/>
      <c r="F38" s="27"/>
      <c r="G38" s="27"/>
      <c r="H38" s="81"/>
      <c r="I38" s="27"/>
      <c r="J38" s="28"/>
      <c r="K38" s="81"/>
      <c r="L38" s="81"/>
      <c r="M38" s="88"/>
      <c r="N38" s="29"/>
      <c r="O38" s="30"/>
      <c r="P38" s="31"/>
      <c r="Q38" s="32"/>
      <c r="R38" s="20"/>
      <c r="S38" s="33"/>
      <c r="T38" s="89"/>
      <c r="U38" s="90"/>
      <c r="V38" s="18"/>
      <c r="W38" s="19"/>
      <c r="X38" s="20"/>
      <c r="Y38" s="21"/>
      <c r="Z38" s="22"/>
      <c r="AA38" s="23"/>
      <c r="AB38" s="27"/>
      <c r="AC38" s="80"/>
      <c r="AD38" s="24"/>
      <c r="AF38" s="140"/>
    </row>
    <row r="39" spans="1:32" ht="27" customHeight="1">
      <c r="A39" s="15">
        <f t="shared" si="0"/>
        <v>36</v>
      </c>
      <c r="B39" s="81"/>
      <c r="C39" s="15"/>
      <c r="D39" s="15"/>
      <c r="E39" s="26"/>
      <c r="F39" s="27"/>
      <c r="G39" s="27"/>
      <c r="H39" s="81"/>
      <c r="I39" s="27"/>
      <c r="J39" s="28"/>
      <c r="K39" s="81"/>
      <c r="L39" s="81"/>
      <c r="M39" s="88"/>
      <c r="N39" s="29"/>
      <c r="O39" s="30"/>
      <c r="P39" s="31"/>
      <c r="Q39" s="32"/>
      <c r="R39" s="20"/>
      <c r="S39" s="33"/>
      <c r="T39" s="89"/>
      <c r="U39" s="90"/>
      <c r="V39" s="18"/>
      <c r="W39" s="19"/>
      <c r="X39" s="20"/>
      <c r="Y39" s="21"/>
      <c r="Z39" s="22"/>
      <c r="AA39" s="23"/>
      <c r="AB39" s="27"/>
      <c r="AC39" s="80"/>
      <c r="AD39" s="24"/>
      <c r="AF39" s="140"/>
    </row>
    <row r="40" spans="1:32" ht="27" customHeight="1">
      <c r="A40" s="15">
        <f t="shared" si="0"/>
        <v>37</v>
      </c>
      <c r="B40" s="81"/>
      <c r="C40" s="15"/>
      <c r="D40" s="15"/>
      <c r="E40" s="26"/>
      <c r="F40" s="27"/>
      <c r="G40" s="27"/>
      <c r="H40" s="81"/>
      <c r="I40" s="27"/>
      <c r="J40" s="28"/>
      <c r="K40" s="81"/>
      <c r="L40" s="81"/>
      <c r="M40" s="88"/>
      <c r="N40" s="29"/>
      <c r="O40" s="30"/>
      <c r="P40" s="31"/>
      <c r="Q40" s="32"/>
      <c r="R40" s="20"/>
      <c r="S40" s="33"/>
      <c r="T40" s="89"/>
      <c r="U40" s="90"/>
      <c r="V40" s="18"/>
      <c r="W40" s="19"/>
      <c r="X40" s="20"/>
      <c r="Y40" s="21"/>
      <c r="Z40" s="22"/>
      <c r="AA40" s="23"/>
      <c r="AB40" s="27"/>
      <c r="AC40" s="80"/>
      <c r="AD40" s="24"/>
      <c r="AF40" s="140"/>
    </row>
    <row r="41" spans="1:32" ht="27" customHeight="1">
      <c r="A41" s="15">
        <f t="shared" si="0"/>
        <v>38</v>
      </c>
      <c r="B41" s="81"/>
      <c r="C41" s="15"/>
      <c r="D41" s="15"/>
      <c r="E41" s="26"/>
      <c r="F41" s="27"/>
      <c r="G41" s="27"/>
      <c r="H41" s="81"/>
      <c r="I41" s="27"/>
      <c r="J41" s="28"/>
      <c r="K41" s="81"/>
      <c r="L41" s="81"/>
      <c r="M41" s="88"/>
      <c r="N41" s="29"/>
      <c r="O41" s="30"/>
      <c r="P41" s="31"/>
      <c r="Q41" s="32"/>
      <c r="R41" s="20"/>
      <c r="S41" s="33"/>
      <c r="T41" s="89"/>
      <c r="U41" s="90"/>
      <c r="V41" s="18"/>
      <c r="W41" s="19"/>
      <c r="X41" s="20"/>
      <c r="Y41" s="21"/>
      <c r="Z41" s="22"/>
      <c r="AA41" s="23"/>
      <c r="AB41" s="27"/>
      <c r="AC41" s="80"/>
      <c r="AD41" s="24"/>
      <c r="AF41" s="140"/>
    </row>
    <row r="42" spans="1:32" ht="27" customHeight="1">
      <c r="A42" s="15">
        <f t="shared" si="0"/>
        <v>39</v>
      </c>
      <c r="B42" s="81"/>
      <c r="C42" s="15"/>
      <c r="D42" s="15"/>
      <c r="E42" s="26"/>
      <c r="F42" s="27"/>
      <c r="G42" s="27"/>
      <c r="H42" s="81"/>
      <c r="I42" s="27"/>
      <c r="J42" s="28"/>
      <c r="K42" s="81"/>
      <c r="L42" s="81"/>
      <c r="M42" s="88"/>
      <c r="N42" s="29"/>
      <c r="O42" s="30"/>
      <c r="P42" s="31"/>
      <c r="Q42" s="32"/>
      <c r="R42" s="20"/>
      <c r="S42" s="33"/>
      <c r="T42" s="89"/>
      <c r="U42" s="90"/>
      <c r="V42" s="18"/>
      <c r="W42" s="19"/>
      <c r="X42" s="20"/>
      <c r="Y42" s="21"/>
      <c r="Z42" s="22"/>
      <c r="AA42" s="23"/>
      <c r="AB42" s="27"/>
      <c r="AC42" s="80"/>
      <c r="AD42" s="24"/>
      <c r="AF42" s="140"/>
    </row>
    <row r="43" spans="1:32" ht="27" customHeight="1">
      <c r="A43" s="15">
        <f t="shared" si="0"/>
        <v>40</v>
      </c>
      <c r="B43" s="81"/>
      <c r="C43" s="15"/>
      <c r="D43" s="15"/>
      <c r="E43" s="26"/>
      <c r="F43" s="27"/>
      <c r="G43" s="27"/>
      <c r="H43" s="81"/>
      <c r="I43" s="27"/>
      <c r="J43" s="28"/>
      <c r="K43" s="81"/>
      <c r="L43" s="81"/>
      <c r="M43" s="88"/>
      <c r="N43" s="29"/>
      <c r="O43" s="30"/>
      <c r="P43" s="31"/>
      <c r="Q43" s="32"/>
      <c r="R43" s="20"/>
      <c r="S43" s="33"/>
      <c r="T43" s="89"/>
      <c r="U43" s="90"/>
      <c r="V43" s="18"/>
      <c r="W43" s="19"/>
      <c r="X43" s="20"/>
      <c r="Y43" s="21"/>
      <c r="Z43" s="22"/>
      <c r="AA43" s="23"/>
      <c r="AB43" s="27"/>
      <c r="AC43" s="80"/>
      <c r="AD43" s="24"/>
      <c r="AF43" s="140"/>
    </row>
    <row r="44" spans="1:32" ht="27" customHeight="1">
      <c r="A44" s="15">
        <f t="shared" si="0"/>
        <v>41</v>
      </c>
      <c r="B44" s="81"/>
      <c r="C44" s="15"/>
      <c r="D44" s="15"/>
      <c r="E44" s="26"/>
      <c r="F44" s="27"/>
      <c r="G44" s="27"/>
      <c r="H44" s="81"/>
      <c r="I44" s="27"/>
      <c r="J44" s="28"/>
      <c r="K44" s="81"/>
      <c r="L44" s="81"/>
      <c r="M44" s="88"/>
      <c r="N44" s="29"/>
      <c r="O44" s="30"/>
      <c r="P44" s="31"/>
      <c r="Q44" s="32"/>
      <c r="R44" s="20"/>
      <c r="S44" s="33"/>
      <c r="T44" s="89"/>
      <c r="U44" s="90"/>
      <c r="V44" s="18"/>
      <c r="W44" s="19"/>
      <c r="X44" s="20"/>
      <c r="Y44" s="21"/>
      <c r="Z44" s="22"/>
      <c r="AA44" s="23"/>
      <c r="AB44" s="27"/>
      <c r="AC44" s="80"/>
      <c r="AD44" s="24"/>
      <c r="AF44" s="140"/>
    </row>
    <row r="45" spans="1:32" ht="27" customHeight="1">
      <c r="A45" s="15">
        <f t="shared" si="0"/>
        <v>42</v>
      </c>
      <c r="B45" s="81"/>
      <c r="C45" s="15"/>
      <c r="D45" s="15"/>
      <c r="E45" s="26"/>
      <c r="F45" s="27"/>
      <c r="G45" s="27"/>
      <c r="H45" s="81"/>
      <c r="I45" s="27"/>
      <c r="J45" s="28"/>
      <c r="K45" s="81"/>
      <c r="L45" s="81"/>
      <c r="M45" s="88"/>
      <c r="N45" s="29"/>
      <c r="O45" s="30"/>
      <c r="P45" s="31"/>
      <c r="Q45" s="32"/>
      <c r="R45" s="20"/>
      <c r="S45" s="33"/>
      <c r="T45" s="89"/>
      <c r="U45" s="90"/>
      <c r="V45" s="18"/>
      <c r="W45" s="19"/>
      <c r="X45" s="20"/>
      <c r="Y45" s="21"/>
      <c r="Z45" s="22"/>
      <c r="AA45" s="23"/>
      <c r="AB45" s="27"/>
      <c r="AC45" s="80"/>
      <c r="AD45" s="24"/>
      <c r="AF45" s="140"/>
    </row>
    <row r="46" spans="1:32" ht="27" customHeight="1">
      <c r="A46" s="15"/>
      <c r="B46" s="81"/>
      <c r="C46" s="15"/>
      <c r="D46" s="15"/>
      <c r="E46" s="26"/>
      <c r="F46" s="27"/>
      <c r="G46" s="27"/>
      <c r="H46" s="81"/>
      <c r="I46" s="27"/>
      <c r="J46" s="28"/>
      <c r="K46" s="81"/>
      <c r="L46" s="81"/>
      <c r="M46" s="88"/>
      <c r="N46" s="29"/>
      <c r="O46" s="30"/>
      <c r="P46" s="31"/>
      <c r="Q46" s="32"/>
      <c r="R46" s="20"/>
      <c r="S46" s="33"/>
      <c r="T46" s="89"/>
      <c r="U46" s="90"/>
      <c r="V46" s="18"/>
      <c r="W46" s="19"/>
      <c r="X46" s="20"/>
      <c r="Y46" s="21"/>
      <c r="Z46" s="22"/>
      <c r="AA46" s="23"/>
      <c r="AB46" s="27"/>
      <c r="AC46" s="80"/>
      <c r="AD46" s="24"/>
      <c r="AF46" s="140"/>
    </row>
    <row r="47" spans="1:32" ht="27" customHeight="1">
      <c r="A47" s="15"/>
      <c r="B47" s="81"/>
      <c r="C47" s="15"/>
      <c r="D47" s="15"/>
      <c r="E47" s="26"/>
      <c r="F47" s="27"/>
      <c r="G47" s="27"/>
      <c r="H47" s="81"/>
      <c r="I47" s="27"/>
      <c r="J47" s="28"/>
      <c r="K47" s="81"/>
      <c r="L47" s="81"/>
      <c r="M47" s="88"/>
      <c r="N47" s="29"/>
      <c r="O47" s="30"/>
      <c r="P47" s="31"/>
      <c r="Q47" s="32"/>
      <c r="R47" s="20"/>
      <c r="S47" s="33"/>
      <c r="T47" s="89"/>
      <c r="U47" s="90"/>
      <c r="V47" s="18"/>
      <c r="W47" s="19"/>
      <c r="X47" s="20"/>
      <c r="Y47" s="21"/>
      <c r="Z47" s="22"/>
      <c r="AA47" s="23"/>
      <c r="AB47" s="27"/>
      <c r="AC47" s="80"/>
      <c r="AD47" s="24"/>
      <c r="AF47" s="140"/>
    </row>
    <row r="48" spans="1:32" ht="27" customHeight="1">
      <c r="A48" s="15"/>
      <c r="B48" s="81"/>
      <c r="C48" s="15"/>
      <c r="D48" s="15"/>
      <c r="E48" s="26"/>
      <c r="F48" s="27"/>
      <c r="G48" s="27"/>
      <c r="H48" s="81"/>
      <c r="I48" s="27"/>
      <c r="J48" s="28"/>
      <c r="K48" s="81"/>
      <c r="L48" s="81"/>
      <c r="M48" s="88"/>
      <c r="N48" s="29"/>
      <c r="O48" s="30"/>
      <c r="P48" s="31"/>
      <c r="Q48" s="32"/>
      <c r="R48" s="20"/>
      <c r="S48" s="33"/>
      <c r="T48" s="89"/>
      <c r="U48" s="90"/>
      <c r="V48" s="18"/>
      <c r="W48" s="19"/>
      <c r="X48" s="20"/>
      <c r="Y48" s="21"/>
      <c r="Z48" s="22"/>
      <c r="AA48" s="23"/>
      <c r="AB48" s="27"/>
      <c r="AC48" s="80"/>
      <c r="AD48" s="24"/>
      <c r="AF48" s="140"/>
    </row>
    <row r="49" spans="1:32" ht="27" customHeight="1">
      <c r="A49" s="15"/>
      <c r="B49" s="81"/>
      <c r="C49" s="15"/>
      <c r="D49" s="15"/>
      <c r="E49" s="26"/>
      <c r="F49" s="27"/>
      <c r="G49" s="27"/>
      <c r="H49" s="81"/>
      <c r="I49" s="27"/>
      <c r="J49" s="28"/>
      <c r="K49" s="81"/>
      <c r="L49" s="81"/>
      <c r="M49" s="88"/>
      <c r="N49" s="29"/>
      <c r="O49" s="30"/>
      <c r="P49" s="31"/>
      <c r="Q49" s="32"/>
      <c r="R49" s="20"/>
      <c r="S49" s="33"/>
      <c r="T49" s="89"/>
      <c r="U49" s="90"/>
      <c r="V49" s="18"/>
      <c r="W49" s="19"/>
      <c r="X49" s="20"/>
      <c r="Y49" s="21"/>
      <c r="Z49" s="22"/>
      <c r="AA49" s="23"/>
      <c r="AB49" s="27"/>
      <c r="AC49" s="80"/>
      <c r="AD49" s="24"/>
      <c r="AF49" s="140"/>
    </row>
    <row r="50" spans="1:32" ht="27" customHeight="1">
      <c r="A50" s="15"/>
      <c r="B50" s="81"/>
      <c r="C50" s="15"/>
      <c r="D50" s="15"/>
      <c r="E50" s="26"/>
      <c r="F50" s="27"/>
      <c r="G50" s="27"/>
      <c r="H50" s="81"/>
      <c r="I50" s="27"/>
      <c r="J50" s="28"/>
      <c r="K50" s="81"/>
      <c r="L50" s="81"/>
      <c r="M50" s="88"/>
      <c r="N50" s="29"/>
      <c r="O50" s="30"/>
      <c r="P50" s="31"/>
      <c r="Q50" s="32"/>
      <c r="R50" s="20"/>
      <c r="S50" s="33"/>
      <c r="T50" s="89"/>
      <c r="U50" s="90"/>
      <c r="V50" s="18"/>
      <c r="W50" s="19"/>
      <c r="X50" s="20"/>
      <c r="Y50" s="21"/>
      <c r="Z50" s="22"/>
      <c r="AA50" s="23"/>
      <c r="AB50" s="27"/>
      <c r="AC50" s="80"/>
      <c r="AD50" s="24"/>
      <c r="AF50" s="140"/>
    </row>
    <row r="51" spans="1:32" ht="27" customHeight="1">
      <c r="A51" s="15"/>
      <c r="B51" s="81"/>
      <c r="C51" s="15"/>
      <c r="D51" s="15"/>
      <c r="E51" s="26"/>
      <c r="F51" s="27"/>
      <c r="G51" s="27"/>
      <c r="H51" s="81"/>
      <c r="I51" s="27"/>
      <c r="J51" s="28"/>
      <c r="K51" s="81"/>
      <c r="L51" s="81"/>
      <c r="M51" s="88"/>
      <c r="N51" s="29"/>
      <c r="O51" s="30"/>
      <c r="P51" s="31"/>
      <c r="Q51" s="32"/>
      <c r="R51" s="20"/>
      <c r="S51" s="33"/>
      <c r="T51" s="89"/>
      <c r="U51" s="90"/>
      <c r="V51" s="18"/>
      <c r="W51" s="19"/>
      <c r="X51" s="20"/>
      <c r="Y51" s="21"/>
      <c r="Z51" s="22"/>
      <c r="AA51" s="23"/>
      <c r="AB51" s="27"/>
      <c r="AC51" s="80"/>
      <c r="AD51" s="24"/>
      <c r="AF51" s="140"/>
    </row>
    <row r="52" spans="1:32" ht="27" customHeight="1">
      <c r="A52" s="15"/>
      <c r="B52" s="81"/>
      <c r="C52" s="15"/>
      <c r="D52" s="15"/>
      <c r="E52" s="26"/>
      <c r="F52" s="27"/>
      <c r="G52" s="27"/>
      <c r="H52" s="81"/>
      <c r="I52" s="27"/>
      <c r="J52" s="28"/>
      <c r="K52" s="81"/>
      <c r="L52" s="81"/>
      <c r="M52" s="88"/>
      <c r="N52" s="29"/>
      <c r="O52" s="30"/>
      <c r="P52" s="31"/>
      <c r="Q52" s="32"/>
      <c r="R52" s="20"/>
      <c r="S52" s="33"/>
      <c r="T52" s="89"/>
      <c r="U52" s="90"/>
      <c r="V52" s="18"/>
      <c r="W52" s="19"/>
      <c r="X52" s="20"/>
      <c r="Y52" s="21"/>
      <c r="Z52" s="22"/>
      <c r="AA52" s="23"/>
      <c r="AB52" s="27"/>
      <c r="AC52" s="80"/>
      <c r="AD52" s="24"/>
      <c r="AF52" s="140"/>
    </row>
    <row r="53" spans="1:32" ht="27" customHeight="1">
      <c r="A53" s="15"/>
      <c r="B53" s="81"/>
      <c r="C53" s="15"/>
      <c r="D53" s="15"/>
      <c r="E53" s="26"/>
      <c r="F53" s="27"/>
      <c r="G53" s="27"/>
      <c r="H53" s="81"/>
      <c r="I53" s="27"/>
      <c r="J53" s="28"/>
      <c r="K53" s="81"/>
      <c r="L53" s="81"/>
      <c r="M53" s="88"/>
      <c r="N53" s="29"/>
      <c r="O53" s="30"/>
      <c r="P53" s="31"/>
      <c r="Q53" s="32"/>
      <c r="R53" s="20"/>
      <c r="S53" s="33"/>
      <c r="T53" s="89"/>
      <c r="U53" s="90"/>
      <c r="V53" s="18"/>
      <c r="W53" s="19"/>
      <c r="X53" s="20"/>
      <c r="Y53" s="21"/>
      <c r="Z53" s="22"/>
      <c r="AA53" s="23"/>
      <c r="AB53" s="27"/>
      <c r="AC53" s="80"/>
      <c r="AD53" s="24"/>
      <c r="AF53" s="140"/>
    </row>
    <row r="54" spans="1:32" ht="27" customHeight="1">
      <c r="A54" s="15"/>
      <c r="B54" s="81"/>
      <c r="C54" s="15"/>
      <c r="D54" s="15"/>
      <c r="E54" s="26"/>
      <c r="F54" s="27"/>
      <c r="G54" s="27"/>
      <c r="H54" s="81"/>
      <c r="I54" s="27"/>
      <c r="J54" s="28"/>
      <c r="K54" s="81"/>
      <c r="L54" s="81"/>
      <c r="M54" s="88"/>
      <c r="N54" s="29"/>
      <c r="O54" s="30"/>
      <c r="P54" s="31"/>
      <c r="Q54" s="32"/>
      <c r="R54" s="20"/>
      <c r="S54" s="33"/>
      <c r="T54" s="89"/>
      <c r="U54" s="90"/>
      <c r="V54" s="18"/>
      <c r="W54" s="19"/>
      <c r="X54" s="20"/>
      <c r="Y54" s="21"/>
      <c r="Z54" s="22"/>
      <c r="AA54" s="23"/>
      <c r="AB54" s="27"/>
      <c r="AC54" s="80"/>
      <c r="AD54" s="24"/>
      <c r="AF54" s="140"/>
    </row>
    <row r="55" spans="1:32" ht="27" customHeight="1">
      <c r="A55" s="15"/>
      <c r="B55" s="81"/>
      <c r="C55" s="15"/>
      <c r="D55" s="15"/>
      <c r="E55" s="26"/>
      <c r="F55" s="27"/>
      <c r="G55" s="27"/>
      <c r="H55" s="81"/>
      <c r="I55" s="27"/>
      <c r="J55" s="28"/>
      <c r="K55" s="81"/>
      <c r="L55" s="81"/>
      <c r="M55" s="88"/>
      <c r="N55" s="29"/>
      <c r="O55" s="30"/>
      <c r="P55" s="31"/>
      <c r="Q55" s="32"/>
      <c r="R55" s="20"/>
      <c r="S55" s="33"/>
      <c r="T55" s="89"/>
      <c r="U55" s="90"/>
      <c r="V55" s="18"/>
      <c r="W55" s="19"/>
      <c r="X55" s="20"/>
      <c r="Y55" s="21"/>
      <c r="Z55" s="22"/>
      <c r="AA55" s="23"/>
      <c r="AB55" s="27"/>
      <c r="AC55" s="80"/>
      <c r="AD55" s="24"/>
      <c r="AF55" s="140"/>
    </row>
    <row r="56" spans="1:32" ht="27" customHeight="1">
      <c r="A56" s="15"/>
      <c r="B56" s="81"/>
      <c r="C56" s="15"/>
      <c r="D56" s="15"/>
      <c r="E56" s="26"/>
      <c r="F56" s="27"/>
      <c r="G56" s="27"/>
      <c r="H56" s="81"/>
      <c r="I56" s="27"/>
      <c r="J56" s="28"/>
      <c r="K56" s="81"/>
      <c r="L56" s="81"/>
      <c r="M56" s="88"/>
      <c r="N56" s="29"/>
      <c r="O56" s="30"/>
      <c r="P56" s="31"/>
      <c r="Q56" s="32"/>
      <c r="R56" s="20"/>
      <c r="S56" s="33"/>
      <c r="T56" s="89"/>
      <c r="U56" s="90"/>
      <c r="V56" s="18"/>
      <c r="W56" s="19"/>
      <c r="X56" s="20"/>
      <c r="Y56" s="21"/>
      <c r="Z56" s="22"/>
      <c r="AA56" s="23"/>
      <c r="AB56" s="27"/>
      <c r="AC56" s="80"/>
      <c r="AD56" s="24"/>
      <c r="AF56" s="140"/>
    </row>
    <row r="57" spans="1:32" ht="27" customHeight="1">
      <c r="A57" s="15"/>
      <c r="B57" s="81"/>
      <c r="C57" s="15"/>
      <c r="D57" s="15"/>
      <c r="E57" s="26"/>
      <c r="F57" s="27"/>
      <c r="G57" s="27"/>
      <c r="H57" s="81"/>
      <c r="I57" s="27"/>
      <c r="J57" s="28"/>
      <c r="K57" s="81"/>
      <c r="L57" s="81"/>
      <c r="M57" s="88"/>
      <c r="N57" s="29"/>
      <c r="O57" s="30"/>
      <c r="P57" s="31"/>
      <c r="Q57" s="32"/>
      <c r="R57" s="20"/>
      <c r="S57" s="33"/>
      <c r="T57" s="89"/>
      <c r="U57" s="90"/>
      <c r="V57" s="18"/>
      <c r="W57" s="19"/>
      <c r="X57" s="20"/>
      <c r="Y57" s="21"/>
      <c r="Z57" s="22"/>
      <c r="AA57" s="23"/>
      <c r="AB57" s="27"/>
      <c r="AC57" s="80"/>
      <c r="AD57" s="24"/>
      <c r="AF57" s="140"/>
    </row>
    <row r="58" spans="1:32" ht="27" customHeight="1">
      <c r="A58" s="15"/>
      <c r="B58" s="81"/>
      <c r="C58" s="15"/>
      <c r="D58" s="15"/>
      <c r="E58" s="26"/>
      <c r="F58" s="27"/>
      <c r="G58" s="27"/>
      <c r="H58" s="81"/>
      <c r="I58" s="27"/>
      <c r="J58" s="28"/>
      <c r="K58" s="81"/>
      <c r="L58" s="81"/>
      <c r="M58" s="88"/>
      <c r="N58" s="29"/>
      <c r="O58" s="30"/>
      <c r="P58" s="31"/>
      <c r="Q58" s="32"/>
      <c r="R58" s="20"/>
      <c r="S58" s="33"/>
      <c r="T58" s="89"/>
      <c r="U58" s="90"/>
      <c r="V58" s="18"/>
      <c r="W58" s="19"/>
      <c r="X58" s="20"/>
      <c r="Y58" s="21"/>
      <c r="Z58" s="22"/>
      <c r="AA58" s="23"/>
      <c r="AB58" s="27"/>
      <c r="AC58" s="80"/>
      <c r="AD58" s="24"/>
      <c r="AF58" s="140"/>
    </row>
    <row r="59" spans="1:32" ht="27" customHeight="1">
      <c r="A59" s="15"/>
      <c r="B59" s="81"/>
      <c r="C59" s="15"/>
      <c r="D59" s="15"/>
      <c r="E59" s="26"/>
      <c r="F59" s="27"/>
      <c r="G59" s="27"/>
      <c r="H59" s="81"/>
      <c r="I59" s="27"/>
      <c r="J59" s="28"/>
      <c r="K59" s="81"/>
      <c r="L59" s="81"/>
      <c r="M59" s="88"/>
      <c r="N59" s="29"/>
      <c r="O59" s="30"/>
      <c r="P59" s="31"/>
      <c r="Q59" s="32"/>
      <c r="R59" s="20"/>
      <c r="S59" s="33"/>
      <c r="T59" s="89"/>
      <c r="U59" s="90"/>
      <c r="V59" s="18"/>
      <c r="W59" s="19"/>
      <c r="X59" s="20"/>
      <c r="Y59" s="21"/>
      <c r="Z59" s="22"/>
      <c r="AA59" s="23"/>
      <c r="AB59" s="27"/>
      <c r="AC59" s="80"/>
      <c r="AD59" s="24"/>
      <c r="AF59" s="140"/>
    </row>
    <row r="60" spans="1:32" ht="27" customHeight="1">
      <c r="A60" s="15"/>
      <c r="B60" s="81"/>
      <c r="C60" s="15"/>
      <c r="D60" s="15"/>
      <c r="E60" s="26"/>
      <c r="F60" s="27"/>
      <c r="G60" s="27"/>
      <c r="H60" s="81"/>
      <c r="I60" s="27"/>
      <c r="J60" s="28"/>
      <c r="K60" s="81"/>
      <c r="L60" s="81"/>
      <c r="M60" s="88"/>
      <c r="N60" s="29"/>
      <c r="O60" s="30"/>
      <c r="P60" s="31"/>
      <c r="Q60" s="32"/>
      <c r="R60" s="20"/>
      <c r="S60" s="33"/>
      <c r="T60" s="89"/>
      <c r="U60" s="90"/>
      <c r="V60" s="18"/>
      <c r="W60" s="19"/>
      <c r="X60" s="20"/>
      <c r="Y60" s="21"/>
      <c r="Z60" s="22"/>
      <c r="AA60" s="23"/>
      <c r="AB60" s="27"/>
      <c r="AC60" s="80"/>
      <c r="AD60" s="24"/>
      <c r="AF60" s="140"/>
    </row>
    <row r="61" spans="1:32" ht="27" customHeight="1">
      <c r="A61" s="15"/>
      <c r="B61" s="81"/>
      <c r="C61" s="15"/>
      <c r="D61" s="15"/>
      <c r="E61" s="26"/>
      <c r="F61" s="27"/>
      <c r="G61" s="27"/>
      <c r="H61" s="81"/>
      <c r="I61" s="27"/>
      <c r="J61" s="28"/>
      <c r="K61" s="81"/>
      <c r="L61" s="81"/>
      <c r="M61" s="88"/>
      <c r="N61" s="29"/>
      <c r="O61" s="30"/>
      <c r="P61" s="31"/>
      <c r="Q61" s="32"/>
      <c r="R61" s="20"/>
      <c r="S61" s="33"/>
      <c r="T61" s="89"/>
      <c r="U61" s="90"/>
      <c r="V61" s="18"/>
      <c r="W61" s="19"/>
      <c r="X61" s="20"/>
      <c r="Y61" s="21"/>
      <c r="Z61" s="22"/>
      <c r="AA61" s="23"/>
      <c r="AB61" s="27"/>
      <c r="AC61" s="80"/>
      <c r="AD61" s="24"/>
      <c r="AF61" s="140"/>
    </row>
    <row r="62" spans="1:32" ht="27" customHeight="1">
      <c r="A62" s="15"/>
      <c r="B62" s="81"/>
      <c r="C62" s="15"/>
      <c r="D62" s="15"/>
      <c r="E62" s="26"/>
      <c r="F62" s="27"/>
      <c r="G62" s="27"/>
      <c r="H62" s="81"/>
      <c r="I62" s="27"/>
      <c r="J62" s="28"/>
      <c r="K62" s="81"/>
      <c r="L62" s="81"/>
      <c r="M62" s="88"/>
      <c r="N62" s="29"/>
      <c r="O62" s="30"/>
      <c r="P62" s="31"/>
      <c r="Q62" s="32"/>
      <c r="R62" s="20"/>
      <c r="S62" s="33"/>
      <c r="T62" s="89"/>
      <c r="U62" s="90"/>
      <c r="V62" s="18"/>
      <c r="W62" s="19"/>
      <c r="X62" s="20"/>
      <c r="Y62" s="21"/>
      <c r="Z62" s="22"/>
      <c r="AA62" s="23"/>
      <c r="AB62" s="27"/>
      <c r="AC62" s="80"/>
      <c r="AD62" s="24"/>
      <c r="AF62" s="140"/>
    </row>
    <row r="63" spans="1:32" ht="27" customHeight="1">
      <c r="A63" s="15"/>
      <c r="B63" s="81"/>
      <c r="C63" s="15"/>
      <c r="D63" s="15"/>
      <c r="E63" s="26"/>
      <c r="F63" s="27"/>
      <c r="G63" s="27"/>
      <c r="H63" s="81"/>
      <c r="I63" s="27"/>
      <c r="J63" s="28"/>
      <c r="K63" s="81"/>
      <c r="L63" s="81"/>
      <c r="M63" s="88"/>
      <c r="N63" s="29"/>
      <c r="O63" s="30"/>
      <c r="P63" s="31"/>
      <c r="Q63" s="32"/>
      <c r="R63" s="20"/>
      <c r="S63" s="33"/>
      <c r="T63" s="89"/>
      <c r="U63" s="90"/>
      <c r="V63" s="18"/>
      <c r="W63" s="19"/>
      <c r="X63" s="20"/>
      <c r="Y63" s="21"/>
      <c r="Z63" s="22"/>
      <c r="AA63" s="23"/>
      <c r="AB63" s="27"/>
      <c r="AC63" s="80"/>
      <c r="AD63" s="24"/>
      <c r="AF63" s="140"/>
    </row>
    <row r="64" spans="1:32" ht="27" customHeight="1">
      <c r="A64" s="15"/>
      <c r="B64" s="81"/>
      <c r="C64" s="15"/>
      <c r="D64" s="15"/>
      <c r="E64" s="26"/>
      <c r="F64" s="27"/>
      <c r="G64" s="27"/>
      <c r="H64" s="81"/>
      <c r="I64" s="27"/>
      <c r="J64" s="28"/>
      <c r="K64" s="81"/>
      <c r="L64" s="81"/>
      <c r="M64" s="88"/>
      <c r="N64" s="29"/>
      <c r="O64" s="30"/>
      <c r="P64" s="31"/>
      <c r="Q64" s="32"/>
      <c r="R64" s="20"/>
      <c r="S64" s="33"/>
      <c r="T64" s="89"/>
      <c r="U64" s="90"/>
      <c r="V64" s="18"/>
      <c r="W64" s="19"/>
      <c r="X64" s="20"/>
      <c r="Y64" s="21"/>
      <c r="Z64" s="22"/>
      <c r="AA64" s="23"/>
      <c r="AB64" s="27"/>
      <c r="AC64" s="80"/>
      <c r="AD64" s="24"/>
      <c r="AF64" s="140"/>
    </row>
    <row r="65" spans="1:32" ht="27" customHeight="1">
      <c r="A65" s="15"/>
      <c r="B65" s="81"/>
      <c r="C65" s="15"/>
      <c r="D65" s="15"/>
      <c r="E65" s="26"/>
      <c r="F65" s="27"/>
      <c r="G65" s="27"/>
      <c r="H65" s="81"/>
      <c r="I65" s="27"/>
      <c r="J65" s="28"/>
      <c r="K65" s="81"/>
      <c r="L65" s="81"/>
      <c r="M65" s="88"/>
      <c r="N65" s="29"/>
      <c r="O65" s="30"/>
      <c r="P65" s="31"/>
      <c r="Q65" s="32"/>
      <c r="R65" s="20"/>
      <c r="S65" s="33"/>
      <c r="T65" s="89"/>
      <c r="U65" s="90"/>
      <c r="V65" s="18"/>
      <c r="W65" s="19"/>
      <c r="X65" s="20"/>
      <c r="Y65" s="21"/>
      <c r="Z65" s="22"/>
      <c r="AA65" s="23"/>
      <c r="AB65" s="27"/>
      <c r="AC65" s="80"/>
      <c r="AD65" s="24"/>
      <c r="AF65" s="140"/>
    </row>
    <row r="66" spans="1:32" ht="27" customHeight="1">
      <c r="A66" s="15"/>
      <c r="B66" s="81"/>
      <c r="C66" s="15"/>
      <c r="D66" s="15"/>
      <c r="E66" s="26"/>
      <c r="F66" s="27"/>
      <c r="G66" s="27"/>
      <c r="H66" s="81"/>
      <c r="I66" s="27"/>
      <c r="J66" s="28"/>
      <c r="K66" s="81"/>
      <c r="L66" s="81"/>
      <c r="M66" s="88"/>
      <c r="N66" s="29"/>
      <c r="O66" s="30"/>
      <c r="P66" s="31"/>
      <c r="Q66" s="32"/>
      <c r="R66" s="20"/>
      <c r="S66" s="33"/>
      <c r="T66" s="89"/>
      <c r="U66" s="90"/>
      <c r="V66" s="18"/>
      <c r="W66" s="19"/>
      <c r="X66" s="20"/>
      <c r="Y66" s="21"/>
      <c r="Z66" s="22"/>
      <c r="AA66" s="23"/>
      <c r="AB66" s="27"/>
      <c r="AC66" s="80"/>
      <c r="AD66" s="24"/>
      <c r="AF66" s="140"/>
    </row>
    <row r="67" spans="1:32" ht="27" customHeight="1">
      <c r="A67" s="15"/>
      <c r="B67" s="81"/>
      <c r="C67" s="15"/>
      <c r="D67" s="15"/>
      <c r="E67" s="26"/>
      <c r="F67" s="27"/>
      <c r="G67" s="27"/>
      <c r="H67" s="81"/>
      <c r="I67" s="27"/>
      <c r="J67" s="28"/>
      <c r="K67" s="81"/>
      <c r="L67" s="81"/>
      <c r="M67" s="88"/>
      <c r="N67" s="29"/>
      <c r="O67" s="30"/>
      <c r="P67" s="31"/>
      <c r="Q67" s="32"/>
      <c r="R67" s="20"/>
      <c r="S67" s="33"/>
      <c r="T67" s="89"/>
      <c r="U67" s="90"/>
      <c r="V67" s="18"/>
      <c r="W67" s="19"/>
      <c r="X67" s="20"/>
      <c r="Y67" s="21"/>
      <c r="Z67" s="22"/>
      <c r="AA67" s="23"/>
      <c r="AB67" s="27"/>
      <c r="AC67" s="80"/>
      <c r="AD67" s="24"/>
      <c r="AF67" s="140"/>
    </row>
    <row r="68" spans="1:32" ht="27" customHeight="1">
      <c r="A68" s="15"/>
      <c r="B68" s="81"/>
      <c r="C68" s="15"/>
      <c r="D68" s="15"/>
      <c r="E68" s="26"/>
      <c r="F68" s="27"/>
      <c r="G68" s="27"/>
      <c r="H68" s="81"/>
      <c r="I68" s="27"/>
      <c r="J68" s="28"/>
      <c r="K68" s="81"/>
      <c r="L68" s="81"/>
      <c r="M68" s="88"/>
      <c r="N68" s="29"/>
      <c r="O68" s="30"/>
      <c r="P68" s="31"/>
      <c r="Q68" s="32"/>
      <c r="R68" s="20"/>
      <c r="S68" s="33"/>
      <c r="T68" s="89"/>
      <c r="U68" s="90"/>
      <c r="V68" s="18"/>
      <c r="W68" s="19"/>
      <c r="X68" s="20"/>
      <c r="Y68" s="21"/>
      <c r="Z68" s="22"/>
      <c r="AA68" s="23"/>
      <c r="AB68" s="27"/>
      <c r="AC68" s="80"/>
      <c r="AD68" s="24"/>
      <c r="AF68" s="140"/>
    </row>
    <row r="69" spans="1:32" ht="27" customHeight="1">
      <c r="A69" s="15"/>
      <c r="B69" s="81"/>
      <c r="C69" s="15"/>
      <c r="D69" s="15"/>
      <c r="E69" s="26"/>
      <c r="F69" s="27"/>
      <c r="G69" s="27"/>
      <c r="H69" s="81"/>
      <c r="I69" s="27"/>
      <c r="J69" s="28"/>
      <c r="K69" s="81"/>
      <c r="L69" s="81"/>
      <c r="M69" s="88"/>
      <c r="N69" s="29"/>
      <c r="O69" s="30"/>
      <c r="P69" s="31"/>
      <c r="Q69" s="32"/>
      <c r="R69" s="20"/>
      <c r="S69" s="33"/>
      <c r="T69" s="89"/>
      <c r="U69" s="90"/>
      <c r="V69" s="18"/>
      <c r="W69" s="19"/>
      <c r="X69" s="20"/>
      <c r="Y69" s="21"/>
      <c r="Z69" s="22"/>
      <c r="AA69" s="23"/>
      <c r="AB69" s="27"/>
      <c r="AC69" s="80"/>
      <c r="AD69" s="24"/>
      <c r="AF69" s="140"/>
    </row>
    <row r="70" spans="1:32" ht="27" customHeight="1">
      <c r="A70" s="15"/>
      <c r="B70" s="81"/>
      <c r="C70" s="15"/>
      <c r="D70" s="15"/>
      <c r="E70" s="26"/>
      <c r="F70" s="27"/>
      <c r="G70" s="27"/>
      <c r="H70" s="81"/>
      <c r="I70" s="27"/>
      <c r="J70" s="28"/>
      <c r="K70" s="81"/>
      <c r="L70" s="81"/>
      <c r="M70" s="88"/>
      <c r="N70" s="29"/>
      <c r="O70" s="30"/>
      <c r="P70" s="31"/>
      <c r="Q70" s="32"/>
      <c r="R70" s="20"/>
      <c r="S70" s="33"/>
      <c r="T70" s="89"/>
      <c r="U70" s="90"/>
      <c r="V70" s="18"/>
      <c r="W70" s="19"/>
      <c r="X70" s="20"/>
      <c r="Y70" s="21"/>
      <c r="Z70" s="22"/>
      <c r="AA70" s="23"/>
      <c r="AB70" s="27"/>
      <c r="AC70" s="80"/>
      <c r="AD70" s="24"/>
      <c r="AF70" s="140"/>
    </row>
    <row r="71" spans="1:32" ht="27" customHeight="1">
      <c r="A71" s="15"/>
      <c r="B71" s="81"/>
      <c r="C71" s="15"/>
      <c r="D71" s="15"/>
      <c r="E71" s="26"/>
      <c r="F71" s="27"/>
      <c r="G71" s="27"/>
      <c r="H71" s="81"/>
      <c r="I71" s="27"/>
      <c r="J71" s="28"/>
      <c r="K71" s="81"/>
      <c r="L71" s="81"/>
      <c r="M71" s="88"/>
      <c r="N71" s="29"/>
      <c r="O71" s="30"/>
      <c r="P71" s="31"/>
      <c r="Q71" s="32"/>
      <c r="R71" s="20"/>
      <c r="S71" s="33"/>
      <c r="T71" s="89"/>
      <c r="U71" s="90"/>
      <c r="V71" s="18"/>
      <c r="W71" s="19"/>
      <c r="X71" s="20"/>
      <c r="Y71" s="21"/>
      <c r="Z71" s="22"/>
      <c r="AA71" s="23"/>
      <c r="AB71" s="27"/>
      <c r="AC71" s="80"/>
      <c r="AD71" s="24"/>
      <c r="AF71" s="140"/>
    </row>
    <row r="72" spans="1:32" ht="27" customHeight="1">
      <c r="A72" s="15"/>
      <c r="B72" s="81"/>
      <c r="C72" s="15"/>
      <c r="D72" s="15"/>
      <c r="E72" s="26"/>
      <c r="F72" s="27"/>
      <c r="G72" s="27"/>
      <c r="H72" s="81"/>
      <c r="I72" s="27"/>
      <c r="J72" s="28"/>
      <c r="K72" s="81"/>
      <c r="L72" s="81"/>
      <c r="M72" s="88"/>
      <c r="N72" s="29"/>
      <c r="O72" s="30"/>
      <c r="P72" s="31"/>
      <c r="Q72" s="32"/>
      <c r="R72" s="20"/>
      <c r="S72" s="33"/>
      <c r="T72" s="89"/>
      <c r="U72" s="90"/>
      <c r="V72" s="18"/>
      <c r="W72" s="19"/>
      <c r="X72" s="20"/>
      <c r="Y72" s="21"/>
      <c r="Z72" s="22"/>
      <c r="AA72" s="23"/>
      <c r="AB72" s="27"/>
      <c r="AC72" s="80"/>
      <c r="AD72" s="24"/>
      <c r="AF72" s="140"/>
    </row>
    <row r="73" spans="1:32" ht="27" customHeight="1">
      <c r="A73" s="15"/>
      <c r="B73" s="81"/>
      <c r="C73" s="15"/>
      <c r="D73" s="15"/>
      <c r="E73" s="26"/>
      <c r="F73" s="27"/>
      <c r="G73" s="27"/>
      <c r="H73" s="81"/>
      <c r="I73" s="27"/>
      <c r="J73" s="28"/>
      <c r="K73" s="81"/>
      <c r="L73" s="81"/>
      <c r="M73" s="88"/>
      <c r="N73" s="29"/>
      <c r="O73" s="30"/>
      <c r="P73" s="31"/>
      <c r="Q73" s="32"/>
      <c r="R73" s="20"/>
      <c r="S73" s="33"/>
      <c r="T73" s="89"/>
      <c r="U73" s="90"/>
      <c r="V73" s="18"/>
      <c r="W73" s="19"/>
      <c r="X73" s="20"/>
      <c r="Y73" s="21"/>
      <c r="Z73" s="22"/>
      <c r="AA73" s="23"/>
      <c r="AB73" s="27"/>
      <c r="AC73" s="80"/>
      <c r="AD73" s="24"/>
      <c r="AF73" s="140"/>
    </row>
    <row r="74" spans="1:32" ht="27" customHeight="1">
      <c r="A74" s="15"/>
      <c r="B74" s="81"/>
      <c r="C74" s="15"/>
      <c r="D74" s="15"/>
      <c r="E74" s="26"/>
      <c r="F74" s="27"/>
      <c r="G74" s="27"/>
      <c r="H74" s="81"/>
      <c r="I74" s="27"/>
      <c r="J74" s="28"/>
      <c r="K74" s="81"/>
      <c r="L74" s="81"/>
      <c r="M74" s="88"/>
      <c r="N74" s="29"/>
      <c r="O74" s="30"/>
      <c r="P74" s="31"/>
      <c r="Q74" s="32"/>
      <c r="R74" s="20"/>
      <c r="S74" s="33"/>
      <c r="T74" s="89"/>
      <c r="U74" s="90"/>
      <c r="V74" s="18"/>
      <c r="W74" s="19"/>
      <c r="X74" s="20"/>
      <c r="Y74" s="21"/>
      <c r="Z74" s="22"/>
      <c r="AA74" s="23"/>
      <c r="AB74" s="27"/>
      <c r="AC74" s="80"/>
      <c r="AD74" s="24"/>
      <c r="AF74" s="140"/>
    </row>
    <row r="75" spans="1:32" ht="27" customHeight="1">
      <c r="A75" s="15"/>
      <c r="B75" s="81"/>
      <c r="C75" s="15"/>
      <c r="D75" s="15"/>
      <c r="E75" s="26"/>
      <c r="F75" s="27"/>
      <c r="G75" s="27"/>
      <c r="H75" s="81"/>
      <c r="I75" s="27"/>
      <c r="J75" s="28"/>
      <c r="K75" s="81"/>
      <c r="L75" s="81"/>
      <c r="M75" s="88"/>
      <c r="N75" s="29"/>
      <c r="O75" s="30"/>
      <c r="P75" s="31"/>
      <c r="Q75" s="32"/>
      <c r="R75" s="20"/>
      <c r="S75" s="33"/>
      <c r="T75" s="89"/>
      <c r="U75" s="90"/>
      <c r="V75" s="18"/>
      <c r="W75" s="19"/>
      <c r="X75" s="20"/>
      <c r="Y75" s="21"/>
      <c r="Z75" s="22"/>
      <c r="AA75" s="23"/>
      <c r="AB75" s="27"/>
      <c r="AC75" s="80"/>
      <c r="AD75" s="24"/>
      <c r="AF75" s="140"/>
    </row>
    <row r="76" spans="1:32" ht="27" customHeight="1">
      <c r="A76" s="15"/>
      <c r="B76" s="81"/>
      <c r="C76" s="15"/>
      <c r="D76" s="15"/>
      <c r="E76" s="26"/>
      <c r="F76" s="27"/>
      <c r="G76" s="27"/>
      <c r="H76" s="81"/>
      <c r="I76" s="27"/>
      <c r="J76" s="28"/>
      <c r="K76" s="81"/>
      <c r="L76" s="81"/>
      <c r="M76" s="88"/>
      <c r="N76" s="29"/>
      <c r="O76" s="30"/>
      <c r="P76" s="31"/>
      <c r="Q76" s="32"/>
      <c r="R76" s="20"/>
      <c r="S76" s="33"/>
      <c r="T76" s="89"/>
      <c r="U76" s="90"/>
      <c r="V76" s="18"/>
      <c r="W76" s="19"/>
      <c r="X76" s="20"/>
      <c r="Y76" s="21"/>
      <c r="Z76" s="22"/>
      <c r="AA76" s="23"/>
      <c r="AB76" s="27"/>
      <c r="AC76" s="80"/>
      <c r="AD76" s="24"/>
      <c r="AF76" s="140"/>
    </row>
    <row r="77" spans="1:32" ht="27" customHeight="1">
      <c r="A77" s="15"/>
      <c r="B77" s="81"/>
      <c r="C77" s="15"/>
      <c r="D77" s="15"/>
      <c r="E77" s="26"/>
      <c r="F77" s="27"/>
      <c r="G77" s="27"/>
      <c r="H77" s="81"/>
      <c r="I77" s="27"/>
      <c r="J77" s="28"/>
      <c r="K77" s="81"/>
      <c r="L77" s="81"/>
      <c r="M77" s="88"/>
      <c r="N77" s="29"/>
      <c r="O77" s="30"/>
      <c r="P77" s="31"/>
      <c r="Q77" s="32"/>
      <c r="R77" s="20"/>
      <c r="S77" s="33"/>
      <c r="T77" s="89"/>
      <c r="U77" s="90"/>
      <c r="V77" s="18"/>
      <c r="W77" s="19"/>
      <c r="X77" s="20"/>
      <c r="Y77" s="21"/>
      <c r="Z77" s="22"/>
      <c r="AA77" s="23"/>
      <c r="AB77" s="27"/>
      <c r="AC77" s="80"/>
      <c r="AD77" s="24"/>
      <c r="AF77" s="140"/>
    </row>
    <row r="78" spans="1:32" ht="27" customHeight="1">
      <c r="A78" s="15"/>
      <c r="B78" s="81"/>
      <c r="C78" s="15"/>
      <c r="D78" s="15"/>
      <c r="E78" s="26"/>
      <c r="F78" s="27"/>
      <c r="G78" s="27"/>
      <c r="H78" s="81"/>
      <c r="I78" s="27"/>
      <c r="J78" s="28"/>
      <c r="K78" s="81"/>
      <c r="L78" s="81"/>
      <c r="M78" s="88"/>
      <c r="N78" s="29"/>
      <c r="O78" s="30"/>
      <c r="P78" s="31"/>
      <c r="Q78" s="32"/>
      <c r="R78" s="20"/>
      <c r="S78" s="33"/>
      <c r="T78" s="89"/>
      <c r="U78" s="90"/>
      <c r="V78" s="18"/>
      <c r="W78" s="19"/>
      <c r="X78" s="20"/>
      <c r="Y78" s="21"/>
      <c r="Z78" s="22"/>
      <c r="AA78" s="23"/>
      <c r="AB78" s="27"/>
      <c r="AC78" s="80"/>
      <c r="AD78" s="24"/>
      <c r="AF78" s="140"/>
    </row>
    <row r="79" spans="1:32" ht="27" customHeight="1">
      <c r="A79" s="15"/>
      <c r="B79" s="81"/>
      <c r="C79" s="15"/>
      <c r="D79" s="15"/>
      <c r="E79" s="26"/>
      <c r="F79" s="27"/>
      <c r="G79" s="27"/>
      <c r="H79" s="81"/>
      <c r="I79" s="27"/>
      <c r="J79" s="28"/>
      <c r="K79" s="81"/>
      <c r="L79" s="81"/>
      <c r="M79" s="88"/>
      <c r="N79" s="29"/>
      <c r="O79" s="30"/>
      <c r="P79" s="31"/>
      <c r="Q79" s="32"/>
      <c r="R79" s="20"/>
      <c r="S79" s="33"/>
      <c r="T79" s="89"/>
      <c r="U79" s="90"/>
      <c r="V79" s="18"/>
      <c r="W79" s="19"/>
      <c r="X79" s="20"/>
      <c r="Y79" s="21"/>
      <c r="Z79" s="22"/>
      <c r="AA79" s="23"/>
      <c r="AB79" s="27"/>
      <c r="AC79" s="80"/>
      <c r="AD79" s="24"/>
      <c r="AF79" s="140"/>
    </row>
    <row r="80" spans="1:32" ht="27" customHeight="1">
      <c r="A80" s="15"/>
      <c r="B80" s="81"/>
      <c r="C80" s="15"/>
      <c r="D80" s="15"/>
      <c r="E80" s="26"/>
      <c r="F80" s="27"/>
      <c r="G80" s="27"/>
      <c r="H80" s="81"/>
      <c r="I80" s="27"/>
      <c r="J80" s="28"/>
      <c r="K80" s="81"/>
      <c r="L80" s="81"/>
      <c r="M80" s="88"/>
      <c r="N80" s="29"/>
      <c r="O80" s="30"/>
      <c r="P80" s="31"/>
      <c r="Q80" s="32"/>
      <c r="R80" s="20"/>
      <c r="S80" s="33"/>
      <c r="T80" s="89"/>
      <c r="U80" s="90"/>
      <c r="V80" s="18"/>
      <c r="W80" s="19"/>
      <c r="X80" s="20"/>
      <c r="Y80" s="21"/>
      <c r="Z80" s="22"/>
      <c r="AA80" s="23"/>
      <c r="AB80" s="27"/>
      <c r="AC80" s="80"/>
      <c r="AD80" s="24"/>
      <c r="AF80" s="140"/>
    </row>
    <row r="81" spans="1:32" ht="27" customHeight="1">
      <c r="A81" s="15"/>
      <c r="B81" s="81"/>
      <c r="C81" s="15"/>
      <c r="D81" s="15"/>
      <c r="E81" s="26"/>
      <c r="F81" s="27"/>
      <c r="G81" s="27"/>
      <c r="H81" s="81"/>
      <c r="I81" s="27"/>
      <c r="J81" s="28"/>
      <c r="K81" s="81"/>
      <c r="L81" s="81"/>
      <c r="M81" s="88"/>
      <c r="N81" s="29"/>
      <c r="O81" s="30"/>
      <c r="P81" s="31"/>
      <c r="Q81" s="32"/>
      <c r="R81" s="20"/>
      <c r="S81" s="33"/>
      <c r="T81" s="89"/>
      <c r="U81" s="90"/>
      <c r="V81" s="18"/>
      <c r="W81" s="19"/>
      <c r="X81" s="20"/>
      <c r="Y81" s="21"/>
      <c r="Z81" s="22"/>
      <c r="AA81" s="23"/>
      <c r="AB81" s="27"/>
      <c r="AC81" s="80"/>
      <c r="AD81" s="24"/>
      <c r="AF81" s="140"/>
    </row>
    <row r="82" spans="1:32" ht="27" customHeight="1">
      <c r="A82" s="15"/>
      <c r="B82" s="81"/>
      <c r="C82" s="15"/>
      <c r="D82" s="15"/>
      <c r="E82" s="26"/>
      <c r="F82" s="27"/>
      <c r="G82" s="27"/>
      <c r="H82" s="81"/>
      <c r="I82" s="27"/>
      <c r="J82" s="28"/>
      <c r="K82" s="81"/>
      <c r="L82" s="81"/>
      <c r="M82" s="88"/>
      <c r="N82" s="29"/>
      <c r="O82" s="30"/>
      <c r="P82" s="31"/>
      <c r="Q82" s="32"/>
      <c r="R82" s="20"/>
      <c r="S82" s="33"/>
      <c r="T82" s="89"/>
      <c r="U82" s="90"/>
      <c r="V82" s="18"/>
      <c r="W82" s="19"/>
      <c r="X82" s="20"/>
      <c r="Y82" s="21"/>
      <c r="Z82" s="22"/>
      <c r="AA82" s="23"/>
      <c r="AB82" s="27"/>
      <c r="AC82" s="80"/>
      <c r="AD82" s="24"/>
      <c r="AF82" s="140"/>
    </row>
    <row r="83" spans="1:32" ht="27" customHeight="1">
      <c r="A83" s="15"/>
      <c r="B83" s="81"/>
      <c r="C83" s="15"/>
      <c r="D83" s="15"/>
      <c r="E83" s="26"/>
      <c r="F83" s="27"/>
      <c r="G83" s="27"/>
      <c r="H83" s="81"/>
      <c r="I83" s="27"/>
      <c r="J83" s="28"/>
      <c r="K83" s="81"/>
      <c r="L83" s="81"/>
      <c r="M83" s="88"/>
      <c r="N83" s="29"/>
      <c r="O83" s="30"/>
      <c r="P83" s="31"/>
      <c r="Q83" s="32"/>
      <c r="R83" s="20"/>
      <c r="S83" s="33"/>
      <c r="T83" s="89"/>
      <c r="U83" s="90"/>
      <c r="V83" s="18"/>
      <c r="W83" s="19"/>
      <c r="X83" s="20"/>
      <c r="Y83" s="21"/>
      <c r="Z83" s="22"/>
      <c r="AA83" s="23"/>
      <c r="AB83" s="27"/>
      <c r="AC83" s="80"/>
      <c r="AD83" s="24"/>
      <c r="AF83" s="140"/>
    </row>
    <row r="84" spans="1:32" ht="27" customHeight="1">
      <c r="A84" s="15"/>
      <c r="B84" s="81"/>
      <c r="C84" s="15"/>
      <c r="D84" s="15"/>
      <c r="E84" s="26"/>
      <c r="F84" s="27"/>
      <c r="G84" s="27"/>
      <c r="H84" s="81"/>
      <c r="I84" s="27"/>
      <c r="J84" s="28"/>
      <c r="K84" s="81"/>
      <c r="L84" s="81"/>
      <c r="M84" s="88"/>
      <c r="N84" s="29"/>
      <c r="O84" s="30"/>
      <c r="P84" s="31"/>
      <c r="Q84" s="32"/>
      <c r="R84" s="20"/>
      <c r="S84" s="33"/>
      <c r="T84" s="89"/>
      <c r="U84" s="90"/>
      <c r="V84" s="18"/>
      <c r="W84" s="19"/>
      <c r="X84" s="20"/>
      <c r="Y84" s="21"/>
      <c r="Z84" s="22"/>
      <c r="AA84" s="23"/>
      <c r="AB84" s="27"/>
      <c r="AC84" s="80"/>
      <c r="AD84" s="24"/>
      <c r="AF84" s="140"/>
    </row>
    <row r="85" spans="1:32" ht="27" customHeight="1">
      <c r="A85" s="15"/>
      <c r="B85" s="81"/>
      <c r="C85" s="15"/>
      <c r="D85" s="15"/>
      <c r="E85" s="26"/>
      <c r="F85" s="27"/>
      <c r="G85" s="27"/>
      <c r="H85" s="81"/>
      <c r="I85" s="27"/>
      <c r="J85" s="28"/>
      <c r="K85" s="81"/>
      <c r="L85" s="81"/>
      <c r="M85" s="88"/>
      <c r="N85" s="29"/>
      <c r="O85" s="30"/>
      <c r="P85" s="31"/>
      <c r="Q85" s="32"/>
      <c r="R85" s="20"/>
      <c r="S85" s="33"/>
      <c r="T85" s="89"/>
      <c r="U85" s="90"/>
      <c r="V85" s="18"/>
      <c r="W85" s="19"/>
      <c r="X85" s="20"/>
      <c r="Y85" s="21"/>
      <c r="Z85" s="22"/>
      <c r="AA85" s="23"/>
      <c r="AB85" s="27"/>
      <c r="AC85" s="80"/>
      <c r="AD85" s="24"/>
      <c r="AF85" s="140"/>
    </row>
    <row r="86" spans="1:32" ht="27" customHeight="1">
      <c r="A86" s="15"/>
      <c r="B86" s="81"/>
      <c r="C86" s="15"/>
      <c r="D86" s="15"/>
      <c r="E86" s="26"/>
      <c r="F86" s="27"/>
      <c r="G86" s="27"/>
      <c r="H86" s="81"/>
      <c r="I86" s="27"/>
      <c r="J86" s="28"/>
      <c r="K86" s="81"/>
      <c r="L86" s="81"/>
      <c r="M86" s="88"/>
      <c r="N86" s="29"/>
      <c r="O86" s="30"/>
      <c r="P86" s="31"/>
      <c r="Q86" s="32"/>
      <c r="R86" s="20"/>
      <c r="S86" s="33"/>
      <c r="T86" s="89"/>
      <c r="U86" s="90"/>
      <c r="V86" s="18"/>
      <c r="W86" s="19"/>
      <c r="X86" s="20"/>
      <c r="Y86" s="21"/>
      <c r="Z86" s="22"/>
      <c r="AA86" s="23"/>
      <c r="AB86" s="27"/>
      <c r="AC86" s="80"/>
      <c r="AD86" s="24"/>
      <c r="AF86" s="140"/>
    </row>
    <row r="87" spans="1:32" ht="27" customHeight="1">
      <c r="A87" s="15"/>
      <c r="B87" s="81"/>
      <c r="C87" s="15"/>
      <c r="D87" s="15"/>
      <c r="E87" s="26"/>
      <c r="F87" s="27"/>
      <c r="G87" s="27"/>
      <c r="H87" s="81"/>
      <c r="I87" s="27"/>
      <c r="J87" s="28"/>
      <c r="K87" s="81"/>
      <c r="L87" s="81"/>
      <c r="M87" s="88"/>
      <c r="N87" s="29"/>
      <c r="O87" s="30"/>
      <c r="P87" s="31"/>
      <c r="Q87" s="32"/>
      <c r="R87" s="20"/>
      <c r="S87" s="33"/>
      <c r="T87" s="89"/>
      <c r="U87" s="90"/>
      <c r="V87" s="18"/>
      <c r="W87" s="19"/>
      <c r="X87" s="20"/>
      <c r="Y87" s="21"/>
      <c r="Z87" s="22"/>
      <c r="AA87" s="23"/>
      <c r="AB87" s="27"/>
      <c r="AC87" s="80"/>
      <c r="AD87" s="24"/>
      <c r="AF87" s="140"/>
    </row>
    <row r="88" spans="1:32" ht="27" customHeight="1">
      <c r="A88" s="15"/>
      <c r="B88" s="81"/>
      <c r="C88" s="15"/>
      <c r="D88" s="15"/>
      <c r="E88" s="26"/>
      <c r="F88" s="27"/>
      <c r="G88" s="27"/>
      <c r="H88" s="81"/>
      <c r="I88" s="27"/>
      <c r="J88" s="28"/>
      <c r="K88" s="81"/>
      <c r="L88" s="81"/>
      <c r="M88" s="88"/>
      <c r="N88" s="29"/>
      <c r="O88" s="30"/>
      <c r="P88" s="31"/>
      <c r="Q88" s="32"/>
      <c r="R88" s="20"/>
      <c r="S88" s="33"/>
      <c r="T88" s="89"/>
      <c r="U88" s="90"/>
      <c r="V88" s="18"/>
      <c r="W88" s="19"/>
      <c r="X88" s="20"/>
      <c r="Y88" s="21"/>
      <c r="Z88" s="22"/>
      <c r="AA88" s="23"/>
      <c r="AB88" s="27"/>
      <c r="AC88" s="80"/>
      <c r="AD88" s="24"/>
      <c r="AF88" s="140"/>
    </row>
    <row r="89" spans="1:32" ht="27" customHeight="1">
      <c r="A89" s="15"/>
      <c r="B89" s="81"/>
      <c r="C89" s="15"/>
      <c r="D89" s="15"/>
      <c r="E89" s="26"/>
      <c r="F89" s="27"/>
      <c r="G89" s="27"/>
      <c r="H89" s="81"/>
      <c r="I89" s="27"/>
      <c r="J89" s="28"/>
      <c r="K89" s="81"/>
      <c r="L89" s="81"/>
      <c r="M89" s="88"/>
      <c r="N89" s="29"/>
      <c r="O89" s="30"/>
      <c r="P89" s="31"/>
      <c r="Q89" s="32"/>
      <c r="R89" s="20"/>
      <c r="S89" s="33"/>
      <c r="T89" s="89"/>
      <c r="U89" s="90"/>
      <c r="V89" s="18"/>
      <c r="W89" s="19"/>
      <c r="X89" s="20"/>
      <c r="Y89" s="21"/>
      <c r="Z89" s="22"/>
      <c r="AA89" s="23"/>
      <c r="AB89" s="27"/>
      <c r="AC89" s="80"/>
      <c r="AD89" s="24"/>
      <c r="AF89" s="140"/>
    </row>
    <row r="90" spans="1:32" ht="27" customHeight="1">
      <c r="A90" s="15"/>
      <c r="B90" s="81"/>
      <c r="C90" s="15"/>
      <c r="D90" s="15"/>
      <c r="E90" s="26"/>
      <c r="F90" s="27"/>
      <c r="G90" s="27"/>
      <c r="H90" s="81"/>
      <c r="I90" s="27"/>
      <c r="J90" s="28"/>
      <c r="K90" s="81"/>
      <c r="L90" s="81"/>
      <c r="M90" s="88"/>
      <c r="N90" s="29"/>
      <c r="O90" s="30"/>
      <c r="P90" s="31"/>
      <c r="Q90" s="32"/>
      <c r="R90" s="20"/>
      <c r="S90" s="33"/>
      <c r="T90" s="89"/>
      <c r="U90" s="90"/>
      <c r="V90" s="18"/>
      <c r="W90" s="19"/>
      <c r="X90" s="20"/>
      <c r="Y90" s="21"/>
      <c r="Z90" s="22"/>
      <c r="AA90" s="23"/>
      <c r="AB90" s="27"/>
      <c r="AC90" s="80"/>
      <c r="AD90" s="24"/>
      <c r="AF90" s="140"/>
    </row>
    <row r="91" spans="1:32" ht="27" customHeight="1">
      <c r="A91" s="15"/>
      <c r="B91" s="81"/>
      <c r="C91" s="15"/>
      <c r="D91" s="15"/>
      <c r="E91" s="26"/>
      <c r="F91" s="27"/>
      <c r="G91" s="27"/>
      <c r="H91" s="81"/>
      <c r="I91" s="27"/>
      <c r="J91" s="28"/>
      <c r="K91" s="81"/>
      <c r="L91" s="81"/>
      <c r="M91" s="88"/>
      <c r="N91" s="29"/>
      <c r="O91" s="30"/>
      <c r="P91" s="31"/>
      <c r="Q91" s="32"/>
      <c r="R91" s="20"/>
      <c r="S91" s="33"/>
      <c r="T91" s="89"/>
      <c r="U91" s="90"/>
      <c r="V91" s="18"/>
      <c r="W91" s="19"/>
      <c r="X91" s="20"/>
      <c r="Y91" s="21"/>
      <c r="Z91" s="22"/>
      <c r="AA91" s="23"/>
      <c r="AB91" s="27"/>
      <c r="AC91" s="80"/>
      <c r="AD91" s="24"/>
      <c r="AF91" s="140"/>
    </row>
    <row r="92" spans="1:32" ht="27" customHeight="1">
      <c r="A92" s="15"/>
      <c r="B92" s="81"/>
      <c r="C92" s="15"/>
      <c r="D92" s="15"/>
      <c r="E92" s="26"/>
      <c r="F92" s="27"/>
      <c r="G92" s="27"/>
      <c r="H92" s="81"/>
      <c r="I92" s="27"/>
      <c r="J92" s="28"/>
      <c r="K92" s="81"/>
      <c r="L92" s="81"/>
      <c r="M92" s="88"/>
      <c r="N92" s="29"/>
      <c r="O92" s="30"/>
      <c r="P92" s="31"/>
      <c r="Q92" s="32"/>
      <c r="R92" s="20"/>
      <c r="S92" s="33"/>
      <c r="T92" s="89"/>
      <c r="U92" s="90"/>
      <c r="V92" s="18"/>
      <c r="W92" s="19"/>
      <c r="X92" s="20"/>
      <c r="Y92" s="21"/>
      <c r="Z92" s="22"/>
      <c r="AA92" s="23"/>
      <c r="AB92" s="27"/>
      <c r="AC92" s="80"/>
      <c r="AD92" s="24"/>
      <c r="AF92" s="140"/>
    </row>
    <row r="93" spans="1:32" ht="27" customHeight="1">
      <c r="A93" s="15"/>
      <c r="B93" s="81"/>
      <c r="C93" s="15"/>
      <c r="D93" s="15"/>
      <c r="E93" s="26"/>
      <c r="F93" s="27"/>
      <c r="G93" s="27"/>
      <c r="H93" s="81"/>
      <c r="I93" s="27"/>
      <c r="J93" s="28"/>
      <c r="K93" s="81"/>
      <c r="L93" s="81"/>
      <c r="M93" s="88"/>
      <c r="N93" s="29"/>
      <c r="O93" s="30"/>
      <c r="P93" s="31"/>
      <c r="Q93" s="32"/>
      <c r="R93" s="20"/>
      <c r="S93" s="33"/>
      <c r="T93" s="89"/>
      <c r="U93" s="90"/>
      <c r="V93" s="18"/>
      <c r="W93" s="19"/>
      <c r="X93" s="20"/>
      <c r="Y93" s="21"/>
      <c r="Z93" s="22"/>
      <c r="AA93" s="23"/>
      <c r="AB93" s="27"/>
      <c r="AC93" s="80"/>
      <c r="AD93" s="24"/>
      <c r="AF93" s="140"/>
    </row>
    <row r="94" spans="1:32" s="134" customFormat="1" ht="27" customHeight="1">
      <c r="A94" s="15"/>
      <c r="B94" s="81"/>
      <c r="C94" s="15"/>
      <c r="D94" s="15"/>
      <c r="E94" s="26"/>
      <c r="F94" s="27"/>
      <c r="G94" s="27"/>
      <c r="H94" s="81"/>
      <c r="I94" s="27"/>
      <c r="J94" s="28"/>
      <c r="K94" s="81"/>
      <c r="L94" s="81"/>
      <c r="M94" s="88"/>
      <c r="N94" s="29"/>
      <c r="O94" s="30"/>
      <c r="P94" s="31"/>
      <c r="Q94" s="32"/>
      <c r="R94" s="20"/>
      <c r="S94" s="33"/>
      <c r="T94" s="89"/>
      <c r="U94" s="90"/>
      <c r="V94" s="18"/>
      <c r="W94" s="19"/>
      <c r="X94" s="20"/>
      <c r="Y94" s="21"/>
      <c r="Z94" s="22"/>
      <c r="AA94" s="23"/>
      <c r="AB94" s="27"/>
      <c r="AC94" s="80"/>
      <c r="AD94" s="24"/>
      <c r="AE94" s="80"/>
      <c r="AF94" s="140"/>
    </row>
    <row r="95" spans="1:32" ht="27" customHeight="1">
      <c r="A95" s="15"/>
      <c r="B95" s="81"/>
      <c r="C95" s="15"/>
      <c r="D95" s="15"/>
      <c r="E95" s="26"/>
      <c r="F95" s="27"/>
      <c r="G95" s="27"/>
      <c r="H95" s="81"/>
      <c r="I95" s="27"/>
      <c r="J95" s="28"/>
      <c r="K95" s="81"/>
      <c r="L95" s="81"/>
      <c r="M95" s="88"/>
      <c r="N95" s="29"/>
      <c r="O95" s="30"/>
      <c r="P95" s="31"/>
      <c r="Q95" s="32"/>
      <c r="R95" s="20"/>
      <c r="S95" s="33"/>
      <c r="T95" s="89"/>
      <c r="U95" s="90"/>
      <c r="V95" s="18"/>
      <c r="W95" s="19"/>
      <c r="X95" s="20"/>
      <c r="Y95" s="21"/>
      <c r="Z95" s="22"/>
      <c r="AA95" s="23"/>
      <c r="AB95" s="27"/>
      <c r="AC95" s="80"/>
      <c r="AD95" s="24"/>
      <c r="AF95" s="140"/>
    </row>
    <row r="96" spans="1:32" s="134" customFormat="1" ht="27" customHeight="1">
      <c r="A96" s="15"/>
      <c r="B96" s="81"/>
      <c r="C96" s="15"/>
      <c r="D96" s="15"/>
      <c r="E96" s="26"/>
      <c r="F96" s="27"/>
      <c r="G96" s="27"/>
      <c r="H96" s="81"/>
      <c r="I96" s="27"/>
      <c r="J96" s="28"/>
      <c r="K96" s="81"/>
      <c r="L96" s="81"/>
      <c r="M96" s="88"/>
      <c r="N96" s="29"/>
      <c r="O96" s="30"/>
      <c r="P96" s="31"/>
      <c r="Q96" s="32"/>
      <c r="R96" s="20"/>
      <c r="S96" s="33"/>
      <c r="T96" s="89"/>
      <c r="U96" s="90"/>
      <c r="V96" s="18"/>
      <c r="W96" s="19"/>
      <c r="X96" s="20"/>
      <c r="Y96" s="21"/>
      <c r="Z96" s="22"/>
      <c r="AA96" s="23"/>
      <c r="AB96" s="27"/>
      <c r="AC96" s="80"/>
      <c r="AD96" s="24"/>
      <c r="AE96" s="80"/>
      <c r="AF96" s="140"/>
    </row>
    <row r="97" spans="1:32" ht="27" customHeight="1">
      <c r="A97" s="15"/>
      <c r="B97" s="81"/>
      <c r="C97" s="15"/>
      <c r="D97" s="15"/>
      <c r="E97" s="26"/>
      <c r="F97" s="27"/>
      <c r="G97" s="27"/>
      <c r="H97" s="81"/>
      <c r="I97" s="27"/>
      <c r="J97" s="28"/>
      <c r="K97" s="81"/>
      <c r="L97" s="81"/>
      <c r="M97" s="88"/>
      <c r="N97" s="29"/>
      <c r="O97" s="30"/>
      <c r="P97" s="31"/>
      <c r="Q97" s="32"/>
      <c r="R97" s="20"/>
      <c r="S97" s="33"/>
      <c r="T97" s="89"/>
      <c r="U97" s="90"/>
      <c r="V97" s="18"/>
      <c r="W97" s="19"/>
      <c r="X97" s="20"/>
      <c r="Y97" s="21"/>
      <c r="Z97" s="22"/>
      <c r="AA97" s="23"/>
      <c r="AB97" s="27"/>
      <c r="AC97" s="80"/>
      <c r="AD97" s="24"/>
      <c r="AF97" s="140"/>
    </row>
    <row r="98" spans="1:32" ht="27" customHeight="1">
      <c r="A98" s="15"/>
      <c r="B98" s="81"/>
      <c r="C98" s="15"/>
      <c r="D98" s="15"/>
      <c r="E98" s="26"/>
      <c r="F98" s="27"/>
      <c r="G98" s="27"/>
      <c r="H98" s="81"/>
      <c r="I98" s="27"/>
      <c r="J98" s="28"/>
      <c r="K98" s="81"/>
      <c r="L98" s="81"/>
      <c r="M98" s="88"/>
      <c r="N98" s="29"/>
      <c r="O98" s="30"/>
      <c r="P98" s="31"/>
      <c r="Q98" s="32"/>
      <c r="R98" s="20"/>
      <c r="S98" s="33"/>
      <c r="T98" s="89"/>
      <c r="U98" s="90"/>
      <c r="V98" s="18"/>
      <c r="W98" s="19"/>
      <c r="X98" s="20"/>
      <c r="Y98" s="21"/>
      <c r="Z98" s="22"/>
      <c r="AA98" s="23"/>
      <c r="AB98" s="27"/>
      <c r="AC98" s="80"/>
      <c r="AD98" s="24"/>
      <c r="AF98" s="140"/>
    </row>
    <row r="99" spans="1:32" ht="27" customHeight="1">
      <c r="A99" s="15"/>
      <c r="B99" s="81"/>
      <c r="C99" s="15"/>
      <c r="D99" s="15"/>
      <c r="E99" s="26"/>
      <c r="F99" s="27"/>
      <c r="G99" s="27"/>
      <c r="H99" s="81"/>
      <c r="I99" s="27"/>
      <c r="J99" s="28"/>
      <c r="K99" s="81"/>
      <c r="L99" s="81"/>
      <c r="M99" s="88"/>
      <c r="N99" s="29"/>
      <c r="O99" s="30"/>
      <c r="P99" s="31"/>
      <c r="Q99" s="32"/>
      <c r="R99" s="20"/>
      <c r="S99" s="33"/>
      <c r="T99" s="89"/>
      <c r="U99" s="90"/>
      <c r="V99" s="18"/>
      <c r="W99" s="19"/>
      <c r="X99" s="20"/>
      <c r="Y99" s="21"/>
      <c r="Z99" s="22"/>
      <c r="AA99" s="23"/>
      <c r="AB99" s="27"/>
      <c r="AC99" s="80"/>
      <c r="AD99" s="24"/>
      <c r="AF99" s="140"/>
    </row>
    <row r="100" spans="1:32" ht="27" customHeight="1">
      <c r="A100" s="15"/>
      <c r="B100" s="81"/>
      <c r="C100" s="15"/>
      <c r="D100" s="15"/>
      <c r="E100" s="26"/>
      <c r="F100" s="27"/>
      <c r="G100" s="27"/>
      <c r="H100" s="81"/>
      <c r="I100" s="27"/>
      <c r="J100" s="28"/>
      <c r="K100" s="81"/>
      <c r="L100" s="81"/>
      <c r="M100" s="88"/>
      <c r="N100" s="29"/>
      <c r="O100" s="30"/>
      <c r="P100" s="31"/>
      <c r="Q100" s="32"/>
      <c r="R100" s="20"/>
      <c r="S100" s="33"/>
      <c r="T100" s="89"/>
      <c r="U100" s="90"/>
      <c r="V100" s="18"/>
      <c r="W100" s="19"/>
      <c r="X100" s="20"/>
      <c r="Y100" s="21"/>
      <c r="Z100" s="22"/>
      <c r="AA100" s="23"/>
      <c r="AB100" s="27"/>
      <c r="AC100" s="80"/>
      <c r="AD100" s="24"/>
      <c r="AF100" s="140"/>
    </row>
    <row r="101" spans="1:32" ht="27" customHeight="1">
      <c r="A101" s="15"/>
      <c r="B101" s="81"/>
      <c r="C101" s="15"/>
      <c r="D101" s="15"/>
      <c r="E101" s="26"/>
      <c r="F101" s="27"/>
      <c r="G101" s="27"/>
      <c r="H101" s="81"/>
      <c r="I101" s="27"/>
      <c r="J101" s="28"/>
      <c r="K101" s="81"/>
      <c r="L101" s="81"/>
      <c r="M101" s="88"/>
      <c r="N101" s="29"/>
      <c r="O101" s="30"/>
      <c r="P101" s="31"/>
      <c r="Q101" s="32"/>
      <c r="R101" s="20"/>
      <c r="S101" s="33"/>
      <c r="T101" s="89"/>
      <c r="U101" s="90"/>
      <c r="V101" s="18"/>
      <c r="W101" s="19"/>
      <c r="X101" s="20"/>
      <c r="Y101" s="21"/>
      <c r="Z101" s="22"/>
      <c r="AA101" s="23"/>
      <c r="AB101" s="27"/>
      <c r="AC101" s="80"/>
      <c r="AD101" s="24"/>
      <c r="AF101" s="140"/>
    </row>
    <row r="102" spans="1:32" ht="27" customHeight="1">
      <c r="A102" s="15"/>
      <c r="B102" s="81"/>
      <c r="C102" s="15"/>
      <c r="D102" s="15"/>
      <c r="E102" s="26"/>
      <c r="F102" s="27"/>
      <c r="G102" s="27"/>
      <c r="H102" s="81"/>
      <c r="I102" s="27"/>
      <c r="J102" s="28"/>
      <c r="K102" s="81"/>
      <c r="L102" s="81"/>
      <c r="M102" s="88"/>
      <c r="N102" s="29"/>
      <c r="O102" s="30"/>
      <c r="P102" s="31"/>
      <c r="Q102" s="32"/>
      <c r="R102" s="20"/>
      <c r="S102" s="33"/>
      <c r="T102" s="89"/>
      <c r="U102" s="90"/>
      <c r="V102" s="18"/>
      <c r="W102" s="19"/>
      <c r="X102" s="20"/>
      <c r="Y102" s="21"/>
      <c r="Z102" s="22"/>
      <c r="AA102" s="23"/>
      <c r="AB102" s="27"/>
      <c r="AC102" s="80"/>
      <c r="AD102" s="24"/>
      <c r="AF102" s="140"/>
    </row>
    <row r="103" spans="1:32" ht="27" customHeight="1">
      <c r="A103" s="15"/>
      <c r="B103" s="81"/>
      <c r="C103" s="15"/>
      <c r="D103" s="15"/>
      <c r="E103" s="26"/>
      <c r="F103" s="27"/>
      <c r="G103" s="27"/>
      <c r="H103" s="81"/>
      <c r="I103" s="27"/>
      <c r="J103" s="28"/>
      <c r="K103" s="81"/>
      <c r="L103" s="81"/>
      <c r="M103" s="88"/>
      <c r="N103" s="29"/>
      <c r="O103" s="30"/>
      <c r="P103" s="31"/>
      <c r="Q103" s="32"/>
      <c r="R103" s="20"/>
      <c r="S103" s="33"/>
      <c r="T103" s="89"/>
      <c r="U103" s="90"/>
      <c r="V103" s="18"/>
      <c r="W103" s="19"/>
      <c r="X103" s="20"/>
      <c r="Y103" s="21"/>
      <c r="Z103" s="22"/>
      <c r="AA103" s="23"/>
      <c r="AB103" s="27"/>
      <c r="AC103" s="80"/>
      <c r="AD103" s="24"/>
      <c r="AF103" s="140"/>
    </row>
    <row r="104" spans="1:32" ht="27" customHeight="1">
      <c r="A104" s="15"/>
      <c r="B104" s="81"/>
      <c r="C104" s="15"/>
      <c r="D104" s="15"/>
      <c r="E104" s="26"/>
      <c r="F104" s="27"/>
      <c r="G104" s="27"/>
      <c r="H104" s="81"/>
      <c r="I104" s="27"/>
      <c r="J104" s="28"/>
      <c r="K104" s="81"/>
      <c r="L104" s="81"/>
      <c r="M104" s="88"/>
      <c r="N104" s="29"/>
      <c r="O104" s="30"/>
      <c r="P104" s="31"/>
      <c r="Q104" s="32"/>
      <c r="R104" s="20"/>
      <c r="S104" s="33"/>
      <c r="T104" s="89"/>
      <c r="U104" s="90"/>
      <c r="V104" s="18"/>
      <c r="W104" s="19"/>
      <c r="X104" s="20"/>
      <c r="Y104" s="21"/>
      <c r="Z104" s="22"/>
      <c r="AA104" s="23"/>
      <c r="AB104" s="27"/>
      <c r="AC104" s="80"/>
      <c r="AD104" s="24"/>
      <c r="AF104" s="140"/>
    </row>
    <row r="105" spans="1:32" ht="27" customHeight="1">
      <c r="A105" s="15"/>
      <c r="B105" s="81"/>
      <c r="C105" s="15"/>
      <c r="D105" s="15"/>
      <c r="E105" s="26"/>
      <c r="F105" s="27"/>
      <c r="G105" s="27"/>
      <c r="H105" s="81"/>
      <c r="I105" s="27"/>
      <c r="J105" s="28"/>
      <c r="K105" s="81"/>
      <c r="L105" s="81"/>
      <c r="M105" s="88"/>
      <c r="N105" s="29"/>
      <c r="O105" s="30"/>
      <c r="P105" s="31"/>
      <c r="Q105" s="32"/>
      <c r="R105" s="20"/>
      <c r="S105" s="33"/>
      <c r="T105" s="89"/>
      <c r="U105" s="90"/>
      <c r="V105" s="18"/>
      <c r="W105" s="19"/>
      <c r="X105" s="20"/>
      <c r="Y105" s="21"/>
      <c r="Z105" s="22"/>
      <c r="AA105" s="23"/>
      <c r="AB105" s="27"/>
      <c r="AC105" s="80"/>
      <c r="AD105" s="24"/>
      <c r="AF105" s="140"/>
    </row>
    <row r="106" spans="1:32" ht="27" customHeight="1">
      <c r="A106" s="15"/>
      <c r="B106" s="81"/>
      <c r="C106" s="15"/>
      <c r="D106" s="15"/>
      <c r="E106" s="26"/>
      <c r="F106" s="27"/>
      <c r="G106" s="27"/>
      <c r="H106" s="81"/>
      <c r="I106" s="27"/>
      <c r="J106" s="28"/>
      <c r="K106" s="81"/>
      <c r="L106" s="81"/>
      <c r="M106" s="88"/>
      <c r="N106" s="29"/>
      <c r="O106" s="30"/>
      <c r="P106" s="31"/>
      <c r="Q106" s="32"/>
      <c r="R106" s="20"/>
      <c r="S106" s="33"/>
      <c r="T106" s="89"/>
      <c r="U106" s="90"/>
      <c r="V106" s="18"/>
      <c r="W106" s="19"/>
      <c r="X106" s="20"/>
      <c r="Y106" s="21"/>
      <c r="Z106" s="22"/>
      <c r="AA106" s="23"/>
      <c r="AB106" s="27"/>
      <c r="AC106" s="80"/>
      <c r="AD106" s="24"/>
      <c r="AF106" s="140"/>
    </row>
    <row r="107" spans="1:32" ht="27" customHeight="1">
      <c r="A107" s="15"/>
      <c r="B107" s="81"/>
      <c r="C107" s="15"/>
      <c r="D107" s="15"/>
      <c r="E107" s="26"/>
      <c r="F107" s="27"/>
      <c r="G107" s="27"/>
      <c r="H107" s="81"/>
      <c r="I107" s="27"/>
      <c r="J107" s="28"/>
      <c r="K107" s="81"/>
      <c r="L107" s="81"/>
      <c r="M107" s="88"/>
      <c r="N107" s="29"/>
      <c r="O107" s="30"/>
      <c r="P107" s="31"/>
      <c r="Q107" s="32"/>
      <c r="R107" s="20"/>
      <c r="S107" s="33"/>
      <c r="T107" s="89"/>
      <c r="U107" s="90"/>
      <c r="V107" s="18"/>
      <c r="W107" s="19"/>
      <c r="X107" s="20"/>
      <c r="Y107" s="21"/>
      <c r="Z107" s="22"/>
      <c r="AA107" s="23"/>
      <c r="AB107" s="27"/>
      <c r="AC107" s="80"/>
      <c r="AD107" s="24"/>
      <c r="AF107" s="140"/>
    </row>
    <row r="108" spans="1:32" ht="27" customHeight="1">
      <c r="A108" s="15"/>
      <c r="B108" s="81"/>
      <c r="C108" s="15"/>
      <c r="D108" s="15"/>
      <c r="E108" s="26"/>
      <c r="F108" s="27"/>
      <c r="G108" s="27"/>
      <c r="H108" s="81"/>
      <c r="I108" s="27"/>
      <c r="J108" s="28"/>
      <c r="K108" s="81"/>
      <c r="L108" s="81"/>
      <c r="M108" s="88"/>
      <c r="N108" s="29"/>
      <c r="O108" s="30"/>
      <c r="P108" s="31"/>
      <c r="Q108" s="32"/>
      <c r="R108" s="20"/>
      <c r="S108" s="33"/>
      <c r="T108" s="89"/>
      <c r="U108" s="90"/>
      <c r="V108" s="18"/>
      <c r="W108" s="19"/>
      <c r="X108" s="20"/>
      <c r="Y108" s="21"/>
      <c r="Z108" s="22"/>
      <c r="AA108" s="23"/>
      <c r="AB108" s="27"/>
      <c r="AC108" s="80"/>
      <c r="AD108" s="24"/>
      <c r="AF108" s="140"/>
    </row>
    <row r="109" spans="1:32" ht="27" customHeight="1">
      <c r="A109" s="15"/>
      <c r="B109" s="81"/>
      <c r="C109" s="15"/>
      <c r="D109" s="15"/>
      <c r="E109" s="26"/>
      <c r="F109" s="27"/>
      <c r="G109" s="27"/>
      <c r="H109" s="81"/>
      <c r="I109" s="27"/>
      <c r="J109" s="28"/>
      <c r="K109" s="81"/>
      <c r="L109" s="81"/>
      <c r="M109" s="88"/>
      <c r="N109" s="29"/>
      <c r="O109" s="30"/>
      <c r="P109" s="31"/>
      <c r="Q109" s="32"/>
      <c r="R109" s="20"/>
      <c r="S109" s="33"/>
      <c r="T109" s="89"/>
      <c r="U109" s="90"/>
      <c r="V109" s="18"/>
      <c r="W109" s="19"/>
      <c r="X109" s="20"/>
      <c r="Y109" s="21"/>
      <c r="Z109" s="22"/>
      <c r="AA109" s="23"/>
      <c r="AB109" s="27"/>
      <c r="AC109" s="80"/>
      <c r="AD109" s="24"/>
      <c r="AF109" s="140"/>
    </row>
    <row r="110" spans="1:32" ht="27" customHeight="1">
      <c r="A110" s="15"/>
      <c r="B110" s="81"/>
      <c r="C110" s="15"/>
      <c r="D110" s="15"/>
      <c r="E110" s="26"/>
      <c r="F110" s="27"/>
      <c r="G110" s="27"/>
      <c r="H110" s="81"/>
      <c r="I110" s="27"/>
      <c r="J110" s="28"/>
      <c r="K110" s="81"/>
      <c r="L110" s="81"/>
      <c r="M110" s="88"/>
      <c r="N110" s="29"/>
      <c r="O110" s="30"/>
      <c r="P110" s="31"/>
      <c r="Q110" s="32"/>
      <c r="R110" s="20"/>
      <c r="S110" s="33"/>
      <c r="T110" s="89"/>
      <c r="U110" s="90"/>
      <c r="V110" s="18"/>
      <c r="W110" s="19"/>
      <c r="X110" s="20"/>
      <c r="Y110" s="21"/>
      <c r="Z110" s="22"/>
      <c r="AA110" s="23"/>
      <c r="AB110" s="27"/>
      <c r="AC110" s="80"/>
      <c r="AD110" s="24"/>
      <c r="AF110" s="140"/>
    </row>
    <row r="111" spans="1:32" ht="27" customHeight="1">
      <c r="A111" s="15"/>
      <c r="B111" s="81"/>
      <c r="C111" s="15"/>
      <c r="D111" s="15"/>
      <c r="E111" s="26"/>
      <c r="F111" s="27"/>
      <c r="G111" s="27"/>
      <c r="H111" s="81"/>
      <c r="I111" s="27"/>
      <c r="J111" s="28"/>
      <c r="K111" s="81"/>
      <c r="L111" s="81"/>
      <c r="M111" s="88"/>
      <c r="N111" s="29"/>
      <c r="O111" s="30"/>
      <c r="P111" s="31"/>
      <c r="Q111" s="32"/>
      <c r="R111" s="20"/>
      <c r="S111" s="33"/>
      <c r="T111" s="89"/>
      <c r="U111" s="90"/>
      <c r="V111" s="18"/>
      <c r="W111" s="19"/>
      <c r="X111" s="20"/>
      <c r="Y111" s="21"/>
      <c r="Z111" s="22"/>
      <c r="AA111" s="23"/>
      <c r="AB111" s="27"/>
      <c r="AC111" s="80"/>
      <c r="AD111" s="24"/>
      <c r="AF111" s="140"/>
    </row>
    <row r="112" spans="1:32" ht="27" customHeight="1">
      <c r="A112" s="15"/>
      <c r="B112" s="81"/>
      <c r="C112" s="15"/>
      <c r="D112" s="15"/>
      <c r="E112" s="26"/>
      <c r="F112" s="27"/>
      <c r="G112" s="27"/>
      <c r="H112" s="81"/>
      <c r="I112" s="27"/>
      <c r="J112" s="28"/>
      <c r="K112" s="81"/>
      <c r="L112" s="81"/>
      <c r="M112" s="88"/>
      <c r="N112" s="29"/>
      <c r="O112" s="30"/>
      <c r="P112" s="31"/>
      <c r="Q112" s="32"/>
      <c r="R112" s="20"/>
      <c r="S112" s="33"/>
      <c r="T112" s="89"/>
      <c r="U112" s="90"/>
      <c r="V112" s="18"/>
      <c r="W112" s="19"/>
      <c r="X112" s="20"/>
      <c r="Y112" s="21"/>
      <c r="Z112" s="22"/>
      <c r="AA112" s="23"/>
      <c r="AB112" s="27"/>
      <c r="AC112" s="80"/>
      <c r="AD112" s="24"/>
      <c r="AF112" s="140"/>
    </row>
    <row r="113" spans="1:32" ht="27" customHeight="1">
      <c r="A113" s="15"/>
      <c r="B113" s="81"/>
      <c r="C113" s="15"/>
      <c r="D113" s="15"/>
      <c r="E113" s="26"/>
      <c r="F113" s="27"/>
      <c r="G113" s="27"/>
      <c r="H113" s="81"/>
      <c r="I113" s="27"/>
      <c r="J113" s="28"/>
      <c r="K113" s="81"/>
      <c r="L113" s="81"/>
      <c r="M113" s="88"/>
      <c r="N113" s="29"/>
      <c r="O113" s="30"/>
      <c r="P113" s="31"/>
      <c r="Q113" s="32"/>
      <c r="R113" s="20"/>
      <c r="S113" s="33"/>
      <c r="T113" s="89"/>
      <c r="U113" s="90"/>
      <c r="V113" s="18"/>
      <c r="W113" s="19"/>
      <c r="X113" s="20"/>
      <c r="Y113" s="21"/>
      <c r="Z113" s="22"/>
      <c r="AA113" s="23"/>
      <c r="AB113" s="27"/>
      <c r="AC113" s="80"/>
      <c r="AD113" s="24"/>
      <c r="AF113" s="140"/>
    </row>
    <row r="114" spans="1:32" ht="27" customHeight="1">
      <c r="A114" s="15"/>
      <c r="B114" s="81"/>
      <c r="C114" s="15"/>
      <c r="D114" s="15"/>
      <c r="E114" s="26"/>
      <c r="F114" s="27"/>
      <c r="G114" s="27"/>
      <c r="H114" s="81"/>
      <c r="I114" s="27"/>
      <c r="J114" s="28"/>
      <c r="K114" s="81"/>
      <c r="L114" s="81"/>
      <c r="M114" s="88"/>
      <c r="N114" s="29"/>
      <c r="O114" s="30"/>
      <c r="P114" s="31"/>
      <c r="Q114" s="32"/>
      <c r="R114" s="20"/>
      <c r="S114" s="33"/>
      <c r="T114" s="89"/>
      <c r="U114" s="90"/>
      <c r="V114" s="18"/>
      <c r="W114" s="19"/>
      <c r="X114" s="20"/>
      <c r="Y114" s="21"/>
      <c r="Z114" s="22"/>
      <c r="AA114" s="23"/>
      <c r="AB114" s="27"/>
      <c r="AC114" s="80"/>
      <c r="AD114" s="24"/>
      <c r="AF114" s="140"/>
    </row>
    <row r="115" spans="1:32" ht="27" customHeight="1">
      <c r="A115" s="15"/>
      <c r="B115" s="81"/>
      <c r="C115" s="15"/>
      <c r="D115" s="15"/>
      <c r="E115" s="26"/>
      <c r="F115" s="27"/>
      <c r="G115" s="27"/>
      <c r="H115" s="81"/>
      <c r="I115" s="27"/>
      <c r="J115" s="28"/>
      <c r="K115" s="81"/>
      <c r="L115" s="81"/>
      <c r="M115" s="88"/>
      <c r="N115" s="29"/>
      <c r="O115" s="30"/>
      <c r="P115" s="31"/>
      <c r="Q115" s="32"/>
      <c r="R115" s="20"/>
      <c r="S115" s="33"/>
      <c r="T115" s="89"/>
      <c r="U115" s="90"/>
      <c r="V115" s="18"/>
      <c r="W115" s="19"/>
      <c r="X115" s="20"/>
      <c r="Y115" s="21"/>
      <c r="Z115" s="22"/>
      <c r="AA115" s="23"/>
      <c r="AB115" s="27"/>
      <c r="AC115" s="80"/>
      <c r="AD115" s="24"/>
      <c r="AF115" s="140"/>
    </row>
    <row r="116" spans="1:32" ht="27" customHeight="1">
      <c r="A116" s="15"/>
      <c r="B116" s="81"/>
      <c r="C116" s="15"/>
      <c r="D116" s="15"/>
      <c r="E116" s="26"/>
      <c r="F116" s="27"/>
      <c r="G116" s="27"/>
      <c r="H116" s="81"/>
      <c r="I116" s="27"/>
      <c r="J116" s="28"/>
      <c r="K116" s="81"/>
      <c r="L116" s="81"/>
      <c r="M116" s="88"/>
      <c r="N116" s="29"/>
      <c r="O116" s="30"/>
      <c r="P116" s="31"/>
      <c r="Q116" s="32"/>
      <c r="R116" s="20"/>
      <c r="S116" s="33"/>
      <c r="T116" s="89"/>
      <c r="U116" s="90"/>
      <c r="V116" s="18"/>
      <c r="W116" s="19"/>
      <c r="X116" s="20"/>
      <c r="Y116" s="21"/>
      <c r="Z116" s="22"/>
      <c r="AA116" s="23"/>
      <c r="AB116" s="27"/>
      <c r="AC116" s="80"/>
      <c r="AD116" s="24"/>
      <c r="AF116" s="140"/>
    </row>
    <row r="117" spans="1:32" ht="27" customHeight="1">
      <c r="A117" s="15"/>
      <c r="B117" s="81"/>
      <c r="C117" s="15"/>
      <c r="D117" s="15"/>
      <c r="E117" s="26"/>
      <c r="F117" s="27"/>
      <c r="G117" s="27"/>
      <c r="H117" s="81"/>
      <c r="I117" s="27"/>
      <c r="J117" s="28"/>
      <c r="K117" s="81"/>
      <c r="L117" s="81"/>
      <c r="M117" s="88"/>
      <c r="N117" s="29"/>
      <c r="O117" s="30"/>
      <c r="P117" s="31"/>
      <c r="Q117" s="32"/>
      <c r="R117" s="20"/>
      <c r="S117" s="33"/>
      <c r="T117" s="89"/>
      <c r="U117" s="90"/>
      <c r="V117" s="18"/>
      <c r="W117" s="19"/>
      <c r="X117" s="20"/>
      <c r="Y117" s="21"/>
      <c r="Z117" s="22"/>
      <c r="AA117" s="23"/>
      <c r="AB117" s="27"/>
      <c r="AC117" s="80"/>
      <c r="AD117" s="24"/>
      <c r="AF117" s="140"/>
    </row>
    <row r="118" spans="1:32" ht="27" customHeight="1">
      <c r="A118" s="15"/>
      <c r="B118" s="81"/>
      <c r="C118" s="15"/>
      <c r="D118" s="15"/>
      <c r="E118" s="26"/>
      <c r="F118" s="27"/>
      <c r="G118" s="27"/>
      <c r="H118" s="81"/>
      <c r="I118" s="27"/>
      <c r="J118" s="28"/>
      <c r="K118" s="81"/>
      <c r="L118" s="81"/>
      <c r="M118" s="88"/>
      <c r="N118" s="29"/>
      <c r="O118" s="30"/>
      <c r="P118" s="31"/>
      <c r="Q118" s="32"/>
      <c r="R118" s="20"/>
      <c r="S118" s="33"/>
      <c r="T118" s="89"/>
      <c r="U118" s="90"/>
      <c r="V118" s="18"/>
      <c r="W118" s="19"/>
      <c r="X118" s="20"/>
      <c r="Y118" s="21"/>
      <c r="Z118" s="22"/>
      <c r="AA118" s="23"/>
      <c r="AB118" s="27"/>
      <c r="AC118" s="80"/>
      <c r="AD118" s="24"/>
      <c r="AF118" s="140"/>
    </row>
    <row r="119" spans="1:32" ht="27" customHeight="1">
      <c r="A119" s="15"/>
      <c r="B119" s="81"/>
      <c r="C119" s="15"/>
      <c r="D119" s="15"/>
      <c r="E119" s="26"/>
      <c r="F119" s="27"/>
      <c r="G119" s="27"/>
      <c r="H119" s="81"/>
      <c r="I119" s="27"/>
      <c r="J119" s="28"/>
      <c r="K119" s="81"/>
      <c r="L119" s="81"/>
      <c r="M119" s="88"/>
      <c r="N119" s="29"/>
      <c r="O119" s="30"/>
      <c r="P119" s="31"/>
      <c r="Q119" s="32"/>
      <c r="R119" s="20"/>
      <c r="S119" s="33"/>
      <c r="T119" s="89"/>
      <c r="U119" s="90"/>
      <c r="V119" s="18"/>
      <c r="W119" s="19"/>
      <c r="X119" s="20"/>
      <c r="Y119" s="21"/>
      <c r="Z119" s="22"/>
      <c r="AA119" s="23"/>
      <c r="AB119" s="27"/>
      <c r="AC119" s="80"/>
      <c r="AD119" s="24"/>
      <c r="AF119" s="140"/>
    </row>
    <row r="120" spans="1:32" ht="27" customHeight="1">
      <c r="A120" s="15"/>
      <c r="B120" s="81"/>
      <c r="C120" s="15"/>
      <c r="D120" s="15"/>
      <c r="E120" s="26"/>
      <c r="F120" s="27"/>
      <c r="G120" s="27"/>
      <c r="H120" s="81"/>
      <c r="I120" s="27"/>
      <c r="J120" s="28"/>
      <c r="K120" s="81"/>
      <c r="L120" s="81"/>
      <c r="M120" s="88"/>
      <c r="N120" s="29"/>
      <c r="O120" s="30"/>
      <c r="P120" s="31"/>
      <c r="Q120" s="32"/>
      <c r="R120" s="20"/>
      <c r="S120" s="33"/>
      <c r="T120" s="89"/>
      <c r="U120" s="90"/>
      <c r="V120" s="18"/>
      <c r="W120" s="19"/>
      <c r="X120" s="20"/>
      <c r="Y120" s="21"/>
      <c r="Z120" s="22"/>
      <c r="AA120" s="23"/>
      <c r="AB120" s="27"/>
      <c r="AC120" s="80"/>
      <c r="AD120" s="24"/>
      <c r="AF120" s="140"/>
    </row>
    <row r="121" spans="1:32" ht="27" customHeight="1">
      <c r="A121" s="15"/>
      <c r="B121" s="81"/>
      <c r="C121" s="15"/>
      <c r="D121" s="15"/>
      <c r="E121" s="26"/>
      <c r="F121" s="27"/>
      <c r="G121" s="27"/>
      <c r="H121" s="81"/>
      <c r="I121" s="27"/>
      <c r="J121" s="28"/>
      <c r="K121" s="81"/>
      <c r="L121" s="81"/>
      <c r="M121" s="88"/>
      <c r="N121" s="29"/>
      <c r="O121" s="30"/>
      <c r="P121" s="31"/>
      <c r="Q121" s="32"/>
      <c r="R121" s="20"/>
      <c r="S121" s="33"/>
      <c r="T121" s="89"/>
      <c r="U121" s="90"/>
      <c r="V121" s="18"/>
      <c r="W121" s="19"/>
      <c r="X121" s="20"/>
      <c r="Y121" s="21"/>
      <c r="Z121" s="22"/>
      <c r="AA121" s="23"/>
      <c r="AB121" s="27"/>
      <c r="AC121" s="80"/>
      <c r="AD121" s="24"/>
      <c r="AF121" s="140"/>
    </row>
    <row r="122" spans="1:32" ht="27" customHeight="1">
      <c r="A122" s="15"/>
      <c r="B122" s="81"/>
      <c r="C122" s="15"/>
      <c r="D122" s="15"/>
      <c r="E122" s="26"/>
      <c r="F122" s="27"/>
      <c r="G122" s="27"/>
      <c r="H122" s="81"/>
      <c r="I122" s="27"/>
      <c r="J122" s="28"/>
      <c r="K122" s="81"/>
      <c r="L122" s="81"/>
      <c r="M122" s="88"/>
      <c r="N122" s="29"/>
      <c r="O122" s="30"/>
      <c r="P122" s="31"/>
      <c r="Q122" s="32"/>
      <c r="R122" s="20"/>
      <c r="S122" s="33"/>
      <c r="T122" s="89"/>
      <c r="U122" s="90"/>
      <c r="V122" s="18"/>
      <c r="W122" s="19"/>
      <c r="X122" s="20"/>
      <c r="Y122" s="21"/>
      <c r="Z122" s="22"/>
      <c r="AA122" s="23"/>
      <c r="AB122" s="27"/>
      <c r="AC122" s="80"/>
      <c r="AD122" s="24"/>
      <c r="AF122" s="140"/>
    </row>
    <row r="123" spans="1:32" ht="27" customHeight="1">
      <c r="A123" s="15"/>
      <c r="B123" s="81"/>
      <c r="C123" s="15"/>
      <c r="D123" s="15"/>
      <c r="E123" s="26"/>
      <c r="F123" s="27"/>
      <c r="G123" s="27"/>
      <c r="H123" s="81"/>
      <c r="I123" s="27"/>
      <c r="J123" s="28"/>
      <c r="K123" s="81"/>
      <c r="L123" s="81"/>
      <c r="M123" s="88"/>
      <c r="N123" s="29"/>
      <c r="O123" s="30"/>
      <c r="P123" s="31"/>
      <c r="Q123" s="32"/>
      <c r="R123" s="20"/>
      <c r="S123" s="33"/>
      <c r="T123" s="89"/>
      <c r="U123" s="90"/>
      <c r="V123" s="18"/>
      <c r="W123" s="19"/>
      <c r="X123" s="20"/>
      <c r="Y123" s="21"/>
      <c r="Z123" s="22"/>
      <c r="AA123" s="23"/>
      <c r="AB123" s="27"/>
      <c r="AC123" s="80"/>
      <c r="AD123" s="24"/>
      <c r="AF123" s="140"/>
    </row>
    <row r="124" spans="1:32" ht="27" customHeight="1">
      <c r="A124" s="15"/>
      <c r="B124" s="81"/>
      <c r="C124" s="15"/>
      <c r="D124" s="15"/>
      <c r="E124" s="26"/>
      <c r="F124" s="27"/>
      <c r="G124" s="27"/>
      <c r="H124" s="81"/>
      <c r="I124" s="27"/>
      <c r="J124" s="28"/>
      <c r="K124" s="81"/>
      <c r="L124" s="81"/>
      <c r="M124" s="88"/>
      <c r="N124" s="29"/>
      <c r="O124" s="30"/>
      <c r="P124" s="31"/>
      <c r="Q124" s="32"/>
      <c r="R124" s="20"/>
      <c r="S124" s="33"/>
      <c r="T124" s="89"/>
      <c r="U124" s="90"/>
      <c r="V124" s="18"/>
      <c r="W124" s="19"/>
      <c r="X124" s="20"/>
      <c r="Y124" s="21"/>
      <c r="Z124" s="22"/>
      <c r="AA124" s="23"/>
      <c r="AB124" s="27"/>
      <c r="AC124" s="80"/>
      <c r="AD124" s="24"/>
      <c r="AF124" s="140"/>
    </row>
    <row r="125" spans="1:32" ht="27" customHeight="1">
      <c r="A125" s="15"/>
      <c r="B125" s="81"/>
      <c r="C125" s="15"/>
      <c r="D125" s="15"/>
      <c r="E125" s="26"/>
      <c r="F125" s="27"/>
      <c r="G125" s="27"/>
      <c r="H125" s="81"/>
      <c r="I125" s="27"/>
      <c r="J125" s="28"/>
      <c r="K125" s="81"/>
      <c r="L125" s="81"/>
      <c r="M125" s="88"/>
      <c r="N125" s="29"/>
      <c r="O125" s="30"/>
      <c r="P125" s="31"/>
      <c r="Q125" s="32"/>
      <c r="R125" s="20"/>
      <c r="S125" s="33"/>
      <c r="T125" s="89"/>
      <c r="U125" s="90"/>
      <c r="V125" s="18"/>
      <c r="W125" s="19"/>
      <c r="X125" s="20"/>
      <c r="Y125" s="21"/>
      <c r="Z125" s="22"/>
      <c r="AA125" s="23"/>
      <c r="AB125" s="27"/>
      <c r="AC125" s="80"/>
      <c r="AD125" s="24"/>
      <c r="AF125" s="140"/>
    </row>
    <row r="126" spans="1:32" ht="27" customHeight="1">
      <c r="A126" s="15"/>
      <c r="B126" s="81"/>
      <c r="C126" s="15"/>
      <c r="D126" s="15"/>
      <c r="E126" s="26"/>
      <c r="F126" s="27"/>
      <c r="G126" s="27"/>
      <c r="H126" s="81"/>
      <c r="I126" s="27"/>
      <c r="J126" s="28"/>
      <c r="K126" s="81"/>
      <c r="L126" s="81"/>
      <c r="M126" s="88"/>
      <c r="N126" s="29"/>
      <c r="O126" s="30"/>
      <c r="P126" s="31"/>
      <c r="Q126" s="32"/>
      <c r="R126" s="20"/>
      <c r="S126" s="33"/>
      <c r="T126" s="89"/>
      <c r="U126" s="90"/>
      <c r="V126" s="18"/>
      <c r="W126" s="19"/>
      <c r="X126" s="20"/>
      <c r="Y126" s="21"/>
      <c r="Z126" s="22"/>
      <c r="AA126" s="23"/>
      <c r="AB126" s="27"/>
      <c r="AC126" s="80"/>
      <c r="AD126" s="24"/>
      <c r="AF126" s="140"/>
    </row>
    <row r="127" spans="1:32" ht="27" customHeight="1">
      <c r="A127" s="15"/>
      <c r="B127" s="81"/>
      <c r="C127" s="15"/>
      <c r="D127" s="15"/>
      <c r="E127" s="26"/>
      <c r="F127" s="27"/>
      <c r="G127" s="27"/>
      <c r="H127" s="81"/>
      <c r="I127" s="27"/>
      <c r="J127" s="28"/>
      <c r="K127" s="81"/>
      <c r="L127" s="81"/>
      <c r="M127" s="88"/>
      <c r="N127" s="29"/>
      <c r="O127" s="30"/>
      <c r="P127" s="31"/>
      <c r="Q127" s="32"/>
      <c r="R127" s="20"/>
      <c r="S127" s="33"/>
      <c r="T127" s="89"/>
      <c r="U127" s="90"/>
      <c r="V127" s="18"/>
      <c r="W127" s="19"/>
      <c r="X127" s="20"/>
      <c r="Y127" s="21"/>
      <c r="Z127" s="22"/>
      <c r="AA127" s="23"/>
      <c r="AB127" s="27"/>
      <c r="AC127" s="80"/>
      <c r="AD127" s="24"/>
      <c r="AF127" s="140"/>
    </row>
    <row r="128" spans="1:32" ht="27" customHeight="1">
      <c r="A128" s="15"/>
      <c r="B128" s="81"/>
      <c r="C128" s="15"/>
      <c r="D128" s="15"/>
      <c r="E128" s="26"/>
      <c r="F128" s="27"/>
      <c r="G128" s="27"/>
      <c r="H128" s="81"/>
      <c r="I128" s="27"/>
      <c r="J128" s="28"/>
      <c r="K128" s="81"/>
      <c r="L128" s="81"/>
      <c r="M128" s="88"/>
      <c r="N128" s="29"/>
      <c r="O128" s="30"/>
      <c r="P128" s="31"/>
      <c r="Q128" s="32"/>
      <c r="R128" s="20"/>
      <c r="S128" s="33"/>
      <c r="T128" s="89"/>
      <c r="U128" s="90"/>
      <c r="V128" s="18"/>
      <c r="W128" s="19"/>
      <c r="X128" s="20"/>
      <c r="Y128" s="21"/>
      <c r="Z128" s="22"/>
      <c r="AA128" s="23"/>
      <c r="AB128" s="27"/>
      <c r="AC128" s="80"/>
      <c r="AD128" s="24"/>
      <c r="AF128" s="140"/>
    </row>
    <row r="129" spans="1:32" ht="27" customHeight="1">
      <c r="A129" s="15"/>
      <c r="B129" s="81"/>
      <c r="C129" s="15"/>
      <c r="D129" s="15"/>
      <c r="E129" s="26"/>
      <c r="F129" s="27"/>
      <c r="G129" s="27"/>
      <c r="H129" s="81"/>
      <c r="I129" s="27"/>
      <c r="J129" s="28"/>
      <c r="K129" s="81"/>
      <c r="L129" s="81"/>
      <c r="M129" s="88"/>
      <c r="N129" s="29"/>
      <c r="O129" s="30"/>
      <c r="P129" s="31"/>
      <c r="Q129" s="32"/>
      <c r="R129" s="20"/>
      <c r="S129" s="33"/>
      <c r="T129" s="89"/>
      <c r="U129" s="90"/>
      <c r="V129" s="18"/>
      <c r="W129" s="19"/>
      <c r="X129" s="20"/>
      <c r="Y129" s="21"/>
      <c r="Z129" s="22"/>
      <c r="AA129" s="23"/>
      <c r="AB129" s="27"/>
      <c r="AC129" s="80"/>
      <c r="AD129" s="24"/>
      <c r="AF129" s="140"/>
    </row>
    <row r="130" spans="1:32" ht="27" customHeight="1">
      <c r="A130" s="15"/>
      <c r="B130" s="81"/>
      <c r="C130" s="15"/>
      <c r="D130" s="15"/>
      <c r="E130" s="26"/>
      <c r="F130" s="27"/>
      <c r="G130" s="27"/>
      <c r="H130" s="81"/>
      <c r="I130" s="27"/>
      <c r="J130" s="28"/>
      <c r="K130" s="81"/>
      <c r="L130" s="81"/>
      <c r="M130" s="88"/>
      <c r="N130" s="29"/>
      <c r="O130" s="30"/>
      <c r="P130" s="31"/>
      <c r="Q130" s="32"/>
      <c r="R130" s="20"/>
      <c r="S130" s="33"/>
      <c r="T130" s="89"/>
      <c r="U130" s="90"/>
      <c r="V130" s="18"/>
      <c r="W130" s="19"/>
      <c r="X130" s="20"/>
      <c r="Y130" s="21"/>
      <c r="Z130" s="22"/>
      <c r="AA130" s="23"/>
      <c r="AB130" s="27"/>
      <c r="AC130" s="80"/>
      <c r="AD130" s="24"/>
      <c r="AF130" s="140"/>
    </row>
    <row r="131" spans="1:32" ht="27" customHeight="1">
      <c r="A131" s="15"/>
      <c r="B131" s="81"/>
      <c r="C131" s="15"/>
      <c r="D131" s="15"/>
      <c r="E131" s="26"/>
      <c r="F131" s="27"/>
      <c r="G131" s="27"/>
      <c r="H131" s="81"/>
      <c r="I131" s="27"/>
      <c r="J131" s="28"/>
      <c r="K131" s="81"/>
      <c r="L131" s="81"/>
      <c r="M131" s="88"/>
      <c r="N131" s="29"/>
      <c r="O131" s="30"/>
      <c r="P131" s="31"/>
      <c r="Q131" s="32"/>
      <c r="R131" s="20"/>
      <c r="S131" s="33"/>
      <c r="T131" s="89"/>
      <c r="U131" s="90"/>
      <c r="V131" s="18"/>
      <c r="W131" s="19"/>
      <c r="X131" s="20"/>
      <c r="Y131" s="21"/>
      <c r="Z131" s="22"/>
      <c r="AA131" s="23"/>
      <c r="AB131" s="27"/>
      <c r="AC131" s="80"/>
      <c r="AD131" s="24"/>
      <c r="AF131" s="140"/>
    </row>
    <row r="132" spans="1:32" ht="27" customHeight="1">
      <c r="A132" s="15"/>
      <c r="B132" s="81"/>
      <c r="C132" s="15"/>
      <c r="D132" s="15"/>
      <c r="E132" s="26"/>
      <c r="F132" s="27"/>
      <c r="G132" s="27"/>
      <c r="H132" s="81"/>
      <c r="I132" s="27"/>
      <c r="J132" s="28"/>
      <c r="K132" s="81"/>
      <c r="L132" s="81"/>
      <c r="M132" s="88"/>
      <c r="N132" s="29"/>
      <c r="O132" s="30"/>
      <c r="P132" s="31"/>
      <c r="Q132" s="32"/>
      <c r="R132" s="20"/>
      <c r="S132" s="33"/>
      <c r="T132" s="89"/>
      <c r="U132" s="90"/>
      <c r="V132" s="18"/>
      <c r="W132" s="19"/>
      <c r="X132" s="20"/>
      <c r="Y132" s="21"/>
      <c r="Z132" s="22"/>
      <c r="AA132" s="23"/>
      <c r="AB132" s="27"/>
      <c r="AC132" s="80"/>
      <c r="AD132" s="24"/>
      <c r="AF132" s="140"/>
    </row>
    <row r="133" spans="1:32" ht="27" customHeight="1">
      <c r="A133" s="15"/>
      <c r="B133" s="81"/>
      <c r="C133" s="15"/>
      <c r="D133" s="15"/>
      <c r="E133" s="26"/>
      <c r="F133" s="27"/>
      <c r="G133" s="27"/>
      <c r="H133" s="81"/>
      <c r="I133" s="27"/>
      <c r="J133" s="28"/>
      <c r="K133" s="81"/>
      <c r="L133" s="81"/>
      <c r="M133" s="88"/>
      <c r="N133" s="29"/>
      <c r="O133" s="30"/>
      <c r="P133" s="31"/>
      <c r="Q133" s="32"/>
      <c r="R133" s="20"/>
      <c r="S133" s="33"/>
      <c r="T133" s="89"/>
      <c r="U133" s="90"/>
      <c r="V133" s="18"/>
      <c r="W133" s="19"/>
      <c r="X133" s="20"/>
      <c r="Y133" s="21"/>
      <c r="Z133" s="22"/>
      <c r="AA133" s="23"/>
      <c r="AB133" s="27"/>
      <c r="AC133" s="80"/>
      <c r="AD133" s="24"/>
      <c r="AF133" s="140"/>
    </row>
    <row r="134" spans="1:32" ht="27" customHeight="1">
      <c r="A134" s="15"/>
      <c r="B134" s="81"/>
      <c r="C134" s="15"/>
      <c r="D134" s="15"/>
      <c r="E134" s="26"/>
      <c r="F134" s="27"/>
      <c r="G134" s="27"/>
      <c r="H134" s="81"/>
      <c r="I134" s="27"/>
      <c r="J134" s="28"/>
      <c r="K134" s="81"/>
      <c r="L134" s="81"/>
      <c r="M134" s="88"/>
      <c r="N134" s="29"/>
      <c r="O134" s="30"/>
      <c r="P134" s="31"/>
      <c r="Q134" s="32"/>
      <c r="R134" s="20"/>
      <c r="S134" s="33"/>
      <c r="T134" s="89"/>
      <c r="U134" s="90"/>
      <c r="V134" s="18"/>
      <c r="W134" s="19"/>
      <c r="X134" s="20"/>
      <c r="Y134" s="21"/>
      <c r="Z134" s="22"/>
      <c r="AA134" s="23"/>
      <c r="AB134" s="27"/>
      <c r="AC134" s="80"/>
      <c r="AD134" s="24"/>
      <c r="AF134" s="140"/>
    </row>
    <row r="135" spans="1:32" ht="27" customHeight="1">
      <c r="A135" s="15"/>
      <c r="B135" s="81"/>
      <c r="C135" s="15"/>
      <c r="D135" s="15"/>
      <c r="E135" s="26"/>
      <c r="F135" s="27"/>
      <c r="G135" s="27"/>
      <c r="H135" s="81"/>
      <c r="I135" s="27"/>
      <c r="J135" s="28"/>
      <c r="K135" s="81"/>
      <c r="L135" s="81"/>
      <c r="M135" s="88"/>
      <c r="N135" s="29"/>
      <c r="O135" s="30"/>
      <c r="P135" s="31"/>
      <c r="Q135" s="32"/>
      <c r="R135" s="20"/>
      <c r="S135" s="33"/>
      <c r="T135" s="89"/>
      <c r="U135" s="90"/>
      <c r="V135" s="18"/>
      <c r="W135" s="19"/>
      <c r="X135" s="20"/>
      <c r="Y135" s="21"/>
      <c r="Z135" s="22"/>
      <c r="AA135" s="23"/>
      <c r="AB135" s="27"/>
      <c r="AC135" s="80"/>
      <c r="AD135" s="24"/>
      <c r="AF135" s="140"/>
    </row>
    <row r="136" spans="1:32" ht="27" customHeight="1">
      <c r="A136" s="15"/>
      <c r="B136" s="81"/>
      <c r="C136" s="15"/>
      <c r="D136" s="15"/>
      <c r="E136" s="26"/>
      <c r="F136" s="27"/>
      <c r="G136" s="27"/>
      <c r="H136" s="81"/>
      <c r="I136" s="27"/>
      <c r="J136" s="28"/>
      <c r="K136" s="81"/>
      <c r="L136" s="81"/>
      <c r="M136" s="88"/>
      <c r="N136" s="29"/>
      <c r="O136" s="30"/>
      <c r="P136" s="31"/>
      <c r="Q136" s="32"/>
      <c r="R136" s="20"/>
      <c r="S136" s="33"/>
      <c r="T136" s="89"/>
      <c r="U136" s="90"/>
      <c r="V136" s="18"/>
      <c r="W136" s="19"/>
      <c r="X136" s="20"/>
      <c r="Y136" s="21"/>
      <c r="Z136" s="22"/>
      <c r="AA136" s="23"/>
      <c r="AB136" s="27"/>
      <c r="AC136" s="80"/>
      <c r="AD136" s="24"/>
      <c r="AF136" s="140"/>
    </row>
    <row r="137" spans="1:32" ht="27" customHeight="1">
      <c r="A137" s="15"/>
      <c r="B137" s="81"/>
      <c r="C137" s="15"/>
      <c r="D137" s="15"/>
      <c r="E137" s="26"/>
      <c r="F137" s="27"/>
      <c r="G137" s="27"/>
      <c r="H137" s="81"/>
      <c r="I137" s="27"/>
      <c r="J137" s="28"/>
      <c r="K137" s="81"/>
      <c r="L137" s="81"/>
      <c r="M137" s="88"/>
      <c r="N137" s="29"/>
      <c r="O137" s="30"/>
      <c r="P137" s="31"/>
      <c r="Q137" s="32"/>
      <c r="R137" s="20"/>
      <c r="S137" s="33"/>
      <c r="T137" s="89"/>
      <c r="U137" s="90"/>
      <c r="V137" s="18"/>
      <c r="W137" s="19"/>
      <c r="X137" s="20"/>
      <c r="Y137" s="21"/>
      <c r="Z137" s="22"/>
      <c r="AA137" s="23"/>
      <c r="AB137" s="27"/>
      <c r="AC137" s="80"/>
      <c r="AD137" s="24"/>
      <c r="AF137" s="140"/>
    </row>
    <row r="138" spans="1:32" ht="27" customHeight="1">
      <c r="A138" s="15"/>
      <c r="B138" s="81"/>
      <c r="C138" s="15"/>
      <c r="D138" s="15"/>
      <c r="E138" s="26"/>
      <c r="F138" s="27"/>
      <c r="G138" s="27"/>
      <c r="H138" s="81"/>
      <c r="I138" s="27"/>
      <c r="J138" s="28"/>
      <c r="K138" s="81"/>
      <c r="L138" s="81"/>
      <c r="M138" s="88"/>
      <c r="N138" s="29"/>
      <c r="O138" s="30"/>
      <c r="P138" s="31"/>
      <c r="Q138" s="32"/>
      <c r="R138" s="20"/>
      <c r="S138" s="33"/>
      <c r="T138" s="89"/>
      <c r="U138" s="90"/>
      <c r="V138" s="18"/>
      <c r="W138" s="19"/>
      <c r="X138" s="20"/>
      <c r="Y138" s="21"/>
      <c r="Z138" s="22"/>
      <c r="AA138" s="23"/>
      <c r="AB138" s="27"/>
      <c r="AC138" s="80"/>
      <c r="AD138" s="24"/>
      <c r="AF138" s="140"/>
    </row>
    <row r="139" spans="1:32" ht="27" customHeight="1">
      <c r="A139" s="15"/>
      <c r="B139" s="81"/>
      <c r="C139" s="15"/>
      <c r="D139" s="15"/>
      <c r="E139" s="26"/>
      <c r="F139" s="27"/>
      <c r="G139" s="27"/>
      <c r="H139" s="81"/>
      <c r="I139" s="27"/>
      <c r="J139" s="28"/>
      <c r="K139" s="81"/>
      <c r="L139" s="81"/>
      <c r="M139" s="88"/>
      <c r="N139" s="29"/>
      <c r="O139" s="30"/>
      <c r="P139" s="31"/>
      <c r="Q139" s="32"/>
      <c r="R139" s="20"/>
      <c r="S139" s="33"/>
      <c r="T139" s="89"/>
      <c r="U139" s="90"/>
      <c r="V139" s="18"/>
      <c r="W139" s="19"/>
      <c r="X139" s="20"/>
      <c r="Y139" s="21"/>
      <c r="Z139" s="22"/>
      <c r="AA139" s="23"/>
      <c r="AB139" s="27"/>
      <c r="AC139" s="80"/>
      <c r="AD139" s="24"/>
      <c r="AF139" s="140"/>
    </row>
    <row r="140" spans="1:32" ht="27" customHeight="1">
      <c r="A140" s="15"/>
      <c r="B140" s="81"/>
      <c r="C140" s="15"/>
      <c r="D140" s="15"/>
      <c r="E140" s="26"/>
      <c r="F140" s="27"/>
      <c r="G140" s="27"/>
      <c r="H140" s="81"/>
      <c r="I140" s="27"/>
      <c r="J140" s="28"/>
      <c r="K140" s="81"/>
      <c r="L140" s="81"/>
      <c r="M140" s="88"/>
      <c r="N140" s="29"/>
      <c r="O140" s="30"/>
      <c r="P140" s="31"/>
      <c r="Q140" s="32"/>
      <c r="R140" s="20"/>
      <c r="S140" s="33"/>
      <c r="T140" s="89"/>
      <c r="U140" s="90"/>
      <c r="V140" s="18"/>
      <c r="W140" s="19"/>
      <c r="X140" s="20"/>
      <c r="Y140" s="21"/>
      <c r="Z140" s="22"/>
      <c r="AA140" s="23"/>
      <c r="AB140" s="27"/>
      <c r="AC140" s="80"/>
      <c r="AD140" s="24"/>
      <c r="AF140" s="140"/>
    </row>
    <row r="141" spans="1:32" ht="27" customHeight="1">
      <c r="A141" s="15"/>
      <c r="B141" s="81"/>
      <c r="C141" s="15"/>
      <c r="D141" s="15"/>
      <c r="E141" s="26"/>
      <c r="F141" s="27"/>
      <c r="G141" s="27"/>
      <c r="H141" s="81"/>
      <c r="I141" s="27"/>
      <c r="J141" s="28"/>
      <c r="K141" s="81"/>
      <c r="L141" s="81"/>
      <c r="M141" s="88"/>
      <c r="N141" s="29"/>
      <c r="O141" s="30"/>
      <c r="P141" s="31"/>
      <c r="Q141" s="32"/>
      <c r="R141" s="20"/>
      <c r="S141" s="33"/>
      <c r="T141" s="89"/>
      <c r="U141" s="90"/>
      <c r="V141" s="18"/>
      <c r="W141" s="19"/>
      <c r="X141" s="20"/>
      <c r="Y141" s="21"/>
      <c r="Z141" s="22"/>
      <c r="AA141" s="23"/>
      <c r="AB141" s="27"/>
      <c r="AC141" s="80"/>
      <c r="AD141" s="24"/>
      <c r="AF141" s="140"/>
    </row>
    <row r="142" spans="1:32" ht="27" customHeight="1">
      <c r="A142" s="15"/>
      <c r="B142" s="81"/>
      <c r="C142" s="15"/>
      <c r="D142" s="15"/>
      <c r="E142" s="26"/>
      <c r="F142" s="27"/>
      <c r="G142" s="27"/>
      <c r="H142" s="81"/>
      <c r="I142" s="27"/>
      <c r="J142" s="28"/>
      <c r="K142" s="81"/>
      <c r="L142" s="81"/>
      <c r="M142" s="88"/>
      <c r="N142" s="29"/>
      <c r="O142" s="30"/>
      <c r="P142" s="31"/>
      <c r="Q142" s="32"/>
      <c r="R142" s="20"/>
      <c r="S142" s="33"/>
      <c r="T142" s="89"/>
      <c r="U142" s="90"/>
      <c r="V142" s="18"/>
      <c r="W142" s="19"/>
      <c r="X142" s="20"/>
      <c r="Y142" s="21"/>
      <c r="Z142" s="22"/>
      <c r="AA142" s="23"/>
      <c r="AB142" s="27"/>
      <c r="AC142" s="80"/>
      <c r="AD142" s="24"/>
      <c r="AF142" s="140"/>
    </row>
    <row r="143" spans="1:32" ht="27" customHeight="1">
      <c r="A143" s="15"/>
      <c r="B143" s="81"/>
      <c r="C143" s="15"/>
      <c r="D143" s="15"/>
      <c r="E143" s="26"/>
      <c r="F143" s="27"/>
      <c r="G143" s="27"/>
      <c r="H143" s="81"/>
      <c r="I143" s="27"/>
      <c r="J143" s="28"/>
      <c r="K143" s="81"/>
      <c r="L143" s="81"/>
      <c r="M143" s="88"/>
      <c r="N143" s="29"/>
      <c r="O143" s="30"/>
      <c r="P143" s="31"/>
      <c r="Q143" s="32"/>
      <c r="R143" s="20"/>
      <c r="S143" s="33"/>
      <c r="T143" s="89"/>
      <c r="U143" s="90"/>
      <c r="V143" s="18"/>
      <c r="W143" s="19"/>
      <c r="X143" s="20"/>
      <c r="Y143" s="21"/>
      <c r="Z143" s="22"/>
      <c r="AA143" s="23"/>
      <c r="AB143" s="27"/>
      <c r="AC143" s="80"/>
      <c r="AD143" s="24"/>
      <c r="AF143" s="140"/>
    </row>
    <row r="144" spans="1:32" ht="27" customHeight="1">
      <c r="A144" s="15"/>
      <c r="B144" s="81"/>
      <c r="C144" s="15"/>
      <c r="D144" s="15"/>
      <c r="E144" s="26"/>
      <c r="F144" s="27"/>
      <c r="G144" s="27"/>
      <c r="H144" s="81"/>
      <c r="I144" s="27"/>
      <c r="J144" s="28"/>
      <c r="K144" s="81"/>
      <c r="L144" s="81"/>
      <c r="M144" s="88"/>
      <c r="N144" s="29"/>
      <c r="O144" s="30"/>
      <c r="P144" s="31"/>
      <c r="Q144" s="32"/>
      <c r="R144" s="20"/>
      <c r="S144" s="33"/>
      <c r="T144" s="89"/>
      <c r="U144" s="90"/>
      <c r="V144" s="18"/>
      <c r="W144" s="19"/>
      <c r="X144" s="20"/>
      <c r="Y144" s="21"/>
      <c r="Z144" s="22"/>
      <c r="AA144" s="23"/>
      <c r="AB144" s="27"/>
      <c r="AC144" s="80"/>
      <c r="AD144" s="24"/>
      <c r="AF144" s="140"/>
    </row>
    <row r="145" spans="1:32" ht="27" customHeight="1">
      <c r="A145" s="15"/>
      <c r="B145" s="81"/>
      <c r="C145" s="15"/>
      <c r="D145" s="15"/>
      <c r="E145" s="26"/>
      <c r="F145" s="27"/>
      <c r="G145" s="27"/>
      <c r="H145" s="81"/>
      <c r="I145" s="27"/>
      <c r="J145" s="28"/>
      <c r="K145" s="81"/>
      <c r="L145" s="81"/>
      <c r="M145" s="88"/>
      <c r="N145" s="29"/>
      <c r="O145" s="30"/>
      <c r="P145" s="31"/>
      <c r="Q145" s="32"/>
      <c r="R145" s="20"/>
      <c r="S145" s="33"/>
      <c r="T145" s="89"/>
      <c r="U145" s="90"/>
      <c r="V145" s="18"/>
      <c r="W145" s="19"/>
      <c r="X145" s="20"/>
      <c r="Y145" s="21"/>
      <c r="Z145" s="22"/>
      <c r="AA145" s="23"/>
      <c r="AB145" s="27"/>
      <c r="AC145" s="80"/>
      <c r="AD145" s="24"/>
      <c r="AF145" s="140"/>
    </row>
    <row r="146" spans="1:32" ht="27" customHeight="1">
      <c r="A146" s="15"/>
      <c r="B146" s="81"/>
      <c r="C146" s="15"/>
      <c r="D146" s="15"/>
      <c r="E146" s="26"/>
      <c r="F146" s="27"/>
      <c r="G146" s="27"/>
      <c r="H146" s="81"/>
      <c r="I146" s="27"/>
      <c r="J146" s="28"/>
      <c r="K146" s="81"/>
      <c r="L146" s="81"/>
      <c r="M146" s="88"/>
      <c r="N146" s="29"/>
      <c r="O146" s="30"/>
      <c r="P146" s="31"/>
      <c r="Q146" s="32"/>
      <c r="R146" s="20"/>
      <c r="S146" s="33"/>
      <c r="T146" s="89"/>
      <c r="U146" s="90"/>
      <c r="V146" s="18"/>
      <c r="W146" s="19"/>
      <c r="X146" s="20"/>
      <c r="Y146" s="21"/>
      <c r="Z146" s="22"/>
      <c r="AA146" s="23"/>
      <c r="AB146" s="27"/>
      <c r="AC146" s="80"/>
      <c r="AD146" s="24"/>
      <c r="AF146" s="140"/>
    </row>
    <row r="147" spans="1:32" ht="27" customHeight="1">
      <c r="A147" s="15"/>
      <c r="B147" s="81"/>
      <c r="C147" s="15"/>
      <c r="D147" s="15"/>
      <c r="E147" s="26"/>
      <c r="F147" s="27"/>
      <c r="G147" s="27"/>
      <c r="H147" s="81"/>
      <c r="I147" s="27"/>
      <c r="J147" s="28"/>
      <c r="K147" s="81"/>
      <c r="L147" s="81"/>
      <c r="M147" s="88"/>
      <c r="N147" s="29"/>
      <c r="O147" s="30"/>
      <c r="P147" s="31"/>
      <c r="Q147" s="32"/>
      <c r="R147" s="20"/>
      <c r="S147" s="33"/>
      <c r="T147" s="89"/>
      <c r="U147" s="90"/>
      <c r="V147" s="18"/>
      <c r="W147" s="19"/>
      <c r="X147" s="20"/>
      <c r="Y147" s="21"/>
      <c r="Z147" s="22"/>
      <c r="AA147" s="23"/>
      <c r="AB147" s="27"/>
      <c r="AC147" s="80"/>
      <c r="AD147" s="24"/>
      <c r="AF147" s="140"/>
    </row>
    <row r="148" spans="1:32" ht="27" customHeight="1">
      <c r="A148" s="15"/>
      <c r="B148" s="81"/>
      <c r="C148" s="15"/>
      <c r="D148" s="15"/>
      <c r="E148" s="26"/>
      <c r="F148" s="27"/>
      <c r="G148" s="27"/>
      <c r="H148" s="81"/>
      <c r="I148" s="27"/>
      <c r="J148" s="28"/>
      <c r="K148" s="81"/>
      <c r="L148" s="81"/>
      <c r="M148" s="88"/>
      <c r="N148" s="29"/>
      <c r="O148" s="30"/>
      <c r="P148" s="31"/>
      <c r="Q148" s="32"/>
      <c r="R148" s="20"/>
      <c r="S148" s="33"/>
      <c r="T148" s="89"/>
      <c r="U148" s="90"/>
      <c r="V148" s="18"/>
      <c r="W148" s="19"/>
      <c r="X148" s="20"/>
      <c r="Y148" s="21"/>
      <c r="Z148" s="22"/>
      <c r="AA148" s="23"/>
      <c r="AB148" s="27"/>
      <c r="AC148" s="80"/>
      <c r="AD148" s="24"/>
      <c r="AF148" s="140"/>
    </row>
    <row r="149" spans="1:32" ht="27" customHeight="1">
      <c r="A149" s="15"/>
      <c r="B149" s="81"/>
      <c r="C149" s="15"/>
      <c r="D149" s="15"/>
      <c r="E149" s="26"/>
      <c r="F149" s="27"/>
      <c r="G149" s="27"/>
      <c r="H149" s="81"/>
      <c r="I149" s="27"/>
      <c r="J149" s="28"/>
      <c r="K149" s="81"/>
      <c r="L149" s="81"/>
      <c r="M149" s="88"/>
      <c r="N149" s="29"/>
      <c r="O149" s="30"/>
      <c r="P149" s="31"/>
      <c r="Q149" s="32"/>
      <c r="R149" s="20"/>
      <c r="S149" s="33"/>
      <c r="T149" s="89"/>
      <c r="U149" s="90"/>
      <c r="V149" s="18"/>
      <c r="W149" s="19"/>
      <c r="X149" s="20"/>
      <c r="Y149" s="21"/>
      <c r="Z149" s="22"/>
      <c r="AA149" s="23"/>
      <c r="AB149" s="27"/>
      <c r="AC149" s="80"/>
      <c r="AD149" s="24"/>
      <c r="AF149" s="140"/>
    </row>
    <row r="150" spans="1:32" ht="27" customHeight="1">
      <c r="A150" s="15"/>
      <c r="B150" s="81"/>
      <c r="C150" s="15"/>
      <c r="D150" s="15"/>
      <c r="E150" s="26"/>
      <c r="F150" s="27"/>
      <c r="G150" s="27"/>
      <c r="H150" s="81"/>
      <c r="I150" s="27"/>
      <c r="J150" s="28"/>
      <c r="K150" s="81"/>
      <c r="L150" s="81"/>
      <c r="M150" s="88"/>
      <c r="N150" s="29"/>
      <c r="O150" s="30"/>
      <c r="P150" s="31"/>
      <c r="Q150" s="32"/>
      <c r="R150" s="20"/>
      <c r="S150" s="33"/>
      <c r="T150" s="89"/>
      <c r="U150" s="90"/>
      <c r="V150" s="18"/>
      <c r="W150" s="19"/>
      <c r="X150" s="20"/>
      <c r="Y150" s="21"/>
      <c r="Z150" s="22"/>
      <c r="AA150" s="23"/>
      <c r="AB150" s="27"/>
      <c r="AC150" s="80"/>
      <c r="AD150" s="24"/>
      <c r="AF150" s="140"/>
    </row>
    <row r="151" spans="1:32" ht="27" customHeight="1">
      <c r="A151" s="15"/>
      <c r="B151" s="81"/>
      <c r="C151" s="15"/>
      <c r="D151" s="15"/>
      <c r="E151" s="26"/>
      <c r="F151" s="27"/>
      <c r="G151" s="27"/>
      <c r="H151" s="81"/>
      <c r="I151" s="27"/>
      <c r="J151" s="28"/>
      <c r="K151" s="81"/>
      <c r="L151" s="81"/>
      <c r="M151" s="88"/>
      <c r="N151" s="29"/>
      <c r="O151" s="30"/>
      <c r="P151" s="31"/>
      <c r="Q151" s="32"/>
      <c r="R151" s="20"/>
      <c r="S151" s="33"/>
      <c r="T151" s="89"/>
      <c r="U151" s="90"/>
      <c r="V151" s="18"/>
      <c r="W151" s="19"/>
      <c r="X151" s="20"/>
      <c r="Y151" s="21"/>
      <c r="Z151" s="22"/>
      <c r="AA151" s="23"/>
      <c r="AB151" s="27"/>
      <c r="AC151" s="80"/>
      <c r="AD151" s="24"/>
      <c r="AF151" s="140"/>
    </row>
    <row r="152" spans="1:32" ht="27" customHeight="1">
      <c r="A152" s="15"/>
      <c r="B152" s="81"/>
      <c r="C152" s="15"/>
      <c r="D152" s="15"/>
      <c r="E152" s="26"/>
      <c r="F152" s="27"/>
      <c r="G152" s="27"/>
      <c r="H152" s="81"/>
      <c r="I152" s="27"/>
      <c r="J152" s="28"/>
      <c r="K152" s="81"/>
      <c r="L152" s="81"/>
      <c r="M152" s="88"/>
      <c r="N152" s="29"/>
      <c r="O152" s="30"/>
      <c r="P152" s="31"/>
      <c r="Q152" s="32"/>
      <c r="R152" s="20"/>
      <c r="S152" s="33"/>
      <c r="T152" s="89"/>
      <c r="U152" s="90"/>
      <c r="V152" s="18"/>
      <c r="W152" s="19"/>
      <c r="X152" s="20"/>
      <c r="Y152" s="21"/>
      <c r="Z152" s="22"/>
      <c r="AA152" s="23"/>
      <c r="AB152" s="27"/>
      <c r="AC152" s="80"/>
      <c r="AD152" s="24"/>
      <c r="AF152" s="140"/>
    </row>
    <row r="153" spans="1:32" ht="27" customHeight="1">
      <c r="A153" s="15"/>
      <c r="B153" s="81"/>
      <c r="C153" s="15"/>
      <c r="D153" s="15"/>
      <c r="E153" s="26"/>
      <c r="F153" s="27"/>
      <c r="G153" s="27"/>
      <c r="H153" s="81"/>
      <c r="I153" s="27"/>
      <c r="J153" s="28"/>
      <c r="K153" s="81"/>
      <c r="L153" s="81"/>
      <c r="M153" s="88"/>
      <c r="N153" s="29"/>
      <c r="O153" s="30"/>
      <c r="P153" s="31"/>
      <c r="Q153" s="32"/>
      <c r="R153" s="20"/>
      <c r="S153" s="33"/>
      <c r="T153" s="89"/>
      <c r="U153" s="90"/>
      <c r="V153" s="18"/>
      <c r="W153" s="19"/>
      <c r="X153" s="20"/>
      <c r="Y153" s="21"/>
      <c r="Z153" s="22"/>
      <c r="AA153" s="23"/>
      <c r="AB153" s="27"/>
      <c r="AC153" s="80"/>
      <c r="AD153" s="24"/>
      <c r="AF153" s="140"/>
    </row>
    <row r="154" spans="1:32" ht="27" customHeight="1">
      <c r="A154" s="15"/>
      <c r="B154" s="81"/>
      <c r="C154" s="15"/>
      <c r="D154" s="15"/>
      <c r="E154" s="26"/>
      <c r="F154" s="27"/>
      <c r="G154" s="27"/>
      <c r="H154" s="81"/>
      <c r="I154" s="27"/>
      <c r="J154" s="28"/>
      <c r="K154" s="81"/>
      <c r="L154" s="81"/>
      <c r="M154" s="88"/>
      <c r="N154" s="29"/>
      <c r="O154" s="30"/>
      <c r="P154" s="31"/>
      <c r="Q154" s="32"/>
      <c r="R154" s="20"/>
      <c r="S154" s="33"/>
      <c r="T154" s="89"/>
      <c r="U154" s="90"/>
      <c r="V154" s="18"/>
      <c r="W154" s="19"/>
      <c r="X154" s="20"/>
      <c r="Y154" s="21"/>
      <c r="Z154" s="22"/>
      <c r="AA154" s="23"/>
      <c r="AB154" s="27"/>
      <c r="AC154" s="80"/>
      <c r="AD154" s="24"/>
      <c r="AF154" s="140"/>
    </row>
    <row r="155" spans="1:32" ht="27" customHeight="1">
      <c r="A155" s="15"/>
      <c r="B155" s="81"/>
      <c r="C155" s="15"/>
      <c r="D155" s="15"/>
      <c r="E155" s="26"/>
      <c r="F155" s="27"/>
      <c r="G155" s="27"/>
      <c r="H155" s="81"/>
      <c r="I155" s="27"/>
      <c r="J155" s="28"/>
      <c r="K155" s="81"/>
      <c r="L155" s="81"/>
      <c r="M155" s="88"/>
      <c r="N155" s="29"/>
      <c r="O155" s="30"/>
      <c r="P155" s="31"/>
      <c r="Q155" s="32"/>
      <c r="R155" s="20"/>
      <c r="S155" s="33"/>
      <c r="T155" s="89"/>
      <c r="U155" s="90"/>
      <c r="V155" s="18"/>
      <c r="W155" s="19"/>
      <c r="X155" s="20"/>
      <c r="Y155" s="21"/>
      <c r="Z155" s="22"/>
      <c r="AA155" s="23"/>
      <c r="AB155" s="27"/>
      <c r="AC155" s="80"/>
      <c r="AD155" s="24"/>
      <c r="AF155" s="140"/>
    </row>
    <row r="156" spans="1:32" ht="27" customHeight="1">
      <c r="A156" s="15"/>
      <c r="B156" s="81"/>
      <c r="C156" s="15"/>
      <c r="D156" s="15"/>
      <c r="E156" s="26"/>
      <c r="F156" s="27"/>
      <c r="G156" s="27"/>
      <c r="H156" s="81"/>
      <c r="I156" s="27"/>
      <c r="J156" s="28"/>
      <c r="K156" s="81"/>
      <c r="L156" s="81"/>
      <c r="M156" s="88"/>
      <c r="N156" s="29"/>
      <c r="O156" s="30"/>
      <c r="P156" s="31"/>
      <c r="Q156" s="32"/>
      <c r="R156" s="20"/>
      <c r="S156" s="33"/>
      <c r="T156" s="89"/>
      <c r="U156" s="90"/>
      <c r="V156" s="18"/>
      <c r="W156" s="19"/>
      <c r="X156" s="20"/>
      <c r="Y156" s="21"/>
      <c r="Z156" s="22"/>
      <c r="AA156" s="23"/>
      <c r="AB156" s="27"/>
      <c r="AC156" s="80"/>
      <c r="AD156" s="24"/>
      <c r="AF156" s="140"/>
    </row>
    <row r="157" spans="1:32" ht="27" customHeight="1">
      <c r="A157" s="15"/>
      <c r="B157" s="81"/>
      <c r="C157" s="15"/>
      <c r="D157" s="15"/>
      <c r="E157" s="26"/>
      <c r="F157" s="27"/>
      <c r="G157" s="27"/>
      <c r="H157" s="81"/>
      <c r="I157" s="27"/>
      <c r="J157" s="28"/>
      <c r="K157" s="81"/>
      <c r="L157" s="81"/>
      <c r="M157" s="88"/>
      <c r="N157" s="29"/>
      <c r="O157" s="30"/>
      <c r="P157" s="31"/>
      <c r="Q157" s="32"/>
      <c r="R157" s="20"/>
      <c r="S157" s="33"/>
      <c r="T157" s="89"/>
      <c r="U157" s="90"/>
      <c r="V157" s="18"/>
      <c r="W157" s="19"/>
      <c r="X157" s="20"/>
      <c r="Y157" s="21"/>
      <c r="Z157" s="22"/>
      <c r="AA157" s="23"/>
      <c r="AB157" s="27"/>
      <c r="AC157" s="80"/>
      <c r="AD157" s="24"/>
      <c r="AF157" s="140"/>
    </row>
    <row r="158" spans="1:32" ht="27" customHeight="1">
      <c r="A158" s="15"/>
      <c r="B158" s="81"/>
      <c r="C158" s="15"/>
      <c r="D158" s="15"/>
      <c r="E158" s="26"/>
      <c r="F158" s="27"/>
      <c r="G158" s="27"/>
      <c r="H158" s="81"/>
      <c r="I158" s="27"/>
      <c r="J158" s="28"/>
      <c r="K158" s="81"/>
      <c r="L158" s="81"/>
      <c r="M158" s="88"/>
      <c r="N158" s="29"/>
      <c r="O158" s="30"/>
      <c r="P158" s="31"/>
      <c r="Q158" s="32"/>
      <c r="R158" s="20"/>
      <c r="S158" s="33"/>
      <c r="T158" s="89"/>
      <c r="U158" s="90"/>
      <c r="V158" s="18"/>
      <c r="W158" s="19"/>
      <c r="X158" s="20"/>
      <c r="Y158" s="21"/>
      <c r="Z158" s="22"/>
      <c r="AA158" s="23"/>
      <c r="AB158" s="27"/>
      <c r="AC158" s="80"/>
      <c r="AD158" s="24"/>
      <c r="AF158" s="140"/>
    </row>
    <row r="159" spans="1:32" ht="27" customHeight="1">
      <c r="A159" s="15"/>
      <c r="B159" s="81"/>
      <c r="C159" s="15"/>
      <c r="D159" s="15"/>
      <c r="E159" s="26"/>
      <c r="F159" s="27"/>
      <c r="G159" s="27"/>
      <c r="H159" s="81"/>
      <c r="I159" s="27"/>
      <c r="J159" s="28"/>
      <c r="K159" s="81"/>
      <c r="L159" s="81"/>
      <c r="M159" s="88"/>
      <c r="N159" s="29"/>
      <c r="O159" s="30"/>
      <c r="P159" s="31"/>
      <c r="Q159" s="32"/>
      <c r="R159" s="20"/>
      <c r="S159" s="33"/>
      <c r="T159" s="89"/>
      <c r="U159" s="90"/>
      <c r="V159" s="18"/>
      <c r="W159" s="19"/>
      <c r="X159" s="20"/>
      <c r="Y159" s="21"/>
      <c r="Z159" s="22"/>
      <c r="AA159" s="23"/>
      <c r="AB159" s="27"/>
      <c r="AC159" s="80"/>
      <c r="AD159" s="24"/>
      <c r="AF159" s="140"/>
    </row>
    <row r="160" spans="1:32" ht="27" customHeight="1">
      <c r="A160" s="15"/>
      <c r="B160" s="81"/>
      <c r="C160" s="15"/>
      <c r="D160" s="15"/>
      <c r="E160" s="26"/>
      <c r="F160" s="27"/>
      <c r="G160" s="27"/>
      <c r="H160" s="81"/>
      <c r="I160" s="27"/>
      <c r="J160" s="28"/>
      <c r="K160" s="81"/>
      <c r="L160" s="81"/>
      <c r="M160" s="88"/>
      <c r="N160" s="29"/>
      <c r="O160" s="30"/>
      <c r="P160" s="31"/>
      <c r="Q160" s="32"/>
      <c r="R160" s="20"/>
      <c r="S160" s="33"/>
      <c r="T160" s="89"/>
      <c r="U160" s="90"/>
      <c r="V160" s="18"/>
      <c r="W160" s="19"/>
      <c r="X160" s="20"/>
      <c r="Y160" s="21"/>
      <c r="Z160" s="22"/>
      <c r="AA160" s="23"/>
      <c r="AB160" s="27"/>
      <c r="AC160" s="80"/>
      <c r="AD160" s="24"/>
      <c r="AF160" s="140"/>
    </row>
    <row r="161" spans="1:32" ht="27" customHeight="1">
      <c r="A161" s="15"/>
      <c r="B161" s="81"/>
      <c r="C161" s="15"/>
      <c r="D161" s="15"/>
      <c r="E161" s="26"/>
      <c r="F161" s="27"/>
      <c r="G161" s="27"/>
      <c r="H161" s="81"/>
      <c r="I161" s="27"/>
      <c r="J161" s="28"/>
      <c r="K161" s="81"/>
      <c r="L161" s="81"/>
      <c r="M161" s="88"/>
      <c r="N161" s="29"/>
      <c r="O161" s="30"/>
      <c r="P161" s="31"/>
      <c r="Q161" s="32"/>
      <c r="R161" s="20"/>
      <c r="S161" s="33"/>
      <c r="T161" s="89"/>
      <c r="U161" s="90"/>
      <c r="V161" s="18"/>
      <c r="W161" s="19"/>
      <c r="X161" s="20"/>
      <c r="Y161" s="21"/>
      <c r="Z161" s="22"/>
      <c r="AA161" s="23"/>
      <c r="AB161" s="27"/>
      <c r="AC161" s="80"/>
      <c r="AD161" s="24"/>
      <c r="AF161" s="140"/>
    </row>
    <row r="162" spans="1:32" ht="27" customHeight="1">
      <c r="A162" s="15"/>
      <c r="B162" s="81"/>
      <c r="C162" s="15"/>
      <c r="D162" s="15"/>
      <c r="E162" s="26"/>
      <c r="F162" s="27"/>
      <c r="G162" s="27"/>
      <c r="H162" s="81"/>
      <c r="I162" s="27"/>
      <c r="J162" s="28"/>
      <c r="K162" s="81"/>
      <c r="L162" s="81"/>
      <c r="M162" s="88"/>
      <c r="N162" s="29"/>
      <c r="O162" s="30"/>
      <c r="P162" s="31"/>
      <c r="Q162" s="32"/>
      <c r="R162" s="20"/>
      <c r="S162" s="33"/>
      <c r="T162" s="89"/>
      <c r="U162" s="90"/>
      <c r="V162" s="18"/>
      <c r="W162" s="19"/>
      <c r="X162" s="20"/>
      <c r="Y162" s="21"/>
      <c r="Z162" s="22"/>
      <c r="AA162" s="23"/>
      <c r="AB162" s="27"/>
      <c r="AC162" s="80"/>
      <c r="AD162" s="24"/>
      <c r="AF162" s="140"/>
    </row>
    <row r="163" spans="1:32" ht="27" customHeight="1">
      <c r="A163" s="15"/>
      <c r="B163" s="81"/>
      <c r="C163" s="15"/>
      <c r="D163" s="15"/>
      <c r="E163" s="26"/>
      <c r="F163" s="27"/>
      <c r="G163" s="27"/>
      <c r="H163" s="81"/>
      <c r="I163" s="27"/>
      <c r="J163" s="28"/>
      <c r="K163" s="81"/>
      <c r="L163" s="81"/>
      <c r="M163" s="88"/>
      <c r="N163" s="29"/>
      <c r="O163" s="30"/>
      <c r="P163" s="31"/>
      <c r="Q163" s="32"/>
      <c r="R163" s="20"/>
      <c r="S163" s="33"/>
      <c r="T163" s="89"/>
      <c r="U163" s="90"/>
      <c r="V163" s="18"/>
      <c r="W163" s="19"/>
      <c r="X163" s="20"/>
      <c r="Y163" s="21"/>
      <c r="Z163" s="22"/>
      <c r="AA163" s="23"/>
      <c r="AB163" s="27"/>
      <c r="AC163" s="80"/>
      <c r="AD163" s="24"/>
      <c r="AF163" s="140"/>
    </row>
    <row r="164" spans="1:32" ht="27" customHeight="1">
      <c r="A164" s="15"/>
      <c r="B164" s="81"/>
      <c r="C164" s="15"/>
      <c r="D164" s="15"/>
      <c r="E164" s="26"/>
      <c r="F164" s="27"/>
      <c r="G164" s="27"/>
      <c r="H164" s="81"/>
      <c r="I164" s="27"/>
      <c r="J164" s="28"/>
      <c r="K164" s="81"/>
      <c r="L164" s="81"/>
      <c r="M164" s="88"/>
      <c r="N164" s="29"/>
      <c r="O164" s="30"/>
      <c r="P164" s="31"/>
      <c r="Q164" s="32"/>
      <c r="R164" s="20"/>
      <c r="S164" s="33"/>
      <c r="T164" s="89"/>
      <c r="U164" s="90"/>
      <c r="V164" s="18"/>
      <c r="W164" s="19"/>
      <c r="X164" s="20"/>
      <c r="Y164" s="21"/>
      <c r="Z164" s="22"/>
      <c r="AA164" s="23"/>
      <c r="AB164" s="27"/>
      <c r="AC164" s="80"/>
      <c r="AD164" s="24"/>
      <c r="AF164" s="140"/>
    </row>
    <row r="165" spans="1:32" ht="27" customHeight="1">
      <c r="A165" s="15"/>
      <c r="B165" s="81"/>
      <c r="C165" s="15"/>
      <c r="D165" s="15"/>
      <c r="E165" s="26"/>
      <c r="F165" s="27"/>
      <c r="G165" s="27"/>
      <c r="H165" s="81"/>
      <c r="I165" s="27"/>
      <c r="J165" s="28"/>
      <c r="K165" s="81"/>
      <c r="L165" s="81"/>
      <c r="M165" s="88"/>
      <c r="N165" s="29"/>
      <c r="O165" s="30"/>
      <c r="P165" s="31"/>
      <c r="Q165" s="32"/>
      <c r="R165" s="20"/>
      <c r="S165" s="33"/>
      <c r="T165" s="89"/>
      <c r="U165" s="90"/>
      <c r="V165" s="18"/>
      <c r="W165" s="19"/>
      <c r="X165" s="20"/>
      <c r="Y165" s="21"/>
      <c r="Z165" s="22"/>
      <c r="AA165" s="23"/>
      <c r="AB165" s="27"/>
      <c r="AC165" s="80"/>
      <c r="AD165" s="24"/>
      <c r="AF165" s="140"/>
    </row>
    <row r="166" spans="1:32" ht="27" customHeight="1">
      <c r="A166" s="15"/>
      <c r="B166" s="81"/>
      <c r="C166" s="15"/>
      <c r="D166" s="15"/>
      <c r="E166" s="26"/>
      <c r="F166" s="27"/>
      <c r="G166" s="27"/>
      <c r="H166" s="81"/>
      <c r="I166" s="27"/>
      <c r="J166" s="28"/>
      <c r="K166" s="81"/>
      <c r="L166" s="81"/>
      <c r="M166" s="88"/>
      <c r="N166" s="29"/>
      <c r="O166" s="30"/>
      <c r="P166" s="31"/>
      <c r="Q166" s="32"/>
      <c r="R166" s="20"/>
      <c r="S166" s="33"/>
      <c r="T166" s="89"/>
      <c r="U166" s="90"/>
      <c r="V166" s="18"/>
      <c r="W166" s="19"/>
      <c r="X166" s="20"/>
      <c r="Y166" s="21"/>
      <c r="Z166" s="22"/>
      <c r="AA166" s="23"/>
      <c r="AB166" s="27"/>
      <c r="AC166" s="80"/>
      <c r="AD166" s="24"/>
      <c r="AF166" s="140"/>
    </row>
    <row r="167" spans="1:32" ht="27" customHeight="1">
      <c r="A167" s="15"/>
      <c r="B167" s="81"/>
      <c r="C167" s="15"/>
      <c r="D167" s="15"/>
      <c r="E167" s="26"/>
      <c r="F167" s="27"/>
      <c r="G167" s="27"/>
      <c r="H167" s="81"/>
      <c r="I167" s="27"/>
      <c r="J167" s="28"/>
      <c r="K167" s="81"/>
      <c r="L167" s="81"/>
      <c r="M167" s="88"/>
      <c r="N167" s="29"/>
      <c r="O167" s="30"/>
      <c r="P167" s="31"/>
      <c r="Q167" s="32"/>
      <c r="R167" s="20"/>
      <c r="S167" s="33"/>
      <c r="T167" s="89"/>
      <c r="U167" s="90"/>
      <c r="V167" s="18"/>
      <c r="W167" s="19"/>
      <c r="X167" s="20"/>
      <c r="Y167" s="21"/>
      <c r="Z167" s="22"/>
      <c r="AA167" s="23"/>
      <c r="AB167" s="27"/>
      <c r="AC167" s="80"/>
      <c r="AD167" s="24"/>
      <c r="AF167" s="140"/>
    </row>
    <row r="168" spans="1:32" ht="27" customHeight="1">
      <c r="A168" s="15"/>
      <c r="B168" s="81"/>
      <c r="C168" s="15"/>
      <c r="D168" s="15"/>
      <c r="E168" s="26"/>
      <c r="F168" s="27"/>
      <c r="G168" s="27"/>
      <c r="H168" s="81"/>
      <c r="I168" s="27"/>
      <c r="J168" s="28"/>
      <c r="K168" s="81"/>
      <c r="L168" s="81"/>
      <c r="M168" s="88"/>
      <c r="N168" s="29"/>
      <c r="O168" s="30"/>
      <c r="P168" s="31"/>
      <c r="Q168" s="32"/>
      <c r="R168" s="20"/>
      <c r="S168" s="33"/>
      <c r="T168" s="89"/>
      <c r="U168" s="90"/>
      <c r="V168" s="18"/>
      <c r="W168" s="19"/>
      <c r="X168" s="20"/>
      <c r="Y168" s="21"/>
      <c r="Z168" s="22"/>
      <c r="AA168" s="23"/>
      <c r="AB168" s="27"/>
      <c r="AC168" s="80"/>
      <c r="AD168" s="24"/>
      <c r="AF168" s="140"/>
    </row>
    <row r="169" spans="1:32" ht="27" customHeight="1">
      <c r="A169" s="15"/>
      <c r="B169" s="81"/>
      <c r="C169" s="15"/>
      <c r="D169" s="15"/>
      <c r="E169" s="26"/>
      <c r="F169" s="27"/>
      <c r="G169" s="27"/>
      <c r="H169" s="81"/>
      <c r="I169" s="27"/>
      <c r="J169" s="28"/>
      <c r="K169" s="81"/>
      <c r="L169" s="81"/>
      <c r="M169" s="88"/>
      <c r="N169" s="29"/>
      <c r="O169" s="30"/>
      <c r="P169" s="31"/>
      <c r="Q169" s="32"/>
      <c r="R169" s="20"/>
      <c r="S169" s="33"/>
      <c r="T169" s="89"/>
      <c r="U169" s="90"/>
      <c r="V169" s="18"/>
      <c r="W169" s="19"/>
      <c r="X169" s="20"/>
      <c r="Y169" s="21"/>
      <c r="Z169" s="22"/>
      <c r="AA169" s="23"/>
      <c r="AB169" s="27"/>
      <c r="AC169" s="80"/>
      <c r="AD169" s="24"/>
      <c r="AF169" s="140"/>
    </row>
    <row r="170" spans="1:32" ht="27" customHeight="1">
      <c r="A170" s="15"/>
      <c r="B170" s="81"/>
      <c r="C170" s="15"/>
      <c r="D170" s="15"/>
      <c r="E170" s="26"/>
      <c r="F170" s="27"/>
      <c r="G170" s="27"/>
      <c r="H170" s="81"/>
      <c r="I170" s="27"/>
      <c r="J170" s="28"/>
      <c r="K170" s="81"/>
      <c r="L170" s="81"/>
      <c r="M170" s="88"/>
      <c r="N170" s="29"/>
      <c r="O170" s="30"/>
      <c r="P170" s="31"/>
      <c r="Q170" s="32"/>
      <c r="R170" s="20"/>
      <c r="S170" s="33"/>
      <c r="T170" s="89"/>
      <c r="U170" s="90"/>
      <c r="V170" s="18"/>
      <c r="W170" s="19"/>
      <c r="X170" s="20"/>
      <c r="Y170" s="21"/>
      <c r="Z170" s="22"/>
      <c r="AA170" s="23"/>
      <c r="AB170" s="27"/>
      <c r="AC170" s="80"/>
      <c r="AD170" s="24"/>
      <c r="AF170" s="140"/>
    </row>
    <row r="171" spans="1:32" ht="27" customHeight="1">
      <c r="A171" s="15"/>
      <c r="B171" s="81"/>
      <c r="C171" s="15"/>
      <c r="D171" s="15"/>
      <c r="E171" s="26"/>
      <c r="F171" s="27"/>
      <c r="G171" s="27"/>
      <c r="H171" s="81"/>
      <c r="I171" s="27"/>
      <c r="J171" s="28"/>
      <c r="K171" s="81"/>
      <c r="L171" s="81"/>
      <c r="M171" s="88"/>
      <c r="N171" s="29"/>
      <c r="O171" s="30"/>
      <c r="P171" s="31"/>
      <c r="Q171" s="32"/>
      <c r="R171" s="20"/>
      <c r="S171" s="33"/>
      <c r="T171" s="89"/>
      <c r="U171" s="90"/>
      <c r="V171" s="18"/>
      <c r="W171" s="19"/>
      <c r="X171" s="20"/>
      <c r="Y171" s="21"/>
      <c r="Z171" s="22"/>
      <c r="AA171" s="23"/>
      <c r="AB171" s="27"/>
      <c r="AC171" s="80"/>
      <c r="AD171" s="24"/>
      <c r="AF171" s="140"/>
    </row>
    <row r="172" spans="1:32" ht="27" customHeight="1">
      <c r="A172" s="15"/>
      <c r="B172" s="81"/>
      <c r="C172" s="15"/>
      <c r="D172" s="15"/>
      <c r="E172" s="26"/>
      <c r="F172" s="27"/>
      <c r="G172" s="27"/>
      <c r="H172" s="81"/>
      <c r="I172" s="27"/>
      <c r="J172" s="28"/>
      <c r="K172" s="81"/>
      <c r="L172" s="81"/>
      <c r="M172" s="88"/>
      <c r="N172" s="29"/>
      <c r="O172" s="30"/>
      <c r="P172" s="31"/>
      <c r="Q172" s="32"/>
      <c r="R172" s="20"/>
      <c r="S172" s="33"/>
      <c r="T172" s="89"/>
      <c r="U172" s="90"/>
      <c r="V172" s="18"/>
      <c r="W172" s="19"/>
      <c r="X172" s="20"/>
      <c r="Y172" s="21"/>
      <c r="Z172" s="22"/>
      <c r="AA172" s="23"/>
      <c r="AB172" s="27"/>
      <c r="AC172" s="80"/>
      <c r="AD172" s="24"/>
      <c r="AF172" s="140"/>
    </row>
    <row r="173" spans="1:32" ht="27" customHeight="1">
      <c r="A173" s="15"/>
      <c r="B173" s="81"/>
      <c r="C173" s="15"/>
      <c r="D173" s="15"/>
      <c r="E173" s="26"/>
      <c r="F173" s="27"/>
      <c r="G173" s="27"/>
      <c r="H173" s="81"/>
      <c r="I173" s="27"/>
      <c r="J173" s="28"/>
      <c r="K173" s="81"/>
      <c r="L173" s="81"/>
      <c r="M173" s="88"/>
      <c r="N173" s="29"/>
      <c r="O173" s="30"/>
      <c r="P173" s="31"/>
      <c r="Q173" s="32"/>
      <c r="R173" s="20"/>
      <c r="S173" s="33"/>
      <c r="T173" s="89"/>
      <c r="U173" s="90"/>
      <c r="V173" s="18"/>
      <c r="W173" s="19"/>
      <c r="X173" s="20"/>
      <c r="Y173" s="21"/>
      <c r="Z173" s="22"/>
      <c r="AA173" s="23"/>
      <c r="AB173" s="27"/>
      <c r="AC173" s="80"/>
      <c r="AD173" s="24"/>
      <c r="AF173" s="140"/>
    </row>
    <row r="174" spans="1:32" ht="27" customHeight="1">
      <c r="A174" s="15"/>
      <c r="B174" s="81"/>
      <c r="C174" s="15"/>
      <c r="D174" s="15"/>
      <c r="E174" s="26"/>
      <c r="F174" s="27"/>
      <c r="G174" s="27"/>
      <c r="H174" s="81"/>
      <c r="I174" s="27"/>
      <c r="J174" s="28"/>
      <c r="K174" s="81"/>
      <c r="L174" s="81"/>
      <c r="M174" s="88"/>
      <c r="N174" s="29"/>
      <c r="O174" s="30"/>
      <c r="P174" s="31"/>
      <c r="Q174" s="32"/>
      <c r="R174" s="20"/>
      <c r="S174" s="33"/>
      <c r="T174" s="89"/>
      <c r="U174" s="90"/>
      <c r="V174" s="18"/>
      <c r="W174" s="19"/>
      <c r="X174" s="20"/>
      <c r="Y174" s="21"/>
      <c r="Z174" s="22"/>
      <c r="AA174" s="23"/>
      <c r="AB174" s="27"/>
      <c r="AC174" s="80"/>
      <c r="AD174" s="24"/>
      <c r="AF174" s="140"/>
    </row>
    <row r="175" spans="1:32" ht="27" customHeight="1">
      <c r="A175" s="15"/>
      <c r="B175" s="81"/>
      <c r="C175" s="15"/>
      <c r="D175" s="15"/>
      <c r="E175" s="26"/>
      <c r="F175" s="27"/>
      <c r="G175" s="27"/>
      <c r="H175" s="81"/>
      <c r="I175" s="27"/>
      <c r="J175" s="28"/>
      <c r="K175" s="81"/>
      <c r="L175" s="81"/>
      <c r="M175" s="88"/>
      <c r="N175" s="29"/>
      <c r="O175" s="30"/>
      <c r="P175" s="31"/>
      <c r="Q175" s="32"/>
      <c r="R175" s="20"/>
      <c r="S175" s="33"/>
      <c r="T175" s="89"/>
      <c r="U175" s="90"/>
      <c r="V175" s="18"/>
      <c r="W175" s="19"/>
      <c r="X175" s="20"/>
      <c r="Y175" s="21"/>
      <c r="Z175" s="22"/>
      <c r="AA175" s="23"/>
      <c r="AB175" s="27"/>
      <c r="AC175" s="80"/>
      <c r="AD175" s="24"/>
      <c r="AF175" s="140"/>
    </row>
    <row r="176" spans="1:32" ht="27" customHeight="1">
      <c r="A176" s="15"/>
      <c r="B176" s="81"/>
      <c r="C176" s="15"/>
      <c r="D176" s="15"/>
      <c r="E176" s="26"/>
      <c r="F176" s="27"/>
      <c r="G176" s="27"/>
      <c r="H176" s="81"/>
      <c r="I176" s="27"/>
      <c r="J176" s="28"/>
      <c r="K176" s="81"/>
      <c r="L176" s="81"/>
      <c r="M176" s="88"/>
      <c r="N176" s="29"/>
      <c r="O176" s="30"/>
      <c r="P176" s="31"/>
      <c r="Q176" s="32"/>
      <c r="R176" s="20"/>
      <c r="S176" s="33"/>
      <c r="T176" s="89"/>
      <c r="U176" s="90"/>
      <c r="V176" s="18"/>
      <c r="W176" s="19"/>
      <c r="X176" s="20"/>
      <c r="Y176" s="21"/>
      <c r="Z176" s="22"/>
      <c r="AA176" s="23"/>
      <c r="AB176" s="27"/>
      <c r="AC176" s="80"/>
      <c r="AD176" s="24"/>
      <c r="AF176" s="140"/>
    </row>
    <row r="177" spans="1:32" ht="27" customHeight="1">
      <c r="A177" s="15"/>
      <c r="B177" s="81"/>
      <c r="C177" s="15"/>
      <c r="D177" s="15"/>
      <c r="E177" s="26"/>
      <c r="F177" s="27"/>
      <c r="G177" s="27"/>
      <c r="H177" s="81"/>
      <c r="I177" s="27"/>
      <c r="J177" s="28"/>
      <c r="K177" s="81"/>
      <c r="L177" s="81"/>
      <c r="M177" s="88"/>
      <c r="N177" s="29"/>
      <c r="O177" s="30"/>
      <c r="P177" s="31"/>
      <c r="Q177" s="32"/>
      <c r="R177" s="20"/>
      <c r="S177" s="33"/>
      <c r="T177" s="89"/>
      <c r="U177" s="90"/>
      <c r="V177" s="18"/>
      <c r="W177" s="19"/>
      <c r="X177" s="20"/>
      <c r="Y177" s="21"/>
      <c r="Z177" s="22"/>
      <c r="AA177" s="23"/>
      <c r="AB177" s="27"/>
      <c r="AC177" s="80"/>
      <c r="AD177" s="24"/>
      <c r="AF177" s="140"/>
    </row>
    <row r="178" spans="1:32" ht="27" customHeight="1">
      <c r="A178" s="15"/>
      <c r="B178" s="81"/>
      <c r="C178" s="15"/>
      <c r="D178" s="15"/>
      <c r="E178" s="26"/>
      <c r="F178" s="27"/>
      <c r="G178" s="27"/>
      <c r="H178" s="81"/>
      <c r="I178" s="27"/>
      <c r="J178" s="28"/>
      <c r="K178" s="81"/>
      <c r="L178" s="81"/>
      <c r="M178" s="88"/>
      <c r="N178" s="29"/>
      <c r="O178" s="30"/>
      <c r="P178" s="31"/>
      <c r="Q178" s="32"/>
      <c r="R178" s="20"/>
      <c r="S178" s="33"/>
      <c r="T178" s="89"/>
      <c r="U178" s="90"/>
      <c r="V178" s="18"/>
      <c r="W178" s="19"/>
      <c r="X178" s="20"/>
      <c r="Y178" s="21"/>
      <c r="Z178" s="22"/>
      <c r="AA178" s="23"/>
      <c r="AB178" s="27"/>
      <c r="AC178" s="80"/>
      <c r="AD178" s="24"/>
      <c r="AF178" s="140"/>
    </row>
    <row r="179" spans="1:32" ht="27" customHeight="1">
      <c r="A179" s="15"/>
      <c r="B179" s="81"/>
      <c r="C179" s="15"/>
      <c r="D179" s="15"/>
      <c r="E179" s="26"/>
      <c r="F179" s="27"/>
      <c r="G179" s="27"/>
      <c r="H179" s="81"/>
      <c r="I179" s="27"/>
      <c r="J179" s="28"/>
      <c r="K179" s="81"/>
      <c r="L179" s="81"/>
      <c r="M179" s="88"/>
      <c r="N179" s="29"/>
      <c r="O179" s="30"/>
      <c r="P179" s="31"/>
      <c r="Q179" s="32"/>
      <c r="R179" s="20"/>
      <c r="S179" s="33"/>
      <c r="T179" s="89"/>
      <c r="U179" s="90"/>
      <c r="V179" s="18"/>
      <c r="W179" s="19"/>
      <c r="X179" s="20"/>
      <c r="Y179" s="21"/>
      <c r="Z179" s="22"/>
      <c r="AA179" s="23"/>
      <c r="AB179" s="27"/>
      <c r="AC179" s="80"/>
      <c r="AD179" s="24"/>
      <c r="AF179" s="140"/>
    </row>
    <row r="180" spans="1:32" ht="27" customHeight="1">
      <c r="A180" s="15"/>
      <c r="B180" s="81"/>
      <c r="C180" s="15"/>
      <c r="D180" s="15"/>
      <c r="E180" s="26"/>
      <c r="F180" s="27"/>
      <c r="G180" s="27"/>
      <c r="H180" s="81"/>
      <c r="I180" s="27"/>
      <c r="J180" s="28"/>
      <c r="K180" s="81"/>
      <c r="L180" s="81"/>
      <c r="M180" s="88"/>
      <c r="N180" s="29"/>
      <c r="O180" s="30"/>
      <c r="P180" s="31"/>
      <c r="Q180" s="32"/>
      <c r="R180" s="20"/>
      <c r="S180" s="33"/>
      <c r="T180" s="89"/>
      <c r="U180" s="90"/>
      <c r="V180" s="18"/>
      <c r="W180" s="19"/>
      <c r="X180" s="20"/>
      <c r="Y180" s="21"/>
      <c r="Z180" s="22"/>
      <c r="AA180" s="23"/>
      <c r="AB180" s="27"/>
      <c r="AC180" s="80"/>
      <c r="AD180" s="24"/>
      <c r="AF180" s="140"/>
    </row>
    <row r="181" spans="1:32" ht="27" customHeight="1">
      <c r="A181" s="15"/>
      <c r="B181" s="81"/>
      <c r="C181" s="15"/>
      <c r="D181" s="15"/>
      <c r="E181" s="26"/>
      <c r="F181" s="27"/>
      <c r="G181" s="27"/>
      <c r="H181" s="81"/>
      <c r="I181" s="27"/>
      <c r="J181" s="28"/>
      <c r="K181" s="81"/>
      <c r="L181" s="81"/>
      <c r="M181" s="88"/>
      <c r="N181" s="29"/>
      <c r="O181" s="30"/>
      <c r="P181" s="31"/>
      <c r="Q181" s="32"/>
      <c r="R181" s="20"/>
      <c r="S181" s="33"/>
      <c r="T181" s="89"/>
      <c r="U181" s="90"/>
      <c r="V181" s="18"/>
      <c r="W181" s="19"/>
      <c r="X181" s="20"/>
      <c r="Y181" s="21"/>
      <c r="Z181" s="22"/>
      <c r="AA181" s="23"/>
      <c r="AB181" s="27"/>
      <c r="AC181" s="80"/>
      <c r="AD181" s="24"/>
      <c r="AF181" s="140"/>
    </row>
    <row r="182" spans="1:32" ht="27" customHeight="1">
      <c r="A182" s="15"/>
      <c r="B182" s="81"/>
      <c r="C182" s="15"/>
      <c r="D182" s="15"/>
      <c r="E182" s="26"/>
      <c r="F182" s="27"/>
      <c r="G182" s="27"/>
      <c r="H182" s="81"/>
      <c r="I182" s="27"/>
      <c r="J182" s="28"/>
      <c r="K182" s="81"/>
      <c r="L182" s="81"/>
      <c r="M182" s="88"/>
      <c r="N182" s="29"/>
      <c r="O182" s="30"/>
      <c r="P182" s="31"/>
      <c r="Q182" s="32"/>
      <c r="R182" s="20"/>
      <c r="S182" s="33"/>
      <c r="T182" s="89"/>
      <c r="U182" s="90"/>
      <c r="V182" s="18"/>
      <c r="W182" s="19"/>
      <c r="X182" s="20"/>
      <c r="Y182" s="21"/>
      <c r="Z182" s="22"/>
      <c r="AA182" s="23"/>
      <c r="AB182" s="27"/>
      <c r="AC182" s="80"/>
      <c r="AD182" s="24"/>
      <c r="AF182" s="140"/>
    </row>
    <row r="183" spans="1:32" ht="27" customHeight="1">
      <c r="A183" s="15"/>
      <c r="B183" s="81"/>
      <c r="C183" s="15"/>
      <c r="D183" s="15"/>
      <c r="E183" s="26"/>
      <c r="F183" s="27"/>
      <c r="G183" s="27"/>
      <c r="H183" s="81"/>
      <c r="I183" s="27"/>
      <c r="J183" s="28"/>
      <c r="K183" s="81"/>
      <c r="L183" s="81"/>
      <c r="M183" s="88"/>
      <c r="N183" s="29"/>
      <c r="O183" s="30"/>
      <c r="P183" s="31"/>
      <c r="Q183" s="32"/>
      <c r="R183" s="20"/>
      <c r="S183" s="33"/>
      <c r="T183" s="89"/>
      <c r="U183" s="90"/>
      <c r="V183" s="18"/>
      <c r="W183" s="19"/>
      <c r="X183" s="20"/>
      <c r="Y183" s="21"/>
      <c r="Z183" s="22"/>
      <c r="AA183" s="23"/>
      <c r="AB183" s="27"/>
      <c r="AC183" s="80"/>
      <c r="AD183" s="24"/>
      <c r="AF183" s="140"/>
    </row>
    <row r="184" spans="1:32" ht="31.5" customHeight="1">
      <c r="A184" s="15"/>
      <c r="B184" s="81"/>
      <c r="C184" s="15"/>
      <c r="D184" s="15"/>
      <c r="E184" s="26"/>
      <c r="F184" s="27"/>
      <c r="G184" s="27"/>
      <c r="H184" s="81"/>
      <c r="I184" s="27"/>
      <c r="J184" s="28"/>
      <c r="K184" s="81"/>
      <c r="L184" s="81"/>
      <c r="M184" s="88"/>
      <c r="N184" s="29"/>
      <c r="O184" s="30"/>
      <c r="P184" s="31"/>
      <c r="Q184" s="32"/>
      <c r="R184" s="20"/>
      <c r="S184" s="33"/>
      <c r="T184" s="89"/>
      <c r="U184" s="90"/>
      <c r="V184" s="18"/>
      <c r="W184" s="19"/>
      <c r="X184" s="20"/>
      <c r="Y184" s="21"/>
      <c r="Z184" s="22"/>
      <c r="AA184" s="23"/>
      <c r="AB184" s="27"/>
      <c r="AC184" s="80"/>
      <c r="AD184" s="24"/>
      <c r="AF184" s="140"/>
    </row>
    <row r="185" spans="1:32" ht="31.5" customHeight="1">
      <c r="A185" s="15"/>
      <c r="B185" s="81"/>
      <c r="C185" s="15"/>
      <c r="D185" s="15"/>
      <c r="E185" s="26"/>
      <c r="F185" s="27"/>
      <c r="G185" s="27"/>
      <c r="H185" s="81"/>
      <c r="I185" s="27"/>
      <c r="J185" s="28"/>
      <c r="K185" s="81"/>
      <c r="L185" s="81"/>
      <c r="M185" s="88"/>
      <c r="N185" s="29"/>
      <c r="O185" s="30"/>
      <c r="P185" s="31"/>
      <c r="Q185" s="32"/>
      <c r="R185" s="20"/>
      <c r="S185" s="33"/>
      <c r="T185" s="89"/>
      <c r="U185" s="90"/>
      <c r="V185" s="18"/>
      <c r="W185" s="19"/>
      <c r="X185" s="20"/>
      <c r="Y185" s="21"/>
      <c r="Z185" s="22"/>
      <c r="AA185" s="23"/>
      <c r="AB185" s="27"/>
      <c r="AC185" s="80"/>
      <c r="AD185" s="24"/>
      <c r="AF185" s="140"/>
    </row>
    <row r="186" spans="1:32" ht="31.5" customHeight="1">
      <c r="A186" s="15"/>
      <c r="B186" s="81"/>
      <c r="C186" s="15"/>
      <c r="D186" s="15"/>
      <c r="E186" s="26"/>
      <c r="F186" s="27"/>
      <c r="G186" s="27"/>
      <c r="H186" s="81"/>
      <c r="I186" s="27"/>
      <c r="J186" s="28"/>
      <c r="K186" s="81"/>
      <c r="L186" s="81"/>
      <c r="M186" s="88"/>
      <c r="N186" s="29"/>
      <c r="O186" s="30"/>
      <c r="P186" s="31"/>
      <c r="Q186" s="32"/>
      <c r="R186" s="20"/>
      <c r="S186" s="33"/>
      <c r="T186" s="89"/>
      <c r="U186" s="90"/>
      <c r="V186" s="18"/>
      <c r="W186" s="19"/>
      <c r="X186" s="20"/>
      <c r="Y186" s="21"/>
      <c r="Z186" s="22"/>
      <c r="AA186" s="23"/>
      <c r="AB186" s="27"/>
      <c r="AC186" s="80"/>
      <c r="AD186" s="24"/>
      <c r="AF186" s="140"/>
    </row>
    <row r="187" spans="1:32" ht="32.25" customHeight="1">
      <c r="A187" s="15"/>
      <c r="B187" s="81"/>
      <c r="C187" s="15"/>
      <c r="D187" s="15"/>
      <c r="E187" s="26"/>
      <c r="F187" s="27"/>
      <c r="G187" s="27"/>
      <c r="H187" s="81"/>
      <c r="I187" s="27"/>
      <c r="J187" s="28"/>
      <c r="K187" s="81"/>
      <c r="L187" s="81"/>
      <c r="M187" s="88"/>
      <c r="N187" s="29"/>
      <c r="O187" s="30"/>
      <c r="P187" s="31"/>
      <c r="Q187" s="32"/>
      <c r="R187" s="20"/>
      <c r="S187" s="33"/>
      <c r="T187" s="89"/>
      <c r="U187" s="90"/>
      <c r="V187" s="18"/>
      <c r="W187" s="19"/>
      <c r="X187" s="20"/>
      <c r="Y187" s="21"/>
      <c r="Z187" s="22"/>
      <c r="AA187" s="23"/>
      <c r="AB187" s="27"/>
      <c r="AC187" s="80"/>
      <c r="AD187" s="24"/>
      <c r="AF187" s="140"/>
    </row>
    <row r="188" spans="1:32" ht="27" customHeight="1">
      <c r="A188" s="15"/>
      <c r="B188" s="81"/>
      <c r="C188" s="15"/>
      <c r="D188" s="15"/>
      <c r="E188" s="26"/>
      <c r="F188" s="27"/>
      <c r="G188" s="27"/>
      <c r="H188" s="81"/>
      <c r="I188" s="27"/>
      <c r="J188" s="28"/>
      <c r="K188" s="81"/>
      <c r="L188" s="81"/>
      <c r="M188" s="88"/>
      <c r="N188" s="29"/>
      <c r="O188" s="30"/>
      <c r="P188" s="31"/>
      <c r="Q188" s="32"/>
      <c r="R188" s="20"/>
      <c r="S188" s="33"/>
      <c r="T188" s="89"/>
      <c r="U188" s="90"/>
      <c r="V188" s="18"/>
      <c r="W188" s="19"/>
      <c r="X188" s="20"/>
      <c r="Y188" s="21"/>
      <c r="Z188" s="22"/>
      <c r="AA188" s="23"/>
      <c r="AB188" s="27"/>
      <c r="AC188" s="80"/>
      <c r="AD188" s="24"/>
      <c r="AF188" s="140"/>
    </row>
    <row r="189" spans="1:32" ht="27" customHeight="1">
      <c r="A189" s="15"/>
      <c r="B189" s="81"/>
      <c r="C189" s="15"/>
      <c r="D189" s="15"/>
      <c r="E189" s="26"/>
      <c r="F189" s="27"/>
      <c r="G189" s="27"/>
      <c r="H189" s="81"/>
      <c r="I189" s="27"/>
      <c r="J189" s="28"/>
      <c r="K189" s="81"/>
      <c r="L189" s="81"/>
      <c r="M189" s="88"/>
      <c r="N189" s="29"/>
      <c r="O189" s="30"/>
      <c r="P189" s="31"/>
      <c r="Q189" s="32"/>
      <c r="R189" s="20"/>
      <c r="S189" s="33"/>
      <c r="T189" s="89"/>
      <c r="U189" s="90"/>
      <c r="V189" s="18"/>
      <c r="W189" s="19"/>
      <c r="X189" s="20"/>
      <c r="Y189" s="21"/>
      <c r="Z189" s="22"/>
      <c r="AA189" s="23"/>
      <c r="AB189" s="27"/>
      <c r="AC189" s="80"/>
      <c r="AD189" s="24"/>
      <c r="AF189" s="140"/>
    </row>
    <row r="190" spans="1:32" ht="27" customHeight="1">
      <c r="A190" s="15"/>
      <c r="B190" s="81"/>
      <c r="C190" s="15"/>
      <c r="D190" s="15"/>
      <c r="E190" s="26"/>
      <c r="F190" s="27"/>
      <c r="G190" s="27"/>
      <c r="H190" s="81"/>
      <c r="I190" s="27"/>
      <c r="J190" s="28"/>
      <c r="K190" s="81"/>
      <c r="L190" s="81"/>
      <c r="M190" s="88"/>
      <c r="N190" s="29"/>
      <c r="O190" s="30"/>
      <c r="P190" s="31"/>
      <c r="Q190" s="32"/>
      <c r="R190" s="20"/>
      <c r="S190" s="33"/>
      <c r="T190" s="89"/>
      <c r="U190" s="90"/>
      <c r="V190" s="18"/>
      <c r="W190" s="19"/>
      <c r="X190" s="20"/>
      <c r="Y190" s="21"/>
      <c r="Z190" s="22"/>
      <c r="AA190" s="23"/>
      <c r="AB190" s="27"/>
      <c r="AC190" s="80"/>
      <c r="AD190" s="24"/>
      <c r="AF190" s="140"/>
    </row>
    <row r="191" spans="1:32" ht="27" customHeight="1">
      <c r="A191" s="15"/>
      <c r="B191" s="81"/>
      <c r="C191" s="15"/>
      <c r="D191" s="15"/>
      <c r="E191" s="26"/>
      <c r="F191" s="27"/>
      <c r="G191" s="27"/>
      <c r="H191" s="81"/>
      <c r="I191" s="27"/>
      <c r="J191" s="28"/>
      <c r="K191" s="81"/>
      <c r="L191" s="81"/>
      <c r="M191" s="88"/>
      <c r="N191" s="29"/>
      <c r="O191" s="30"/>
      <c r="P191" s="31"/>
      <c r="Q191" s="32"/>
      <c r="R191" s="20"/>
      <c r="S191" s="33"/>
      <c r="T191" s="89"/>
      <c r="U191" s="90"/>
      <c r="V191" s="18"/>
      <c r="W191" s="19"/>
      <c r="X191" s="20"/>
      <c r="Y191" s="21"/>
      <c r="Z191" s="22"/>
      <c r="AA191" s="23"/>
      <c r="AB191" s="27"/>
      <c r="AC191" s="80"/>
      <c r="AD191" s="24"/>
      <c r="AF191" s="140"/>
    </row>
    <row r="192" spans="1:32" ht="27" customHeight="1">
      <c r="A192" s="15"/>
      <c r="B192" s="81"/>
      <c r="C192" s="15"/>
      <c r="D192" s="15"/>
      <c r="E192" s="26"/>
      <c r="F192" s="27"/>
      <c r="G192" s="27"/>
      <c r="H192" s="81"/>
      <c r="I192" s="27"/>
      <c r="J192" s="28"/>
      <c r="K192" s="81"/>
      <c r="L192" s="81"/>
      <c r="M192" s="88"/>
      <c r="N192" s="29"/>
      <c r="O192" s="30"/>
      <c r="P192" s="31"/>
      <c r="Q192" s="32"/>
      <c r="R192" s="20"/>
      <c r="S192" s="33"/>
      <c r="T192" s="89"/>
      <c r="U192" s="90"/>
      <c r="V192" s="18"/>
      <c r="W192" s="19"/>
      <c r="X192" s="20"/>
      <c r="Y192" s="21"/>
      <c r="Z192" s="22"/>
      <c r="AA192" s="23"/>
      <c r="AB192" s="27"/>
      <c r="AC192" s="80"/>
      <c r="AD192" s="24"/>
      <c r="AF192" s="140"/>
    </row>
    <row r="193" spans="1:32" ht="27" customHeight="1">
      <c r="A193" s="15"/>
      <c r="B193" s="81"/>
      <c r="C193" s="15"/>
      <c r="D193" s="15"/>
      <c r="E193" s="26"/>
      <c r="F193" s="27"/>
      <c r="G193" s="27"/>
      <c r="H193" s="81"/>
      <c r="I193" s="27"/>
      <c r="J193" s="28"/>
      <c r="K193" s="81"/>
      <c r="L193" s="81"/>
      <c r="M193" s="88"/>
      <c r="N193" s="29"/>
      <c r="O193" s="30"/>
      <c r="P193" s="31"/>
      <c r="Q193" s="32"/>
      <c r="R193" s="20"/>
      <c r="S193" s="33"/>
      <c r="T193" s="89"/>
      <c r="U193" s="90"/>
      <c r="V193" s="18"/>
      <c r="W193" s="19"/>
      <c r="X193" s="20"/>
      <c r="Y193" s="21"/>
      <c r="Z193" s="22"/>
      <c r="AA193" s="23"/>
      <c r="AB193" s="27"/>
      <c r="AC193" s="80"/>
      <c r="AD193" s="24"/>
      <c r="AF193" s="140"/>
    </row>
    <row r="194" spans="1:32" ht="27" customHeight="1">
      <c r="A194" s="15"/>
      <c r="B194" s="81"/>
      <c r="C194" s="15"/>
      <c r="D194" s="15"/>
      <c r="E194" s="26"/>
      <c r="F194" s="27"/>
      <c r="G194" s="27"/>
      <c r="H194" s="81"/>
      <c r="I194" s="27"/>
      <c r="J194" s="28"/>
      <c r="K194" s="81"/>
      <c r="L194" s="81"/>
      <c r="M194" s="88"/>
      <c r="N194" s="29"/>
      <c r="O194" s="30"/>
      <c r="P194" s="31"/>
      <c r="Q194" s="32"/>
      <c r="R194" s="20"/>
      <c r="S194" s="33"/>
      <c r="T194" s="89"/>
      <c r="U194" s="90"/>
      <c r="V194" s="18"/>
      <c r="W194" s="19"/>
      <c r="X194" s="20"/>
      <c r="Y194" s="21"/>
      <c r="Z194" s="22"/>
      <c r="AA194" s="23"/>
      <c r="AB194" s="27"/>
      <c r="AC194" s="80"/>
      <c r="AD194" s="24"/>
      <c r="AF194" s="140"/>
    </row>
    <row r="195" spans="1:32" ht="27" customHeight="1">
      <c r="A195" s="15"/>
      <c r="B195" s="81"/>
      <c r="C195" s="15"/>
      <c r="D195" s="15"/>
      <c r="E195" s="26"/>
      <c r="F195" s="27"/>
      <c r="G195" s="27"/>
      <c r="H195" s="81"/>
      <c r="I195" s="27"/>
      <c r="J195" s="28"/>
      <c r="K195" s="81"/>
      <c r="L195" s="81"/>
      <c r="M195" s="88"/>
      <c r="N195" s="29"/>
      <c r="O195" s="30"/>
      <c r="P195" s="31"/>
      <c r="Q195" s="32"/>
      <c r="R195" s="20"/>
      <c r="S195" s="33"/>
      <c r="T195" s="89"/>
      <c r="U195" s="90"/>
      <c r="V195" s="18"/>
      <c r="W195" s="19"/>
      <c r="X195" s="20"/>
      <c r="Y195" s="21"/>
      <c r="Z195" s="22"/>
      <c r="AA195" s="23"/>
      <c r="AB195" s="27"/>
      <c r="AC195" s="80"/>
      <c r="AD195" s="24"/>
      <c r="AF195" s="140"/>
    </row>
    <row r="196" spans="1:32" ht="27" customHeight="1">
      <c r="A196" s="15"/>
      <c r="B196" s="81"/>
      <c r="C196" s="15"/>
      <c r="D196" s="15"/>
      <c r="E196" s="26"/>
      <c r="F196" s="27"/>
      <c r="G196" s="27"/>
      <c r="H196" s="81"/>
      <c r="I196" s="27"/>
      <c r="J196" s="28"/>
      <c r="K196" s="81"/>
      <c r="L196" s="81"/>
      <c r="M196" s="88"/>
      <c r="N196" s="29"/>
      <c r="O196" s="30"/>
      <c r="P196" s="31"/>
      <c r="Q196" s="32"/>
      <c r="R196" s="20"/>
      <c r="S196" s="33"/>
      <c r="T196" s="89"/>
      <c r="U196" s="90"/>
      <c r="V196" s="18"/>
      <c r="W196" s="19"/>
      <c r="X196" s="20"/>
      <c r="Y196" s="21"/>
      <c r="Z196" s="22"/>
      <c r="AA196" s="23"/>
      <c r="AB196" s="27"/>
      <c r="AC196" s="80"/>
      <c r="AD196" s="24"/>
      <c r="AF196" s="140"/>
    </row>
    <row r="197" spans="1:32" ht="27" customHeight="1">
      <c r="A197" s="15"/>
      <c r="B197" s="81"/>
      <c r="C197" s="15"/>
      <c r="D197" s="15"/>
      <c r="E197" s="26"/>
      <c r="F197" s="27"/>
      <c r="G197" s="27"/>
      <c r="H197" s="81"/>
      <c r="I197" s="27"/>
      <c r="J197" s="28"/>
      <c r="K197" s="81"/>
      <c r="L197" s="81"/>
      <c r="M197" s="88"/>
      <c r="N197" s="29"/>
      <c r="O197" s="30"/>
      <c r="P197" s="31"/>
      <c r="Q197" s="32"/>
      <c r="R197" s="20"/>
      <c r="S197" s="33"/>
      <c r="T197" s="89"/>
      <c r="U197" s="90"/>
      <c r="V197" s="18"/>
      <c r="W197" s="19"/>
      <c r="X197" s="20"/>
      <c r="Y197" s="21"/>
      <c r="Z197" s="22"/>
      <c r="AA197" s="23"/>
      <c r="AB197" s="27"/>
      <c r="AC197" s="80"/>
      <c r="AD197" s="24"/>
      <c r="AF197" s="140"/>
    </row>
    <row r="198" spans="1:32" ht="27" customHeight="1">
      <c r="A198" s="15"/>
      <c r="B198" s="81"/>
      <c r="C198" s="15"/>
      <c r="D198" s="15"/>
      <c r="E198" s="26"/>
      <c r="F198" s="27"/>
      <c r="G198" s="27"/>
      <c r="H198" s="81"/>
      <c r="I198" s="27"/>
      <c r="J198" s="28"/>
      <c r="K198" s="81"/>
      <c r="L198" s="81"/>
      <c r="M198" s="88"/>
      <c r="N198" s="29"/>
      <c r="O198" s="30"/>
      <c r="P198" s="31"/>
      <c r="Q198" s="32"/>
      <c r="R198" s="20"/>
      <c r="S198" s="33"/>
      <c r="T198" s="89"/>
      <c r="U198" s="90"/>
      <c r="V198" s="18"/>
      <c r="W198" s="19"/>
      <c r="X198" s="20"/>
      <c r="Y198" s="21"/>
      <c r="Z198" s="22"/>
      <c r="AA198" s="23"/>
      <c r="AB198" s="27"/>
      <c r="AC198" s="80"/>
      <c r="AD198" s="24"/>
      <c r="AF198" s="140"/>
    </row>
    <row r="199" spans="1:32" ht="27" customHeight="1">
      <c r="A199" s="15"/>
      <c r="B199" s="81"/>
      <c r="C199" s="15"/>
      <c r="D199" s="15"/>
      <c r="E199" s="26"/>
      <c r="F199" s="27"/>
      <c r="G199" s="27"/>
      <c r="H199" s="81"/>
      <c r="I199" s="27"/>
      <c r="J199" s="28"/>
      <c r="K199" s="81"/>
      <c r="L199" s="81"/>
      <c r="M199" s="88"/>
      <c r="N199" s="29"/>
      <c r="O199" s="30"/>
      <c r="P199" s="31"/>
      <c r="Q199" s="32"/>
      <c r="R199" s="20"/>
      <c r="S199" s="33"/>
      <c r="T199" s="89"/>
      <c r="U199" s="90"/>
      <c r="V199" s="18"/>
      <c r="W199" s="19"/>
      <c r="X199" s="20"/>
      <c r="Y199" s="21"/>
      <c r="Z199" s="22"/>
      <c r="AA199" s="23"/>
      <c r="AB199" s="27"/>
      <c r="AC199" s="80"/>
      <c r="AD199" s="24"/>
      <c r="AF199" s="140"/>
    </row>
    <row r="200" spans="1:32" ht="27" customHeight="1">
      <c r="A200" s="15"/>
      <c r="B200" s="81"/>
      <c r="C200" s="15"/>
      <c r="D200" s="15"/>
      <c r="E200" s="26"/>
      <c r="F200" s="27"/>
      <c r="G200" s="27"/>
      <c r="H200" s="81"/>
      <c r="I200" s="27"/>
      <c r="J200" s="28"/>
      <c r="K200" s="81"/>
      <c r="L200" s="81"/>
      <c r="M200" s="88"/>
      <c r="N200" s="29"/>
      <c r="O200" s="30"/>
      <c r="P200" s="31"/>
      <c r="Q200" s="32"/>
      <c r="R200" s="20"/>
      <c r="S200" s="33"/>
      <c r="T200" s="89"/>
      <c r="U200" s="90"/>
      <c r="V200" s="18"/>
      <c r="W200" s="19"/>
      <c r="X200" s="20"/>
      <c r="Y200" s="21"/>
      <c r="Z200" s="22"/>
      <c r="AA200" s="23"/>
      <c r="AB200" s="27"/>
      <c r="AC200" s="80"/>
      <c r="AD200" s="24"/>
      <c r="AF200" s="140"/>
    </row>
    <row r="201" spans="1:32" ht="27" customHeight="1">
      <c r="A201" s="15"/>
      <c r="B201" s="81"/>
      <c r="C201" s="15"/>
      <c r="D201" s="15"/>
      <c r="E201" s="26"/>
      <c r="F201" s="27"/>
      <c r="G201" s="27"/>
      <c r="H201" s="81"/>
      <c r="I201" s="27"/>
      <c r="J201" s="28"/>
      <c r="K201" s="81"/>
      <c r="L201" s="81"/>
      <c r="M201" s="88"/>
      <c r="N201" s="29"/>
      <c r="O201" s="30"/>
      <c r="P201" s="31"/>
      <c r="Q201" s="32"/>
      <c r="R201" s="20"/>
      <c r="S201" s="33"/>
      <c r="T201" s="89"/>
      <c r="U201" s="90"/>
      <c r="V201" s="18"/>
      <c r="W201" s="19"/>
      <c r="X201" s="20"/>
      <c r="Y201" s="21"/>
      <c r="Z201" s="22"/>
      <c r="AA201" s="23"/>
      <c r="AB201" s="27"/>
      <c r="AC201" s="80"/>
      <c r="AD201" s="24"/>
      <c r="AF201" s="140"/>
    </row>
    <row r="202" spans="1:32" ht="27" customHeight="1">
      <c r="A202" s="15"/>
      <c r="B202" s="81"/>
      <c r="C202" s="15"/>
      <c r="D202" s="15"/>
      <c r="E202" s="26"/>
      <c r="F202" s="27"/>
      <c r="G202" s="27"/>
      <c r="H202" s="81"/>
      <c r="I202" s="27"/>
      <c r="J202" s="28"/>
      <c r="K202" s="81"/>
      <c r="L202" s="81"/>
      <c r="M202" s="88"/>
      <c r="N202" s="29"/>
      <c r="O202" s="30"/>
      <c r="P202" s="31"/>
      <c r="Q202" s="32"/>
      <c r="R202" s="20"/>
      <c r="S202" s="33"/>
      <c r="T202" s="89"/>
      <c r="U202" s="90"/>
      <c r="V202" s="18"/>
      <c r="W202" s="19"/>
      <c r="X202" s="20"/>
      <c r="Y202" s="21"/>
      <c r="Z202" s="22"/>
      <c r="AA202" s="23"/>
      <c r="AB202" s="27"/>
      <c r="AC202" s="80"/>
      <c r="AD202" s="24"/>
      <c r="AF202" s="140"/>
    </row>
    <row r="203" spans="1:32" ht="27" customHeight="1">
      <c r="A203" s="15"/>
      <c r="B203" s="81"/>
      <c r="C203" s="15"/>
      <c r="D203" s="15"/>
      <c r="E203" s="26"/>
      <c r="F203" s="27"/>
      <c r="G203" s="27"/>
      <c r="H203" s="81"/>
      <c r="I203" s="27"/>
      <c r="J203" s="28"/>
      <c r="K203" s="81"/>
      <c r="L203" s="81"/>
      <c r="M203" s="88"/>
      <c r="N203" s="29"/>
      <c r="O203" s="30"/>
      <c r="P203" s="31"/>
      <c r="Q203" s="32"/>
      <c r="R203" s="20"/>
      <c r="S203" s="33"/>
      <c r="T203" s="89"/>
      <c r="U203" s="90"/>
      <c r="V203" s="18"/>
      <c r="W203" s="19"/>
      <c r="X203" s="20"/>
      <c r="Y203" s="21"/>
      <c r="Z203" s="22"/>
      <c r="AA203" s="23"/>
      <c r="AB203" s="27"/>
      <c r="AC203" s="80"/>
      <c r="AD203" s="24"/>
      <c r="AF203" s="140"/>
    </row>
    <row r="204" spans="1:32" ht="27" customHeight="1">
      <c r="A204" s="15"/>
      <c r="B204" s="81"/>
      <c r="C204" s="15"/>
      <c r="D204" s="15"/>
      <c r="E204" s="26"/>
      <c r="F204" s="27"/>
      <c r="G204" s="27"/>
      <c r="H204" s="81"/>
      <c r="I204" s="27"/>
      <c r="J204" s="28"/>
      <c r="K204" s="81"/>
      <c r="L204" s="81"/>
      <c r="M204" s="88"/>
      <c r="N204" s="29"/>
      <c r="O204" s="30"/>
      <c r="P204" s="31"/>
      <c r="Q204" s="32"/>
      <c r="R204" s="20"/>
      <c r="S204" s="33"/>
      <c r="T204" s="89"/>
      <c r="U204" s="90"/>
      <c r="V204" s="18"/>
      <c r="W204" s="19"/>
      <c r="X204" s="20"/>
      <c r="Y204" s="21"/>
      <c r="Z204" s="22"/>
      <c r="AA204" s="23"/>
      <c r="AB204" s="27"/>
      <c r="AC204" s="80"/>
      <c r="AD204" s="24"/>
      <c r="AF204" s="140"/>
    </row>
    <row r="205" spans="1:32" ht="27" customHeight="1">
      <c r="A205" s="15"/>
      <c r="B205" s="81"/>
      <c r="C205" s="15"/>
      <c r="D205" s="15"/>
      <c r="E205" s="26"/>
      <c r="F205" s="27"/>
      <c r="G205" s="27"/>
      <c r="H205" s="81"/>
      <c r="I205" s="27"/>
      <c r="J205" s="28"/>
      <c r="K205" s="81"/>
      <c r="L205" s="81"/>
      <c r="M205" s="88"/>
      <c r="N205" s="29"/>
      <c r="O205" s="30"/>
      <c r="P205" s="31"/>
      <c r="Q205" s="32"/>
      <c r="R205" s="20"/>
      <c r="S205" s="33"/>
      <c r="T205" s="89"/>
      <c r="U205" s="90"/>
      <c r="V205" s="18"/>
      <c r="W205" s="19"/>
      <c r="X205" s="20"/>
      <c r="Y205" s="21"/>
      <c r="Z205" s="22"/>
      <c r="AA205" s="23"/>
      <c r="AB205" s="27"/>
      <c r="AC205" s="80"/>
      <c r="AD205" s="24"/>
      <c r="AF205" s="140"/>
    </row>
    <row r="206" spans="1:32" ht="27" customHeight="1">
      <c r="A206" s="15"/>
      <c r="B206" s="81"/>
      <c r="C206" s="15"/>
      <c r="D206" s="15"/>
      <c r="E206" s="26"/>
      <c r="F206" s="27"/>
      <c r="G206" s="27"/>
      <c r="H206" s="81"/>
      <c r="I206" s="27"/>
      <c r="J206" s="28"/>
      <c r="K206" s="81"/>
      <c r="L206" s="81"/>
      <c r="M206" s="88"/>
      <c r="N206" s="29"/>
      <c r="O206" s="30"/>
      <c r="P206" s="31"/>
      <c r="Q206" s="32"/>
      <c r="R206" s="20"/>
      <c r="S206" s="33"/>
      <c r="T206" s="89"/>
      <c r="U206" s="90"/>
      <c r="V206" s="18"/>
      <c r="W206" s="19"/>
      <c r="X206" s="20"/>
      <c r="Y206" s="21"/>
      <c r="Z206" s="22"/>
      <c r="AA206" s="23"/>
      <c r="AB206" s="27"/>
      <c r="AC206" s="80"/>
      <c r="AD206" s="24"/>
      <c r="AF206" s="140"/>
    </row>
    <row r="207" spans="1:32" ht="27" customHeight="1">
      <c r="A207" s="15"/>
      <c r="B207" s="81"/>
      <c r="C207" s="15"/>
      <c r="D207" s="15"/>
      <c r="E207" s="26"/>
      <c r="F207" s="27"/>
      <c r="G207" s="27"/>
      <c r="H207" s="81"/>
      <c r="I207" s="27"/>
      <c r="J207" s="28"/>
      <c r="K207" s="81"/>
      <c r="L207" s="81"/>
      <c r="M207" s="88"/>
      <c r="N207" s="29"/>
      <c r="O207" s="30"/>
      <c r="P207" s="31"/>
      <c r="Q207" s="32"/>
      <c r="R207" s="20"/>
      <c r="S207" s="33"/>
      <c r="T207" s="89"/>
      <c r="U207" s="90"/>
      <c r="V207" s="18"/>
      <c r="W207" s="19"/>
      <c r="X207" s="20"/>
      <c r="Y207" s="21"/>
      <c r="Z207" s="22"/>
      <c r="AA207" s="23"/>
      <c r="AB207" s="27"/>
      <c r="AC207" s="80"/>
      <c r="AD207" s="24"/>
      <c r="AF207" s="140"/>
    </row>
    <row r="208" spans="1:32" ht="27" customHeight="1">
      <c r="A208" s="15"/>
      <c r="B208" s="81"/>
      <c r="C208" s="15"/>
      <c r="D208" s="15"/>
      <c r="E208" s="26"/>
      <c r="F208" s="27"/>
      <c r="G208" s="27"/>
      <c r="H208" s="81"/>
      <c r="I208" s="27"/>
      <c r="J208" s="28"/>
      <c r="K208" s="81"/>
      <c r="L208" s="81"/>
      <c r="M208" s="88"/>
      <c r="N208" s="29"/>
      <c r="O208" s="30"/>
      <c r="P208" s="31"/>
      <c r="Q208" s="32"/>
      <c r="R208" s="20"/>
      <c r="S208" s="33"/>
      <c r="T208" s="89"/>
      <c r="U208" s="90"/>
      <c r="V208" s="18"/>
      <c r="W208" s="19"/>
      <c r="X208" s="20"/>
      <c r="Y208" s="21"/>
      <c r="Z208" s="22"/>
      <c r="AA208" s="23"/>
      <c r="AB208" s="27"/>
      <c r="AC208" s="80"/>
      <c r="AD208" s="24"/>
      <c r="AF208" s="140"/>
    </row>
    <row r="209" spans="1:32" ht="27" customHeight="1">
      <c r="A209" s="15"/>
      <c r="B209" s="81"/>
      <c r="C209" s="15"/>
      <c r="D209" s="15"/>
      <c r="E209" s="26"/>
      <c r="F209" s="27"/>
      <c r="G209" s="27"/>
      <c r="H209" s="81"/>
      <c r="I209" s="27"/>
      <c r="J209" s="28"/>
      <c r="K209" s="81"/>
      <c r="L209" s="81"/>
      <c r="M209" s="88"/>
      <c r="N209" s="29"/>
      <c r="O209" s="30"/>
      <c r="P209" s="31"/>
      <c r="Q209" s="32"/>
      <c r="R209" s="20"/>
      <c r="S209" s="33"/>
      <c r="T209" s="89"/>
      <c r="U209" s="90"/>
      <c r="V209" s="18"/>
      <c r="W209" s="19"/>
      <c r="X209" s="20"/>
      <c r="Y209" s="21"/>
      <c r="Z209" s="22"/>
      <c r="AA209" s="23"/>
      <c r="AB209" s="27"/>
      <c r="AC209" s="80"/>
      <c r="AD209" s="24"/>
      <c r="AF209" s="140"/>
    </row>
    <row r="210" spans="1:32" ht="27" customHeight="1">
      <c r="A210" s="15"/>
      <c r="B210" s="81"/>
      <c r="C210" s="15"/>
      <c r="D210" s="15"/>
      <c r="E210" s="26"/>
      <c r="F210" s="27"/>
      <c r="G210" s="27"/>
      <c r="H210" s="81"/>
      <c r="I210" s="27"/>
      <c r="J210" s="28"/>
      <c r="K210" s="81"/>
      <c r="L210" s="81"/>
      <c r="M210" s="88"/>
      <c r="N210" s="29"/>
      <c r="O210" s="30"/>
      <c r="P210" s="31"/>
      <c r="Q210" s="32"/>
      <c r="R210" s="20"/>
      <c r="S210" s="33"/>
      <c r="T210" s="89"/>
      <c r="U210" s="90"/>
      <c r="V210" s="18"/>
      <c r="W210" s="19"/>
      <c r="X210" s="20"/>
      <c r="Y210" s="21"/>
      <c r="Z210" s="22"/>
      <c r="AA210" s="23"/>
      <c r="AB210" s="27"/>
      <c r="AC210" s="80"/>
      <c r="AD210" s="24"/>
      <c r="AF210" s="140"/>
    </row>
    <row r="211" spans="1:32" ht="27" customHeight="1">
      <c r="A211" s="15"/>
      <c r="B211" s="81"/>
      <c r="C211" s="15"/>
      <c r="D211" s="15"/>
      <c r="E211" s="26"/>
      <c r="F211" s="27"/>
      <c r="G211" s="27"/>
      <c r="H211" s="81"/>
      <c r="I211" s="27"/>
      <c r="J211" s="28"/>
      <c r="K211" s="81"/>
      <c r="L211" s="81"/>
      <c r="M211" s="88"/>
      <c r="N211" s="29"/>
      <c r="O211" s="30"/>
      <c r="P211" s="31"/>
      <c r="Q211" s="32"/>
      <c r="R211" s="20"/>
      <c r="S211" s="33"/>
      <c r="T211" s="89"/>
      <c r="U211" s="90"/>
      <c r="V211" s="18"/>
      <c r="W211" s="19"/>
      <c r="X211" s="20"/>
      <c r="Y211" s="21"/>
      <c r="Z211" s="22"/>
      <c r="AA211" s="23"/>
      <c r="AB211" s="27"/>
      <c r="AC211" s="80"/>
      <c r="AD211" s="24"/>
      <c r="AF211" s="140"/>
    </row>
    <row r="212" spans="1:32" ht="27" customHeight="1">
      <c r="A212" s="15"/>
      <c r="B212" s="81"/>
      <c r="C212" s="15"/>
      <c r="D212" s="15"/>
      <c r="E212" s="26"/>
      <c r="F212" s="27"/>
      <c r="G212" s="27"/>
      <c r="H212" s="81"/>
      <c r="I212" s="27"/>
      <c r="J212" s="28"/>
      <c r="K212" s="81"/>
      <c r="L212" s="81"/>
      <c r="M212" s="88"/>
      <c r="N212" s="29"/>
      <c r="O212" s="30"/>
      <c r="P212" s="31"/>
      <c r="Q212" s="32"/>
      <c r="R212" s="20"/>
      <c r="S212" s="33"/>
      <c r="T212" s="89"/>
      <c r="U212" s="90"/>
      <c r="V212" s="18"/>
      <c r="W212" s="19"/>
      <c r="X212" s="20"/>
      <c r="Y212" s="21"/>
      <c r="Z212" s="22"/>
      <c r="AA212" s="23"/>
      <c r="AB212" s="27"/>
      <c r="AC212" s="80"/>
      <c r="AD212" s="24"/>
      <c r="AF212" s="140"/>
    </row>
    <row r="213" spans="1:32" ht="27" customHeight="1">
      <c r="A213" s="15"/>
      <c r="B213" s="81"/>
      <c r="C213" s="15"/>
      <c r="D213" s="15"/>
      <c r="E213" s="26"/>
      <c r="F213" s="27"/>
      <c r="G213" s="27"/>
      <c r="H213" s="81"/>
      <c r="I213" s="27"/>
      <c r="J213" s="28"/>
      <c r="K213" s="81"/>
      <c r="L213" s="81"/>
      <c r="M213" s="88"/>
      <c r="N213" s="29"/>
      <c r="O213" s="30"/>
      <c r="P213" s="31"/>
      <c r="Q213" s="32"/>
      <c r="R213" s="20"/>
      <c r="S213" s="33"/>
      <c r="T213" s="89"/>
      <c r="U213" s="90"/>
      <c r="V213" s="18"/>
      <c r="W213" s="19"/>
      <c r="X213" s="20"/>
      <c r="Y213" s="21"/>
      <c r="Z213" s="22"/>
      <c r="AA213" s="23"/>
      <c r="AB213" s="27"/>
      <c r="AC213" s="80"/>
      <c r="AD213" s="24"/>
      <c r="AF213" s="140"/>
    </row>
    <row r="214" spans="1:32" ht="27" customHeight="1">
      <c r="A214" s="15"/>
      <c r="B214" s="81"/>
      <c r="C214" s="15"/>
      <c r="D214" s="15"/>
      <c r="E214" s="26"/>
      <c r="F214" s="27"/>
      <c r="G214" s="27"/>
      <c r="H214" s="81"/>
      <c r="I214" s="27"/>
      <c r="J214" s="28"/>
      <c r="K214" s="81"/>
      <c r="L214" s="81"/>
      <c r="M214" s="88"/>
      <c r="N214" s="29"/>
      <c r="O214" s="30"/>
      <c r="P214" s="31"/>
      <c r="Q214" s="32"/>
      <c r="R214" s="20"/>
      <c r="S214" s="33"/>
      <c r="T214" s="89"/>
      <c r="U214" s="90"/>
      <c r="V214" s="18"/>
      <c r="W214" s="19"/>
      <c r="X214" s="20"/>
      <c r="Y214" s="21"/>
      <c r="Z214" s="22"/>
      <c r="AA214" s="23"/>
      <c r="AB214" s="27"/>
      <c r="AC214" s="80"/>
      <c r="AD214" s="24"/>
      <c r="AF214" s="140"/>
    </row>
    <row r="215" spans="1:32" ht="27" customHeight="1">
      <c r="A215" s="15"/>
      <c r="B215" s="81"/>
      <c r="C215" s="15"/>
      <c r="D215" s="15"/>
      <c r="E215" s="26"/>
      <c r="F215" s="27"/>
      <c r="G215" s="27"/>
      <c r="H215" s="81"/>
      <c r="I215" s="27"/>
      <c r="J215" s="28"/>
      <c r="K215" s="81"/>
      <c r="L215" s="81"/>
      <c r="M215" s="88"/>
      <c r="N215" s="29"/>
      <c r="O215" s="30"/>
      <c r="P215" s="31"/>
      <c r="Q215" s="32"/>
      <c r="R215" s="20"/>
      <c r="S215" s="33"/>
      <c r="T215" s="89"/>
      <c r="U215" s="90"/>
      <c r="V215" s="18"/>
      <c r="W215" s="19"/>
      <c r="X215" s="20"/>
      <c r="Y215" s="21"/>
      <c r="Z215" s="22"/>
      <c r="AA215" s="23"/>
      <c r="AB215" s="27"/>
      <c r="AC215" s="80"/>
      <c r="AD215" s="24"/>
      <c r="AF215" s="140"/>
    </row>
    <row r="216" spans="1:32" ht="27" customHeight="1">
      <c r="A216" s="15"/>
      <c r="B216" s="81"/>
      <c r="C216" s="15"/>
      <c r="D216" s="15"/>
      <c r="E216" s="26"/>
      <c r="F216" s="27"/>
      <c r="G216" s="27"/>
      <c r="H216" s="81"/>
      <c r="I216" s="27"/>
      <c r="J216" s="28"/>
      <c r="K216" s="81"/>
      <c r="L216" s="81"/>
      <c r="M216" s="88"/>
      <c r="N216" s="29"/>
      <c r="O216" s="30"/>
      <c r="P216" s="31"/>
      <c r="Q216" s="32"/>
      <c r="R216" s="20"/>
      <c r="S216" s="33"/>
      <c r="T216" s="89"/>
      <c r="U216" s="90"/>
      <c r="V216" s="18"/>
      <c r="W216" s="19"/>
      <c r="X216" s="20"/>
      <c r="Y216" s="21"/>
      <c r="Z216" s="22"/>
      <c r="AA216" s="23"/>
      <c r="AB216" s="27"/>
      <c r="AC216" s="80"/>
      <c r="AD216" s="24"/>
      <c r="AF216" s="140"/>
    </row>
    <row r="217" spans="1:32" ht="27" customHeight="1">
      <c r="A217" s="15"/>
      <c r="B217" s="81"/>
      <c r="C217" s="15"/>
      <c r="D217" s="15"/>
      <c r="E217" s="26"/>
      <c r="F217" s="27"/>
      <c r="G217" s="27"/>
      <c r="H217" s="81"/>
      <c r="I217" s="27"/>
      <c r="J217" s="28"/>
      <c r="K217" s="81"/>
      <c r="L217" s="81"/>
      <c r="M217" s="88"/>
      <c r="N217" s="29"/>
      <c r="O217" s="30"/>
      <c r="P217" s="31"/>
      <c r="Q217" s="32"/>
      <c r="R217" s="20"/>
      <c r="S217" s="33"/>
      <c r="T217" s="89"/>
      <c r="U217" s="90"/>
      <c r="V217" s="18"/>
      <c r="W217" s="19"/>
      <c r="X217" s="20"/>
      <c r="Y217" s="21"/>
      <c r="Z217" s="22"/>
      <c r="AA217" s="23"/>
      <c r="AB217" s="27"/>
      <c r="AC217" s="80"/>
      <c r="AD217" s="24"/>
      <c r="AF217" s="140"/>
    </row>
    <row r="218" spans="1:32" ht="27" customHeight="1">
      <c r="A218" s="15"/>
      <c r="B218" s="81"/>
      <c r="C218" s="15"/>
      <c r="D218" s="15"/>
      <c r="E218" s="26"/>
      <c r="F218" s="27"/>
      <c r="G218" s="27"/>
      <c r="H218" s="81"/>
      <c r="I218" s="27"/>
      <c r="J218" s="28"/>
      <c r="K218" s="81"/>
      <c r="L218" s="81"/>
      <c r="M218" s="88"/>
      <c r="N218" s="29"/>
      <c r="O218" s="30"/>
      <c r="P218" s="31"/>
      <c r="Q218" s="32"/>
      <c r="R218" s="20"/>
      <c r="S218" s="33"/>
      <c r="T218" s="89"/>
      <c r="U218" s="90"/>
      <c r="V218" s="18"/>
      <c r="W218" s="19"/>
      <c r="X218" s="20"/>
      <c r="Y218" s="21"/>
      <c r="Z218" s="22"/>
      <c r="AA218" s="23"/>
      <c r="AB218" s="27"/>
      <c r="AC218" s="80"/>
      <c r="AD218" s="24"/>
      <c r="AF218" s="140"/>
    </row>
    <row r="219" spans="1:32" ht="27" customHeight="1">
      <c r="A219" s="15"/>
      <c r="B219" s="81"/>
      <c r="C219" s="15"/>
      <c r="D219" s="15"/>
      <c r="E219" s="26"/>
      <c r="F219" s="27"/>
      <c r="G219" s="27"/>
      <c r="H219" s="81"/>
      <c r="I219" s="27"/>
      <c r="J219" s="28"/>
      <c r="K219" s="81"/>
      <c r="L219" s="81"/>
      <c r="M219" s="88"/>
      <c r="N219" s="29"/>
      <c r="O219" s="30"/>
      <c r="P219" s="31"/>
      <c r="Q219" s="32"/>
      <c r="R219" s="20"/>
      <c r="S219" s="33"/>
      <c r="T219" s="89"/>
      <c r="U219" s="90"/>
      <c r="V219" s="18"/>
      <c r="W219" s="19"/>
      <c r="X219" s="20"/>
      <c r="Y219" s="21"/>
      <c r="Z219" s="22"/>
      <c r="AA219" s="23"/>
      <c r="AB219" s="27"/>
      <c r="AC219" s="80"/>
      <c r="AD219" s="24"/>
      <c r="AF219" s="140"/>
    </row>
    <row r="220" spans="1:32" ht="27" customHeight="1">
      <c r="A220" s="15"/>
      <c r="B220" s="81"/>
      <c r="C220" s="15"/>
      <c r="D220" s="15"/>
      <c r="E220" s="26"/>
      <c r="F220" s="27"/>
      <c r="G220" s="27"/>
      <c r="H220" s="81"/>
      <c r="I220" s="27"/>
      <c r="J220" s="28"/>
      <c r="K220" s="81"/>
      <c r="L220" s="81"/>
      <c r="M220" s="88"/>
      <c r="N220" s="29"/>
      <c r="O220" s="30"/>
      <c r="P220" s="31"/>
      <c r="Q220" s="32"/>
      <c r="R220" s="20"/>
      <c r="S220" s="33"/>
      <c r="T220" s="89"/>
      <c r="U220" s="90"/>
      <c r="V220" s="18"/>
      <c r="W220" s="19"/>
      <c r="X220" s="20"/>
      <c r="Y220" s="21"/>
      <c r="Z220" s="22"/>
      <c r="AA220" s="23"/>
      <c r="AB220" s="27"/>
      <c r="AC220" s="80"/>
      <c r="AD220" s="24"/>
      <c r="AF220" s="140"/>
    </row>
    <row r="221" spans="1:32" ht="27" customHeight="1">
      <c r="A221" s="15"/>
      <c r="B221" s="81"/>
      <c r="C221" s="15"/>
      <c r="D221" s="15"/>
      <c r="E221" s="26"/>
      <c r="F221" s="27"/>
      <c r="G221" s="27"/>
      <c r="H221" s="81"/>
      <c r="I221" s="27"/>
      <c r="J221" s="28"/>
      <c r="K221" s="81"/>
      <c r="L221" s="81"/>
      <c r="M221" s="88"/>
      <c r="N221" s="29"/>
      <c r="O221" s="30"/>
      <c r="P221" s="31"/>
      <c r="Q221" s="32"/>
      <c r="R221" s="20"/>
      <c r="S221" s="33"/>
      <c r="T221" s="89"/>
      <c r="U221" s="90"/>
      <c r="V221" s="18"/>
      <c r="W221" s="19"/>
      <c r="X221" s="20"/>
      <c r="Y221" s="21"/>
      <c r="Z221" s="22"/>
      <c r="AA221" s="23"/>
      <c r="AB221" s="27"/>
      <c r="AC221" s="80"/>
      <c r="AD221" s="24"/>
      <c r="AF221" s="140"/>
    </row>
    <row r="222" spans="1:32" ht="27" customHeight="1">
      <c r="A222" s="15"/>
      <c r="B222" s="81"/>
      <c r="C222" s="15"/>
      <c r="D222" s="15"/>
      <c r="E222" s="26"/>
      <c r="F222" s="27"/>
      <c r="G222" s="27"/>
      <c r="H222" s="81"/>
      <c r="I222" s="27"/>
      <c r="J222" s="28"/>
      <c r="K222" s="81"/>
      <c r="L222" s="81"/>
      <c r="M222" s="88"/>
      <c r="N222" s="29"/>
      <c r="O222" s="30"/>
      <c r="P222" s="31"/>
      <c r="Q222" s="32"/>
      <c r="R222" s="20"/>
      <c r="S222" s="33"/>
      <c r="T222" s="89"/>
      <c r="U222" s="90"/>
      <c r="V222" s="18"/>
      <c r="W222" s="19"/>
      <c r="X222" s="20"/>
      <c r="Y222" s="21"/>
      <c r="Z222" s="22"/>
      <c r="AA222" s="23"/>
      <c r="AB222" s="27"/>
      <c r="AC222" s="80"/>
      <c r="AD222" s="24"/>
      <c r="AF222" s="140"/>
    </row>
    <row r="223" spans="1:32" ht="27" customHeight="1">
      <c r="A223" s="15"/>
      <c r="B223" s="81"/>
      <c r="C223" s="15"/>
      <c r="D223" s="15"/>
      <c r="E223" s="26"/>
      <c r="F223" s="27"/>
      <c r="G223" s="27"/>
      <c r="H223" s="81"/>
      <c r="I223" s="27"/>
      <c r="J223" s="28"/>
      <c r="K223" s="81"/>
      <c r="L223" s="81"/>
      <c r="M223" s="88"/>
      <c r="N223" s="29"/>
      <c r="O223" s="30"/>
      <c r="P223" s="31"/>
      <c r="Q223" s="32"/>
      <c r="R223" s="20"/>
      <c r="S223" s="33"/>
      <c r="T223" s="89"/>
      <c r="U223" s="90"/>
      <c r="V223" s="18"/>
      <c r="W223" s="19"/>
      <c r="X223" s="20"/>
      <c r="Y223" s="21"/>
      <c r="Z223" s="22"/>
      <c r="AA223" s="23"/>
      <c r="AB223" s="27"/>
      <c r="AC223" s="80"/>
      <c r="AD223" s="24"/>
      <c r="AF223" s="140"/>
    </row>
    <row r="224" spans="1:32" ht="27" customHeight="1">
      <c r="A224" s="15"/>
      <c r="B224" s="81"/>
      <c r="C224" s="15"/>
      <c r="D224" s="15"/>
      <c r="E224" s="26"/>
      <c r="F224" s="27"/>
      <c r="G224" s="27"/>
      <c r="H224" s="81"/>
      <c r="I224" s="27"/>
      <c r="J224" s="28"/>
      <c r="K224" s="81"/>
      <c r="L224" s="81"/>
      <c r="M224" s="88"/>
      <c r="N224" s="29"/>
      <c r="O224" s="30"/>
      <c r="P224" s="31"/>
      <c r="Q224" s="32"/>
      <c r="R224" s="20"/>
      <c r="S224" s="33"/>
      <c r="T224" s="89"/>
      <c r="U224" s="90"/>
      <c r="V224" s="18"/>
      <c r="W224" s="19"/>
      <c r="X224" s="20"/>
      <c r="Y224" s="21"/>
      <c r="Z224" s="22"/>
      <c r="AA224" s="23"/>
      <c r="AB224" s="27"/>
      <c r="AC224" s="80"/>
      <c r="AD224" s="24"/>
      <c r="AF224" s="140"/>
    </row>
    <row r="225" spans="1:32" ht="27" customHeight="1">
      <c r="A225" s="15"/>
      <c r="B225" s="81"/>
      <c r="C225" s="15"/>
      <c r="D225" s="15"/>
      <c r="E225" s="26"/>
      <c r="F225" s="27"/>
      <c r="G225" s="27"/>
      <c r="H225" s="81"/>
      <c r="I225" s="27"/>
      <c r="J225" s="28"/>
      <c r="K225" s="81"/>
      <c r="L225" s="81"/>
      <c r="M225" s="88"/>
      <c r="N225" s="29"/>
      <c r="O225" s="30"/>
      <c r="P225" s="31"/>
      <c r="Q225" s="32"/>
      <c r="R225" s="20"/>
      <c r="S225" s="33"/>
      <c r="T225" s="89"/>
      <c r="U225" s="90"/>
      <c r="V225" s="18"/>
      <c r="W225" s="19"/>
      <c r="X225" s="20"/>
      <c r="Y225" s="21"/>
      <c r="Z225" s="22"/>
      <c r="AA225" s="23"/>
      <c r="AB225" s="27"/>
      <c r="AC225" s="80"/>
      <c r="AD225" s="24"/>
      <c r="AF225" s="140"/>
    </row>
    <row r="226" spans="1:32" ht="27" customHeight="1">
      <c r="A226" s="15"/>
      <c r="B226" s="81"/>
      <c r="C226" s="15"/>
      <c r="D226" s="15"/>
      <c r="E226" s="26"/>
      <c r="F226" s="27"/>
      <c r="G226" s="27"/>
      <c r="H226" s="81"/>
      <c r="I226" s="27"/>
      <c r="J226" s="28"/>
      <c r="K226" s="81"/>
      <c r="L226" s="81"/>
      <c r="M226" s="88"/>
      <c r="N226" s="29"/>
      <c r="O226" s="30"/>
      <c r="P226" s="31"/>
      <c r="Q226" s="32"/>
      <c r="R226" s="20"/>
      <c r="S226" s="33"/>
      <c r="T226" s="89"/>
      <c r="U226" s="90"/>
      <c r="V226" s="18"/>
      <c r="W226" s="19"/>
      <c r="X226" s="20"/>
      <c r="Y226" s="21"/>
      <c r="Z226" s="22"/>
      <c r="AA226" s="23"/>
      <c r="AB226" s="27"/>
      <c r="AC226" s="80"/>
      <c r="AD226" s="24"/>
      <c r="AF226" s="140"/>
    </row>
    <row r="227" spans="1:32" ht="27" customHeight="1">
      <c r="A227" s="15"/>
      <c r="B227" s="81"/>
      <c r="C227" s="15"/>
      <c r="D227" s="15"/>
      <c r="E227" s="26"/>
      <c r="F227" s="27"/>
      <c r="G227" s="27"/>
      <c r="H227" s="81"/>
      <c r="I227" s="27"/>
      <c r="J227" s="28"/>
      <c r="K227" s="81"/>
      <c r="L227" s="81"/>
      <c r="M227" s="88"/>
      <c r="N227" s="29"/>
      <c r="O227" s="30"/>
      <c r="P227" s="31"/>
      <c r="Q227" s="32"/>
      <c r="R227" s="20"/>
      <c r="S227" s="33"/>
      <c r="T227" s="89"/>
      <c r="U227" s="90"/>
      <c r="V227" s="18"/>
      <c r="W227" s="19"/>
      <c r="X227" s="20"/>
      <c r="Y227" s="21"/>
      <c r="Z227" s="22"/>
      <c r="AA227" s="23"/>
      <c r="AB227" s="27"/>
      <c r="AC227" s="80"/>
      <c r="AD227" s="24"/>
      <c r="AF227" s="140"/>
    </row>
    <row r="228" spans="1:32" ht="27" customHeight="1">
      <c r="A228" s="15"/>
      <c r="B228" s="81"/>
      <c r="C228" s="15"/>
      <c r="D228" s="15"/>
      <c r="E228" s="26"/>
      <c r="F228" s="27"/>
      <c r="G228" s="27"/>
      <c r="H228" s="81"/>
      <c r="I228" s="27"/>
      <c r="J228" s="28"/>
      <c r="K228" s="81"/>
      <c r="L228" s="81"/>
      <c r="M228" s="88"/>
      <c r="N228" s="29"/>
      <c r="O228" s="30"/>
      <c r="P228" s="31"/>
      <c r="Q228" s="32"/>
      <c r="R228" s="20"/>
      <c r="S228" s="33"/>
      <c r="T228" s="89"/>
      <c r="U228" s="90"/>
      <c r="V228" s="18"/>
      <c r="W228" s="19"/>
      <c r="X228" s="20"/>
      <c r="Y228" s="21"/>
      <c r="Z228" s="22"/>
      <c r="AA228" s="23"/>
      <c r="AB228" s="27"/>
      <c r="AC228" s="80"/>
      <c r="AD228" s="24"/>
      <c r="AF228" s="140"/>
    </row>
    <row r="229" spans="1:32" ht="27" customHeight="1">
      <c r="A229" s="15"/>
      <c r="B229" s="81"/>
      <c r="C229" s="15"/>
      <c r="D229" s="15"/>
      <c r="E229" s="26"/>
      <c r="F229" s="27"/>
      <c r="G229" s="27"/>
      <c r="H229" s="81"/>
      <c r="I229" s="27"/>
      <c r="J229" s="28"/>
      <c r="K229" s="81"/>
      <c r="L229" s="81"/>
      <c r="M229" s="88"/>
      <c r="N229" s="29"/>
      <c r="O229" s="30"/>
      <c r="P229" s="31"/>
      <c r="Q229" s="32"/>
      <c r="R229" s="20"/>
      <c r="S229" s="33"/>
      <c r="T229" s="89"/>
      <c r="U229" s="90"/>
      <c r="V229" s="18"/>
      <c r="W229" s="19"/>
      <c r="X229" s="20"/>
      <c r="Y229" s="21"/>
      <c r="Z229" s="22"/>
      <c r="AA229" s="23"/>
      <c r="AB229" s="27"/>
      <c r="AC229" s="80"/>
      <c r="AD229" s="24"/>
      <c r="AF229" s="140"/>
    </row>
    <row r="230" spans="1:32" ht="27" customHeight="1">
      <c r="A230" s="15"/>
      <c r="B230" s="81"/>
      <c r="C230" s="15"/>
      <c r="D230" s="15"/>
      <c r="E230" s="26"/>
      <c r="F230" s="27"/>
      <c r="G230" s="27"/>
      <c r="H230" s="81"/>
      <c r="I230" s="27"/>
      <c r="J230" s="28"/>
      <c r="K230" s="81"/>
      <c r="L230" s="81"/>
      <c r="M230" s="88"/>
      <c r="N230" s="29"/>
      <c r="O230" s="30"/>
      <c r="P230" s="31"/>
      <c r="Q230" s="32"/>
      <c r="R230" s="20"/>
      <c r="S230" s="33"/>
      <c r="T230" s="89"/>
      <c r="U230" s="90"/>
      <c r="V230" s="18"/>
      <c r="W230" s="19"/>
      <c r="X230" s="20"/>
      <c r="Y230" s="21"/>
      <c r="Z230" s="22"/>
      <c r="AA230" s="23"/>
      <c r="AB230" s="27"/>
      <c r="AC230" s="80"/>
      <c r="AD230" s="24"/>
      <c r="AF230" s="140"/>
    </row>
    <row r="231" spans="1:32" s="34" customFormat="1" ht="27" customHeight="1">
      <c r="A231" s="15"/>
      <c r="B231" s="81"/>
      <c r="C231" s="15"/>
      <c r="D231" s="15"/>
      <c r="E231" s="26"/>
      <c r="F231" s="27"/>
      <c r="G231" s="27"/>
      <c r="H231" s="81"/>
      <c r="I231" s="27"/>
      <c r="J231" s="28"/>
      <c r="K231" s="81"/>
      <c r="L231" s="81"/>
      <c r="M231" s="88"/>
      <c r="N231" s="29"/>
      <c r="O231" s="30"/>
      <c r="P231" s="31"/>
      <c r="Q231" s="32"/>
      <c r="R231" s="20"/>
      <c r="S231" s="33"/>
      <c r="T231" s="89"/>
      <c r="U231" s="90"/>
      <c r="V231" s="18"/>
      <c r="W231" s="19"/>
      <c r="X231" s="20"/>
      <c r="Y231" s="21"/>
      <c r="Z231" s="22"/>
      <c r="AA231" s="23"/>
      <c r="AB231" s="27"/>
      <c r="AC231" s="80"/>
      <c r="AD231" s="24"/>
      <c r="AE231" s="80"/>
      <c r="AF231" s="140"/>
    </row>
    <row r="232" spans="1:32" s="34" customFormat="1" ht="27" customHeight="1">
      <c r="A232" s="15"/>
      <c r="B232" s="81"/>
      <c r="C232" s="15"/>
      <c r="D232" s="15"/>
      <c r="E232" s="26"/>
      <c r="F232" s="27"/>
      <c r="G232" s="27"/>
      <c r="H232" s="81"/>
      <c r="I232" s="27"/>
      <c r="J232" s="28"/>
      <c r="K232" s="81"/>
      <c r="L232" s="81"/>
      <c r="M232" s="88"/>
      <c r="N232" s="29"/>
      <c r="O232" s="30"/>
      <c r="P232" s="31"/>
      <c r="Q232" s="32"/>
      <c r="R232" s="20"/>
      <c r="S232" s="33"/>
      <c r="T232" s="89"/>
      <c r="U232" s="90"/>
      <c r="V232" s="18"/>
      <c r="W232" s="19"/>
      <c r="X232" s="20"/>
      <c r="Y232" s="21"/>
      <c r="Z232" s="22"/>
      <c r="AA232" s="23"/>
      <c r="AB232" s="27"/>
      <c r="AC232" s="80"/>
      <c r="AD232" s="24"/>
      <c r="AE232" s="80"/>
      <c r="AF232" s="140"/>
    </row>
    <row r="233" spans="1:32" s="34" customFormat="1" ht="27" customHeight="1">
      <c r="A233" s="15"/>
      <c r="B233" s="81"/>
      <c r="C233" s="15"/>
      <c r="D233" s="15"/>
      <c r="E233" s="26"/>
      <c r="F233" s="27"/>
      <c r="G233" s="27"/>
      <c r="H233" s="81"/>
      <c r="I233" s="27"/>
      <c r="J233" s="28"/>
      <c r="K233" s="81"/>
      <c r="L233" s="81"/>
      <c r="M233" s="88"/>
      <c r="N233" s="29"/>
      <c r="O233" s="30"/>
      <c r="P233" s="31"/>
      <c r="Q233" s="32"/>
      <c r="R233" s="20"/>
      <c r="S233" s="33"/>
      <c r="T233" s="89"/>
      <c r="U233" s="90"/>
      <c r="V233" s="18"/>
      <c r="W233" s="19"/>
      <c r="X233" s="20"/>
      <c r="Y233" s="21"/>
      <c r="Z233" s="22"/>
      <c r="AA233" s="23"/>
      <c r="AB233" s="27"/>
      <c r="AC233" s="80"/>
      <c r="AD233" s="24"/>
      <c r="AE233" s="80"/>
      <c r="AF233" s="140"/>
    </row>
    <row r="234" spans="1:32" s="34" customFormat="1" ht="27" customHeight="1">
      <c r="A234" s="15"/>
      <c r="B234" s="81"/>
      <c r="C234" s="15"/>
      <c r="D234" s="15"/>
      <c r="E234" s="26"/>
      <c r="F234" s="27"/>
      <c r="G234" s="27"/>
      <c r="H234" s="81"/>
      <c r="I234" s="27"/>
      <c r="J234" s="28"/>
      <c r="K234" s="81"/>
      <c r="L234" s="81"/>
      <c r="M234" s="88"/>
      <c r="N234" s="29"/>
      <c r="O234" s="30"/>
      <c r="P234" s="31"/>
      <c r="Q234" s="32"/>
      <c r="R234" s="20"/>
      <c r="S234" s="33"/>
      <c r="T234" s="89"/>
      <c r="U234" s="90"/>
      <c r="V234" s="18"/>
      <c r="W234" s="19"/>
      <c r="X234" s="20"/>
      <c r="Y234" s="21"/>
      <c r="Z234" s="22"/>
      <c r="AA234" s="23"/>
      <c r="AB234" s="27"/>
      <c r="AC234" s="80"/>
      <c r="AD234" s="24"/>
      <c r="AE234" s="80"/>
      <c r="AF234" s="140"/>
    </row>
    <row r="235" spans="1:32" s="34" customFormat="1" ht="27" customHeight="1">
      <c r="A235" s="15"/>
      <c r="B235" s="81"/>
      <c r="C235" s="15"/>
      <c r="D235" s="15"/>
      <c r="E235" s="26"/>
      <c r="F235" s="27"/>
      <c r="G235" s="27"/>
      <c r="H235" s="81"/>
      <c r="I235" s="27"/>
      <c r="J235" s="28"/>
      <c r="K235" s="81"/>
      <c r="L235" s="81"/>
      <c r="M235" s="88"/>
      <c r="N235" s="29"/>
      <c r="O235" s="30"/>
      <c r="P235" s="31"/>
      <c r="Q235" s="32"/>
      <c r="R235" s="20"/>
      <c r="S235" s="33"/>
      <c r="T235" s="89"/>
      <c r="U235" s="90"/>
      <c r="V235" s="18"/>
      <c r="W235" s="19"/>
      <c r="X235" s="20"/>
      <c r="Y235" s="21"/>
      <c r="Z235" s="22"/>
      <c r="AA235" s="23"/>
      <c r="AB235" s="27"/>
      <c r="AC235" s="80"/>
      <c r="AD235" s="24"/>
      <c r="AE235" s="80"/>
      <c r="AF235" s="140"/>
    </row>
    <row r="236" spans="1:32" s="34" customFormat="1" ht="27" customHeight="1">
      <c r="A236" s="15"/>
      <c r="B236" s="81"/>
      <c r="C236" s="15"/>
      <c r="D236" s="15"/>
      <c r="E236" s="26"/>
      <c r="F236" s="27"/>
      <c r="G236" s="27"/>
      <c r="H236" s="81"/>
      <c r="I236" s="27"/>
      <c r="J236" s="28"/>
      <c r="K236" s="81"/>
      <c r="L236" s="81"/>
      <c r="M236" s="88"/>
      <c r="N236" s="29"/>
      <c r="O236" s="30"/>
      <c r="P236" s="31"/>
      <c r="Q236" s="32"/>
      <c r="R236" s="20"/>
      <c r="S236" s="33"/>
      <c r="T236" s="89"/>
      <c r="U236" s="90"/>
      <c r="V236" s="18"/>
      <c r="W236" s="19"/>
      <c r="X236" s="20"/>
      <c r="Y236" s="21"/>
      <c r="Z236" s="22"/>
      <c r="AA236" s="23"/>
      <c r="AB236" s="27"/>
      <c r="AC236" s="80"/>
      <c r="AD236" s="24"/>
      <c r="AE236" s="80"/>
      <c r="AF236" s="140"/>
    </row>
    <row r="237" spans="1:32" s="34" customFormat="1" ht="27" customHeight="1">
      <c r="A237" s="15"/>
      <c r="B237" s="81"/>
      <c r="C237" s="15"/>
      <c r="D237" s="15"/>
      <c r="E237" s="26"/>
      <c r="F237" s="27"/>
      <c r="G237" s="27"/>
      <c r="H237" s="81"/>
      <c r="I237" s="27"/>
      <c r="J237" s="28"/>
      <c r="K237" s="81"/>
      <c r="L237" s="81"/>
      <c r="M237" s="88"/>
      <c r="N237" s="29"/>
      <c r="O237" s="30"/>
      <c r="P237" s="31"/>
      <c r="Q237" s="32"/>
      <c r="R237" s="20"/>
      <c r="S237" s="33"/>
      <c r="T237" s="89"/>
      <c r="U237" s="90"/>
      <c r="V237" s="18"/>
      <c r="W237" s="19"/>
      <c r="X237" s="20"/>
      <c r="Y237" s="21"/>
      <c r="Z237" s="22"/>
      <c r="AA237" s="23"/>
      <c r="AB237" s="27"/>
      <c r="AC237" s="80"/>
      <c r="AD237" s="24"/>
      <c r="AE237" s="80"/>
      <c r="AF237" s="140"/>
    </row>
    <row r="238" spans="1:32" s="34" customFormat="1" ht="27" customHeight="1">
      <c r="A238" s="15"/>
      <c r="B238" s="81"/>
      <c r="C238" s="15"/>
      <c r="D238" s="15"/>
      <c r="E238" s="26"/>
      <c r="F238" s="27"/>
      <c r="G238" s="27"/>
      <c r="H238" s="81"/>
      <c r="I238" s="27"/>
      <c r="J238" s="28"/>
      <c r="K238" s="81"/>
      <c r="L238" s="81"/>
      <c r="M238" s="88"/>
      <c r="N238" s="29"/>
      <c r="O238" s="30"/>
      <c r="P238" s="31"/>
      <c r="Q238" s="32"/>
      <c r="R238" s="20"/>
      <c r="S238" s="33"/>
      <c r="T238" s="89"/>
      <c r="U238" s="90"/>
      <c r="V238" s="18"/>
      <c r="W238" s="19"/>
      <c r="X238" s="20"/>
      <c r="Y238" s="21"/>
      <c r="Z238" s="22"/>
      <c r="AA238" s="23"/>
      <c r="AB238" s="27"/>
      <c r="AC238" s="80"/>
      <c r="AD238" s="24"/>
      <c r="AE238" s="80"/>
      <c r="AF238" s="140"/>
    </row>
    <row r="239" spans="1:32" s="34" customFormat="1" ht="27" customHeight="1">
      <c r="A239" s="15"/>
      <c r="B239" s="81"/>
      <c r="C239" s="15"/>
      <c r="D239" s="15"/>
      <c r="E239" s="26"/>
      <c r="F239" s="27"/>
      <c r="G239" s="27"/>
      <c r="H239" s="81"/>
      <c r="I239" s="27"/>
      <c r="J239" s="28"/>
      <c r="K239" s="81"/>
      <c r="L239" s="81"/>
      <c r="M239" s="88"/>
      <c r="N239" s="29"/>
      <c r="O239" s="30"/>
      <c r="P239" s="31"/>
      <c r="Q239" s="32"/>
      <c r="R239" s="20"/>
      <c r="S239" s="33"/>
      <c r="T239" s="89"/>
      <c r="U239" s="90"/>
      <c r="V239" s="18"/>
      <c r="W239" s="19"/>
      <c r="X239" s="20"/>
      <c r="Y239" s="21"/>
      <c r="Z239" s="22"/>
      <c r="AA239" s="23"/>
      <c r="AB239" s="27"/>
      <c r="AC239" s="80"/>
      <c r="AD239" s="24"/>
      <c r="AE239" s="80"/>
      <c r="AF239" s="140"/>
    </row>
    <row r="240" spans="1:32" s="34" customFormat="1" ht="27" customHeight="1">
      <c r="A240" s="15"/>
      <c r="B240" s="81"/>
      <c r="C240" s="15"/>
      <c r="D240" s="15"/>
      <c r="E240" s="26"/>
      <c r="F240" s="27"/>
      <c r="G240" s="27"/>
      <c r="H240" s="81"/>
      <c r="I240" s="27"/>
      <c r="J240" s="28"/>
      <c r="K240" s="81"/>
      <c r="L240" s="81"/>
      <c r="M240" s="88"/>
      <c r="N240" s="29"/>
      <c r="O240" s="30"/>
      <c r="P240" s="31"/>
      <c r="Q240" s="32"/>
      <c r="R240" s="20"/>
      <c r="S240" s="33"/>
      <c r="T240" s="89"/>
      <c r="U240" s="90"/>
      <c r="V240" s="18"/>
      <c r="W240" s="19"/>
      <c r="X240" s="20"/>
      <c r="Y240" s="21"/>
      <c r="Z240" s="22"/>
      <c r="AA240" s="23"/>
      <c r="AB240" s="27"/>
      <c r="AC240" s="80"/>
      <c r="AD240" s="24"/>
      <c r="AE240" s="80"/>
      <c r="AF240" s="140"/>
    </row>
    <row r="241" spans="1:32" s="34" customFormat="1" ht="27" customHeight="1">
      <c r="A241" s="15"/>
      <c r="B241" s="81"/>
      <c r="C241" s="15"/>
      <c r="D241" s="15"/>
      <c r="E241" s="26"/>
      <c r="F241" s="27"/>
      <c r="G241" s="27"/>
      <c r="H241" s="81"/>
      <c r="I241" s="27"/>
      <c r="J241" s="28"/>
      <c r="K241" s="81"/>
      <c r="L241" s="81"/>
      <c r="M241" s="88"/>
      <c r="N241" s="29"/>
      <c r="O241" s="30"/>
      <c r="P241" s="31"/>
      <c r="Q241" s="32"/>
      <c r="R241" s="20"/>
      <c r="S241" s="33"/>
      <c r="T241" s="89"/>
      <c r="U241" s="90"/>
      <c r="V241" s="18"/>
      <c r="W241" s="19"/>
      <c r="X241" s="20"/>
      <c r="Y241" s="21"/>
      <c r="Z241" s="22"/>
      <c r="AA241" s="23"/>
      <c r="AB241" s="27"/>
      <c r="AC241" s="80"/>
      <c r="AD241" s="24"/>
      <c r="AE241" s="80"/>
      <c r="AF241" s="140"/>
    </row>
    <row r="242" spans="1:32" s="34" customFormat="1" ht="27" customHeight="1">
      <c r="A242" s="15"/>
      <c r="B242" s="81"/>
      <c r="C242" s="15"/>
      <c r="D242" s="15"/>
      <c r="E242" s="26"/>
      <c r="F242" s="27"/>
      <c r="G242" s="27"/>
      <c r="H242" s="81"/>
      <c r="I242" s="27"/>
      <c r="J242" s="28"/>
      <c r="K242" s="81"/>
      <c r="L242" s="81"/>
      <c r="M242" s="88"/>
      <c r="N242" s="29"/>
      <c r="O242" s="30"/>
      <c r="P242" s="31"/>
      <c r="Q242" s="32"/>
      <c r="R242" s="20"/>
      <c r="S242" s="33"/>
      <c r="T242" s="89"/>
      <c r="U242" s="90"/>
      <c r="V242" s="18"/>
      <c r="W242" s="19"/>
      <c r="X242" s="20"/>
      <c r="Y242" s="21"/>
      <c r="Z242" s="22"/>
      <c r="AA242" s="23"/>
      <c r="AB242" s="27"/>
      <c r="AC242" s="80"/>
      <c r="AD242" s="24"/>
      <c r="AE242" s="80"/>
      <c r="AF242" s="140"/>
    </row>
    <row r="243" spans="1:32" s="34" customFormat="1" ht="27" customHeight="1">
      <c r="A243" s="15"/>
      <c r="B243" s="81"/>
      <c r="C243" s="15"/>
      <c r="D243" s="15"/>
      <c r="E243" s="26"/>
      <c r="F243" s="27"/>
      <c r="G243" s="27"/>
      <c r="H243" s="81"/>
      <c r="I243" s="27"/>
      <c r="J243" s="28"/>
      <c r="K243" s="81"/>
      <c r="L243" s="81"/>
      <c r="M243" s="88"/>
      <c r="N243" s="29"/>
      <c r="O243" s="30"/>
      <c r="P243" s="31"/>
      <c r="Q243" s="32"/>
      <c r="R243" s="20"/>
      <c r="S243" s="33"/>
      <c r="T243" s="89"/>
      <c r="U243" s="90"/>
      <c r="V243" s="18"/>
      <c r="W243" s="19"/>
      <c r="X243" s="20"/>
      <c r="Y243" s="21"/>
      <c r="Z243" s="22"/>
      <c r="AA243" s="23"/>
      <c r="AB243" s="27"/>
      <c r="AC243" s="80"/>
      <c r="AD243" s="24"/>
      <c r="AE243" s="80"/>
      <c r="AF243" s="140"/>
    </row>
    <row r="244" spans="1:32" s="34" customFormat="1" ht="27" customHeight="1">
      <c r="A244" s="15"/>
      <c r="B244" s="81"/>
      <c r="C244" s="15"/>
      <c r="D244" s="15"/>
      <c r="E244" s="26"/>
      <c r="F244" s="27"/>
      <c r="G244" s="27"/>
      <c r="H244" s="81"/>
      <c r="I244" s="27"/>
      <c r="J244" s="28"/>
      <c r="K244" s="81"/>
      <c r="L244" s="81"/>
      <c r="M244" s="88"/>
      <c r="N244" s="29"/>
      <c r="O244" s="30"/>
      <c r="P244" s="31"/>
      <c r="Q244" s="32"/>
      <c r="R244" s="20"/>
      <c r="S244" s="33"/>
      <c r="T244" s="89"/>
      <c r="U244" s="90"/>
      <c r="V244" s="18"/>
      <c r="W244" s="19"/>
      <c r="X244" s="20"/>
      <c r="Y244" s="21"/>
      <c r="Z244" s="22"/>
      <c r="AA244" s="23"/>
      <c r="AB244" s="27"/>
      <c r="AC244" s="80"/>
      <c r="AD244" s="24"/>
      <c r="AE244" s="80"/>
      <c r="AF244" s="140"/>
    </row>
    <row r="245" spans="1:32" s="34" customFormat="1" ht="27" customHeight="1">
      <c r="A245" s="15"/>
      <c r="B245" s="81"/>
      <c r="C245" s="15"/>
      <c r="D245" s="15"/>
      <c r="E245" s="26"/>
      <c r="F245" s="27"/>
      <c r="G245" s="27"/>
      <c r="H245" s="81"/>
      <c r="I245" s="27"/>
      <c r="J245" s="28"/>
      <c r="K245" s="81"/>
      <c r="L245" s="81"/>
      <c r="M245" s="88"/>
      <c r="N245" s="29"/>
      <c r="O245" s="30"/>
      <c r="P245" s="31"/>
      <c r="Q245" s="32"/>
      <c r="R245" s="20"/>
      <c r="S245" s="33"/>
      <c r="T245" s="89"/>
      <c r="U245" s="90"/>
      <c r="V245" s="18"/>
      <c r="W245" s="19"/>
      <c r="X245" s="20"/>
      <c r="Y245" s="21"/>
      <c r="Z245" s="22"/>
      <c r="AA245" s="23"/>
      <c r="AB245" s="27"/>
      <c r="AC245" s="80"/>
      <c r="AD245" s="24"/>
      <c r="AE245" s="80"/>
      <c r="AF245" s="140"/>
    </row>
    <row r="246" spans="1:32" s="34" customFormat="1" ht="27" customHeight="1">
      <c r="A246" s="15"/>
      <c r="B246" s="81"/>
      <c r="C246" s="15"/>
      <c r="D246" s="15"/>
      <c r="E246" s="26"/>
      <c r="F246" s="27"/>
      <c r="G246" s="27"/>
      <c r="H246" s="81"/>
      <c r="I246" s="27"/>
      <c r="J246" s="28"/>
      <c r="K246" s="81"/>
      <c r="L246" s="81"/>
      <c r="M246" s="88"/>
      <c r="N246" s="29"/>
      <c r="O246" s="30"/>
      <c r="P246" s="31"/>
      <c r="Q246" s="32"/>
      <c r="R246" s="20"/>
      <c r="S246" s="33"/>
      <c r="T246" s="89"/>
      <c r="U246" s="90"/>
      <c r="V246" s="18"/>
      <c r="W246" s="19"/>
      <c r="X246" s="20"/>
      <c r="Y246" s="21"/>
      <c r="Z246" s="22"/>
      <c r="AA246" s="23"/>
      <c r="AB246" s="27"/>
      <c r="AC246" s="80"/>
      <c r="AD246" s="24"/>
      <c r="AE246" s="80"/>
      <c r="AF246" s="140"/>
    </row>
    <row r="247" spans="1:32" s="34" customFormat="1" ht="27" customHeight="1">
      <c r="A247" s="15"/>
      <c r="B247" s="81"/>
      <c r="C247" s="15"/>
      <c r="D247" s="15"/>
      <c r="E247" s="26"/>
      <c r="F247" s="27"/>
      <c r="G247" s="27"/>
      <c r="H247" s="81"/>
      <c r="I247" s="27"/>
      <c r="J247" s="28"/>
      <c r="K247" s="81"/>
      <c r="L247" s="81"/>
      <c r="M247" s="88"/>
      <c r="N247" s="29"/>
      <c r="O247" s="30"/>
      <c r="P247" s="31"/>
      <c r="Q247" s="32"/>
      <c r="R247" s="20"/>
      <c r="S247" s="33"/>
      <c r="T247" s="89"/>
      <c r="U247" s="90"/>
      <c r="V247" s="18"/>
      <c r="W247" s="19"/>
      <c r="X247" s="20"/>
      <c r="Y247" s="21"/>
      <c r="Z247" s="22"/>
      <c r="AA247" s="23"/>
      <c r="AB247" s="27"/>
      <c r="AC247" s="80"/>
      <c r="AD247" s="24"/>
      <c r="AE247" s="80"/>
      <c r="AF247" s="140"/>
    </row>
    <row r="248" spans="1:32" s="34" customFormat="1" ht="27" customHeight="1">
      <c r="A248" s="15"/>
      <c r="B248" s="81"/>
      <c r="C248" s="15"/>
      <c r="D248" s="15"/>
      <c r="E248" s="26"/>
      <c r="F248" s="27"/>
      <c r="G248" s="27"/>
      <c r="H248" s="81"/>
      <c r="I248" s="27"/>
      <c r="J248" s="28"/>
      <c r="K248" s="81"/>
      <c r="L248" s="81"/>
      <c r="M248" s="88"/>
      <c r="N248" s="29"/>
      <c r="O248" s="30"/>
      <c r="P248" s="31"/>
      <c r="Q248" s="32"/>
      <c r="R248" s="20"/>
      <c r="S248" s="33"/>
      <c r="T248" s="89"/>
      <c r="U248" s="90"/>
      <c r="V248" s="18"/>
      <c r="W248" s="19"/>
      <c r="X248" s="20"/>
      <c r="Y248" s="21"/>
      <c r="Z248" s="22"/>
      <c r="AA248" s="23"/>
      <c r="AB248" s="27"/>
      <c r="AC248" s="80"/>
      <c r="AD248" s="24"/>
      <c r="AE248" s="80"/>
      <c r="AF248" s="140"/>
    </row>
    <row r="249" spans="1:32" s="34" customFormat="1" ht="27" customHeight="1">
      <c r="A249" s="15"/>
      <c r="B249" s="81"/>
      <c r="C249" s="15"/>
      <c r="D249" s="15"/>
      <c r="E249" s="26"/>
      <c r="F249" s="27"/>
      <c r="G249" s="27"/>
      <c r="H249" s="81"/>
      <c r="I249" s="27"/>
      <c r="J249" s="28"/>
      <c r="K249" s="81"/>
      <c r="L249" s="81"/>
      <c r="M249" s="88"/>
      <c r="N249" s="29"/>
      <c r="O249" s="30"/>
      <c r="P249" s="31"/>
      <c r="Q249" s="32"/>
      <c r="R249" s="20"/>
      <c r="S249" s="33"/>
      <c r="T249" s="89"/>
      <c r="U249" s="90"/>
      <c r="V249" s="18"/>
      <c r="W249" s="19"/>
      <c r="X249" s="20"/>
      <c r="Y249" s="21"/>
      <c r="Z249" s="22"/>
      <c r="AA249" s="23"/>
      <c r="AB249" s="27"/>
      <c r="AC249" s="80"/>
      <c r="AD249" s="24"/>
      <c r="AE249" s="80"/>
      <c r="AF249" s="140"/>
    </row>
    <row r="250" spans="1:32" s="34" customFormat="1" ht="27" customHeight="1">
      <c r="A250" s="15"/>
      <c r="B250" s="81"/>
      <c r="C250" s="15"/>
      <c r="D250" s="15"/>
      <c r="E250" s="26"/>
      <c r="F250" s="27"/>
      <c r="G250" s="27"/>
      <c r="H250" s="81"/>
      <c r="I250" s="27"/>
      <c r="J250" s="28"/>
      <c r="K250" s="81"/>
      <c r="L250" s="81"/>
      <c r="M250" s="88"/>
      <c r="N250" s="29"/>
      <c r="O250" s="30"/>
      <c r="P250" s="31"/>
      <c r="Q250" s="32"/>
      <c r="R250" s="20"/>
      <c r="S250" s="33"/>
      <c r="T250" s="89"/>
      <c r="U250" s="90"/>
      <c r="V250" s="18"/>
      <c r="W250" s="19"/>
      <c r="X250" s="20"/>
      <c r="Y250" s="21"/>
      <c r="Z250" s="22"/>
      <c r="AA250" s="23"/>
      <c r="AB250" s="27"/>
      <c r="AC250" s="80"/>
      <c r="AD250" s="24"/>
      <c r="AE250" s="80"/>
      <c r="AF250" s="140"/>
    </row>
    <row r="251" spans="1:32" s="34" customFormat="1" ht="27" customHeight="1">
      <c r="A251" s="15"/>
      <c r="B251" s="81"/>
      <c r="C251" s="15"/>
      <c r="D251" s="15"/>
      <c r="E251" s="26"/>
      <c r="F251" s="27"/>
      <c r="G251" s="27"/>
      <c r="H251" s="81"/>
      <c r="I251" s="27"/>
      <c r="J251" s="28"/>
      <c r="K251" s="81"/>
      <c r="L251" s="81"/>
      <c r="M251" s="88"/>
      <c r="N251" s="29"/>
      <c r="O251" s="30"/>
      <c r="P251" s="31"/>
      <c r="Q251" s="32"/>
      <c r="R251" s="20"/>
      <c r="S251" s="33"/>
      <c r="T251" s="89"/>
      <c r="U251" s="90"/>
      <c r="V251" s="18"/>
      <c r="W251" s="19"/>
      <c r="X251" s="20"/>
      <c r="Y251" s="21"/>
      <c r="Z251" s="22"/>
      <c r="AA251" s="23"/>
      <c r="AB251" s="27"/>
      <c r="AC251" s="80"/>
      <c r="AD251" s="24"/>
      <c r="AE251" s="80"/>
      <c r="AF251" s="140"/>
    </row>
    <row r="252" spans="1:32" s="34" customFormat="1" ht="27" customHeight="1">
      <c r="A252" s="15"/>
      <c r="B252" s="81"/>
      <c r="C252" s="15"/>
      <c r="D252" s="15"/>
      <c r="E252" s="26"/>
      <c r="F252" s="27"/>
      <c r="G252" s="27"/>
      <c r="H252" s="81"/>
      <c r="I252" s="27"/>
      <c r="J252" s="28"/>
      <c r="K252" s="81"/>
      <c r="L252" s="81"/>
      <c r="M252" s="88"/>
      <c r="N252" s="29"/>
      <c r="O252" s="30"/>
      <c r="P252" s="31"/>
      <c r="Q252" s="32"/>
      <c r="R252" s="20"/>
      <c r="S252" s="33"/>
      <c r="T252" s="89"/>
      <c r="U252" s="90"/>
      <c r="V252" s="18"/>
      <c r="W252" s="19"/>
      <c r="X252" s="20"/>
      <c r="Y252" s="21"/>
      <c r="Z252" s="22"/>
      <c r="AA252" s="23"/>
      <c r="AB252" s="27"/>
      <c r="AC252" s="80"/>
      <c r="AD252" s="24"/>
      <c r="AE252" s="80"/>
      <c r="AF252" s="140"/>
    </row>
    <row r="253" spans="1:32" s="34" customFormat="1" ht="27" customHeight="1">
      <c r="A253" s="15"/>
      <c r="B253" s="81"/>
      <c r="C253" s="15"/>
      <c r="D253" s="15"/>
      <c r="E253" s="26"/>
      <c r="F253" s="27"/>
      <c r="G253" s="27"/>
      <c r="H253" s="81"/>
      <c r="I253" s="27"/>
      <c r="J253" s="28"/>
      <c r="K253" s="81"/>
      <c r="L253" s="81"/>
      <c r="M253" s="88"/>
      <c r="N253" s="29"/>
      <c r="O253" s="30"/>
      <c r="P253" s="31"/>
      <c r="Q253" s="32"/>
      <c r="R253" s="20"/>
      <c r="S253" s="33"/>
      <c r="T253" s="89"/>
      <c r="U253" s="90"/>
      <c r="V253" s="18"/>
      <c r="W253" s="19"/>
      <c r="X253" s="20"/>
      <c r="Y253" s="21"/>
      <c r="Z253" s="22"/>
      <c r="AA253" s="23"/>
      <c r="AB253" s="27"/>
      <c r="AC253" s="80"/>
      <c r="AD253" s="24"/>
      <c r="AE253" s="80"/>
      <c r="AF253" s="140"/>
    </row>
    <row r="254" spans="1:32" s="34" customFormat="1" ht="27" customHeight="1">
      <c r="A254" s="15"/>
      <c r="B254" s="81"/>
      <c r="C254" s="15"/>
      <c r="D254" s="15"/>
      <c r="E254" s="26"/>
      <c r="F254" s="27"/>
      <c r="G254" s="27"/>
      <c r="H254" s="81"/>
      <c r="I254" s="27"/>
      <c r="J254" s="28"/>
      <c r="K254" s="81"/>
      <c r="L254" s="81"/>
      <c r="M254" s="88"/>
      <c r="N254" s="29"/>
      <c r="O254" s="30"/>
      <c r="P254" s="31"/>
      <c r="Q254" s="32"/>
      <c r="R254" s="20"/>
      <c r="S254" s="33"/>
      <c r="T254" s="89"/>
      <c r="U254" s="90"/>
      <c r="V254" s="18"/>
      <c r="W254" s="19"/>
      <c r="X254" s="20"/>
      <c r="Y254" s="21"/>
      <c r="Z254" s="22"/>
      <c r="AA254" s="23"/>
      <c r="AB254" s="27"/>
      <c r="AC254" s="80"/>
      <c r="AD254" s="24"/>
      <c r="AE254" s="80"/>
      <c r="AF254" s="140"/>
    </row>
    <row r="255" spans="1:32" s="34" customFormat="1" ht="27" customHeight="1">
      <c r="A255" s="15"/>
      <c r="B255" s="81"/>
      <c r="C255" s="15"/>
      <c r="D255" s="15"/>
      <c r="E255" s="26"/>
      <c r="F255" s="27"/>
      <c r="G255" s="27"/>
      <c r="H255" s="81"/>
      <c r="I255" s="27"/>
      <c r="J255" s="28"/>
      <c r="K255" s="81"/>
      <c r="L255" s="81"/>
      <c r="M255" s="88"/>
      <c r="N255" s="29"/>
      <c r="O255" s="30"/>
      <c r="P255" s="31"/>
      <c r="Q255" s="32"/>
      <c r="R255" s="20"/>
      <c r="S255" s="33"/>
      <c r="T255" s="89"/>
      <c r="U255" s="90"/>
      <c r="V255" s="18"/>
      <c r="W255" s="19"/>
      <c r="X255" s="20"/>
      <c r="Y255" s="21"/>
      <c r="Z255" s="22"/>
      <c r="AA255" s="23"/>
      <c r="AB255" s="27"/>
      <c r="AC255" s="80"/>
      <c r="AD255" s="24"/>
      <c r="AE255" s="80"/>
      <c r="AF255" s="140"/>
    </row>
    <row r="256" spans="1:32" s="34" customFormat="1" ht="27" customHeight="1">
      <c r="A256" s="15"/>
      <c r="B256" s="81"/>
      <c r="C256" s="15"/>
      <c r="D256" s="15"/>
      <c r="E256" s="26"/>
      <c r="F256" s="27"/>
      <c r="G256" s="27"/>
      <c r="H256" s="81"/>
      <c r="I256" s="27"/>
      <c r="J256" s="28"/>
      <c r="K256" s="81"/>
      <c r="L256" s="81"/>
      <c r="M256" s="88"/>
      <c r="N256" s="29"/>
      <c r="O256" s="30"/>
      <c r="P256" s="31"/>
      <c r="Q256" s="32"/>
      <c r="R256" s="20"/>
      <c r="S256" s="33"/>
      <c r="T256" s="89"/>
      <c r="U256" s="90"/>
      <c r="V256" s="18"/>
      <c r="W256" s="19"/>
      <c r="X256" s="20"/>
      <c r="Y256" s="21"/>
      <c r="Z256" s="22"/>
      <c r="AA256" s="23"/>
      <c r="AB256" s="27"/>
      <c r="AC256" s="80"/>
      <c r="AD256" s="24"/>
      <c r="AE256" s="80"/>
      <c r="AF256" s="140"/>
    </row>
    <row r="257" spans="1:32" s="34" customFormat="1" ht="27" customHeight="1">
      <c r="A257" s="15"/>
      <c r="B257" s="81"/>
      <c r="C257" s="15"/>
      <c r="D257" s="15"/>
      <c r="E257" s="26"/>
      <c r="F257" s="27"/>
      <c r="G257" s="27"/>
      <c r="H257" s="81"/>
      <c r="I257" s="27"/>
      <c r="J257" s="28"/>
      <c r="K257" s="81"/>
      <c r="L257" s="81"/>
      <c r="M257" s="88"/>
      <c r="N257" s="29"/>
      <c r="O257" s="30"/>
      <c r="P257" s="31"/>
      <c r="Q257" s="32"/>
      <c r="R257" s="20"/>
      <c r="S257" s="33"/>
      <c r="T257" s="89"/>
      <c r="U257" s="90"/>
      <c r="V257" s="18"/>
      <c r="W257" s="19"/>
      <c r="X257" s="20"/>
      <c r="Y257" s="21"/>
      <c r="Z257" s="22"/>
      <c r="AA257" s="23"/>
      <c r="AB257" s="27"/>
      <c r="AC257" s="80"/>
      <c r="AD257" s="24"/>
      <c r="AE257" s="80"/>
      <c r="AF257" s="140"/>
    </row>
    <row r="258" spans="1:32" s="34" customFormat="1" ht="27" customHeight="1">
      <c r="A258" s="15"/>
      <c r="B258" s="81"/>
      <c r="C258" s="15"/>
      <c r="D258" s="15"/>
      <c r="E258" s="26"/>
      <c r="F258" s="27"/>
      <c r="G258" s="27"/>
      <c r="H258" s="81"/>
      <c r="I258" s="27"/>
      <c r="J258" s="28"/>
      <c r="K258" s="81"/>
      <c r="L258" s="81"/>
      <c r="M258" s="88"/>
      <c r="N258" s="29"/>
      <c r="O258" s="30"/>
      <c r="P258" s="31"/>
      <c r="Q258" s="32"/>
      <c r="R258" s="20"/>
      <c r="S258" s="33"/>
      <c r="T258" s="89"/>
      <c r="U258" s="90"/>
      <c r="V258" s="18"/>
      <c r="W258" s="19"/>
      <c r="X258" s="20"/>
      <c r="Y258" s="21"/>
      <c r="Z258" s="22"/>
      <c r="AA258" s="23"/>
      <c r="AB258" s="27"/>
      <c r="AC258" s="80"/>
      <c r="AD258" s="24"/>
      <c r="AE258" s="80"/>
      <c r="AF258" s="140"/>
    </row>
    <row r="259" spans="1:32" s="34" customFormat="1" ht="27" customHeight="1">
      <c r="A259" s="15"/>
      <c r="B259" s="81"/>
      <c r="C259" s="15"/>
      <c r="D259" s="15"/>
      <c r="E259" s="26"/>
      <c r="F259" s="27"/>
      <c r="G259" s="27"/>
      <c r="H259" s="81"/>
      <c r="I259" s="27"/>
      <c r="J259" s="28"/>
      <c r="K259" s="81"/>
      <c r="L259" s="81"/>
      <c r="M259" s="88"/>
      <c r="N259" s="29"/>
      <c r="O259" s="30"/>
      <c r="P259" s="31"/>
      <c r="Q259" s="32"/>
      <c r="R259" s="20"/>
      <c r="S259" s="33"/>
      <c r="T259" s="89"/>
      <c r="U259" s="90"/>
      <c r="V259" s="18"/>
      <c r="W259" s="19"/>
      <c r="X259" s="20"/>
      <c r="Y259" s="21"/>
      <c r="Z259" s="22"/>
      <c r="AA259" s="23"/>
      <c r="AB259" s="27"/>
      <c r="AC259" s="80"/>
      <c r="AD259" s="24"/>
      <c r="AE259" s="80"/>
      <c r="AF259" s="140"/>
    </row>
    <row r="260" spans="1:32" s="34" customFormat="1" ht="27" customHeight="1">
      <c r="A260" s="15"/>
      <c r="B260" s="81"/>
      <c r="C260" s="15"/>
      <c r="D260" s="15"/>
      <c r="E260" s="26"/>
      <c r="F260" s="27"/>
      <c r="G260" s="27"/>
      <c r="H260" s="81"/>
      <c r="I260" s="27"/>
      <c r="J260" s="28"/>
      <c r="K260" s="81"/>
      <c r="L260" s="81"/>
      <c r="M260" s="88"/>
      <c r="N260" s="29"/>
      <c r="O260" s="30"/>
      <c r="P260" s="31"/>
      <c r="Q260" s="32"/>
      <c r="R260" s="20"/>
      <c r="S260" s="33"/>
      <c r="T260" s="89"/>
      <c r="U260" s="90"/>
      <c r="V260" s="18"/>
      <c r="W260" s="19"/>
      <c r="X260" s="20"/>
      <c r="Y260" s="21"/>
      <c r="Z260" s="22"/>
      <c r="AA260" s="23"/>
      <c r="AB260" s="27"/>
      <c r="AC260" s="80"/>
      <c r="AD260" s="24"/>
      <c r="AE260" s="80"/>
      <c r="AF260" s="140"/>
    </row>
    <row r="261" spans="1:32" s="34" customFormat="1" ht="27" customHeight="1">
      <c r="A261" s="15"/>
      <c r="B261" s="81"/>
      <c r="C261" s="15"/>
      <c r="D261" s="15"/>
      <c r="E261" s="26"/>
      <c r="F261" s="27"/>
      <c r="G261" s="27"/>
      <c r="H261" s="81"/>
      <c r="I261" s="27"/>
      <c r="J261" s="28"/>
      <c r="K261" s="81"/>
      <c r="L261" s="81"/>
      <c r="M261" s="88"/>
      <c r="N261" s="29"/>
      <c r="O261" s="30"/>
      <c r="P261" s="31"/>
      <c r="Q261" s="32"/>
      <c r="R261" s="20"/>
      <c r="S261" s="33"/>
      <c r="T261" s="89"/>
      <c r="U261" s="90"/>
      <c r="V261" s="18"/>
      <c r="W261" s="19"/>
      <c r="X261" s="20"/>
      <c r="Y261" s="21"/>
      <c r="Z261" s="22"/>
      <c r="AA261" s="23"/>
      <c r="AB261" s="27"/>
      <c r="AC261" s="80"/>
      <c r="AD261" s="24"/>
      <c r="AE261" s="80"/>
      <c r="AF261" s="140"/>
    </row>
    <row r="262" spans="1:32" s="34" customFormat="1" ht="27" customHeight="1">
      <c r="A262" s="15"/>
      <c r="B262" s="81"/>
      <c r="C262" s="15"/>
      <c r="D262" s="15"/>
      <c r="E262" s="26"/>
      <c r="F262" s="27"/>
      <c r="G262" s="27"/>
      <c r="H262" s="81"/>
      <c r="I262" s="27"/>
      <c r="J262" s="28"/>
      <c r="K262" s="81"/>
      <c r="L262" s="81"/>
      <c r="M262" s="88"/>
      <c r="N262" s="29"/>
      <c r="O262" s="30"/>
      <c r="P262" s="31"/>
      <c r="Q262" s="32"/>
      <c r="R262" s="20"/>
      <c r="S262" s="33"/>
      <c r="T262" s="89"/>
      <c r="U262" s="90"/>
      <c r="V262" s="18"/>
      <c r="W262" s="19"/>
      <c r="X262" s="20"/>
      <c r="Y262" s="21"/>
      <c r="Z262" s="22"/>
      <c r="AA262" s="23"/>
      <c r="AB262" s="27"/>
      <c r="AC262" s="80"/>
      <c r="AD262" s="24"/>
      <c r="AE262" s="80"/>
      <c r="AF262" s="140"/>
    </row>
    <row r="263" spans="1:32" s="34" customFormat="1" ht="27" customHeight="1">
      <c r="A263" s="15"/>
      <c r="B263" s="81"/>
      <c r="C263" s="15"/>
      <c r="D263" s="15"/>
      <c r="E263" s="26"/>
      <c r="F263" s="27"/>
      <c r="G263" s="27"/>
      <c r="H263" s="81"/>
      <c r="I263" s="27"/>
      <c r="J263" s="28"/>
      <c r="K263" s="81"/>
      <c r="L263" s="81"/>
      <c r="M263" s="88"/>
      <c r="N263" s="29"/>
      <c r="O263" s="30"/>
      <c r="P263" s="31"/>
      <c r="Q263" s="32"/>
      <c r="R263" s="20"/>
      <c r="S263" s="33"/>
      <c r="T263" s="89"/>
      <c r="U263" s="90"/>
      <c r="V263" s="18"/>
      <c r="W263" s="19"/>
      <c r="X263" s="20"/>
      <c r="Y263" s="21"/>
      <c r="Z263" s="22"/>
      <c r="AA263" s="23"/>
      <c r="AB263" s="27"/>
      <c r="AC263" s="80"/>
      <c r="AD263" s="24"/>
      <c r="AE263" s="80"/>
      <c r="AF263" s="140"/>
    </row>
    <row r="264" spans="1:32" s="34" customFormat="1" ht="27" customHeight="1">
      <c r="A264" s="15"/>
      <c r="B264" s="81"/>
      <c r="C264" s="15"/>
      <c r="D264" s="15"/>
      <c r="E264" s="26"/>
      <c r="F264" s="27"/>
      <c r="G264" s="27"/>
      <c r="H264" s="81"/>
      <c r="I264" s="27"/>
      <c r="J264" s="28"/>
      <c r="K264" s="81"/>
      <c r="L264" s="81"/>
      <c r="M264" s="88"/>
      <c r="N264" s="29"/>
      <c r="O264" s="30"/>
      <c r="P264" s="31"/>
      <c r="Q264" s="32"/>
      <c r="R264" s="20"/>
      <c r="S264" s="33"/>
      <c r="T264" s="89"/>
      <c r="U264" s="90"/>
      <c r="V264" s="18"/>
      <c r="W264" s="19"/>
      <c r="X264" s="20"/>
      <c r="Y264" s="21"/>
      <c r="Z264" s="22"/>
      <c r="AA264" s="23"/>
      <c r="AB264" s="27"/>
      <c r="AC264" s="80"/>
      <c r="AD264" s="24"/>
      <c r="AE264" s="80"/>
      <c r="AF264" s="140"/>
    </row>
    <row r="265" spans="1:32" s="34" customFormat="1" ht="27" customHeight="1">
      <c r="A265" s="15"/>
      <c r="B265" s="81"/>
      <c r="C265" s="15"/>
      <c r="D265" s="15"/>
      <c r="E265" s="26"/>
      <c r="F265" s="27"/>
      <c r="G265" s="27"/>
      <c r="H265" s="81"/>
      <c r="I265" s="27"/>
      <c r="J265" s="28"/>
      <c r="K265" s="81"/>
      <c r="L265" s="81"/>
      <c r="M265" s="88"/>
      <c r="N265" s="29"/>
      <c r="O265" s="30"/>
      <c r="P265" s="31"/>
      <c r="Q265" s="32"/>
      <c r="R265" s="20"/>
      <c r="S265" s="33"/>
      <c r="T265" s="89"/>
      <c r="U265" s="90"/>
      <c r="V265" s="18"/>
      <c r="W265" s="19"/>
      <c r="X265" s="20"/>
      <c r="Y265" s="21"/>
      <c r="Z265" s="22"/>
      <c r="AA265" s="23"/>
      <c r="AB265" s="27"/>
      <c r="AC265" s="80"/>
      <c r="AD265" s="24"/>
      <c r="AE265" s="80"/>
      <c r="AF265" s="140"/>
    </row>
    <row r="266" spans="1:32" s="34" customFormat="1" ht="27" customHeight="1">
      <c r="A266" s="15"/>
      <c r="B266" s="81"/>
      <c r="C266" s="15"/>
      <c r="D266" s="15"/>
      <c r="E266" s="26"/>
      <c r="F266" s="27"/>
      <c r="G266" s="27"/>
      <c r="H266" s="81"/>
      <c r="I266" s="27"/>
      <c r="J266" s="28"/>
      <c r="K266" s="81"/>
      <c r="L266" s="81"/>
      <c r="M266" s="88"/>
      <c r="N266" s="29"/>
      <c r="O266" s="30"/>
      <c r="P266" s="31"/>
      <c r="Q266" s="32"/>
      <c r="R266" s="20"/>
      <c r="S266" s="33"/>
      <c r="T266" s="89"/>
      <c r="U266" s="90"/>
      <c r="V266" s="18"/>
      <c r="W266" s="19"/>
      <c r="X266" s="20"/>
      <c r="Y266" s="21"/>
      <c r="Z266" s="22"/>
      <c r="AA266" s="23"/>
      <c r="AB266" s="27"/>
      <c r="AC266" s="80"/>
      <c r="AD266" s="24"/>
      <c r="AE266" s="80"/>
      <c r="AF266" s="140"/>
    </row>
    <row r="267" spans="1:32" s="34" customFormat="1" ht="27" customHeight="1">
      <c r="A267" s="15"/>
      <c r="B267" s="81"/>
      <c r="C267" s="15"/>
      <c r="D267" s="15"/>
      <c r="E267" s="26"/>
      <c r="F267" s="27"/>
      <c r="G267" s="27"/>
      <c r="H267" s="81"/>
      <c r="I267" s="27"/>
      <c r="J267" s="28"/>
      <c r="K267" s="81"/>
      <c r="L267" s="81"/>
      <c r="M267" s="88"/>
      <c r="N267" s="29"/>
      <c r="O267" s="30"/>
      <c r="P267" s="31"/>
      <c r="Q267" s="32"/>
      <c r="R267" s="20"/>
      <c r="S267" s="33"/>
      <c r="T267" s="89"/>
      <c r="U267" s="90"/>
      <c r="V267" s="18"/>
      <c r="W267" s="19"/>
      <c r="X267" s="20"/>
      <c r="Y267" s="21"/>
      <c r="Z267" s="22"/>
      <c r="AA267" s="23"/>
      <c r="AB267" s="27"/>
      <c r="AC267" s="80"/>
      <c r="AD267" s="24"/>
      <c r="AE267" s="80"/>
      <c r="AF267" s="140"/>
    </row>
    <row r="268" spans="1:32" s="34" customFormat="1" ht="27" customHeight="1">
      <c r="A268" s="15"/>
      <c r="B268" s="81"/>
      <c r="C268" s="15"/>
      <c r="D268" s="15"/>
      <c r="E268" s="26"/>
      <c r="F268" s="27"/>
      <c r="G268" s="27"/>
      <c r="H268" s="81"/>
      <c r="I268" s="27"/>
      <c r="J268" s="28"/>
      <c r="K268" s="81"/>
      <c r="L268" s="81"/>
      <c r="M268" s="88"/>
      <c r="N268" s="29"/>
      <c r="O268" s="30"/>
      <c r="P268" s="31"/>
      <c r="Q268" s="32"/>
      <c r="R268" s="20"/>
      <c r="S268" s="33"/>
      <c r="T268" s="89"/>
      <c r="U268" s="90"/>
      <c r="V268" s="18"/>
      <c r="W268" s="19"/>
      <c r="X268" s="20"/>
      <c r="Y268" s="21"/>
      <c r="Z268" s="22"/>
      <c r="AA268" s="23"/>
      <c r="AB268" s="27"/>
      <c r="AC268" s="80"/>
      <c r="AD268" s="24"/>
      <c r="AE268" s="80"/>
      <c r="AF268" s="140"/>
    </row>
    <row r="269" spans="1:32" s="34" customFormat="1" ht="27" customHeight="1">
      <c r="A269" s="15"/>
      <c r="B269" s="81"/>
      <c r="C269" s="15"/>
      <c r="D269" s="15"/>
      <c r="E269" s="26"/>
      <c r="F269" s="27"/>
      <c r="G269" s="27"/>
      <c r="H269" s="81"/>
      <c r="I269" s="27"/>
      <c r="J269" s="28"/>
      <c r="K269" s="81"/>
      <c r="L269" s="81"/>
      <c r="M269" s="88"/>
      <c r="N269" s="29"/>
      <c r="O269" s="30"/>
      <c r="P269" s="31"/>
      <c r="Q269" s="32"/>
      <c r="R269" s="20"/>
      <c r="S269" s="33"/>
      <c r="T269" s="89"/>
      <c r="U269" s="90"/>
      <c r="V269" s="18"/>
      <c r="W269" s="19"/>
      <c r="X269" s="20"/>
      <c r="Y269" s="21"/>
      <c r="Z269" s="22"/>
      <c r="AA269" s="23"/>
      <c r="AB269" s="27"/>
      <c r="AC269" s="80"/>
      <c r="AD269" s="24"/>
      <c r="AE269" s="80"/>
      <c r="AF269" s="140"/>
    </row>
    <row r="270" spans="1:32" s="34" customFormat="1" ht="27" customHeight="1">
      <c r="A270" s="15"/>
      <c r="B270" s="81"/>
      <c r="C270" s="15"/>
      <c r="D270" s="15"/>
      <c r="E270" s="26"/>
      <c r="F270" s="27"/>
      <c r="G270" s="27"/>
      <c r="H270" s="81"/>
      <c r="I270" s="27"/>
      <c r="J270" s="28"/>
      <c r="K270" s="81"/>
      <c r="L270" s="81"/>
      <c r="M270" s="88"/>
      <c r="N270" s="29"/>
      <c r="O270" s="30"/>
      <c r="P270" s="31"/>
      <c r="Q270" s="32"/>
      <c r="R270" s="20"/>
      <c r="S270" s="33"/>
      <c r="T270" s="89"/>
      <c r="U270" s="90"/>
      <c r="V270" s="18"/>
      <c r="W270" s="19"/>
      <c r="X270" s="20"/>
      <c r="Y270" s="21"/>
      <c r="Z270" s="22"/>
      <c r="AA270" s="23"/>
      <c r="AB270" s="27"/>
      <c r="AC270" s="80"/>
      <c r="AD270" s="24"/>
      <c r="AE270" s="80"/>
      <c r="AF270" s="140"/>
    </row>
    <row r="271" spans="1:32" s="34" customFormat="1" ht="27" customHeight="1">
      <c r="A271" s="15"/>
      <c r="B271" s="81"/>
      <c r="C271" s="15"/>
      <c r="D271" s="15"/>
      <c r="E271" s="26"/>
      <c r="F271" s="27"/>
      <c r="G271" s="27"/>
      <c r="H271" s="81"/>
      <c r="I271" s="27"/>
      <c r="J271" s="28"/>
      <c r="K271" s="81"/>
      <c r="L271" s="81"/>
      <c r="M271" s="88"/>
      <c r="N271" s="29"/>
      <c r="O271" s="30"/>
      <c r="P271" s="31"/>
      <c r="Q271" s="32"/>
      <c r="R271" s="20"/>
      <c r="S271" s="33"/>
      <c r="T271" s="89"/>
      <c r="U271" s="90"/>
      <c r="V271" s="18"/>
      <c r="W271" s="19"/>
      <c r="X271" s="20"/>
      <c r="Y271" s="21"/>
      <c r="Z271" s="22"/>
      <c r="AA271" s="23"/>
      <c r="AB271" s="27"/>
      <c r="AC271" s="80"/>
      <c r="AD271" s="24"/>
      <c r="AE271" s="80"/>
      <c r="AF271" s="140"/>
    </row>
    <row r="272" spans="1:32" s="34" customFormat="1" ht="27" customHeight="1">
      <c r="A272" s="15"/>
      <c r="B272" s="81"/>
      <c r="C272" s="15"/>
      <c r="D272" s="15"/>
      <c r="E272" s="26"/>
      <c r="F272" s="27"/>
      <c r="G272" s="27"/>
      <c r="H272" s="81"/>
      <c r="I272" s="27"/>
      <c r="J272" s="28"/>
      <c r="K272" s="81"/>
      <c r="L272" s="81"/>
      <c r="M272" s="88"/>
      <c r="N272" s="29"/>
      <c r="O272" s="30"/>
      <c r="P272" s="31"/>
      <c r="Q272" s="32"/>
      <c r="R272" s="20"/>
      <c r="S272" s="33"/>
      <c r="T272" s="89"/>
      <c r="U272" s="90"/>
      <c r="V272" s="18"/>
      <c r="W272" s="19"/>
      <c r="X272" s="20"/>
      <c r="Y272" s="21"/>
      <c r="Z272" s="22"/>
      <c r="AA272" s="23"/>
      <c r="AB272" s="27"/>
      <c r="AC272" s="80"/>
      <c r="AD272" s="24"/>
      <c r="AE272" s="80"/>
      <c r="AF272" s="140"/>
    </row>
    <row r="273" spans="1:32" s="34" customFormat="1" ht="27" customHeight="1">
      <c r="A273" s="15"/>
      <c r="B273" s="81"/>
      <c r="C273" s="15"/>
      <c r="D273" s="15"/>
      <c r="E273" s="26"/>
      <c r="F273" s="27"/>
      <c r="G273" s="27"/>
      <c r="H273" s="81"/>
      <c r="I273" s="27"/>
      <c r="J273" s="28"/>
      <c r="K273" s="81"/>
      <c r="L273" s="81"/>
      <c r="M273" s="88"/>
      <c r="N273" s="29"/>
      <c r="O273" s="30"/>
      <c r="P273" s="31"/>
      <c r="Q273" s="32"/>
      <c r="R273" s="20"/>
      <c r="S273" s="33"/>
      <c r="T273" s="89"/>
      <c r="U273" s="90"/>
      <c r="V273" s="18"/>
      <c r="W273" s="19"/>
      <c r="X273" s="20"/>
      <c r="Y273" s="21"/>
      <c r="Z273" s="22"/>
      <c r="AA273" s="23"/>
      <c r="AB273" s="27"/>
      <c r="AC273" s="80"/>
      <c r="AD273" s="24"/>
      <c r="AE273" s="80"/>
      <c r="AF273" s="140"/>
    </row>
    <row r="274" spans="1:32" s="34" customFormat="1" ht="27" customHeight="1">
      <c r="A274" s="15"/>
      <c r="B274" s="81"/>
      <c r="C274" s="15"/>
      <c r="D274" s="15"/>
      <c r="E274" s="26"/>
      <c r="F274" s="27"/>
      <c r="G274" s="27"/>
      <c r="H274" s="81"/>
      <c r="I274" s="27"/>
      <c r="J274" s="28"/>
      <c r="K274" s="81"/>
      <c r="L274" s="81"/>
      <c r="M274" s="88"/>
      <c r="N274" s="29"/>
      <c r="O274" s="30"/>
      <c r="P274" s="31"/>
      <c r="Q274" s="32"/>
      <c r="R274" s="20"/>
      <c r="S274" s="33"/>
      <c r="T274" s="89"/>
      <c r="U274" s="90"/>
      <c r="V274" s="18"/>
      <c r="W274" s="19"/>
      <c r="X274" s="20"/>
      <c r="Y274" s="21"/>
      <c r="Z274" s="22"/>
      <c r="AA274" s="23"/>
      <c r="AB274" s="27"/>
      <c r="AC274" s="80"/>
      <c r="AD274" s="24"/>
      <c r="AE274" s="80"/>
      <c r="AF274" s="140"/>
    </row>
    <row r="275" spans="1:32" s="34" customFormat="1" ht="27" customHeight="1">
      <c r="A275" s="15"/>
      <c r="B275" s="81"/>
      <c r="C275" s="15"/>
      <c r="D275" s="15"/>
      <c r="E275" s="26"/>
      <c r="F275" s="27"/>
      <c r="G275" s="27"/>
      <c r="H275" s="81"/>
      <c r="I275" s="27"/>
      <c r="J275" s="28"/>
      <c r="K275" s="81"/>
      <c r="L275" s="81"/>
      <c r="M275" s="88"/>
      <c r="N275" s="29"/>
      <c r="O275" s="30"/>
      <c r="P275" s="31"/>
      <c r="Q275" s="32"/>
      <c r="R275" s="20"/>
      <c r="S275" s="33"/>
      <c r="T275" s="89"/>
      <c r="U275" s="90"/>
      <c r="V275" s="18"/>
      <c r="W275" s="19"/>
      <c r="X275" s="20"/>
      <c r="Y275" s="21"/>
      <c r="Z275" s="22"/>
      <c r="AA275" s="23"/>
      <c r="AB275" s="27"/>
      <c r="AC275" s="80"/>
      <c r="AD275" s="24"/>
      <c r="AE275" s="80"/>
      <c r="AF275" s="140"/>
    </row>
    <row r="276" spans="1:32" s="34" customFormat="1" ht="27" customHeight="1">
      <c r="A276" s="15"/>
      <c r="B276" s="81"/>
      <c r="C276" s="15"/>
      <c r="D276" s="15"/>
      <c r="E276" s="26"/>
      <c r="F276" s="27"/>
      <c r="G276" s="27"/>
      <c r="H276" s="81"/>
      <c r="I276" s="27"/>
      <c r="J276" s="28"/>
      <c r="K276" s="81"/>
      <c r="L276" s="81"/>
      <c r="M276" s="88"/>
      <c r="N276" s="29"/>
      <c r="O276" s="30"/>
      <c r="P276" s="31"/>
      <c r="Q276" s="32"/>
      <c r="R276" s="20"/>
      <c r="S276" s="33"/>
      <c r="T276" s="89"/>
      <c r="U276" s="90"/>
      <c r="V276" s="18"/>
      <c r="W276" s="19"/>
      <c r="X276" s="20"/>
      <c r="Y276" s="21"/>
      <c r="Z276" s="22"/>
      <c r="AA276" s="23"/>
      <c r="AB276" s="27"/>
      <c r="AC276" s="80"/>
      <c r="AD276" s="24"/>
      <c r="AE276" s="80"/>
      <c r="AF276" s="140"/>
    </row>
    <row r="277" spans="1:32" s="34" customFormat="1" ht="27" customHeight="1">
      <c r="A277" s="15"/>
      <c r="B277" s="81"/>
      <c r="C277" s="15"/>
      <c r="D277" s="15"/>
      <c r="E277" s="26"/>
      <c r="F277" s="27"/>
      <c r="G277" s="27"/>
      <c r="H277" s="81"/>
      <c r="I277" s="27"/>
      <c r="J277" s="28"/>
      <c r="K277" s="81"/>
      <c r="L277" s="81"/>
      <c r="M277" s="88"/>
      <c r="N277" s="29"/>
      <c r="O277" s="30"/>
      <c r="P277" s="31"/>
      <c r="Q277" s="32"/>
      <c r="R277" s="20"/>
      <c r="S277" s="33"/>
      <c r="T277" s="89"/>
      <c r="U277" s="90"/>
      <c r="V277" s="18"/>
      <c r="W277" s="19"/>
      <c r="X277" s="20"/>
      <c r="Y277" s="21"/>
      <c r="Z277" s="22"/>
      <c r="AA277" s="23"/>
      <c r="AB277" s="27"/>
      <c r="AC277" s="80"/>
      <c r="AD277" s="24"/>
      <c r="AE277" s="80"/>
      <c r="AF277" s="140"/>
    </row>
    <row r="278" spans="1:32" s="34" customFormat="1" ht="27" customHeight="1">
      <c r="A278" s="15"/>
      <c r="B278" s="81"/>
      <c r="C278" s="15"/>
      <c r="D278" s="15"/>
      <c r="E278" s="26"/>
      <c r="F278" s="27"/>
      <c r="G278" s="27"/>
      <c r="H278" s="81"/>
      <c r="I278" s="27"/>
      <c r="J278" s="28"/>
      <c r="K278" s="81"/>
      <c r="L278" s="81"/>
      <c r="M278" s="88"/>
      <c r="N278" s="29"/>
      <c r="O278" s="30"/>
      <c r="P278" s="31"/>
      <c r="Q278" s="32"/>
      <c r="R278" s="20"/>
      <c r="S278" s="33"/>
      <c r="T278" s="89"/>
      <c r="U278" s="90"/>
      <c r="V278" s="18"/>
      <c r="W278" s="19"/>
      <c r="X278" s="20"/>
      <c r="Y278" s="21"/>
      <c r="Z278" s="22"/>
      <c r="AA278" s="23"/>
      <c r="AB278" s="27"/>
      <c r="AC278" s="80"/>
      <c r="AD278" s="24"/>
      <c r="AE278" s="80"/>
      <c r="AF278" s="140"/>
    </row>
    <row r="279" spans="1:32" s="34" customFormat="1" ht="27" customHeight="1">
      <c r="A279" s="15"/>
      <c r="B279" s="81"/>
      <c r="C279" s="15"/>
      <c r="D279" s="15"/>
      <c r="E279" s="26"/>
      <c r="F279" s="27"/>
      <c r="G279" s="27"/>
      <c r="H279" s="81"/>
      <c r="I279" s="27"/>
      <c r="J279" s="28"/>
      <c r="K279" s="81"/>
      <c r="L279" s="81"/>
      <c r="M279" s="88"/>
      <c r="N279" s="29"/>
      <c r="O279" s="30"/>
      <c r="P279" s="31"/>
      <c r="Q279" s="32"/>
      <c r="R279" s="20"/>
      <c r="S279" s="33"/>
      <c r="T279" s="89"/>
      <c r="U279" s="90"/>
      <c r="V279" s="18"/>
      <c r="W279" s="19"/>
      <c r="X279" s="20"/>
      <c r="Y279" s="21"/>
      <c r="Z279" s="22"/>
      <c r="AA279" s="23"/>
      <c r="AB279" s="27"/>
      <c r="AC279" s="80"/>
      <c r="AD279" s="24"/>
      <c r="AE279" s="80"/>
      <c r="AF279" s="140"/>
    </row>
    <row r="280" spans="1:32" s="34" customFormat="1" ht="27" customHeight="1">
      <c r="A280" s="15"/>
      <c r="B280" s="81"/>
      <c r="C280" s="15"/>
      <c r="D280" s="15"/>
      <c r="E280" s="26"/>
      <c r="F280" s="27"/>
      <c r="G280" s="27"/>
      <c r="H280" s="81"/>
      <c r="I280" s="27"/>
      <c r="J280" s="28"/>
      <c r="K280" s="81"/>
      <c r="L280" s="81"/>
      <c r="M280" s="88"/>
      <c r="N280" s="29"/>
      <c r="O280" s="30"/>
      <c r="P280" s="31"/>
      <c r="Q280" s="32"/>
      <c r="R280" s="20"/>
      <c r="S280" s="33"/>
      <c r="T280" s="89"/>
      <c r="U280" s="90"/>
      <c r="V280" s="18"/>
      <c r="W280" s="19"/>
      <c r="X280" s="20"/>
      <c r="Y280" s="21"/>
      <c r="Z280" s="22"/>
      <c r="AA280" s="23"/>
      <c r="AB280" s="27"/>
      <c r="AC280" s="80"/>
      <c r="AD280" s="24"/>
      <c r="AE280" s="80"/>
      <c r="AF280" s="140"/>
    </row>
    <row r="281" spans="1:32" s="34" customFormat="1" ht="27" customHeight="1">
      <c r="A281" s="15"/>
      <c r="B281" s="81"/>
      <c r="C281" s="15"/>
      <c r="D281" s="15"/>
      <c r="E281" s="26"/>
      <c r="F281" s="27"/>
      <c r="G281" s="27"/>
      <c r="H281" s="81"/>
      <c r="I281" s="27"/>
      <c r="J281" s="28"/>
      <c r="K281" s="81"/>
      <c r="L281" s="81"/>
      <c r="M281" s="88"/>
      <c r="N281" s="29"/>
      <c r="O281" s="30"/>
      <c r="P281" s="31"/>
      <c r="Q281" s="32"/>
      <c r="R281" s="20"/>
      <c r="S281" s="33"/>
      <c r="T281" s="89"/>
      <c r="U281" s="90"/>
      <c r="V281" s="18"/>
      <c r="W281" s="19"/>
      <c r="X281" s="20"/>
      <c r="Y281" s="21"/>
      <c r="Z281" s="22"/>
      <c r="AA281" s="23"/>
      <c r="AB281" s="27"/>
      <c r="AC281" s="80"/>
      <c r="AD281" s="24"/>
      <c r="AE281" s="80"/>
      <c r="AF281" s="140"/>
    </row>
    <row r="282" spans="1:32" s="34" customFormat="1" ht="27" customHeight="1">
      <c r="A282" s="15"/>
      <c r="B282" s="81"/>
      <c r="C282" s="15"/>
      <c r="D282" s="15"/>
      <c r="E282" s="26"/>
      <c r="F282" s="27"/>
      <c r="G282" s="27"/>
      <c r="H282" s="81"/>
      <c r="I282" s="27"/>
      <c r="J282" s="28"/>
      <c r="K282" s="81"/>
      <c r="L282" s="81"/>
      <c r="M282" s="88"/>
      <c r="N282" s="29"/>
      <c r="O282" s="30"/>
      <c r="P282" s="31"/>
      <c r="Q282" s="32"/>
      <c r="R282" s="20"/>
      <c r="S282" s="33"/>
      <c r="T282" s="89"/>
      <c r="U282" s="90"/>
      <c r="V282" s="18"/>
      <c r="W282" s="19"/>
      <c r="X282" s="20"/>
      <c r="Y282" s="21"/>
      <c r="Z282" s="22"/>
      <c r="AA282" s="23"/>
      <c r="AB282" s="27"/>
      <c r="AC282" s="80"/>
      <c r="AD282" s="24"/>
      <c r="AE282" s="80"/>
      <c r="AF282" s="140"/>
    </row>
    <row r="283" spans="1:32" s="34" customFormat="1" ht="27" customHeight="1">
      <c r="A283" s="15"/>
      <c r="B283" s="81"/>
      <c r="C283" s="15"/>
      <c r="D283" s="15"/>
      <c r="E283" s="26"/>
      <c r="F283" s="27"/>
      <c r="G283" s="27"/>
      <c r="H283" s="81"/>
      <c r="I283" s="27"/>
      <c r="J283" s="28"/>
      <c r="K283" s="81"/>
      <c r="L283" s="81"/>
      <c r="M283" s="88"/>
      <c r="N283" s="29"/>
      <c r="O283" s="30"/>
      <c r="P283" s="31"/>
      <c r="Q283" s="32"/>
      <c r="R283" s="20"/>
      <c r="S283" s="33"/>
      <c r="T283" s="89"/>
      <c r="U283" s="90"/>
      <c r="V283" s="18"/>
      <c r="W283" s="19"/>
      <c r="X283" s="20"/>
      <c r="Y283" s="21"/>
      <c r="Z283" s="22"/>
      <c r="AA283" s="23"/>
      <c r="AB283" s="27"/>
      <c r="AC283" s="80"/>
      <c r="AD283" s="24"/>
      <c r="AE283" s="80"/>
      <c r="AF283" s="140"/>
    </row>
    <row r="284" spans="1:32" s="34" customFormat="1" ht="27" customHeight="1">
      <c r="A284" s="15"/>
      <c r="B284" s="81"/>
      <c r="C284" s="15"/>
      <c r="D284" s="15"/>
      <c r="E284" s="26"/>
      <c r="F284" s="27"/>
      <c r="G284" s="27"/>
      <c r="H284" s="81"/>
      <c r="I284" s="27"/>
      <c r="J284" s="28"/>
      <c r="K284" s="81"/>
      <c r="L284" s="81"/>
      <c r="M284" s="88"/>
      <c r="N284" s="29"/>
      <c r="O284" s="30"/>
      <c r="P284" s="31"/>
      <c r="Q284" s="32"/>
      <c r="R284" s="20"/>
      <c r="S284" s="33"/>
      <c r="T284" s="89"/>
      <c r="U284" s="90"/>
      <c r="V284" s="18"/>
      <c r="W284" s="19"/>
      <c r="X284" s="20"/>
      <c r="Y284" s="21"/>
      <c r="Z284" s="22"/>
      <c r="AA284" s="23"/>
      <c r="AB284" s="27"/>
      <c r="AC284" s="80"/>
      <c r="AD284" s="24"/>
      <c r="AE284" s="80"/>
      <c r="AF284" s="140"/>
    </row>
    <row r="285" spans="1:32" s="34" customFormat="1" ht="27" customHeight="1">
      <c r="A285" s="15"/>
      <c r="B285" s="81"/>
      <c r="C285" s="15"/>
      <c r="D285" s="15"/>
      <c r="E285" s="26"/>
      <c r="F285" s="27"/>
      <c r="G285" s="27"/>
      <c r="H285" s="81"/>
      <c r="I285" s="27"/>
      <c r="J285" s="28"/>
      <c r="K285" s="81"/>
      <c r="L285" s="81"/>
      <c r="M285" s="88"/>
      <c r="N285" s="29"/>
      <c r="O285" s="30"/>
      <c r="P285" s="31"/>
      <c r="Q285" s="32"/>
      <c r="R285" s="20"/>
      <c r="S285" s="33"/>
      <c r="T285" s="89"/>
      <c r="U285" s="90"/>
      <c r="V285" s="18"/>
      <c r="W285" s="19"/>
      <c r="X285" s="20"/>
      <c r="Y285" s="21"/>
      <c r="Z285" s="22"/>
      <c r="AA285" s="23"/>
      <c r="AB285" s="27"/>
      <c r="AC285" s="80"/>
      <c r="AD285" s="24"/>
      <c r="AE285" s="80"/>
      <c r="AF285" s="140"/>
    </row>
    <row r="286" spans="1:32" s="34" customFormat="1" ht="27" customHeight="1">
      <c r="A286" s="15"/>
      <c r="B286" s="81"/>
      <c r="C286" s="15"/>
      <c r="D286" s="15"/>
      <c r="E286" s="26"/>
      <c r="F286" s="27"/>
      <c r="G286" s="27"/>
      <c r="H286" s="81"/>
      <c r="I286" s="27"/>
      <c r="J286" s="28"/>
      <c r="K286" s="81"/>
      <c r="L286" s="81"/>
      <c r="M286" s="88"/>
      <c r="N286" s="29"/>
      <c r="O286" s="30"/>
      <c r="P286" s="31"/>
      <c r="Q286" s="32"/>
      <c r="R286" s="20"/>
      <c r="S286" s="33"/>
      <c r="T286" s="89"/>
      <c r="U286" s="90"/>
      <c r="V286" s="18"/>
      <c r="W286" s="19"/>
      <c r="X286" s="20"/>
      <c r="Y286" s="21"/>
      <c r="Z286" s="22"/>
      <c r="AA286" s="23"/>
      <c r="AB286" s="27"/>
      <c r="AC286" s="80"/>
      <c r="AD286" s="24"/>
      <c r="AE286" s="80"/>
      <c r="AF286" s="140"/>
    </row>
    <row r="287" spans="1:32" s="34" customFormat="1" ht="27" customHeight="1">
      <c r="A287" s="15"/>
      <c r="B287" s="81"/>
      <c r="C287" s="15"/>
      <c r="D287" s="15"/>
      <c r="E287" s="26"/>
      <c r="F287" s="27"/>
      <c r="G287" s="27"/>
      <c r="H287" s="81"/>
      <c r="I287" s="27"/>
      <c r="J287" s="28"/>
      <c r="K287" s="81"/>
      <c r="L287" s="81"/>
      <c r="M287" s="88"/>
      <c r="N287" s="29"/>
      <c r="O287" s="30"/>
      <c r="P287" s="31"/>
      <c r="Q287" s="32"/>
      <c r="R287" s="20"/>
      <c r="S287" s="33"/>
      <c r="T287" s="89"/>
      <c r="U287" s="90"/>
      <c r="V287" s="18"/>
      <c r="W287" s="19"/>
      <c r="X287" s="20"/>
      <c r="Y287" s="21"/>
      <c r="Z287" s="22"/>
      <c r="AA287" s="23"/>
      <c r="AB287" s="27"/>
      <c r="AC287" s="80"/>
      <c r="AD287" s="24"/>
      <c r="AE287" s="80"/>
      <c r="AF287" s="140"/>
    </row>
    <row r="288" spans="1:32" s="34" customFormat="1" ht="27" customHeight="1">
      <c r="A288" s="15"/>
      <c r="B288" s="81"/>
      <c r="C288" s="15"/>
      <c r="D288" s="15"/>
      <c r="E288" s="26"/>
      <c r="F288" s="27"/>
      <c r="G288" s="27"/>
      <c r="H288" s="81"/>
      <c r="I288" s="27"/>
      <c r="J288" s="28"/>
      <c r="K288" s="81"/>
      <c r="L288" s="81"/>
      <c r="M288" s="88"/>
      <c r="N288" s="29"/>
      <c r="O288" s="30"/>
      <c r="P288" s="31"/>
      <c r="Q288" s="32"/>
      <c r="R288" s="20"/>
      <c r="S288" s="33"/>
      <c r="T288" s="89"/>
      <c r="U288" s="90"/>
      <c r="V288" s="18"/>
      <c r="W288" s="19"/>
      <c r="X288" s="20"/>
      <c r="Y288" s="21"/>
      <c r="Z288" s="22"/>
      <c r="AA288" s="23"/>
      <c r="AB288" s="27"/>
      <c r="AC288" s="80"/>
      <c r="AD288" s="24"/>
      <c r="AE288" s="80"/>
      <c r="AF288" s="140"/>
    </row>
    <row r="289" spans="1:32" s="34" customFormat="1" ht="27" customHeight="1">
      <c r="A289" s="15"/>
      <c r="B289" s="81"/>
      <c r="C289" s="15"/>
      <c r="D289" s="15"/>
      <c r="E289" s="26"/>
      <c r="F289" s="27"/>
      <c r="G289" s="27"/>
      <c r="H289" s="81"/>
      <c r="I289" s="27"/>
      <c r="J289" s="28"/>
      <c r="K289" s="81"/>
      <c r="L289" s="81"/>
      <c r="M289" s="88"/>
      <c r="N289" s="29"/>
      <c r="O289" s="30"/>
      <c r="P289" s="31"/>
      <c r="Q289" s="32"/>
      <c r="R289" s="20"/>
      <c r="S289" s="33"/>
      <c r="T289" s="89"/>
      <c r="U289" s="90"/>
      <c r="V289" s="18"/>
      <c r="W289" s="19"/>
      <c r="X289" s="20"/>
      <c r="Y289" s="21"/>
      <c r="Z289" s="22"/>
      <c r="AA289" s="23"/>
      <c r="AB289" s="27"/>
      <c r="AC289" s="80"/>
      <c r="AD289" s="24"/>
      <c r="AE289" s="80"/>
      <c r="AF289" s="140"/>
    </row>
    <row r="290" spans="1:32" s="34" customFormat="1" ht="27" customHeight="1">
      <c r="A290" s="15"/>
      <c r="B290" s="81"/>
      <c r="C290" s="15"/>
      <c r="D290" s="15"/>
      <c r="E290" s="26"/>
      <c r="F290" s="27"/>
      <c r="G290" s="27"/>
      <c r="H290" s="81"/>
      <c r="I290" s="27"/>
      <c r="J290" s="28"/>
      <c r="K290" s="81"/>
      <c r="L290" s="81"/>
      <c r="M290" s="88"/>
      <c r="N290" s="29"/>
      <c r="O290" s="30"/>
      <c r="P290" s="31"/>
      <c r="Q290" s="32"/>
      <c r="R290" s="20"/>
      <c r="S290" s="33"/>
      <c r="T290" s="89"/>
      <c r="U290" s="90"/>
      <c r="V290" s="18"/>
      <c r="W290" s="19"/>
      <c r="X290" s="20"/>
      <c r="Y290" s="21"/>
      <c r="Z290" s="22"/>
      <c r="AA290" s="23"/>
      <c r="AB290" s="27"/>
      <c r="AC290" s="80"/>
      <c r="AD290" s="24"/>
      <c r="AE290" s="80"/>
      <c r="AF290" s="140"/>
    </row>
    <row r="291" spans="1:32" s="34" customFormat="1" ht="27" customHeight="1">
      <c r="A291" s="15"/>
      <c r="B291" s="81"/>
      <c r="C291" s="15"/>
      <c r="D291" s="15"/>
      <c r="E291" s="26"/>
      <c r="F291" s="27"/>
      <c r="G291" s="27"/>
      <c r="H291" s="81"/>
      <c r="I291" s="27"/>
      <c r="J291" s="28"/>
      <c r="K291" s="81"/>
      <c r="L291" s="81"/>
      <c r="M291" s="88"/>
      <c r="N291" s="29"/>
      <c r="O291" s="30"/>
      <c r="P291" s="31"/>
      <c r="Q291" s="32"/>
      <c r="R291" s="20"/>
      <c r="S291" s="33"/>
      <c r="T291" s="89"/>
      <c r="U291" s="90"/>
      <c r="V291" s="18"/>
      <c r="W291" s="19"/>
      <c r="X291" s="20"/>
      <c r="Y291" s="21"/>
      <c r="Z291" s="22"/>
      <c r="AA291" s="23"/>
      <c r="AB291" s="27"/>
      <c r="AC291" s="80"/>
      <c r="AD291" s="24"/>
      <c r="AE291" s="80"/>
      <c r="AF291" s="140"/>
    </row>
    <row r="292" spans="1:32" s="34" customFormat="1" ht="27" customHeight="1">
      <c r="A292" s="15"/>
      <c r="B292" s="81"/>
      <c r="C292" s="15"/>
      <c r="D292" s="15"/>
      <c r="E292" s="26"/>
      <c r="F292" s="27"/>
      <c r="G292" s="27"/>
      <c r="H292" s="81"/>
      <c r="I292" s="27"/>
      <c r="J292" s="28"/>
      <c r="K292" s="81"/>
      <c r="L292" s="81"/>
      <c r="M292" s="88"/>
      <c r="N292" s="29"/>
      <c r="O292" s="30"/>
      <c r="P292" s="31"/>
      <c r="Q292" s="32"/>
      <c r="R292" s="20"/>
      <c r="S292" s="33"/>
      <c r="T292" s="89"/>
      <c r="U292" s="90"/>
      <c r="V292" s="18"/>
      <c r="W292" s="19"/>
      <c r="X292" s="20"/>
      <c r="Y292" s="21"/>
      <c r="Z292" s="22"/>
      <c r="AA292" s="23"/>
      <c r="AB292" s="27"/>
      <c r="AC292" s="80"/>
      <c r="AD292" s="24"/>
      <c r="AE292" s="80"/>
      <c r="AF292" s="140"/>
    </row>
    <row r="293" spans="1:32" s="34" customFormat="1" ht="27" customHeight="1">
      <c r="A293" s="15"/>
      <c r="B293" s="81"/>
      <c r="C293" s="15"/>
      <c r="D293" s="15"/>
      <c r="E293" s="26"/>
      <c r="F293" s="27"/>
      <c r="G293" s="27"/>
      <c r="H293" s="81"/>
      <c r="I293" s="27"/>
      <c r="J293" s="28"/>
      <c r="K293" s="81"/>
      <c r="L293" s="81"/>
      <c r="M293" s="88"/>
      <c r="N293" s="29"/>
      <c r="O293" s="30"/>
      <c r="P293" s="31"/>
      <c r="Q293" s="32"/>
      <c r="R293" s="20"/>
      <c r="S293" s="33"/>
      <c r="T293" s="89"/>
      <c r="U293" s="90"/>
      <c r="V293" s="18"/>
      <c r="W293" s="19"/>
      <c r="X293" s="20"/>
      <c r="Y293" s="21"/>
      <c r="Z293" s="22"/>
      <c r="AA293" s="23"/>
      <c r="AB293" s="27"/>
      <c r="AC293" s="80"/>
      <c r="AD293" s="24"/>
      <c r="AE293" s="80"/>
      <c r="AF293" s="140"/>
    </row>
    <row r="294" spans="1:32" s="34" customFormat="1" ht="27" customHeight="1">
      <c r="A294" s="15"/>
      <c r="B294" s="81"/>
      <c r="C294" s="15"/>
      <c r="D294" s="15"/>
      <c r="E294" s="26"/>
      <c r="F294" s="27"/>
      <c r="G294" s="27"/>
      <c r="H294" s="81"/>
      <c r="I294" s="27"/>
      <c r="J294" s="28"/>
      <c r="K294" s="81"/>
      <c r="L294" s="81"/>
      <c r="M294" s="88"/>
      <c r="N294" s="29"/>
      <c r="O294" s="30"/>
      <c r="P294" s="31"/>
      <c r="Q294" s="32"/>
      <c r="R294" s="20"/>
      <c r="S294" s="33"/>
      <c r="T294" s="89"/>
      <c r="U294" s="90"/>
      <c r="V294" s="18"/>
      <c r="W294" s="19"/>
      <c r="X294" s="20"/>
      <c r="Y294" s="21"/>
      <c r="Z294" s="22"/>
      <c r="AA294" s="23"/>
      <c r="AB294" s="27"/>
      <c r="AC294" s="80"/>
      <c r="AD294" s="24"/>
      <c r="AE294" s="80"/>
      <c r="AF294" s="140"/>
    </row>
    <row r="295" spans="1:32" s="34" customFormat="1" ht="27" customHeight="1">
      <c r="A295" s="15"/>
      <c r="B295" s="81"/>
      <c r="C295" s="15"/>
      <c r="D295" s="15"/>
      <c r="E295" s="26"/>
      <c r="F295" s="27"/>
      <c r="G295" s="27"/>
      <c r="H295" s="81"/>
      <c r="I295" s="27"/>
      <c r="J295" s="28"/>
      <c r="K295" s="81"/>
      <c r="L295" s="81"/>
      <c r="M295" s="88"/>
      <c r="N295" s="29"/>
      <c r="O295" s="30"/>
      <c r="P295" s="31"/>
      <c r="Q295" s="32"/>
      <c r="R295" s="20"/>
      <c r="S295" s="33"/>
      <c r="T295" s="89"/>
      <c r="U295" s="90"/>
      <c r="V295" s="18"/>
      <c r="W295" s="19"/>
      <c r="X295" s="20"/>
      <c r="Y295" s="21"/>
      <c r="Z295" s="22"/>
      <c r="AA295" s="23"/>
      <c r="AB295" s="27"/>
      <c r="AC295" s="80"/>
      <c r="AD295" s="24"/>
      <c r="AE295" s="80"/>
      <c r="AF295" s="140"/>
    </row>
    <row r="296" spans="1:32" s="34" customFormat="1" ht="27" customHeight="1">
      <c r="A296" s="15"/>
      <c r="B296" s="81"/>
      <c r="C296" s="15"/>
      <c r="D296" s="15"/>
      <c r="E296" s="26"/>
      <c r="F296" s="27"/>
      <c r="G296" s="27"/>
      <c r="H296" s="81"/>
      <c r="I296" s="27"/>
      <c r="J296" s="28"/>
      <c r="K296" s="81"/>
      <c r="L296" s="81"/>
      <c r="M296" s="88"/>
      <c r="N296" s="29"/>
      <c r="O296" s="30"/>
      <c r="P296" s="31"/>
      <c r="Q296" s="32"/>
      <c r="R296" s="20"/>
      <c r="S296" s="33"/>
      <c r="T296" s="89"/>
      <c r="U296" s="90"/>
      <c r="V296" s="18"/>
      <c r="W296" s="19"/>
      <c r="X296" s="20"/>
      <c r="Y296" s="21"/>
      <c r="Z296" s="22"/>
      <c r="AA296" s="23"/>
      <c r="AB296" s="27"/>
      <c r="AC296" s="80"/>
      <c r="AD296" s="24"/>
      <c r="AE296" s="80"/>
      <c r="AF296" s="140"/>
    </row>
    <row r="297" spans="1:32" s="34" customFormat="1" ht="27" customHeight="1">
      <c r="A297" s="15"/>
      <c r="B297" s="81"/>
      <c r="C297" s="15"/>
      <c r="D297" s="15"/>
      <c r="E297" s="26"/>
      <c r="F297" s="27"/>
      <c r="G297" s="27"/>
      <c r="H297" s="81"/>
      <c r="I297" s="27"/>
      <c r="J297" s="28"/>
      <c r="K297" s="81"/>
      <c r="L297" s="81"/>
      <c r="M297" s="28"/>
      <c r="N297" s="29"/>
      <c r="O297" s="30"/>
      <c r="P297" s="31"/>
      <c r="Q297" s="32"/>
      <c r="R297" s="20"/>
      <c r="S297" s="33"/>
      <c r="T297" s="89"/>
      <c r="U297" s="90"/>
      <c r="V297" s="18"/>
      <c r="W297" s="19"/>
      <c r="X297" s="20"/>
      <c r="Y297" s="20"/>
      <c r="Z297" s="22"/>
      <c r="AA297" s="23"/>
      <c r="AB297" s="27"/>
      <c r="AC297" s="80"/>
      <c r="AD297" s="24"/>
      <c r="AE297" s="81"/>
      <c r="AF297" s="142"/>
    </row>
    <row r="298" spans="1:32" s="34" customFormat="1" ht="27" customHeight="1">
      <c r="A298" s="15"/>
      <c r="B298" s="81"/>
      <c r="C298" s="15"/>
      <c r="D298" s="15"/>
      <c r="E298" s="26"/>
      <c r="F298" s="27"/>
      <c r="G298" s="27"/>
      <c r="H298" s="81"/>
      <c r="I298" s="27"/>
      <c r="J298" s="28"/>
      <c r="K298" s="81"/>
      <c r="L298" s="81"/>
      <c r="M298" s="28"/>
      <c r="N298" s="29"/>
      <c r="O298" s="30"/>
      <c r="P298" s="31"/>
      <c r="Q298" s="32"/>
      <c r="R298" s="20"/>
      <c r="S298" s="33"/>
      <c r="T298" s="89"/>
      <c r="U298" s="90"/>
      <c r="V298" s="18"/>
      <c r="W298" s="19"/>
      <c r="X298" s="20"/>
      <c r="Y298" s="20"/>
      <c r="Z298" s="22"/>
      <c r="AA298" s="23"/>
      <c r="AB298" s="27"/>
      <c r="AC298" s="80"/>
      <c r="AD298" s="24"/>
      <c r="AE298" s="81"/>
      <c r="AF298" s="142"/>
    </row>
    <row r="299" spans="1:32" s="34" customFormat="1" ht="27" customHeight="1">
      <c r="A299" s="15"/>
      <c r="B299" s="81"/>
      <c r="C299" s="15"/>
      <c r="D299" s="15"/>
      <c r="E299" s="26"/>
      <c r="F299" s="27"/>
      <c r="G299" s="27"/>
      <c r="H299" s="81"/>
      <c r="I299" s="27"/>
      <c r="J299" s="28"/>
      <c r="K299" s="81"/>
      <c r="L299" s="81"/>
      <c r="M299" s="28"/>
      <c r="N299" s="29"/>
      <c r="O299" s="30"/>
      <c r="P299" s="31"/>
      <c r="Q299" s="32"/>
      <c r="R299" s="20"/>
      <c r="S299" s="33"/>
      <c r="T299" s="89"/>
      <c r="U299" s="90"/>
      <c r="V299" s="18"/>
      <c r="W299" s="19"/>
      <c r="X299" s="20"/>
      <c r="Y299" s="20"/>
      <c r="Z299" s="22"/>
      <c r="AA299" s="23"/>
      <c r="AB299" s="27"/>
      <c r="AC299" s="80"/>
      <c r="AD299" s="24"/>
      <c r="AE299" s="81"/>
      <c r="AF299" s="142"/>
    </row>
    <row r="300" spans="1:32" s="34" customFormat="1" ht="27" customHeight="1">
      <c r="A300" s="15"/>
      <c r="B300" s="81"/>
      <c r="C300" s="15"/>
      <c r="D300" s="15"/>
      <c r="E300" s="26"/>
      <c r="F300" s="27"/>
      <c r="G300" s="27"/>
      <c r="H300" s="81"/>
      <c r="I300" s="27"/>
      <c r="J300" s="28"/>
      <c r="K300" s="81"/>
      <c r="L300" s="81"/>
      <c r="M300" s="28"/>
      <c r="N300" s="29"/>
      <c r="O300" s="30"/>
      <c r="P300" s="31"/>
      <c r="Q300" s="32"/>
      <c r="R300" s="20"/>
      <c r="S300" s="33"/>
      <c r="T300" s="89"/>
      <c r="U300" s="90"/>
      <c r="V300" s="18"/>
      <c r="W300" s="19"/>
      <c r="X300" s="20"/>
      <c r="Y300" s="20"/>
      <c r="Z300" s="22"/>
      <c r="AA300" s="23"/>
      <c r="AB300" s="27"/>
      <c r="AC300" s="80"/>
      <c r="AD300" s="24"/>
      <c r="AE300" s="81"/>
      <c r="AF300" s="142"/>
    </row>
    <row r="301" spans="1:32" s="34" customFormat="1" ht="27" customHeight="1">
      <c r="A301" s="15"/>
      <c r="B301" s="81"/>
      <c r="C301" s="15"/>
      <c r="D301" s="15"/>
      <c r="E301" s="26"/>
      <c r="F301" s="27"/>
      <c r="G301" s="27"/>
      <c r="H301" s="81"/>
      <c r="I301" s="27"/>
      <c r="J301" s="28"/>
      <c r="K301" s="81"/>
      <c r="L301" s="81"/>
      <c r="M301" s="28"/>
      <c r="N301" s="29"/>
      <c r="O301" s="30"/>
      <c r="P301" s="31"/>
      <c r="Q301" s="32"/>
      <c r="R301" s="20"/>
      <c r="S301" s="33"/>
      <c r="T301" s="89"/>
      <c r="U301" s="90"/>
      <c r="V301" s="18"/>
      <c r="W301" s="19"/>
      <c r="X301" s="20"/>
      <c r="Y301" s="20"/>
      <c r="Z301" s="22"/>
      <c r="AA301" s="23"/>
      <c r="AB301" s="27"/>
      <c r="AC301" s="80"/>
      <c r="AD301" s="24"/>
      <c r="AE301" s="81"/>
      <c r="AF301" s="142"/>
    </row>
    <row r="302" spans="1:32" s="34" customFormat="1" ht="27" customHeight="1">
      <c r="A302" s="15"/>
      <c r="B302" s="81"/>
      <c r="C302" s="15"/>
      <c r="D302" s="15"/>
      <c r="E302" s="26"/>
      <c r="F302" s="27"/>
      <c r="G302" s="27"/>
      <c r="H302" s="81"/>
      <c r="I302" s="27"/>
      <c r="J302" s="28"/>
      <c r="K302" s="81"/>
      <c r="L302" s="81"/>
      <c r="M302" s="28"/>
      <c r="N302" s="29"/>
      <c r="O302" s="30"/>
      <c r="P302" s="31"/>
      <c r="Q302" s="32"/>
      <c r="R302" s="20"/>
      <c r="S302" s="33"/>
      <c r="T302" s="89"/>
      <c r="U302" s="90"/>
      <c r="V302" s="18"/>
      <c r="W302" s="19"/>
      <c r="X302" s="20"/>
      <c r="Y302" s="20"/>
      <c r="Z302" s="22"/>
      <c r="AA302" s="23"/>
      <c r="AB302" s="27"/>
      <c r="AC302" s="80"/>
      <c r="AD302" s="24"/>
      <c r="AE302" s="81"/>
      <c r="AF302" s="142"/>
    </row>
    <row r="303" spans="1:32" s="34" customFormat="1" ht="27" customHeight="1">
      <c r="A303" s="15"/>
      <c r="B303" s="81"/>
      <c r="C303" s="15"/>
      <c r="D303" s="15"/>
      <c r="E303" s="26"/>
      <c r="F303" s="27"/>
      <c r="G303" s="27"/>
      <c r="H303" s="81"/>
      <c r="I303" s="27"/>
      <c r="J303" s="28"/>
      <c r="K303" s="81"/>
      <c r="L303" s="81"/>
      <c r="M303" s="28"/>
      <c r="N303" s="29"/>
      <c r="O303" s="30"/>
      <c r="P303" s="31"/>
      <c r="Q303" s="32"/>
      <c r="R303" s="20"/>
      <c r="S303" s="33"/>
      <c r="T303" s="89"/>
      <c r="U303" s="90"/>
      <c r="V303" s="18"/>
      <c r="W303" s="19"/>
      <c r="X303" s="20"/>
      <c r="Y303" s="20"/>
      <c r="Z303" s="22"/>
      <c r="AA303" s="23"/>
      <c r="AB303" s="27"/>
      <c r="AC303" s="80"/>
      <c r="AD303" s="24"/>
      <c r="AE303" s="81"/>
      <c r="AF303" s="142"/>
    </row>
    <row r="304" spans="1:32" s="34" customFormat="1" ht="27" customHeight="1">
      <c r="A304" s="202"/>
      <c r="B304" s="203"/>
      <c r="C304" s="202"/>
      <c r="D304" s="202"/>
      <c r="E304" s="204"/>
      <c r="F304" s="202"/>
      <c r="G304" s="202"/>
      <c r="H304" s="203"/>
      <c r="I304" s="202"/>
      <c r="J304" s="202"/>
      <c r="K304" s="203"/>
      <c r="L304" s="203"/>
      <c r="M304" s="213"/>
      <c r="N304" s="205"/>
      <c r="O304" s="206"/>
      <c r="P304" s="207"/>
      <c r="Q304" s="208"/>
      <c r="R304" s="202"/>
      <c r="S304" s="202"/>
      <c r="T304" s="89"/>
      <c r="U304" s="90"/>
      <c r="V304" s="209"/>
      <c r="W304" s="210"/>
      <c r="X304" s="202"/>
      <c r="Y304" s="202"/>
      <c r="Z304" s="211"/>
      <c r="AA304" s="212"/>
      <c r="AB304" s="202"/>
      <c r="AC304" s="190"/>
      <c r="AD304" s="190"/>
      <c r="AE304" s="202"/>
      <c r="AF304" s="202"/>
    </row>
    <row r="305" spans="1:32" s="34" customFormat="1" ht="27" customHeight="1">
      <c r="A305" s="202"/>
      <c r="B305" s="203"/>
      <c r="C305" s="202"/>
      <c r="D305" s="202"/>
      <c r="E305" s="204"/>
      <c r="F305" s="202"/>
      <c r="G305" s="202"/>
      <c r="H305" s="203"/>
      <c r="I305" s="202"/>
      <c r="J305" s="202"/>
      <c r="K305" s="203"/>
      <c r="L305" s="203"/>
      <c r="M305" s="214"/>
      <c r="N305" s="205"/>
      <c r="O305" s="206"/>
      <c r="P305" s="207"/>
      <c r="Q305" s="208"/>
      <c r="R305" s="202"/>
      <c r="S305" s="202"/>
      <c r="T305" s="89"/>
      <c r="U305" s="90"/>
      <c r="V305" s="209"/>
      <c r="W305" s="210"/>
      <c r="X305" s="202"/>
      <c r="Y305" s="202"/>
      <c r="Z305" s="211"/>
      <c r="AA305" s="212"/>
      <c r="AB305" s="202"/>
      <c r="AC305" s="190"/>
      <c r="AD305" s="190"/>
      <c r="AE305" s="202"/>
      <c r="AF305" s="202"/>
    </row>
    <row r="306" spans="1:32" s="34" customFormat="1" ht="27" customHeight="1">
      <c r="A306" s="15"/>
      <c r="B306" s="81"/>
      <c r="C306" s="15"/>
      <c r="D306" s="15"/>
      <c r="E306" s="26"/>
      <c r="F306" s="27"/>
      <c r="G306" s="27"/>
      <c r="H306" s="81"/>
      <c r="I306" s="27"/>
      <c r="J306" s="28"/>
      <c r="K306" s="81"/>
      <c r="L306" s="81"/>
      <c r="M306" s="28"/>
      <c r="N306" s="29"/>
      <c r="O306" s="30"/>
      <c r="P306" s="31"/>
      <c r="Q306" s="32"/>
      <c r="R306" s="20"/>
      <c r="S306" s="33"/>
      <c r="T306" s="89"/>
      <c r="U306" s="90"/>
      <c r="V306" s="18"/>
      <c r="W306" s="19"/>
      <c r="X306" s="20"/>
      <c r="Y306" s="20"/>
      <c r="Z306" s="22"/>
      <c r="AA306" s="23"/>
      <c r="AB306" s="27"/>
      <c r="AC306" s="80"/>
      <c r="AD306" s="24"/>
      <c r="AE306" s="81"/>
      <c r="AF306" s="142"/>
    </row>
    <row r="307" spans="1:32" s="34" customFormat="1" ht="27" customHeight="1">
      <c r="A307" s="15"/>
      <c r="B307" s="81"/>
      <c r="C307" s="15"/>
      <c r="D307" s="15"/>
      <c r="E307" s="26"/>
      <c r="F307" s="27"/>
      <c r="G307" s="27"/>
      <c r="H307" s="81"/>
      <c r="I307" s="27"/>
      <c r="J307" s="28"/>
      <c r="K307" s="81"/>
      <c r="L307" s="81"/>
      <c r="M307" s="28"/>
      <c r="N307" s="29"/>
      <c r="O307" s="30"/>
      <c r="P307" s="31"/>
      <c r="Q307" s="32"/>
      <c r="R307" s="20"/>
      <c r="S307" s="33"/>
      <c r="T307" s="89"/>
      <c r="U307" s="90"/>
      <c r="V307" s="18"/>
      <c r="W307" s="19"/>
      <c r="X307" s="20"/>
      <c r="Y307" s="20"/>
      <c r="Z307" s="22"/>
      <c r="AA307" s="23"/>
      <c r="AB307" s="27"/>
      <c r="AC307" s="80"/>
      <c r="AD307" s="24"/>
      <c r="AE307" s="81"/>
      <c r="AF307" s="142"/>
    </row>
    <row r="308" spans="1:32" s="34" customFormat="1" ht="27" customHeight="1">
      <c r="A308" s="15"/>
      <c r="B308" s="81"/>
      <c r="C308" s="15"/>
      <c r="D308" s="15"/>
      <c r="E308" s="26"/>
      <c r="F308" s="27"/>
      <c r="G308" s="27"/>
      <c r="H308" s="81"/>
      <c r="I308" s="27"/>
      <c r="J308" s="28"/>
      <c r="K308" s="81"/>
      <c r="L308" s="81"/>
      <c r="M308" s="28"/>
      <c r="N308" s="29"/>
      <c r="O308" s="30"/>
      <c r="P308" s="31"/>
      <c r="Q308" s="32"/>
      <c r="R308" s="20"/>
      <c r="S308" s="33"/>
      <c r="T308" s="89"/>
      <c r="U308" s="90"/>
      <c r="V308" s="18"/>
      <c r="W308" s="19"/>
      <c r="X308" s="20"/>
      <c r="Y308" s="20"/>
      <c r="Z308" s="22"/>
      <c r="AA308" s="23"/>
      <c r="AB308" s="27"/>
      <c r="AC308" s="80"/>
      <c r="AD308" s="24"/>
      <c r="AE308" s="81"/>
      <c r="AF308" s="142"/>
    </row>
    <row r="309" spans="1:32" s="34" customFormat="1" ht="27" customHeight="1">
      <c r="A309" s="15"/>
      <c r="B309" s="81"/>
      <c r="C309" s="15"/>
      <c r="D309" s="15"/>
      <c r="E309" s="26"/>
      <c r="F309" s="27"/>
      <c r="G309" s="27"/>
      <c r="H309" s="81"/>
      <c r="I309" s="27"/>
      <c r="J309" s="28"/>
      <c r="K309" s="81"/>
      <c r="L309" s="81"/>
      <c r="M309" s="28"/>
      <c r="N309" s="29"/>
      <c r="O309" s="30"/>
      <c r="P309" s="31"/>
      <c r="Q309" s="32"/>
      <c r="R309" s="20"/>
      <c r="S309" s="33"/>
      <c r="T309" s="89"/>
      <c r="U309" s="90"/>
      <c r="V309" s="18"/>
      <c r="W309" s="19"/>
      <c r="X309" s="20"/>
      <c r="Y309" s="20"/>
      <c r="Z309" s="22"/>
      <c r="AA309" s="23"/>
      <c r="AB309" s="27"/>
      <c r="AC309" s="80"/>
      <c r="AD309" s="24"/>
      <c r="AE309" s="81"/>
      <c r="AF309" s="142"/>
    </row>
    <row r="310" spans="1:32" s="34" customFormat="1" ht="27" customHeight="1">
      <c r="A310" s="15"/>
      <c r="B310" s="81"/>
      <c r="C310" s="15"/>
      <c r="D310" s="15"/>
      <c r="E310" s="26"/>
      <c r="F310" s="27"/>
      <c r="G310" s="27"/>
      <c r="H310" s="81"/>
      <c r="I310" s="27"/>
      <c r="J310" s="28"/>
      <c r="K310" s="81"/>
      <c r="L310" s="81"/>
      <c r="M310" s="28"/>
      <c r="N310" s="29"/>
      <c r="O310" s="30"/>
      <c r="P310" s="31"/>
      <c r="Q310" s="32"/>
      <c r="R310" s="20"/>
      <c r="S310" s="33"/>
      <c r="T310" s="89"/>
      <c r="U310" s="90"/>
      <c r="V310" s="18"/>
      <c r="W310" s="19"/>
      <c r="X310" s="20"/>
      <c r="Y310" s="20"/>
      <c r="Z310" s="22"/>
      <c r="AA310" s="23"/>
      <c r="AB310" s="27"/>
      <c r="AC310" s="80"/>
      <c r="AD310" s="24"/>
      <c r="AE310" s="81"/>
      <c r="AF310" s="142"/>
    </row>
    <row r="311" spans="1:32" s="34" customFormat="1" ht="27" customHeight="1">
      <c r="A311" s="15"/>
      <c r="B311" s="81"/>
      <c r="C311" s="15"/>
      <c r="D311" s="15"/>
      <c r="E311" s="26"/>
      <c r="F311" s="27"/>
      <c r="G311" s="27"/>
      <c r="H311" s="81"/>
      <c r="I311" s="27"/>
      <c r="J311" s="28"/>
      <c r="K311" s="81"/>
      <c r="L311" s="81"/>
      <c r="M311" s="28"/>
      <c r="N311" s="29"/>
      <c r="O311" s="30"/>
      <c r="P311" s="31"/>
      <c r="Q311" s="32"/>
      <c r="R311" s="20"/>
      <c r="S311" s="33"/>
      <c r="T311" s="89"/>
      <c r="U311" s="90"/>
      <c r="V311" s="18"/>
      <c r="W311" s="19"/>
      <c r="X311" s="20"/>
      <c r="Y311" s="20"/>
      <c r="Z311" s="22"/>
      <c r="AA311" s="23"/>
      <c r="AB311" s="27"/>
      <c r="AC311" s="80"/>
      <c r="AD311" s="24"/>
      <c r="AE311" s="81"/>
      <c r="AF311" s="142"/>
    </row>
    <row r="312" spans="1:32" s="34" customFormat="1" ht="27" customHeight="1">
      <c r="A312" s="15"/>
      <c r="B312" s="81"/>
      <c r="C312" s="15"/>
      <c r="D312" s="15"/>
      <c r="E312" s="26"/>
      <c r="F312" s="27"/>
      <c r="G312" s="27"/>
      <c r="H312" s="81"/>
      <c r="I312" s="27"/>
      <c r="J312" s="28"/>
      <c r="K312" s="81"/>
      <c r="L312" s="81"/>
      <c r="M312" s="28"/>
      <c r="N312" s="29"/>
      <c r="O312" s="30"/>
      <c r="P312" s="31"/>
      <c r="Q312" s="32"/>
      <c r="R312" s="20"/>
      <c r="S312" s="33"/>
      <c r="T312" s="89"/>
      <c r="U312" s="90"/>
      <c r="V312" s="18"/>
      <c r="W312" s="19"/>
      <c r="X312" s="20"/>
      <c r="Y312" s="20"/>
      <c r="Z312" s="22"/>
      <c r="AA312" s="23"/>
      <c r="AB312" s="27"/>
      <c r="AC312" s="80"/>
      <c r="AD312" s="24"/>
      <c r="AE312" s="81"/>
      <c r="AF312" s="142"/>
    </row>
    <row r="313" spans="1:32" s="34" customFormat="1" ht="27" customHeight="1">
      <c r="A313" s="15"/>
      <c r="B313" s="81"/>
      <c r="C313" s="15"/>
      <c r="D313" s="15"/>
      <c r="E313" s="26"/>
      <c r="F313" s="27"/>
      <c r="G313" s="27"/>
      <c r="H313" s="81"/>
      <c r="I313" s="27"/>
      <c r="J313" s="28"/>
      <c r="K313" s="81"/>
      <c r="L313" s="81"/>
      <c r="M313" s="28"/>
      <c r="N313" s="29"/>
      <c r="O313" s="30"/>
      <c r="P313" s="31"/>
      <c r="Q313" s="32"/>
      <c r="R313" s="20"/>
      <c r="S313" s="33"/>
      <c r="T313" s="89"/>
      <c r="U313" s="90"/>
      <c r="V313" s="18"/>
      <c r="W313" s="19"/>
      <c r="X313" s="20"/>
      <c r="Y313" s="20"/>
      <c r="Z313" s="22"/>
      <c r="AA313" s="23"/>
      <c r="AB313" s="27"/>
      <c r="AC313" s="80"/>
      <c r="AD313" s="24"/>
      <c r="AE313" s="81"/>
      <c r="AF313" s="142"/>
    </row>
    <row r="314" spans="1:32" s="34" customFormat="1" ht="27" customHeight="1">
      <c r="A314" s="15"/>
      <c r="B314" s="81"/>
      <c r="C314" s="15"/>
      <c r="D314" s="15"/>
      <c r="E314" s="26"/>
      <c r="F314" s="27"/>
      <c r="G314" s="27"/>
      <c r="H314" s="81"/>
      <c r="I314" s="27"/>
      <c r="J314" s="28"/>
      <c r="K314" s="81"/>
      <c r="L314" s="81"/>
      <c r="M314" s="28"/>
      <c r="N314" s="29"/>
      <c r="O314" s="30"/>
      <c r="P314" s="31"/>
      <c r="Q314" s="32"/>
      <c r="R314" s="20"/>
      <c r="S314" s="33"/>
      <c r="T314" s="89"/>
      <c r="U314" s="90"/>
      <c r="V314" s="18"/>
      <c r="W314" s="19"/>
      <c r="X314" s="20"/>
      <c r="Y314" s="20"/>
      <c r="Z314" s="22"/>
      <c r="AA314" s="23"/>
      <c r="AB314" s="27"/>
      <c r="AC314" s="80"/>
      <c r="AD314" s="24"/>
      <c r="AE314" s="81"/>
      <c r="AF314" s="142"/>
    </row>
    <row r="315" spans="1:32" s="34" customFormat="1" ht="27" customHeight="1">
      <c r="A315" s="15"/>
      <c r="B315" s="81"/>
      <c r="C315" s="15"/>
      <c r="D315" s="15"/>
      <c r="E315" s="26"/>
      <c r="F315" s="27"/>
      <c r="G315" s="27"/>
      <c r="H315" s="81"/>
      <c r="I315" s="27"/>
      <c r="J315" s="28"/>
      <c r="K315" s="81"/>
      <c r="L315" s="81"/>
      <c r="M315" s="28"/>
      <c r="N315" s="29"/>
      <c r="O315" s="30"/>
      <c r="P315" s="31"/>
      <c r="Q315" s="32"/>
      <c r="R315" s="20"/>
      <c r="S315" s="33"/>
      <c r="T315" s="89"/>
      <c r="U315" s="90"/>
      <c r="V315" s="18"/>
      <c r="W315" s="19"/>
      <c r="X315" s="20"/>
      <c r="Y315" s="20"/>
      <c r="Z315" s="22"/>
      <c r="AA315" s="23"/>
      <c r="AB315" s="27"/>
      <c r="AC315" s="80"/>
      <c r="AD315" s="24"/>
      <c r="AE315" s="81"/>
      <c r="AF315" s="142"/>
    </row>
    <row r="316" spans="1:32" s="34" customFormat="1" ht="27" customHeight="1">
      <c r="A316" s="15"/>
      <c r="B316" s="81"/>
      <c r="C316" s="15"/>
      <c r="D316" s="15"/>
      <c r="E316" s="26"/>
      <c r="F316" s="27"/>
      <c r="G316" s="27"/>
      <c r="H316" s="81"/>
      <c r="I316" s="27"/>
      <c r="J316" s="28"/>
      <c r="K316" s="81"/>
      <c r="L316" s="81"/>
      <c r="M316" s="28"/>
      <c r="N316" s="29"/>
      <c r="O316" s="30"/>
      <c r="P316" s="31"/>
      <c r="Q316" s="32"/>
      <c r="R316" s="20"/>
      <c r="S316" s="33"/>
      <c r="T316" s="89"/>
      <c r="U316" s="90"/>
      <c r="V316" s="18"/>
      <c r="W316" s="19"/>
      <c r="X316" s="20"/>
      <c r="Y316" s="20"/>
      <c r="Z316" s="22"/>
      <c r="AA316" s="23"/>
      <c r="AB316" s="27"/>
      <c r="AC316" s="80"/>
      <c r="AD316" s="24"/>
      <c r="AE316" s="81"/>
      <c r="AF316" s="142"/>
    </row>
    <row r="317" spans="1:32" s="34" customFormat="1" ht="27" customHeight="1">
      <c r="A317" s="15"/>
      <c r="B317" s="81"/>
      <c r="C317" s="15"/>
      <c r="D317" s="15"/>
      <c r="E317" s="26"/>
      <c r="F317" s="27"/>
      <c r="G317" s="27"/>
      <c r="H317" s="81"/>
      <c r="I317" s="27"/>
      <c r="J317" s="28"/>
      <c r="K317" s="81"/>
      <c r="L317" s="81"/>
      <c r="M317" s="28"/>
      <c r="N317" s="29"/>
      <c r="O317" s="30"/>
      <c r="P317" s="31"/>
      <c r="Q317" s="32"/>
      <c r="R317" s="20"/>
      <c r="S317" s="33"/>
      <c r="T317" s="89"/>
      <c r="U317" s="90"/>
      <c r="V317" s="18"/>
      <c r="W317" s="19"/>
      <c r="X317" s="20"/>
      <c r="Y317" s="20"/>
      <c r="Z317" s="22"/>
      <c r="AA317" s="23"/>
      <c r="AB317" s="27"/>
      <c r="AC317" s="80"/>
      <c r="AD317" s="24"/>
      <c r="AE317" s="81"/>
      <c r="AF317" s="142"/>
    </row>
    <row r="318" spans="1:32" s="34" customFormat="1" ht="27" customHeight="1">
      <c r="A318" s="15"/>
      <c r="B318" s="81"/>
      <c r="C318" s="15"/>
      <c r="D318" s="15"/>
      <c r="E318" s="26"/>
      <c r="F318" s="27"/>
      <c r="G318" s="27"/>
      <c r="H318" s="81"/>
      <c r="I318" s="27"/>
      <c r="J318" s="28"/>
      <c r="K318" s="81"/>
      <c r="L318" s="81"/>
      <c r="M318" s="28"/>
      <c r="N318" s="29"/>
      <c r="O318" s="30"/>
      <c r="P318" s="31"/>
      <c r="Q318" s="32"/>
      <c r="R318" s="20"/>
      <c r="S318" s="33"/>
      <c r="T318" s="89"/>
      <c r="U318" s="90"/>
      <c r="V318" s="18"/>
      <c r="W318" s="19"/>
      <c r="X318" s="20"/>
      <c r="Y318" s="20"/>
      <c r="Z318" s="22"/>
      <c r="AA318" s="23"/>
      <c r="AB318" s="27"/>
      <c r="AC318" s="80"/>
      <c r="AD318" s="24"/>
      <c r="AE318" s="81"/>
      <c r="AF318" s="142"/>
    </row>
    <row r="319" spans="1:32" s="34" customFormat="1" ht="27" customHeight="1">
      <c r="A319" s="15"/>
      <c r="B319" s="81"/>
      <c r="C319" s="15"/>
      <c r="D319" s="15"/>
      <c r="E319" s="26"/>
      <c r="F319" s="27"/>
      <c r="G319" s="27"/>
      <c r="H319" s="81"/>
      <c r="I319" s="27"/>
      <c r="J319" s="28"/>
      <c r="K319" s="81"/>
      <c r="L319" s="81"/>
      <c r="M319" s="28"/>
      <c r="N319" s="29"/>
      <c r="O319" s="30"/>
      <c r="P319" s="31"/>
      <c r="Q319" s="32"/>
      <c r="R319" s="20"/>
      <c r="S319" s="33"/>
      <c r="T319" s="89"/>
      <c r="U319" s="90"/>
      <c r="V319" s="18"/>
      <c r="W319" s="19"/>
      <c r="X319" s="20"/>
      <c r="Y319" s="20"/>
      <c r="Z319" s="22"/>
      <c r="AA319" s="23"/>
      <c r="AB319" s="27"/>
      <c r="AC319" s="80"/>
      <c r="AD319" s="24"/>
      <c r="AE319" s="81"/>
      <c r="AF319" s="142"/>
    </row>
    <row r="320" spans="1:32" s="34" customFormat="1" ht="27" customHeight="1">
      <c r="AC320" s="26"/>
      <c r="AE320" s="26"/>
      <c r="AF320" s="26"/>
    </row>
    <row r="321" spans="29:32" s="34" customFormat="1" ht="27" customHeight="1">
      <c r="AC321" s="26"/>
      <c r="AE321" s="26"/>
      <c r="AF321" s="26"/>
    </row>
    <row r="322" spans="29:32" s="34" customFormat="1" ht="27" customHeight="1">
      <c r="AC322" s="26"/>
      <c r="AE322" s="26"/>
      <c r="AF322" s="26"/>
    </row>
    <row r="323" spans="29:32" s="34" customFormat="1" ht="27" customHeight="1">
      <c r="AC323" s="26"/>
      <c r="AE323" s="26"/>
      <c r="AF323" s="26"/>
    </row>
    <row r="324" spans="29:32" s="34" customFormat="1" ht="27" customHeight="1">
      <c r="AC324" s="26"/>
      <c r="AE324" s="26"/>
      <c r="AF324" s="26"/>
    </row>
    <row r="325" spans="29:32" s="34" customFormat="1" ht="27" customHeight="1">
      <c r="AC325" s="26"/>
      <c r="AE325" s="26"/>
      <c r="AF325" s="26"/>
    </row>
    <row r="326" spans="29:32" s="34" customFormat="1" ht="27" customHeight="1">
      <c r="AC326" s="26"/>
      <c r="AE326" s="26"/>
      <c r="AF326" s="26"/>
    </row>
    <row r="327" spans="29:32" s="34" customFormat="1" ht="27" customHeight="1">
      <c r="AC327" s="26"/>
      <c r="AE327" s="26"/>
      <c r="AF327" s="26"/>
    </row>
    <row r="328" spans="29:32" s="34" customFormat="1" ht="27" customHeight="1">
      <c r="AC328" s="26"/>
      <c r="AE328" s="26"/>
      <c r="AF328" s="26"/>
    </row>
    <row r="329" spans="29:32" s="34" customFormat="1" ht="27" customHeight="1">
      <c r="AC329" s="26"/>
      <c r="AE329" s="26"/>
      <c r="AF329" s="26"/>
    </row>
    <row r="330" spans="29:32" s="34" customFormat="1" ht="27" customHeight="1">
      <c r="AC330" s="26"/>
      <c r="AE330" s="26"/>
      <c r="AF330" s="26"/>
    </row>
    <row r="331" spans="29:32" s="34" customFormat="1" ht="27" customHeight="1">
      <c r="AC331" s="26"/>
      <c r="AE331" s="26"/>
      <c r="AF331" s="26"/>
    </row>
    <row r="332" spans="29:32" s="34" customFormat="1" ht="27" customHeight="1">
      <c r="AC332" s="26"/>
      <c r="AE332" s="26"/>
      <c r="AF332" s="26"/>
    </row>
    <row r="333" spans="29:32" s="34" customFormat="1" ht="27" customHeight="1">
      <c r="AC333" s="26"/>
      <c r="AE333" s="26"/>
      <c r="AF333" s="26"/>
    </row>
    <row r="334" spans="29:32" s="34" customFormat="1" ht="27" customHeight="1">
      <c r="AC334" s="26"/>
      <c r="AE334" s="26"/>
      <c r="AF334" s="26"/>
    </row>
    <row r="335" spans="29:32" s="34" customFormat="1" ht="27" customHeight="1">
      <c r="AC335" s="26"/>
      <c r="AE335" s="26"/>
      <c r="AF335" s="26"/>
    </row>
    <row r="336" spans="29:32" s="34" customFormat="1" ht="27" customHeight="1">
      <c r="AC336" s="26"/>
      <c r="AE336" s="26"/>
      <c r="AF336" s="26"/>
    </row>
    <row r="337" spans="29:32" s="34" customFormat="1" ht="27" customHeight="1">
      <c r="AC337" s="26"/>
      <c r="AE337" s="26"/>
      <c r="AF337" s="26"/>
    </row>
    <row r="338" spans="29:32" s="34" customFormat="1" ht="27" customHeight="1">
      <c r="AC338" s="26"/>
      <c r="AE338" s="26"/>
      <c r="AF338" s="26"/>
    </row>
    <row r="339" spans="29:32" s="34" customFormat="1" ht="27" customHeight="1">
      <c r="AC339" s="26"/>
      <c r="AE339" s="26"/>
      <c r="AF339" s="26"/>
    </row>
    <row r="340" spans="29:32" s="34" customFormat="1" ht="27" customHeight="1">
      <c r="AC340" s="26"/>
      <c r="AE340" s="26"/>
      <c r="AF340" s="26"/>
    </row>
    <row r="341" spans="29:32" s="34" customFormat="1" ht="27" customHeight="1">
      <c r="AC341" s="26"/>
      <c r="AE341" s="26"/>
      <c r="AF341" s="26"/>
    </row>
    <row r="342" spans="29:32" s="34" customFormat="1" ht="27" customHeight="1">
      <c r="AC342" s="26"/>
      <c r="AE342" s="26"/>
      <c r="AF342" s="26"/>
    </row>
    <row r="343" spans="29:32" s="34" customFormat="1" ht="27" customHeight="1">
      <c r="AC343" s="26"/>
      <c r="AE343" s="26"/>
      <c r="AF343" s="26"/>
    </row>
    <row r="344" spans="29:32" s="34" customFormat="1" ht="27" customHeight="1">
      <c r="AC344" s="26"/>
      <c r="AE344" s="26"/>
      <c r="AF344" s="26"/>
    </row>
    <row r="345" spans="29:32" s="34" customFormat="1" ht="27" customHeight="1">
      <c r="AC345" s="26"/>
      <c r="AE345" s="26"/>
      <c r="AF345" s="26"/>
    </row>
    <row r="346" spans="29:32" s="34" customFormat="1" ht="27" customHeight="1">
      <c r="AC346" s="26"/>
      <c r="AE346" s="26"/>
      <c r="AF346" s="26"/>
    </row>
    <row r="347" spans="29:32" s="34" customFormat="1" ht="27" customHeight="1">
      <c r="AC347" s="26"/>
      <c r="AE347" s="26"/>
      <c r="AF347" s="26"/>
    </row>
    <row r="348" spans="29:32" s="34" customFormat="1" ht="27" customHeight="1">
      <c r="AC348" s="26"/>
      <c r="AE348" s="26"/>
      <c r="AF348" s="26"/>
    </row>
    <row r="349" spans="29:32" s="34" customFormat="1" ht="27" customHeight="1">
      <c r="AC349" s="26"/>
      <c r="AE349" s="26"/>
      <c r="AF349" s="26"/>
    </row>
    <row r="350" spans="29:32" s="34" customFormat="1" ht="27" customHeight="1">
      <c r="AC350" s="26"/>
      <c r="AE350" s="26"/>
      <c r="AF350" s="26"/>
    </row>
    <row r="351" spans="29:32" s="34" customFormat="1" ht="27" customHeight="1">
      <c r="AC351" s="26"/>
      <c r="AE351" s="26"/>
      <c r="AF351" s="26"/>
    </row>
    <row r="352" spans="29:32" s="34" customFormat="1" ht="27" customHeight="1">
      <c r="AC352" s="26"/>
      <c r="AE352" s="26"/>
      <c r="AF352" s="26"/>
    </row>
    <row r="353" spans="29:32" s="34" customFormat="1" ht="27" customHeight="1">
      <c r="AC353" s="26"/>
      <c r="AE353" s="26"/>
      <c r="AF353" s="26"/>
    </row>
    <row r="354" spans="29:32" s="34" customFormat="1" ht="27" customHeight="1">
      <c r="AC354" s="26"/>
      <c r="AE354" s="26"/>
      <c r="AF354" s="26"/>
    </row>
    <row r="355" spans="29:32" s="34" customFormat="1" ht="27" customHeight="1">
      <c r="AC355" s="26"/>
      <c r="AE355" s="26"/>
      <c r="AF355" s="26"/>
    </row>
    <row r="356" spans="29:32" s="34" customFormat="1" ht="27" customHeight="1">
      <c r="AC356" s="26"/>
      <c r="AE356" s="26"/>
      <c r="AF356" s="26"/>
    </row>
    <row r="357" spans="29:32" s="34" customFormat="1" ht="27" customHeight="1">
      <c r="AC357" s="26"/>
      <c r="AE357" s="26"/>
      <c r="AF357" s="26"/>
    </row>
    <row r="358" spans="29:32" s="34" customFormat="1" ht="27" customHeight="1">
      <c r="AC358" s="26"/>
      <c r="AE358" s="26"/>
      <c r="AF358" s="26"/>
    </row>
    <row r="359" spans="29:32" s="34" customFormat="1" ht="27" customHeight="1">
      <c r="AC359" s="26"/>
      <c r="AE359" s="26"/>
      <c r="AF359" s="26"/>
    </row>
  </sheetData>
  <autoFilter ref="A3:AF3" xr:uid="{82777AC5-D657-491A-970F-EF90F11C757F}"/>
  <mergeCells count="3">
    <mergeCell ref="P2:Q2"/>
    <mergeCell ref="K2:M2"/>
    <mergeCell ref="N2:O2"/>
  </mergeCells>
  <phoneticPr fontId="24" type="noConversion"/>
  <conditionalFormatting sqref="V4:V303">
    <cfRule type="notContainsBlanks" dxfId="5" priority="3">
      <formula>LEN(TRIM(V4))&gt;0</formula>
    </cfRule>
  </conditionalFormatting>
  <conditionalFormatting sqref="V306:V319">
    <cfRule type="notContainsBlanks" dxfId="4" priority="2">
      <formula>LEN(TRIM(V306))&gt;0</formula>
    </cfRule>
  </conditionalFormatting>
  <pageMargins left="0.7" right="0.7" top="0.75" bottom="0.75" header="0.3" footer="0.3"/>
  <pageSetup paperSize="9" scale="24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F76-ABA5-474C-9B45-52EDEE61818B}">
  <sheetPr>
    <pageSetUpPr fitToPage="1"/>
  </sheetPr>
  <dimension ref="A1:AP374"/>
  <sheetViews>
    <sheetView tabSelected="1" zoomScale="85" zoomScaleNormal="85" workbookViewId="0">
      <pane xSplit="9" ySplit="3" topLeftCell="V201" activePane="bottomRight" state="frozen"/>
      <selection pane="topRight"/>
      <selection pane="bottomLeft" activeCell="C259" sqref="C259"/>
      <selection pane="bottomRight" activeCell="C205" sqref="C205"/>
    </sheetView>
  </sheetViews>
  <sheetFormatPr defaultColWidth="9.140625" defaultRowHeight="12.75"/>
  <cols>
    <col min="1" max="1" width="5.28515625" style="1" bestFit="1" customWidth="1"/>
    <col min="2" max="2" width="11.28515625" style="1" customWidth="1"/>
    <col min="3" max="3" width="13.42578125" style="1" customWidth="1"/>
    <col min="4" max="4" width="20" style="1" customWidth="1"/>
    <col min="5" max="5" width="8.42578125" style="1" customWidth="1"/>
    <col min="6" max="6" width="14.5703125" style="1" customWidth="1"/>
    <col min="7" max="7" width="14" style="1" customWidth="1"/>
    <col min="8" max="8" width="11.85546875" style="1" customWidth="1"/>
    <col min="9" max="9" width="11.42578125" style="1" customWidth="1"/>
    <col min="10" max="10" width="44" style="1" customWidth="1"/>
    <col min="11" max="12" width="12.5703125" style="1" customWidth="1"/>
    <col min="13" max="13" width="25.42578125" style="1" customWidth="1"/>
    <col min="14" max="14" width="20.42578125" style="1" customWidth="1"/>
    <col min="15" max="15" width="16.140625" style="1" customWidth="1"/>
    <col min="16" max="16" width="12.85546875" style="1" customWidth="1"/>
    <col min="17" max="17" width="13.85546875" style="1" customWidth="1"/>
    <col min="18" max="18" width="12.28515625" style="1" customWidth="1"/>
    <col min="19" max="19" width="31.42578125" style="1" customWidth="1"/>
    <col min="20" max="20" width="79" style="1" customWidth="1"/>
    <col min="21" max="21" width="11.28515625" style="1" customWidth="1"/>
    <col min="22" max="22" width="13" style="1" customWidth="1"/>
    <col min="23" max="23" width="13.140625" style="1" customWidth="1"/>
    <col min="24" max="24" width="17.42578125" style="1" customWidth="1"/>
    <col min="25" max="25" width="14.7109375" style="1" customWidth="1"/>
    <col min="26" max="26" width="17.85546875" style="1" customWidth="1"/>
    <col min="27" max="27" width="12.140625" style="1" customWidth="1"/>
    <col min="28" max="28" width="11" style="1" customWidth="1"/>
    <col min="29" max="29" width="22.42578125" style="1" customWidth="1"/>
    <col min="30" max="30" width="18.140625" style="36" customWidth="1"/>
    <col min="31" max="31" width="78.7109375" style="1" customWidth="1"/>
    <col min="32" max="32" width="20.85546875" style="80" customWidth="1"/>
    <col min="33" max="33" width="21.42578125" style="80" customWidth="1"/>
    <col min="34" max="16384" width="9.140625" style="1"/>
  </cols>
  <sheetData>
    <row r="1" spans="1:33" ht="32.25" customHeight="1">
      <c r="I1" s="220">
        <f>SUBTOTAL(2,I4:I509)</f>
        <v>251</v>
      </c>
      <c r="O1" s="188">
        <f>SUBTOTAL(9,O5:O9129)</f>
        <v>37851362.988399997</v>
      </c>
      <c r="X1" s="189">
        <f>SUBTOTAL(9,X4:X9129)</f>
        <v>31600389.160000011</v>
      </c>
    </row>
    <row r="2" spans="1:33">
      <c r="A2" s="221"/>
      <c r="B2" s="222"/>
      <c r="C2" s="222"/>
      <c r="D2" s="223"/>
      <c r="E2" s="223"/>
      <c r="F2" s="223"/>
      <c r="G2" s="223"/>
      <c r="H2" s="223"/>
      <c r="I2" s="228"/>
      <c r="J2" s="230"/>
      <c r="K2" s="409" t="s">
        <v>10</v>
      </c>
      <c r="L2" s="409"/>
      <c r="M2" s="409"/>
      <c r="N2" s="409"/>
      <c r="O2" s="410" t="s">
        <v>11</v>
      </c>
      <c r="P2" s="411"/>
      <c r="Q2" s="412" t="s">
        <v>12</v>
      </c>
      <c r="R2" s="413"/>
      <c r="S2" s="215"/>
      <c r="T2" s="5" t="s">
        <v>14</v>
      </c>
      <c r="U2" s="231"/>
      <c r="V2" s="232"/>
      <c r="W2" s="233"/>
      <c r="X2" s="242"/>
      <c r="Y2" s="234" t="s">
        <v>19</v>
      </c>
      <c r="Z2" s="235"/>
      <c r="AA2" s="236" t="s">
        <v>20</v>
      </c>
      <c r="AB2" s="237"/>
      <c r="AC2" s="245"/>
      <c r="AD2" s="234" t="s">
        <v>22</v>
      </c>
      <c r="AE2" s="234"/>
      <c r="AF2" s="247"/>
      <c r="AG2" s="248"/>
    </row>
    <row r="3" spans="1:33" ht="25.5">
      <c r="A3" s="303" t="s">
        <v>0</v>
      </c>
      <c r="B3" s="304" t="s">
        <v>1</v>
      </c>
      <c r="C3" s="304" t="s">
        <v>2</v>
      </c>
      <c r="D3" s="305" t="s">
        <v>3</v>
      </c>
      <c r="E3" s="305" t="s">
        <v>4</v>
      </c>
      <c r="F3" s="305" t="s">
        <v>5</v>
      </c>
      <c r="G3" s="305" t="s">
        <v>6</v>
      </c>
      <c r="H3" s="305" t="s">
        <v>7</v>
      </c>
      <c r="I3" s="305" t="s">
        <v>8</v>
      </c>
      <c r="J3" s="304" t="s">
        <v>9</v>
      </c>
      <c r="K3" s="304" t="s">
        <v>26</v>
      </c>
      <c r="L3" s="304" t="s">
        <v>27</v>
      </c>
      <c r="M3" s="398" t="s">
        <v>28</v>
      </c>
      <c r="N3" s="408" t="s">
        <v>37</v>
      </c>
      <c r="O3" s="407" t="s">
        <v>29</v>
      </c>
      <c r="P3" s="306" t="s">
        <v>30</v>
      </c>
      <c r="Q3" s="307" t="s">
        <v>26</v>
      </c>
      <c r="R3" s="308" t="s">
        <v>27</v>
      </c>
      <c r="S3" s="309" t="s">
        <v>13</v>
      </c>
      <c r="T3" s="310" t="s">
        <v>31</v>
      </c>
      <c r="U3" s="311" t="s">
        <v>15</v>
      </c>
      <c r="V3" s="312" t="s">
        <v>16</v>
      </c>
      <c r="W3" s="233" t="s">
        <v>17</v>
      </c>
      <c r="X3" s="313" t="s">
        <v>18</v>
      </c>
      <c r="Y3" s="239" t="s">
        <v>32</v>
      </c>
      <c r="Z3" s="239" t="s">
        <v>33</v>
      </c>
      <c r="AA3" s="240" t="s">
        <v>34</v>
      </c>
      <c r="AB3" s="239" t="s">
        <v>35</v>
      </c>
      <c r="AC3" s="305" t="s">
        <v>21</v>
      </c>
      <c r="AD3" s="239" t="s">
        <v>36</v>
      </c>
      <c r="AE3" s="239" t="s">
        <v>23</v>
      </c>
      <c r="AF3" s="239" t="s">
        <v>24</v>
      </c>
      <c r="AG3" s="239" t="s">
        <v>25</v>
      </c>
    </row>
    <row r="4" spans="1:33" ht="27" customHeight="1">
      <c r="A4" s="15">
        <v>1</v>
      </c>
      <c r="B4" s="81">
        <v>46024</v>
      </c>
      <c r="C4" s="15" t="s">
        <v>38</v>
      </c>
      <c r="D4" s="15" t="s">
        <v>39</v>
      </c>
      <c r="E4" s="26" t="s">
        <v>40</v>
      </c>
      <c r="F4" s="27" t="s">
        <v>41</v>
      </c>
      <c r="G4" s="27">
        <v>645600</v>
      </c>
      <c r="H4" s="81">
        <v>46027</v>
      </c>
      <c r="I4" s="27">
        <v>6252575</v>
      </c>
      <c r="J4" s="28" t="s">
        <v>42</v>
      </c>
      <c r="K4" s="81">
        <v>45892</v>
      </c>
      <c r="L4" s="81">
        <v>46257</v>
      </c>
      <c r="M4" s="88" t="s">
        <v>43</v>
      </c>
      <c r="N4" s="400">
        <v>138890</v>
      </c>
      <c r="O4" s="384">
        <f>P4*7.9</f>
        <v>15791.784000000001</v>
      </c>
      <c r="P4" s="30">
        <v>1998.96</v>
      </c>
      <c r="Q4" s="31">
        <v>45931</v>
      </c>
      <c r="R4" s="32">
        <v>46295</v>
      </c>
      <c r="S4" s="20" t="s">
        <v>44</v>
      </c>
      <c r="T4" s="33" t="s">
        <v>45</v>
      </c>
      <c r="U4" s="16">
        <v>46031</v>
      </c>
      <c r="V4" s="17" t="s">
        <v>46</v>
      </c>
      <c r="W4" s="18"/>
      <c r="X4" s="19">
        <v>15540.51</v>
      </c>
      <c r="Y4" s="20" t="s">
        <v>47</v>
      </c>
      <c r="Z4" s="20" t="s">
        <v>48</v>
      </c>
      <c r="AA4" s="116">
        <v>46027</v>
      </c>
      <c r="AB4" s="353">
        <v>46048</v>
      </c>
      <c r="AC4" s="27" t="s">
        <v>49</v>
      </c>
      <c r="AD4" s="80"/>
      <c r="AE4" s="24"/>
      <c r="AG4" s="140"/>
    </row>
    <row r="5" spans="1:33" ht="27" customHeight="1">
      <c r="A5" s="15">
        <v>2</v>
      </c>
      <c r="B5" s="81">
        <v>46024</v>
      </c>
      <c r="C5" s="15" t="s">
        <v>38</v>
      </c>
      <c r="D5" s="15" t="s">
        <v>50</v>
      </c>
      <c r="E5" s="26" t="s">
        <v>40</v>
      </c>
      <c r="F5" s="27" t="s">
        <v>41</v>
      </c>
      <c r="G5" s="27">
        <v>645600</v>
      </c>
      <c r="H5" s="81">
        <v>46027</v>
      </c>
      <c r="I5" s="27">
        <v>6252683</v>
      </c>
      <c r="J5" s="28" t="s">
        <v>51</v>
      </c>
      <c r="K5" s="81">
        <v>46023</v>
      </c>
      <c r="L5" s="81">
        <v>46752</v>
      </c>
      <c r="M5" s="88" t="s">
        <v>52</v>
      </c>
      <c r="N5" s="400">
        <v>98865</v>
      </c>
      <c r="O5" s="384">
        <f>P5*7.9</f>
        <v>41417.093000000001</v>
      </c>
      <c r="P5" s="30">
        <v>5242.67</v>
      </c>
      <c r="Q5" s="31">
        <v>46023</v>
      </c>
      <c r="R5" s="32">
        <v>46752</v>
      </c>
      <c r="S5" s="20" t="s">
        <v>53</v>
      </c>
      <c r="T5" s="33" t="s">
        <v>54</v>
      </c>
      <c r="U5" s="16">
        <v>46031</v>
      </c>
      <c r="V5" s="17" t="s">
        <v>55</v>
      </c>
      <c r="W5" s="18">
        <v>46045</v>
      </c>
      <c r="X5" s="19">
        <v>40758.089999999997</v>
      </c>
      <c r="Y5" s="20" t="s">
        <v>56</v>
      </c>
      <c r="Z5" s="20" t="s">
        <v>48</v>
      </c>
      <c r="AA5" s="116">
        <v>46027</v>
      </c>
      <c r="AB5" s="353">
        <v>46048</v>
      </c>
      <c r="AC5" s="27" t="s">
        <v>57</v>
      </c>
      <c r="AD5" s="80"/>
      <c r="AE5" s="24"/>
      <c r="AG5" s="140"/>
    </row>
    <row r="6" spans="1:33" ht="27" customHeight="1">
      <c r="A6" s="15">
        <v>3</v>
      </c>
      <c r="B6" s="81">
        <v>46024</v>
      </c>
      <c r="C6" s="15" t="s">
        <v>38</v>
      </c>
      <c r="D6" s="15" t="s">
        <v>58</v>
      </c>
      <c r="E6" s="26" t="s">
        <v>59</v>
      </c>
      <c r="F6" s="27" t="s">
        <v>60</v>
      </c>
      <c r="G6" s="27">
        <v>645604</v>
      </c>
      <c r="H6" s="81">
        <v>46027</v>
      </c>
      <c r="I6" s="27">
        <v>6252846</v>
      </c>
      <c r="J6" s="28" t="s">
        <v>61</v>
      </c>
      <c r="K6" s="81">
        <v>46054</v>
      </c>
      <c r="L6" s="81">
        <v>46418</v>
      </c>
      <c r="M6" s="88" t="s">
        <v>62</v>
      </c>
      <c r="N6" s="400">
        <v>133556</v>
      </c>
      <c r="O6" s="384">
        <v>110375</v>
      </c>
      <c r="P6" s="30"/>
      <c r="Q6" s="31">
        <v>46054</v>
      </c>
      <c r="R6" s="32">
        <v>46418</v>
      </c>
      <c r="S6" s="20" t="s">
        <v>63</v>
      </c>
      <c r="T6" s="33" t="s">
        <v>64</v>
      </c>
      <c r="U6" s="16">
        <v>46031</v>
      </c>
      <c r="V6" s="17" t="s">
        <v>65</v>
      </c>
      <c r="W6" s="18"/>
      <c r="X6" s="19">
        <v>110375</v>
      </c>
      <c r="Y6" s="20" t="s">
        <v>66</v>
      </c>
      <c r="Z6" s="20" t="s">
        <v>67</v>
      </c>
      <c r="AA6" s="116">
        <v>46027</v>
      </c>
      <c r="AB6" s="353">
        <v>46048</v>
      </c>
      <c r="AC6" s="27" t="s">
        <v>68</v>
      </c>
      <c r="AD6" s="80"/>
      <c r="AE6" s="24"/>
      <c r="AG6" s="140"/>
    </row>
    <row r="7" spans="1:33" ht="27" customHeight="1">
      <c r="A7" s="15">
        <v>4</v>
      </c>
      <c r="B7" s="81">
        <v>46027</v>
      </c>
      <c r="C7" s="15" t="s">
        <v>38</v>
      </c>
      <c r="D7" s="15" t="s">
        <v>69</v>
      </c>
      <c r="E7" s="26" t="s">
        <v>70</v>
      </c>
      <c r="F7" s="27" t="s">
        <v>41</v>
      </c>
      <c r="G7" s="27">
        <v>645600</v>
      </c>
      <c r="H7" s="81">
        <v>46027</v>
      </c>
      <c r="I7" s="27">
        <v>6252887</v>
      </c>
      <c r="J7" s="28" t="s">
        <v>71</v>
      </c>
      <c r="K7" s="81">
        <v>45962</v>
      </c>
      <c r="L7" s="81">
        <v>46326</v>
      </c>
      <c r="M7" s="88" t="s">
        <v>72</v>
      </c>
      <c r="N7" s="400">
        <v>214270</v>
      </c>
      <c r="O7" s="384">
        <f>P7*7.9</f>
        <v>50639</v>
      </c>
      <c r="P7" s="30">
        <v>6410</v>
      </c>
      <c r="Q7" s="31">
        <v>45962</v>
      </c>
      <c r="R7" s="32">
        <v>46326</v>
      </c>
      <c r="S7" s="20" t="s">
        <v>73</v>
      </c>
      <c r="T7" s="33" t="s">
        <v>74</v>
      </c>
      <c r="U7" s="16">
        <v>46038</v>
      </c>
      <c r="V7" s="17" t="s">
        <v>75</v>
      </c>
      <c r="W7" s="18">
        <v>46052</v>
      </c>
      <c r="X7" s="19">
        <v>49833.26</v>
      </c>
      <c r="Y7" s="20" t="s">
        <v>56</v>
      </c>
      <c r="Z7" s="21" t="s">
        <v>76</v>
      </c>
      <c r="AA7" s="116">
        <v>46028</v>
      </c>
      <c r="AB7" s="353">
        <v>46023</v>
      </c>
      <c r="AC7" s="27" t="s">
        <v>77</v>
      </c>
      <c r="AD7" s="80"/>
      <c r="AE7" s="24"/>
      <c r="AG7" s="140"/>
    </row>
    <row r="8" spans="1:33" ht="27" customHeight="1">
      <c r="A8" s="15">
        <v>5</v>
      </c>
      <c r="B8" s="81">
        <v>46028</v>
      </c>
      <c r="C8" s="15" t="s">
        <v>38</v>
      </c>
      <c r="D8" s="15" t="s">
        <v>78</v>
      </c>
      <c r="E8" s="26" t="s">
        <v>70</v>
      </c>
      <c r="F8" s="27" t="s">
        <v>41</v>
      </c>
      <c r="G8" s="27">
        <v>645600</v>
      </c>
      <c r="H8" s="81">
        <v>46028</v>
      </c>
      <c r="I8" s="27">
        <v>6253405</v>
      </c>
      <c r="J8" s="28" t="s">
        <v>79</v>
      </c>
      <c r="K8" s="81">
        <v>45983</v>
      </c>
      <c r="L8" s="81">
        <v>46347</v>
      </c>
      <c r="M8" s="88" t="s">
        <v>80</v>
      </c>
      <c r="N8" s="400">
        <v>283360</v>
      </c>
      <c r="O8" s="384">
        <f>P8*7.9</f>
        <v>57670</v>
      </c>
      <c r="P8" s="30">
        <v>7300</v>
      </c>
      <c r="Q8" s="31">
        <v>45983</v>
      </c>
      <c r="R8" s="32">
        <v>46347</v>
      </c>
      <c r="S8" s="20" t="s">
        <v>73</v>
      </c>
      <c r="T8" s="33" t="s">
        <v>81</v>
      </c>
      <c r="U8" s="16">
        <v>46038</v>
      </c>
      <c r="V8" s="17" t="s">
        <v>82</v>
      </c>
      <c r="W8" s="18">
        <v>46052</v>
      </c>
      <c r="X8" s="19">
        <v>56752.39</v>
      </c>
      <c r="Y8" s="20" t="s">
        <v>56</v>
      </c>
      <c r="Z8" s="21" t="s">
        <v>76</v>
      </c>
      <c r="AA8" s="116">
        <v>46028</v>
      </c>
      <c r="AB8" s="353">
        <v>46023</v>
      </c>
      <c r="AC8" s="27" t="s">
        <v>83</v>
      </c>
      <c r="AD8" s="80"/>
      <c r="AE8" s="24"/>
      <c r="AG8" s="140"/>
    </row>
    <row r="9" spans="1:33" ht="27" customHeight="1">
      <c r="A9" s="15">
        <v>6</v>
      </c>
      <c r="B9" s="81">
        <v>46027</v>
      </c>
      <c r="C9" s="15" t="s">
        <v>38</v>
      </c>
      <c r="D9" s="15" t="s">
        <v>84</v>
      </c>
      <c r="E9" s="26" t="s">
        <v>40</v>
      </c>
      <c r="F9" s="27" t="s">
        <v>41</v>
      </c>
      <c r="G9" s="27">
        <v>645600</v>
      </c>
      <c r="H9" s="81">
        <v>46028</v>
      </c>
      <c r="I9" s="27">
        <v>6253417</v>
      </c>
      <c r="J9" s="28" t="s">
        <v>85</v>
      </c>
      <c r="K9" s="81">
        <v>46023</v>
      </c>
      <c r="L9" s="81">
        <v>46387</v>
      </c>
      <c r="M9" s="88" t="s">
        <v>86</v>
      </c>
      <c r="N9" s="400">
        <v>265000</v>
      </c>
      <c r="O9" s="384">
        <f>P9*7.9</f>
        <v>75087.445999999996</v>
      </c>
      <c r="P9" s="30">
        <v>9504.74</v>
      </c>
      <c r="Q9" s="31">
        <v>46023</v>
      </c>
      <c r="R9" s="32">
        <v>46387</v>
      </c>
      <c r="S9" s="20" t="s">
        <v>53</v>
      </c>
      <c r="T9" s="33" t="s">
        <v>87</v>
      </c>
      <c r="U9" s="16">
        <v>46030</v>
      </c>
      <c r="V9" s="17" t="s">
        <v>88</v>
      </c>
      <c r="W9" s="18">
        <v>46045</v>
      </c>
      <c r="X9" s="19">
        <v>73892.7</v>
      </c>
      <c r="Y9" s="20" t="s">
        <v>89</v>
      </c>
      <c r="Z9" s="20" t="s">
        <v>48</v>
      </c>
      <c r="AA9" s="116">
        <v>46028</v>
      </c>
      <c r="AB9" s="353">
        <v>46023</v>
      </c>
      <c r="AC9" s="27" t="s">
        <v>90</v>
      </c>
      <c r="AD9" s="80"/>
      <c r="AE9" s="24"/>
      <c r="AG9" s="140"/>
    </row>
    <row r="10" spans="1:33" ht="27" customHeight="1">
      <c r="A10" s="15">
        <v>7</v>
      </c>
      <c r="B10" s="81">
        <v>46027</v>
      </c>
      <c r="C10" s="15" t="s">
        <v>38</v>
      </c>
      <c r="D10" s="15" t="s">
        <v>91</v>
      </c>
      <c r="E10" s="26" t="s">
        <v>40</v>
      </c>
      <c r="F10" s="27" t="s">
        <v>41</v>
      </c>
      <c r="G10" s="27">
        <v>645600</v>
      </c>
      <c r="H10" s="81">
        <v>46028</v>
      </c>
      <c r="I10" s="27">
        <v>6253419</v>
      </c>
      <c r="J10" s="28" t="s">
        <v>85</v>
      </c>
      <c r="K10" s="81">
        <v>46023</v>
      </c>
      <c r="L10" s="81">
        <v>46387</v>
      </c>
      <c r="M10" s="88" t="s">
        <v>86</v>
      </c>
      <c r="N10" s="400">
        <v>265000</v>
      </c>
      <c r="O10" s="384">
        <f>P10*7.9</f>
        <v>11165.544</v>
      </c>
      <c r="P10" s="30">
        <v>1413.36</v>
      </c>
      <c r="Q10" s="31">
        <v>46023</v>
      </c>
      <c r="R10" s="32">
        <v>46387</v>
      </c>
      <c r="S10" s="20" t="s">
        <v>92</v>
      </c>
      <c r="T10" s="33" t="s">
        <v>93</v>
      </c>
      <c r="U10" s="16">
        <v>46031</v>
      </c>
      <c r="V10" s="17" t="s">
        <v>94</v>
      </c>
      <c r="W10" s="18"/>
      <c r="X10" s="19">
        <v>10987.88</v>
      </c>
      <c r="Y10" s="20" t="s">
        <v>89</v>
      </c>
      <c r="Z10" s="20" t="s">
        <v>48</v>
      </c>
      <c r="AA10" s="116">
        <v>46028</v>
      </c>
      <c r="AB10" s="353">
        <v>46023</v>
      </c>
      <c r="AC10" s="27" t="s">
        <v>90</v>
      </c>
      <c r="AD10" s="80"/>
      <c r="AE10" s="24"/>
      <c r="AG10" s="140"/>
    </row>
    <row r="11" spans="1:33" ht="27" customHeight="1">
      <c r="A11" s="15">
        <v>8</v>
      </c>
      <c r="B11" s="81">
        <v>46029</v>
      </c>
      <c r="C11" s="15" t="s">
        <v>95</v>
      </c>
      <c r="D11" s="15" t="s">
        <v>96</v>
      </c>
      <c r="E11" s="26" t="s">
        <v>97</v>
      </c>
      <c r="F11" s="27" t="s">
        <v>98</v>
      </c>
      <c r="G11" s="27" t="s">
        <v>99</v>
      </c>
      <c r="H11" s="81">
        <v>46028</v>
      </c>
      <c r="I11" s="27">
        <v>6253751</v>
      </c>
      <c r="J11" s="28" t="s">
        <v>100</v>
      </c>
      <c r="K11" s="81">
        <v>46042</v>
      </c>
      <c r="L11" s="81">
        <v>46406</v>
      </c>
      <c r="M11" s="88" t="s">
        <v>101</v>
      </c>
      <c r="N11" s="400">
        <v>826290</v>
      </c>
      <c r="O11" s="384">
        <v>80360</v>
      </c>
      <c r="P11" s="30"/>
      <c r="Q11" s="31">
        <v>46042</v>
      </c>
      <c r="R11" s="32">
        <v>46406</v>
      </c>
      <c r="S11" s="20" t="s">
        <v>102</v>
      </c>
      <c r="T11" s="33" t="s">
        <v>103</v>
      </c>
      <c r="U11" s="114">
        <v>46041</v>
      </c>
      <c r="V11" s="115" t="s">
        <v>104</v>
      </c>
      <c r="W11" s="18"/>
      <c r="X11" s="19">
        <v>80360</v>
      </c>
      <c r="Y11" s="20" t="s">
        <v>105</v>
      </c>
      <c r="Z11" s="20" t="s">
        <v>106</v>
      </c>
      <c r="AA11" s="116"/>
      <c r="AB11" s="353">
        <v>46023</v>
      </c>
      <c r="AC11" s="27" t="s">
        <v>107</v>
      </c>
      <c r="AD11" s="80"/>
      <c r="AE11" s="24"/>
      <c r="AG11" s="140"/>
    </row>
    <row r="12" spans="1:33" ht="27" customHeight="1">
      <c r="A12" s="15">
        <v>9</v>
      </c>
      <c r="B12" s="81">
        <v>46030</v>
      </c>
      <c r="C12" s="15" t="s">
        <v>95</v>
      </c>
      <c r="D12" s="15" t="s">
        <v>108</v>
      </c>
      <c r="E12" s="26" t="s">
        <v>97</v>
      </c>
      <c r="F12" s="27" t="s">
        <v>109</v>
      </c>
      <c r="G12" s="27" t="s">
        <v>99</v>
      </c>
      <c r="H12" s="81">
        <v>46031</v>
      </c>
      <c r="I12" s="27">
        <v>6254246</v>
      </c>
      <c r="J12" s="28" t="s">
        <v>110</v>
      </c>
      <c r="K12" s="81">
        <v>45931</v>
      </c>
      <c r="L12" s="81">
        <v>46295</v>
      </c>
      <c r="M12" s="88" t="s">
        <v>111</v>
      </c>
      <c r="N12" s="400">
        <v>16580</v>
      </c>
      <c r="O12" s="384">
        <v>4300</v>
      </c>
      <c r="P12" s="30"/>
      <c r="Q12" s="31">
        <v>45931</v>
      </c>
      <c r="R12" s="32">
        <v>46295</v>
      </c>
      <c r="S12" s="20" t="s">
        <v>112</v>
      </c>
      <c r="T12" s="33" t="s">
        <v>113</v>
      </c>
      <c r="U12" s="114">
        <v>46031</v>
      </c>
      <c r="V12" s="115" t="s">
        <v>114</v>
      </c>
      <c r="W12" s="18"/>
      <c r="X12" s="19">
        <v>4300</v>
      </c>
      <c r="Y12" s="20" t="s">
        <v>115</v>
      </c>
      <c r="Z12" s="20" t="s">
        <v>106</v>
      </c>
      <c r="AA12" s="116"/>
      <c r="AB12" s="353">
        <v>46023</v>
      </c>
      <c r="AC12" s="27" t="s">
        <v>116</v>
      </c>
      <c r="AD12" s="80"/>
      <c r="AE12" s="24"/>
      <c r="AG12" s="140"/>
    </row>
    <row r="13" spans="1:33" ht="27" customHeight="1">
      <c r="A13" s="15">
        <v>10</v>
      </c>
      <c r="B13" s="81">
        <v>46031</v>
      </c>
      <c r="C13" s="15" t="s">
        <v>38</v>
      </c>
      <c r="D13" s="15" t="s">
        <v>117</v>
      </c>
      <c r="E13" s="26" t="s">
        <v>70</v>
      </c>
      <c r="F13" s="27" t="s">
        <v>41</v>
      </c>
      <c r="G13" s="27">
        <v>645600</v>
      </c>
      <c r="H13" s="81">
        <v>46031</v>
      </c>
      <c r="I13" s="27">
        <v>6254831</v>
      </c>
      <c r="J13" s="28" t="s">
        <v>118</v>
      </c>
      <c r="K13" s="81">
        <v>46050</v>
      </c>
      <c r="L13" s="81">
        <v>46414</v>
      </c>
      <c r="M13" s="88" t="s">
        <v>119</v>
      </c>
      <c r="N13" s="400">
        <v>588795</v>
      </c>
      <c r="O13" s="384">
        <v>7720</v>
      </c>
      <c r="P13" s="30"/>
      <c r="Q13" s="31">
        <v>46050</v>
      </c>
      <c r="R13" s="32">
        <v>46414</v>
      </c>
      <c r="S13" s="20" t="s">
        <v>120</v>
      </c>
      <c r="T13" s="33" t="s">
        <v>121</v>
      </c>
      <c r="U13" s="16">
        <v>46043</v>
      </c>
      <c r="V13" s="17" t="s">
        <v>122</v>
      </c>
      <c r="W13" s="18"/>
      <c r="X13" s="19">
        <v>7720</v>
      </c>
      <c r="Y13" s="20" t="s">
        <v>123</v>
      </c>
      <c r="Z13" s="20" t="s">
        <v>124</v>
      </c>
      <c r="AA13" s="116"/>
      <c r="AB13" s="353">
        <v>46023</v>
      </c>
      <c r="AC13" s="27" t="s">
        <v>125</v>
      </c>
      <c r="AD13" s="80"/>
      <c r="AE13" s="24" t="s">
        <v>126</v>
      </c>
      <c r="AG13" s="140"/>
    </row>
    <row r="14" spans="1:33" ht="27" customHeight="1">
      <c r="A14" s="15">
        <v>11</v>
      </c>
      <c r="B14" s="81">
        <v>46031</v>
      </c>
      <c r="C14" s="15" t="s">
        <v>38</v>
      </c>
      <c r="D14" s="15" t="s">
        <v>127</v>
      </c>
      <c r="E14" s="26" t="s">
        <v>70</v>
      </c>
      <c r="F14" s="27" t="s">
        <v>41</v>
      </c>
      <c r="G14" s="27">
        <v>645600</v>
      </c>
      <c r="H14" s="81">
        <v>46031</v>
      </c>
      <c r="I14" s="27">
        <v>6254833</v>
      </c>
      <c r="J14" s="28" t="s">
        <v>118</v>
      </c>
      <c r="K14" s="81">
        <v>46050</v>
      </c>
      <c r="L14" s="81">
        <v>46414</v>
      </c>
      <c r="M14" s="88" t="s">
        <v>119</v>
      </c>
      <c r="N14" s="400">
        <v>588795</v>
      </c>
      <c r="O14" s="384">
        <v>27740</v>
      </c>
      <c r="P14" s="30"/>
      <c r="Q14" s="31">
        <v>46050</v>
      </c>
      <c r="R14" s="32">
        <v>46414</v>
      </c>
      <c r="S14" s="20" t="s">
        <v>128</v>
      </c>
      <c r="T14" s="33" t="s">
        <v>129</v>
      </c>
      <c r="U14" s="16">
        <v>46044</v>
      </c>
      <c r="V14" s="17" t="s">
        <v>130</v>
      </c>
      <c r="W14" s="18"/>
      <c r="X14" s="19">
        <v>27740</v>
      </c>
      <c r="Y14" s="20" t="s">
        <v>123</v>
      </c>
      <c r="Z14" s="20" t="s">
        <v>124</v>
      </c>
      <c r="AA14" s="116"/>
      <c r="AB14" s="353">
        <v>46023</v>
      </c>
      <c r="AC14" s="27" t="s">
        <v>125</v>
      </c>
      <c r="AD14" s="80"/>
      <c r="AE14" s="24" t="s">
        <v>126</v>
      </c>
      <c r="AG14" s="140"/>
    </row>
    <row r="15" spans="1:33" ht="27" customHeight="1">
      <c r="A15" s="15">
        <v>12</v>
      </c>
      <c r="B15" s="81">
        <v>46031</v>
      </c>
      <c r="C15" s="15" t="s">
        <v>38</v>
      </c>
      <c r="D15" s="15" t="s">
        <v>131</v>
      </c>
      <c r="E15" s="26" t="s">
        <v>70</v>
      </c>
      <c r="F15" s="27" t="s">
        <v>41</v>
      </c>
      <c r="G15" s="27">
        <v>645600</v>
      </c>
      <c r="H15" s="81">
        <v>46036</v>
      </c>
      <c r="I15" s="27">
        <v>6256282</v>
      </c>
      <c r="J15" s="28" t="s">
        <v>118</v>
      </c>
      <c r="K15" s="81">
        <v>46050</v>
      </c>
      <c r="L15" s="81">
        <v>46414</v>
      </c>
      <c r="M15" s="88" t="s">
        <v>119</v>
      </c>
      <c r="N15" s="400">
        <v>588795</v>
      </c>
      <c r="O15" s="384">
        <v>7680</v>
      </c>
      <c r="P15" s="30"/>
      <c r="Q15" s="31">
        <v>46050</v>
      </c>
      <c r="R15" s="32">
        <v>46414</v>
      </c>
      <c r="S15" s="20" t="s">
        <v>132</v>
      </c>
      <c r="T15" s="33" t="s">
        <v>133</v>
      </c>
      <c r="U15" s="16">
        <v>46044</v>
      </c>
      <c r="V15" s="17" t="s">
        <v>134</v>
      </c>
      <c r="W15" s="18"/>
      <c r="X15" s="19">
        <v>7680</v>
      </c>
      <c r="Y15" s="20" t="s">
        <v>123</v>
      </c>
      <c r="Z15" s="20" t="s">
        <v>124</v>
      </c>
      <c r="AA15" s="116"/>
      <c r="AB15" s="353">
        <v>46023</v>
      </c>
      <c r="AC15" s="27" t="s">
        <v>125</v>
      </c>
      <c r="AD15" s="80"/>
      <c r="AE15" s="24"/>
      <c r="AG15" s="140"/>
    </row>
    <row r="16" spans="1:33" ht="27" customHeight="1">
      <c r="A16" s="15">
        <v>13</v>
      </c>
      <c r="B16" s="81">
        <v>46030</v>
      </c>
      <c r="C16" s="15" t="s">
        <v>38</v>
      </c>
      <c r="D16" s="15" t="s">
        <v>135</v>
      </c>
      <c r="E16" s="26" t="s">
        <v>40</v>
      </c>
      <c r="F16" s="27" t="s">
        <v>41</v>
      </c>
      <c r="G16" s="27">
        <v>645600</v>
      </c>
      <c r="H16" s="81">
        <v>46031</v>
      </c>
      <c r="I16" s="27">
        <v>6254826</v>
      </c>
      <c r="J16" s="28" t="s">
        <v>136</v>
      </c>
      <c r="K16" s="81">
        <v>46023</v>
      </c>
      <c r="L16" s="81">
        <v>46387</v>
      </c>
      <c r="M16" s="88" t="s">
        <v>137</v>
      </c>
      <c r="N16" s="400">
        <v>166523</v>
      </c>
      <c r="O16" s="384">
        <f>P16*7.9</f>
        <v>112433.74800000001</v>
      </c>
      <c r="P16" s="30">
        <v>14232.12</v>
      </c>
      <c r="Q16" s="31">
        <v>46023</v>
      </c>
      <c r="R16" s="32">
        <v>46387</v>
      </c>
      <c r="S16" s="20" t="s">
        <v>92</v>
      </c>
      <c r="T16" s="33" t="s">
        <v>138</v>
      </c>
      <c r="U16" s="16">
        <v>46037</v>
      </c>
      <c r="V16" s="17" t="s">
        <v>139</v>
      </c>
      <c r="W16" s="18"/>
      <c r="X16" s="19">
        <v>110644.77</v>
      </c>
      <c r="Y16" s="20" t="s">
        <v>89</v>
      </c>
      <c r="Z16" s="20" t="s">
        <v>48</v>
      </c>
      <c r="AA16" s="116"/>
      <c r="AB16" s="353">
        <v>46048</v>
      </c>
      <c r="AC16" s="27" t="s">
        <v>140</v>
      </c>
      <c r="AD16" s="80"/>
      <c r="AE16" s="24"/>
      <c r="AG16" s="140"/>
    </row>
    <row r="17" spans="1:33" ht="27" customHeight="1">
      <c r="A17" s="15">
        <v>14</v>
      </c>
      <c r="B17" s="81">
        <v>46031</v>
      </c>
      <c r="C17" s="15" t="s">
        <v>95</v>
      </c>
      <c r="D17" s="15" t="s">
        <v>141</v>
      </c>
      <c r="E17" s="26" t="s">
        <v>97</v>
      </c>
      <c r="F17" s="27" t="s">
        <v>98</v>
      </c>
      <c r="G17" s="27">
        <v>645602</v>
      </c>
      <c r="H17" s="81">
        <v>46034</v>
      </c>
      <c r="I17" s="27">
        <v>6255262</v>
      </c>
      <c r="J17" s="28" t="s">
        <v>142</v>
      </c>
      <c r="K17" s="81">
        <v>45778</v>
      </c>
      <c r="L17" s="81" t="s">
        <v>143</v>
      </c>
      <c r="M17" s="88" t="s">
        <v>144</v>
      </c>
      <c r="N17" s="400">
        <v>5898390</v>
      </c>
      <c r="O17" s="384">
        <v>55800</v>
      </c>
      <c r="P17" s="30"/>
      <c r="Q17" s="31">
        <v>45778</v>
      </c>
      <c r="R17" s="32">
        <v>46142</v>
      </c>
      <c r="S17" s="20" t="s">
        <v>145</v>
      </c>
      <c r="T17" s="33" t="s">
        <v>146</v>
      </c>
      <c r="U17" s="200">
        <v>46038</v>
      </c>
      <c r="V17" s="201" t="s">
        <v>147</v>
      </c>
      <c r="W17" s="18"/>
      <c r="X17" s="19">
        <v>55800</v>
      </c>
      <c r="Y17" s="20" t="s">
        <v>148</v>
      </c>
      <c r="Z17" s="21" t="s">
        <v>106</v>
      </c>
      <c r="AA17" s="116"/>
      <c r="AB17" s="353">
        <v>46048</v>
      </c>
      <c r="AC17" s="27" t="s">
        <v>149</v>
      </c>
      <c r="AD17" s="80"/>
      <c r="AE17" s="24"/>
      <c r="AG17" s="140"/>
    </row>
    <row r="18" spans="1:33" ht="27" customHeight="1">
      <c r="A18" s="15">
        <v>15</v>
      </c>
      <c r="B18" s="81">
        <v>46031</v>
      </c>
      <c r="C18" s="15" t="s">
        <v>95</v>
      </c>
      <c r="D18" s="15" t="s">
        <v>150</v>
      </c>
      <c r="E18" s="26" t="s">
        <v>97</v>
      </c>
      <c r="F18" s="27" t="s">
        <v>98</v>
      </c>
      <c r="G18" s="27">
        <v>645602</v>
      </c>
      <c r="H18" s="81">
        <v>46034</v>
      </c>
      <c r="I18" s="27">
        <v>6255431</v>
      </c>
      <c r="J18" s="28" t="s">
        <v>151</v>
      </c>
      <c r="K18" s="81">
        <v>45627</v>
      </c>
      <c r="L18" s="81">
        <v>47087</v>
      </c>
      <c r="M18" s="88" t="s">
        <v>152</v>
      </c>
      <c r="N18" s="400">
        <v>20046880</v>
      </c>
      <c r="O18" s="384">
        <v>466667</v>
      </c>
      <c r="P18" s="30"/>
      <c r="Q18" s="31" t="s">
        <v>153</v>
      </c>
      <c r="R18" s="32"/>
      <c r="S18" s="20" t="s">
        <v>154</v>
      </c>
      <c r="T18" s="33" t="s">
        <v>155</v>
      </c>
      <c r="U18" s="114">
        <v>46058</v>
      </c>
      <c r="V18" s="115" t="s">
        <v>156</v>
      </c>
      <c r="W18" s="18"/>
      <c r="X18" s="19">
        <v>466667</v>
      </c>
      <c r="Y18" s="20" t="s">
        <v>157</v>
      </c>
      <c r="Z18" s="21" t="s">
        <v>106</v>
      </c>
      <c r="AA18" s="116"/>
      <c r="AB18" s="353">
        <v>46048</v>
      </c>
      <c r="AC18" s="27" t="s">
        <v>158</v>
      </c>
      <c r="AD18" s="80"/>
      <c r="AE18" s="24"/>
      <c r="AG18" s="140"/>
    </row>
    <row r="19" spans="1:33" ht="27" customHeight="1">
      <c r="A19" s="15">
        <v>16</v>
      </c>
      <c r="B19" s="81">
        <v>46034</v>
      </c>
      <c r="C19" s="15" t="s">
        <v>95</v>
      </c>
      <c r="D19" s="15" t="s">
        <v>159</v>
      </c>
      <c r="E19" s="26" t="s">
        <v>97</v>
      </c>
      <c r="F19" s="27" t="s">
        <v>109</v>
      </c>
      <c r="G19" s="27">
        <v>645602</v>
      </c>
      <c r="H19" s="81">
        <v>46035</v>
      </c>
      <c r="I19" s="278">
        <v>6255886</v>
      </c>
      <c r="J19" s="28" t="s">
        <v>160</v>
      </c>
      <c r="K19" s="81">
        <v>45566</v>
      </c>
      <c r="L19" s="81">
        <v>45930</v>
      </c>
      <c r="M19" s="34" t="s">
        <v>161</v>
      </c>
      <c r="N19" s="400">
        <v>380000</v>
      </c>
      <c r="O19" s="384">
        <v>22000</v>
      </c>
      <c r="P19" s="30"/>
      <c r="Q19" s="31" t="s">
        <v>153</v>
      </c>
      <c r="R19" s="32"/>
      <c r="S19" s="20" t="s">
        <v>162</v>
      </c>
      <c r="T19" s="33" t="s">
        <v>163</v>
      </c>
      <c r="U19" s="114">
        <v>46136</v>
      </c>
      <c r="V19" s="115" t="s">
        <v>164</v>
      </c>
      <c r="W19" s="18"/>
      <c r="X19" s="19">
        <v>22000</v>
      </c>
      <c r="Y19" s="20" t="s">
        <v>165</v>
      </c>
      <c r="Z19" s="20" t="s">
        <v>106</v>
      </c>
      <c r="AA19" s="116"/>
      <c r="AB19" s="353">
        <v>46048</v>
      </c>
      <c r="AC19" s="27" t="s">
        <v>166</v>
      </c>
      <c r="AD19" s="80"/>
      <c r="AE19" s="24"/>
      <c r="AG19" s="140"/>
    </row>
    <row r="20" spans="1:33" ht="27" customHeight="1">
      <c r="A20" s="15">
        <v>17</v>
      </c>
      <c r="B20" s="81">
        <v>46035</v>
      </c>
      <c r="C20" s="15" t="s">
        <v>95</v>
      </c>
      <c r="D20" s="15" t="s">
        <v>167</v>
      </c>
      <c r="E20" s="26" t="s">
        <v>97</v>
      </c>
      <c r="F20" s="27" t="s">
        <v>98</v>
      </c>
      <c r="G20" s="27">
        <v>645602</v>
      </c>
      <c r="H20" s="81">
        <v>46036</v>
      </c>
      <c r="I20" s="27">
        <v>6256264</v>
      </c>
      <c r="J20" s="28" t="s">
        <v>168</v>
      </c>
      <c r="K20" s="81">
        <v>46001</v>
      </c>
      <c r="L20" s="81">
        <v>46365</v>
      </c>
      <c r="M20" s="88" t="s">
        <v>169</v>
      </c>
      <c r="N20" s="400">
        <v>6615</v>
      </c>
      <c r="O20" s="384">
        <f>P20*7.9</f>
        <v>938.52</v>
      </c>
      <c r="P20" s="30">
        <v>118.8</v>
      </c>
      <c r="Q20" s="31"/>
      <c r="R20" s="32"/>
      <c r="S20" s="20" t="s">
        <v>170</v>
      </c>
      <c r="T20" s="33" t="s">
        <v>171</v>
      </c>
      <c r="U20" s="114">
        <v>46079</v>
      </c>
      <c r="V20" s="201" t="s">
        <v>172</v>
      </c>
      <c r="W20" s="18"/>
      <c r="X20" s="19">
        <v>923.59</v>
      </c>
      <c r="Y20" s="20" t="s">
        <v>148</v>
      </c>
      <c r="Z20" s="21" t="s">
        <v>106</v>
      </c>
      <c r="AA20" s="22"/>
      <c r="AB20" s="353">
        <v>46048</v>
      </c>
      <c r="AC20" s="27" t="s">
        <v>173</v>
      </c>
      <c r="AD20" s="80"/>
      <c r="AE20" s="24"/>
      <c r="AG20" s="140"/>
    </row>
    <row r="21" spans="1:33" ht="27" customHeight="1">
      <c r="A21" s="15">
        <v>18</v>
      </c>
      <c r="B21" s="81">
        <v>46035</v>
      </c>
      <c r="C21" s="15" t="s">
        <v>95</v>
      </c>
      <c r="D21" s="15" t="s">
        <v>174</v>
      </c>
      <c r="E21" s="26" t="s">
        <v>97</v>
      </c>
      <c r="F21" s="27" t="s">
        <v>98</v>
      </c>
      <c r="G21" s="27">
        <v>645602</v>
      </c>
      <c r="H21" s="81">
        <v>46036</v>
      </c>
      <c r="I21" s="27">
        <v>6256264</v>
      </c>
      <c r="J21" s="28" t="s">
        <v>168</v>
      </c>
      <c r="K21" s="81">
        <v>46001</v>
      </c>
      <c r="L21" s="81">
        <v>46365</v>
      </c>
      <c r="M21" s="88" t="s">
        <v>169</v>
      </c>
      <c r="N21" s="400">
        <v>6615</v>
      </c>
      <c r="O21" s="384">
        <f>P21*7.9</f>
        <v>2199.36</v>
      </c>
      <c r="P21" s="30">
        <v>278.39999999999998</v>
      </c>
      <c r="Q21" s="31"/>
      <c r="R21" s="32"/>
      <c r="S21" s="20" t="s">
        <v>170</v>
      </c>
      <c r="T21" s="33" t="s">
        <v>175</v>
      </c>
      <c r="U21" s="114">
        <v>46080</v>
      </c>
      <c r="V21" s="115" t="s">
        <v>176</v>
      </c>
      <c r="W21" s="18"/>
      <c r="X21" s="19">
        <v>2164.37</v>
      </c>
      <c r="Y21" s="20" t="s">
        <v>148</v>
      </c>
      <c r="Z21" s="21" t="s">
        <v>106</v>
      </c>
      <c r="AA21" s="22"/>
      <c r="AB21" s="353">
        <v>46048</v>
      </c>
      <c r="AC21" s="27" t="s">
        <v>173</v>
      </c>
      <c r="AD21" s="80"/>
      <c r="AE21" s="24"/>
      <c r="AG21" s="140"/>
    </row>
    <row r="22" spans="1:33" ht="27" customHeight="1">
      <c r="A22" s="15">
        <v>19</v>
      </c>
      <c r="B22" s="81">
        <v>46034</v>
      </c>
      <c r="C22" s="15" t="s">
        <v>38</v>
      </c>
      <c r="D22" s="168" t="s">
        <v>177</v>
      </c>
      <c r="E22" s="26" t="s">
        <v>70</v>
      </c>
      <c r="F22" s="27" t="s">
        <v>41</v>
      </c>
      <c r="G22" s="27">
        <v>645600</v>
      </c>
      <c r="H22" s="81">
        <v>46036</v>
      </c>
      <c r="I22" s="27">
        <v>6256281</v>
      </c>
      <c r="J22" s="28" t="s">
        <v>178</v>
      </c>
      <c r="K22" s="81">
        <v>46030</v>
      </c>
      <c r="L22" s="81">
        <v>46394</v>
      </c>
      <c r="M22" s="88" t="s">
        <v>179</v>
      </c>
      <c r="N22" s="400">
        <v>58970</v>
      </c>
      <c r="O22" s="384">
        <v>1600</v>
      </c>
      <c r="P22" s="30"/>
      <c r="Q22" s="31">
        <v>46113</v>
      </c>
      <c r="R22" s="32">
        <v>46477</v>
      </c>
      <c r="S22" s="20" t="s">
        <v>180</v>
      </c>
      <c r="T22" s="33" t="s">
        <v>181</v>
      </c>
      <c r="U22" s="16">
        <v>46077</v>
      </c>
      <c r="V22" s="17" t="s">
        <v>182</v>
      </c>
      <c r="W22" s="18"/>
      <c r="X22" s="19">
        <v>1600</v>
      </c>
      <c r="Y22" s="20" t="s">
        <v>183</v>
      </c>
      <c r="Z22" s="20" t="s">
        <v>76</v>
      </c>
      <c r="AA22" s="116">
        <v>46036</v>
      </c>
      <c r="AB22" s="353">
        <v>46023</v>
      </c>
      <c r="AC22" s="27" t="s">
        <v>184</v>
      </c>
      <c r="AD22" s="80"/>
      <c r="AE22" s="24" t="s">
        <v>185</v>
      </c>
      <c r="AG22" s="140"/>
    </row>
    <row r="23" spans="1:33" ht="27" customHeight="1">
      <c r="A23" s="15">
        <v>20</v>
      </c>
      <c r="B23" s="81">
        <v>46035</v>
      </c>
      <c r="C23" s="15" t="s">
        <v>38</v>
      </c>
      <c r="D23" s="15" t="s">
        <v>186</v>
      </c>
      <c r="E23" s="26" t="s">
        <v>40</v>
      </c>
      <c r="F23" s="27" t="s">
        <v>41</v>
      </c>
      <c r="G23" s="27">
        <v>645600</v>
      </c>
      <c r="H23" s="81">
        <v>46037</v>
      </c>
      <c r="I23" s="27">
        <v>6256709</v>
      </c>
      <c r="J23" s="28" t="s">
        <v>187</v>
      </c>
      <c r="K23" s="81">
        <v>46054</v>
      </c>
      <c r="L23" s="81">
        <v>46418</v>
      </c>
      <c r="M23" s="88" t="s">
        <v>188</v>
      </c>
      <c r="N23" s="400">
        <v>16463</v>
      </c>
      <c r="O23" s="384">
        <f>P23*7.9</f>
        <v>8864.8270000000011</v>
      </c>
      <c r="P23" s="30">
        <v>1122.1300000000001</v>
      </c>
      <c r="Q23" s="31">
        <v>46054</v>
      </c>
      <c r="R23" s="32">
        <v>46418</v>
      </c>
      <c r="S23" s="20" t="s">
        <v>53</v>
      </c>
      <c r="T23" s="33" t="s">
        <v>189</v>
      </c>
      <c r="U23" s="16">
        <v>46043</v>
      </c>
      <c r="V23" s="17" t="s">
        <v>190</v>
      </c>
      <c r="W23" s="18"/>
      <c r="X23" s="19">
        <v>8723.7800000000007</v>
      </c>
      <c r="Y23" s="20" t="s">
        <v>191</v>
      </c>
      <c r="Z23" s="20" t="s">
        <v>48</v>
      </c>
      <c r="AA23" s="116">
        <v>46037</v>
      </c>
      <c r="AB23" s="353">
        <v>46023</v>
      </c>
      <c r="AC23" s="27" t="s">
        <v>192</v>
      </c>
      <c r="AD23" s="80"/>
      <c r="AE23" s="24"/>
      <c r="AG23" s="140"/>
    </row>
    <row r="24" spans="1:33" ht="27" customHeight="1">
      <c r="A24" s="15">
        <v>21</v>
      </c>
      <c r="B24" s="81">
        <v>46035</v>
      </c>
      <c r="C24" s="15" t="s">
        <v>38</v>
      </c>
      <c r="D24" s="168" t="s">
        <v>193</v>
      </c>
      <c r="E24" s="26" t="s">
        <v>59</v>
      </c>
      <c r="F24" s="27" t="s">
        <v>41</v>
      </c>
      <c r="G24" s="27">
        <v>645600</v>
      </c>
      <c r="H24" s="81">
        <v>46037</v>
      </c>
      <c r="I24" s="27">
        <v>6256729</v>
      </c>
      <c r="J24" s="28" t="s">
        <v>194</v>
      </c>
      <c r="K24" s="81">
        <v>46023</v>
      </c>
      <c r="L24" s="81">
        <v>46387</v>
      </c>
      <c r="M24" s="88" t="s">
        <v>195</v>
      </c>
      <c r="N24" s="400">
        <v>997792</v>
      </c>
      <c r="O24" s="384">
        <v>26501</v>
      </c>
      <c r="P24" s="30"/>
      <c r="Q24" s="31">
        <v>46291</v>
      </c>
      <c r="R24" s="32">
        <v>46655</v>
      </c>
      <c r="S24" s="20" t="s">
        <v>128</v>
      </c>
      <c r="T24" s="33" t="s">
        <v>196</v>
      </c>
      <c r="U24" s="16">
        <v>46044</v>
      </c>
      <c r="V24" s="17" t="s">
        <v>197</v>
      </c>
      <c r="W24" s="18"/>
      <c r="X24" s="19">
        <v>26501</v>
      </c>
      <c r="Y24" s="20" t="s">
        <v>183</v>
      </c>
      <c r="Z24" s="20" t="s">
        <v>67</v>
      </c>
      <c r="AA24" s="116"/>
      <c r="AB24" s="353">
        <v>46023</v>
      </c>
      <c r="AC24" s="27" t="s">
        <v>198</v>
      </c>
      <c r="AD24" s="80"/>
      <c r="AE24" s="24" t="s">
        <v>199</v>
      </c>
      <c r="AG24" s="140"/>
    </row>
    <row r="25" spans="1:33" ht="27" customHeight="1">
      <c r="A25" s="15">
        <v>22</v>
      </c>
      <c r="B25" s="81">
        <v>46037</v>
      </c>
      <c r="C25" s="15" t="s">
        <v>38</v>
      </c>
      <c r="D25" s="15" t="s">
        <v>200</v>
      </c>
      <c r="E25" s="26" t="s">
        <v>40</v>
      </c>
      <c r="F25" s="27" t="s">
        <v>41</v>
      </c>
      <c r="G25" s="27">
        <v>645600</v>
      </c>
      <c r="H25" s="81">
        <v>46038</v>
      </c>
      <c r="I25" s="27">
        <v>6257134</v>
      </c>
      <c r="J25" s="28" t="s">
        <v>201</v>
      </c>
      <c r="K25" s="81">
        <v>46054</v>
      </c>
      <c r="L25" s="81">
        <v>46418</v>
      </c>
      <c r="M25" s="88" t="s">
        <v>202</v>
      </c>
      <c r="N25" s="400">
        <v>1530372</v>
      </c>
      <c r="O25" s="384">
        <f>P25*7.9</f>
        <v>940814.16</v>
      </c>
      <c r="P25" s="30">
        <v>119090.4</v>
      </c>
      <c r="Q25" s="31">
        <v>46054</v>
      </c>
      <c r="R25" s="32">
        <v>46418</v>
      </c>
      <c r="S25" s="20" t="s">
        <v>92</v>
      </c>
      <c r="T25" s="33" t="s">
        <v>203</v>
      </c>
      <c r="U25" s="16">
        <v>46043</v>
      </c>
      <c r="V25" s="17" t="s">
        <v>204</v>
      </c>
      <c r="W25" s="18"/>
      <c r="X25" s="19">
        <v>925844.5</v>
      </c>
      <c r="Y25" s="20" t="s">
        <v>66</v>
      </c>
      <c r="Z25" s="20" t="s">
        <v>48</v>
      </c>
      <c r="AA25" s="116">
        <v>46038</v>
      </c>
      <c r="AB25" s="353">
        <v>46023</v>
      </c>
      <c r="AC25" s="27" t="s">
        <v>205</v>
      </c>
      <c r="AD25" s="80"/>
      <c r="AE25" s="24" t="s">
        <v>206</v>
      </c>
      <c r="AG25" s="140"/>
    </row>
    <row r="26" spans="1:33" ht="27" customHeight="1">
      <c r="A26" s="15">
        <v>23</v>
      </c>
      <c r="B26" s="81">
        <v>46038</v>
      </c>
      <c r="C26" s="15" t="s">
        <v>38</v>
      </c>
      <c r="D26" s="15" t="s">
        <v>207</v>
      </c>
      <c r="E26" s="26" t="s">
        <v>40</v>
      </c>
      <c r="F26" s="27" t="s">
        <v>41</v>
      </c>
      <c r="G26" s="27">
        <v>645600</v>
      </c>
      <c r="H26" s="81">
        <v>46041</v>
      </c>
      <c r="I26" s="27">
        <v>6257293</v>
      </c>
      <c r="J26" s="28" t="s">
        <v>208</v>
      </c>
      <c r="K26" s="81">
        <v>46023</v>
      </c>
      <c r="L26" s="81">
        <v>46387</v>
      </c>
      <c r="M26" s="88" t="s">
        <v>209</v>
      </c>
      <c r="N26" s="400">
        <v>195000</v>
      </c>
      <c r="O26" s="384">
        <f>P26*7.9</f>
        <v>23364.407999999999</v>
      </c>
      <c r="P26" s="30">
        <v>2957.52</v>
      </c>
      <c r="Q26" s="31">
        <v>46023</v>
      </c>
      <c r="R26" s="32">
        <v>46387</v>
      </c>
      <c r="S26" s="20" t="s">
        <v>44</v>
      </c>
      <c r="T26" s="33" t="s">
        <v>210</v>
      </c>
      <c r="U26" s="16">
        <v>46042</v>
      </c>
      <c r="V26" s="17" t="s">
        <v>211</v>
      </c>
      <c r="W26" s="18"/>
      <c r="X26" s="19">
        <v>22992.65</v>
      </c>
      <c r="Y26" s="20" t="s">
        <v>165</v>
      </c>
      <c r="Z26" s="20" t="s">
        <v>48</v>
      </c>
      <c r="AA26" s="116">
        <v>46041</v>
      </c>
      <c r="AB26" s="353">
        <v>46023</v>
      </c>
      <c r="AC26" s="27" t="s">
        <v>212</v>
      </c>
      <c r="AD26" s="80" t="s">
        <v>213</v>
      </c>
      <c r="AE26" s="24"/>
      <c r="AG26" s="140"/>
    </row>
    <row r="27" spans="1:33" ht="27" customHeight="1">
      <c r="A27" s="15">
        <v>24</v>
      </c>
      <c r="B27" s="81">
        <v>46041</v>
      </c>
      <c r="C27" s="15" t="s">
        <v>95</v>
      </c>
      <c r="D27" s="15" t="s">
        <v>214</v>
      </c>
      <c r="E27" s="26" t="s">
        <v>97</v>
      </c>
      <c r="F27" s="27" t="s">
        <v>98</v>
      </c>
      <c r="G27" s="27">
        <v>645602</v>
      </c>
      <c r="H27" s="81">
        <v>46042</v>
      </c>
      <c r="I27" s="27">
        <v>6258156</v>
      </c>
      <c r="J27" s="28" t="s">
        <v>151</v>
      </c>
      <c r="K27" s="81">
        <v>45627</v>
      </c>
      <c r="L27" s="81">
        <v>47087</v>
      </c>
      <c r="M27" s="88" t="s">
        <v>152</v>
      </c>
      <c r="N27" s="400">
        <v>20046880</v>
      </c>
      <c r="O27" s="384">
        <v>447650</v>
      </c>
      <c r="P27" s="30"/>
      <c r="Q27" s="31">
        <v>45992</v>
      </c>
      <c r="R27" s="32">
        <v>46173</v>
      </c>
      <c r="S27" s="20" t="s">
        <v>215</v>
      </c>
      <c r="T27" s="33" t="s">
        <v>216</v>
      </c>
      <c r="U27" s="200">
        <v>46063</v>
      </c>
      <c r="V27" s="201" t="s">
        <v>217</v>
      </c>
      <c r="W27" s="18"/>
      <c r="X27" s="19">
        <v>447650</v>
      </c>
      <c r="Y27" s="20" t="s">
        <v>157</v>
      </c>
      <c r="Z27" s="20" t="s">
        <v>106</v>
      </c>
      <c r="AA27" s="116"/>
      <c r="AB27" s="353">
        <v>46023</v>
      </c>
      <c r="AC27" s="27" t="s">
        <v>158</v>
      </c>
      <c r="AD27" s="80"/>
      <c r="AE27" s="24"/>
      <c r="AG27" s="140"/>
    </row>
    <row r="28" spans="1:33" ht="27" customHeight="1">
      <c r="A28" s="15">
        <v>25</v>
      </c>
      <c r="B28" s="81">
        <v>46041</v>
      </c>
      <c r="C28" s="15" t="s">
        <v>95</v>
      </c>
      <c r="D28" s="15" t="s">
        <v>218</v>
      </c>
      <c r="E28" s="26" t="s">
        <v>97</v>
      </c>
      <c r="F28" s="27" t="s">
        <v>98</v>
      </c>
      <c r="G28" s="27">
        <v>645602</v>
      </c>
      <c r="H28" s="81">
        <v>46042</v>
      </c>
      <c r="I28" s="27">
        <v>6258173</v>
      </c>
      <c r="J28" s="28" t="s">
        <v>219</v>
      </c>
      <c r="K28" s="81">
        <v>46023</v>
      </c>
      <c r="L28" s="81">
        <v>46387</v>
      </c>
      <c r="M28" s="88" t="s">
        <v>220</v>
      </c>
      <c r="N28" s="400">
        <v>901797</v>
      </c>
      <c r="O28" s="384">
        <v>26750</v>
      </c>
      <c r="P28" s="30"/>
      <c r="Q28" s="31">
        <v>46023</v>
      </c>
      <c r="R28" s="32">
        <v>46112</v>
      </c>
      <c r="S28" s="20" t="s">
        <v>221</v>
      </c>
      <c r="T28" s="33" t="s">
        <v>222</v>
      </c>
      <c r="U28" s="200">
        <v>46051</v>
      </c>
      <c r="V28" s="201" t="s">
        <v>223</v>
      </c>
      <c r="W28" s="18"/>
      <c r="X28" s="19">
        <v>26750</v>
      </c>
      <c r="Y28" s="20" t="s">
        <v>148</v>
      </c>
      <c r="Z28" s="20" t="s">
        <v>106</v>
      </c>
      <c r="AA28" s="116"/>
      <c r="AB28" s="353">
        <v>46023</v>
      </c>
      <c r="AC28" s="27" t="s">
        <v>224</v>
      </c>
      <c r="AD28" s="80"/>
      <c r="AE28" s="24"/>
      <c r="AG28" s="140"/>
    </row>
    <row r="29" spans="1:33" ht="27" customHeight="1">
      <c r="A29" s="15">
        <v>26</v>
      </c>
      <c r="B29" s="81">
        <v>46042</v>
      </c>
      <c r="C29" s="15" t="s">
        <v>95</v>
      </c>
      <c r="D29" s="15" t="s">
        <v>225</v>
      </c>
      <c r="E29" s="26" t="s">
        <v>97</v>
      </c>
      <c r="F29" s="27" t="s">
        <v>98</v>
      </c>
      <c r="G29" s="27">
        <v>645602</v>
      </c>
      <c r="H29" s="81">
        <v>46042</v>
      </c>
      <c r="I29" s="27">
        <v>6258489</v>
      </c>
      <c r="J29" s="28" t="s">
        <v>226</v>
      </c>
      <c r="K29" s="81">
        <v>46023</v>
      </c>
      <c r="L29" s="81">
        <v>46387</v>
      </c>
      <c r="M29" s="88" t="s">
        <v>227</v>
      </c>
      <c r="N29" s="400">
        <v>73500</v>
      </c>
      <c r="O29" s="384">
        <v>57000</v>
      </c>
      <c r="P29" s="30"/>
      <c r="Q29" s="31">
        <v>46023</v>
      </c>
      <c r="R29" s="32">
        <v>46387</v>
      </c>
      <c r="S29" s="20" t="s">
        <v>162</v>
      </c>
      <c r="T29" s="33" t="s">
        <v>228</v>
      </c>
      <c r="U29" s="114">
        <v>46048</v>
      </c>
      <c r="V29" s="115" t="s">
        <v>229</v>
      </c>
      <c r="W29" s="18"/>
      <c r="X29" s="19">
        <v>57000</v>
      </c>
      <c r="Y29" s="20" t="s">
        <v>230</v>
      </c>
      <c r="Z29" s="20" t="s">
        <v>106</v>
      </c>
      <c r="AA29" s="116"/>
      <c r="AB29" s="353">
        <v>46023</v>
      </c>
      <c r="AC29" s="27" t="s">
        <v>231</v>
      </c>
      <c r="AD29" s="80"/>
      <c r="AE29" s="24"/>
      <c r="AG29" s="140"/>
    </row>
    <row r="30" spans="1:33" ht="27" customHeight="1">
      <c r="A30" s="15">
        <v>27</v>
      </c>
      <c r="B30" s="81">
        <v>46043</v>
      </c>
      <c r="C30" s="15" t="s">
        <v>95</v>
      </c>
      <c r="D30" s="15" t="s">
        <v>232</v>
      </c>
      <c r="E30" s="26" t="s">
        <v>97</v>
      </c>
      <c r="F30" s="27" t="s">
        <v>109</v>
      </c>
      <c r="G30" s="27">
        <v>645602</v>
      </c>
      <c r="H30" s="81">
        <v>46043</v>
      </c>
      <c r="I30" s="27">
        <v>6258548</v>
      </c>
      <c r="J30" s="28" t="s">
        <v>233</v>
      </c>
      <c r="K30" s="81">
        <v>45931</v>
      </c>
      <c r="L30" s="81">
        <v>46295</v>
      </c>
      <c r="M30" s="88" t="s">
        <v>234</v>
      </c>
      <c r="N30" s="400">
        <v>369000</v>
      </c>
      <c r="O30" s="384">
        <v>264000</v>
      </c>
      <c r="P30" s="30"/>
      <c r="Q30" s="31">
        <v>45931</v>
      </c>
      <c r="R30" s="32">
        <v>46295</v>
      </c>
      <c r="S30" s="20" t="s">
        <v>162</v>
      </c>
      <c r="T30" s="33" t="s">
        <v>235</v>
      </c>
      <c r="U30" s="200">
        <v>46064</v>
      </c>
      <c r="V30" s="201" t="s">
        <v>236</v>
      </c>
      <c r="W30" s="18"/>
      <c r="X30" s="19">
        <v>264000</v>
      </c>
      <c r="Y30" s="20" t="s">
        <v>237</v>
      </c>
      <c r="Z30" s="20" t="s">
        <v>106</v>
      </c>
      <c r="AA30" s="116"/>
      <c r="AB30" s="353">
        <v>46023</v>
      </c>
      <c r="AC30" s="27" t="s">
        <v>238</v>
      </c>
      <c r="AD30" s="80"/>
      <c r="AE30" s="24"/>
      <c r="AG30" s="140"/>
    </row>
    <row r="31" spans="1:33" ht="27" customHeight="1">
      <c r="A31" s="15">
        <v>28</v>
      </c>
      <c r="B31" s="81">
        <v>46043</v>
      </c>
      <c r="C31" s="15" t="s">
        <v>95</v>
      </c>
      <c r="D31" s="15" t="s">
        <v>239</v>
      </c>
      <c r="E31" s="26" t="s">
        <v>97</v>
      </c>
      <c r="F31" s="27" t="s">
        <v>98</v>
      </c>
      <c r="G31" s="27">
        <v>645602</v>
      </c>
      <c r="H31" s="81">
        <v>46043</v>
      </c>
      <c r="I31" s="27">
        <v>6258571</v>
      </c>
      <c r="J31" s="28" t="s">
        <v>240</v>
      </c>
      <c r="K31" s="81">
        <v>45952</v>
      </c>
      <c r="L31" s="81">
        <v>46316</v>
      </c>
      <c r="M31" s="88" t="s">
        <v>241</v>
      </c>
      <c r="N31" s="400">
        <v>190000</v>
      </c>
      <c r="O31" s="384">
        <v>170000</v>
      </c>
      <c r="P31" s="30"/>
      <c r="Q31" s="31">
        <v>45952</v>
      </c>
      <c r="R31" s="32">
        <v>46316</v>
      </c>
      <c r="S31" s="20" t="s">
        <v>242</v>
      </c>
      <c r="T31" s="33" t="s">
        <v>243</v>
      </c>
      <c r="U31" s="114">
        <v>46055</v>
      </c>
      <c r="V31" s="115" t="s">
        <v>244</v>
      </c>
      <c r="W31" s="18">
        <v>46162</v>
      </c>
      <c r="X31" s="19">
        <v>170000</v>
      </c>
      <c r="Y31" s="20" t="s">
        <v>245</v>
      </c>
      <c r="Z31" s="20" t="s">
        <v>106</v>
      </c>
      <c r="AA31" s="116"/>
      <c r="AB31" s="353">
        <v>46023</v>
      </c>
      <c r="AC31" s="27" t="s">
        <v>246</v>
      </c>
      <c r="AD31" s="80"/>
      <c r="AE31" s="24"/>
      <c r="AG31" s="140"/>
    </row>
    <row r="32" spans="1:33" ht="27" customHeight="1">
      <c r="A32" s="15">
        <v>29</v>
      </c>
      <c r="B32" s="81">
        <v>46042</v>
      </c>
      <c r="C32" s="15" t="s">
        <v>38</v>
      </c>
      <c r="D32" s="15" t="s">
        <v>247</v>
      </c>
      <c r="E32" s="26" t="s">
        <v>40</v>
      </c>
      <c r="F32" s="27" t="s">
        <v>41</v>
      </c>
      <c r="G32" s="27">
        <v>645600</v>
      </c>
      <c r="H32" s="81">
        <v>46044</v>
      </c>
      <c r="I32" s="27">
        <v>6258704</v>
      </c>
      <c r="J32" s="28" t="s">
        <v>248</v>
      </c>
      <c r="K32" s="81">
        <v>45979</v>
      </c>
      <c r="L32" s="81">
        <v>46343</v>
      </c>
      <c r="M32" s="88" t="s">
        <v>249</v>
      </c>
      <c r="N32" s="400">
        <v>37610</v>
      </c>
      <c r="O32" s="384">
        <f>P32*7.9</f>
        <v>5485.1280000000006</v>
      </c>
      <c r="P32" s="30">
        <v>694.32</v>
      </c>
      <c r="Q32" s="31">
        <v>45992</v>
      </c>
      <c r="R32" s="32">
        <v>46356</v>
      </c>
      <c r="S32" s="20" t="s">
        <v>92</v>
      </c>
      <c r="T32" s="33" t="s">
        <v>250</v>
      </c>
      <c r="U32" s="16">
        <v>46052</v>
      </c>
      <c r="V32" s="17" t="s">
        <v>251</v>
      </c>
      <c r="W32" s="18"/>
      <c r="X32" s="19">
        <v>5397.85</v>
      </c>
      <c r="Y32" s="20" t="s">
        <v>56</v>
      </c>
      <c r="Z32" s="20" t="s">
        <v>48</v>
      </c>
      <c r="AA32" s="116"/>
      <c r="AB32" s="353">
        <v>46023</v>
      </c>
      <c r="AC32" s="27" t="s">
        <v>252</v>
      </c>
      <c r="AD32" s="80"/>
      <c r="AE32" s="24"/>
      <c r="AG32" s="140"/>
    </row>
    <row r="33" spans="1:33" ht="27" customHeight="1">
      <c r="A33" s="15">
        <v>30</v>
      </c>
      <c r="B33" s="81">
        <v>46043</v>
      </c>
      <c r="C33" s="15" t="s">
        <v>38</v>
      </c>
      <c r="D33" s="168" t="s">
        <v>253</v>
      </c>
      <c r="E33" s="26" t="s">
        <v>40</v>
      </c>
      <c r="F33" s="27" t="s">
        <v>41</v>
      </c>
      <c r="G33" s="27">
        <v>645600</v>
      </c>
      <c r="H33" s="81">
        <v>46044</v>
      </c>
      <c r="I33" s="27">
        <v>6258733</v>
      </c>
      <c r="J33" s="28" t="s">
        <v>254</v>
      </c>
      <c r="K33" s="81">
        <v>45809</v>
      </c>
      <c r="L33" s="81">
        <v>46173</v>
      </c>
      <c r="M33" s="88" t="s">
        <v>255</v>
      </c>
      <c r="N33" s="400">
        <v>1311056</v>
      </c>
      <c r="O33" s="384">
        <f>P33*7.9</f>
        <v>11888.710000000001</v>
      </c>
      <c r="P33" s="30">
        <f>1298.2+63.56+143.14</f>
        <v>1504.9</v>
      </c>
      <c r="Q33" s="31">
        <v>46054</v>
      </c>
      <c r="R33" s="32">
        <v>46418</v>
      </c>
      <c r="S33" s="20" t="s">
        <v>256</v>
      </c>
      <c r="T33" s="33" t="s">
        <v>257</v>
      </c>
      <c r="U33" s="16">
        <v>46048</v>
      </c>
      <c r="V33" s="17" t="s">
        <v>258</v>
      </c>
      <c r="W33" s="18"/>
      <c r="X33" s="19">
        <f>10092.6+494.13+1112.81</f>
        <v>11699.539999999999</v>
      </c>
      <c r="Y33" s="20" t="s">
        <v>259</v>
      </c>
      <c r="Z33" s="20" t="s">
        <v>48</v>
      </c>
      <c r="AA33" s="116"/>
      <c r="AB33" s="353">
        <v>46023</v>
      </c>
      <c r="AC33" s="27" t="s">
        <v>260</v>
      </c>
      <c r="AD33" s="80"/>
      <c r="AE33" s="24" t="s">
        <v>261</v>
      </c>
      <c r="AG33" s="140"/>
    </row>
    <row r="34" spans="1:33" ht="27" customHeight="1">
      <c r="A34" s="15">
        <v>31</v>
      </c>
      <c r="B34" s="81">
        <v>46043</v>
      </c>
      <c r="C34" s="15" t="s">
        <v>38</v>
      </c>
      <c r="D34" s="168" t="s">
        <v>262</v>
      </c>
      <c r="E34" s="26" t="s">
        <v>40</v>
      </c>
      <c r="F34" s="27" t="s">
        <v>41</v>
      </c>
      <c r="G34" s="27">
        <v>645600</v>
      </c>
      <c r="H34" s="81">
        <v>46044</v>
      </c>
      <c r="I34" s="27">
        <v>6258750</v>
      </c>
      <c r="J34" s="28" t="s">
        <v>254</v>
      </c>
      <c r="K34" s="81">
        <v>45809</v>
      </c>
      <c r="L34" s="81">
        <v>46173</v>
      </c>
      <c r="M34" s="88" t="s">
        <v>255</v>
      </c>
      <c r="N34" s="400">
        <v>1311056</v>
      </c>
      <c r="O34" s="384">
        <f>P34*7.9</f>
        <v>22624.968000000001</v>
      </c>
      <c r="P34" s="30">
        <f>2446.32+417.6</f>
        <v>2863.92</v>
      </c>
      <c r="Q34" s="31">
        <v>46054</v>
      </c>
      <c r="R34" s="32">
        <v>46418</v>
      </c>
      <c r="S34" s="20" t="s">
        <v>44</v>
      </c>
      <c r="T34" s="33" t="s">
        <v>263</v>
      </c>
      <c r="U34" s="16">
        <v>46048</v>
      </c>
      <c r="V34" s="280" t="s">
        <v>264</v>
      </c>
      <c r="W34" s="18"/>
      <c r="X34" s="19">
        <v>22264.98</v>
      </c>
      <c r="Y34" s="20" t="s">
        <v>259</v>
      </c>
      <c r="Z34" s="20" t="s">
        <v>48</v>
      </c>
      <c r="AA34" s="116"/>
      <c r="AB34" s="353">
        <v>46023</v>
      </c>
      <c r="AC34" s="27" t="s">
        <v>260</v>
      </c>
      <c r="AD34" s="80"/>
      <c r="AE34" s="24" t="s">
        <v>261</v>
      </c>
      <c r="AG34" s="140"/>
    </row>
    <row r="35" spans="1:33" ht="27" customHeight="1">
      <c r="A35" s="15">
        <v>32</v>
      </c>
      <c r="B35" s="81">
        <v>46045</v>
      </c>
      <c r="C35" s="15" t="s">
        <v>38</v>
      </c>
      <c r="D35" s="15" t="s">
        <v>265</v>
      </c>
      <c r="E35" s="26" t="s">
        <v>40</v>
      </c>
      <c r="F35" s="27" t="s">
        <v>41</v>
      </c>
      <c r="G35" s="27">
        <v>645600</v>
      </c>
      <c r="H35" s="81">
        <v>46045</v>
      </c>
      <c r="I35" s="27">
        <v>6259369</v>
      </c>
      <c r="J35" s="28" t="s">
        <v>266</v>
      </c>
      <c r="K35" s="81">
        <v>46023</v>
      </c>
      <c r="L35" s="81">
        <v>47118</v>
      </c>
      <c r="M35" s="88" t="s">
        <v>267</v>
      </c>
      <c r="N35" s="400">
        <v>5384841.9000000004</v>
      </c>
      <c r="O35" s="384">
        <f>P35*7.9</f>
        <v>14872.619000000001</v>
      </c>
      <c r="P35" s="30">
        <v>1882.61</v>
      </c>
      <c r="Q35" s="31">
        <v>45962</v>
      </c>
      <c r="R35" s="32">
        <v>46326</v>
      </c>
      <c r="S35" s="20" t="s">
        <v>256</v>
      </c>
      <c r="T35" s="33" t="s">
        <v>268</v>
      </c>
      <c r="U35" s="16">
        <v>46049</v>
      </c>
      <c r="V35" s="17" t="s">
        <v>269</v>
      </c>
      <c r="W35" s="18"/>
      <c r="X35" s="19">
        <v>14635.97</v>
      </c>
      <c r="Y35" s="20" t="s">
        <v>105</v>
      </c>
      <c r="Z35" s="20" t="s">
        <v>48</v>
      </c>
      <c r="AA35" s="116"/>
      <c r="AB35" s="353">
        <v>46023</v>
      </c>
      <c r="AC35" s="27" t="s">
        <v>270</v>
      </c>
      <c r="AD35" s="80" t="s">
        <v>213</v>
      </c>
      <c r="AE35" s="24" t="s">
        <v>271</v>
      </c>
      <c r="AG35" s="140"/>
    </row>
    <row r="36" spans="1:33" ht="27" customHeight="1">
      <c r="A36" s="15">
        <v>33</v>
      </c>
      <c r="B36" s="81">
        <v>46045</v>
      </c>
      <c r="C36" s="15" t="s">
        <v>38</v>
      </c>
      <c r="D36" s="15" t="s">
        <v>272</v>
      </c>
      <c r="E36" s="26" t="s">
        <v>40</v>
      </c>
      <c r="F36" s="27" t="s">
        <v>41</v>
      </c>
      <c r="G36" s="27">
        <v>645600</v>
      </c>
      <c r="H36" s="81">
        <v>46045</v>
      </c>
      <c r="I36" s="27">
        <v>6259373</v>
      </c>
      <c r="J36" s="28" t="s">
        <v>266</v>
      </c>
      <c r="K36" s="81">
        <v>46023</v>
      </c>
      <c r="L36" s="81">
        <v>47118</v>
      </c>
      <c r="M36" s="88" t="s">
        <v>267</v>
      </c>
      <c r="N36" s="400">
        <v>5384841.9000000004</v>
      </c>
      <c r="O36" s="384">
        <f>P36*7.9</f>
        <v>655678.8280000001</v>
      </c>
      <c r="P36" s="30">
        <v>82997.320000000007</v>
      </c>
      <c r="Q36" s="31">
        <v>46023</v>
      </c>
      <c r="R36" s="32">
        <v>46387</v>
      </c>
      <c r="S36" s="20" t="s">
        <v>256</v>
      </c>
      <c r="T36" s="33" t="s">
        <v>273</v>
      </c>
      <c r="U36" s="16">
        <v>46049</v>
      </c>
      <c r="V36" s="17" t="s">
        <v>274</v>
      </c>
      <c r="W36" s="18">
        <v>46134</v>
      </c>
      <c r="X36" s="19">
        <v>645246.06000000006</v>
      </c>
      <c r="Y36" s="20" t="s">
        <v>105</v>
      </c>
      <c r="Z36" s="20" t="s">
        <v>48</v>
      </c>
      <c r="AA36" s="116"/>
      <c r="AB36" s="353">
        <v>46023</v>
      </c>
      <c r="AC36" s="27" t="s">
        <v>270</v>
      </c>
      <c r="AD36" s="80" t="s">
        <v>213</v>
      </c>
      <c r="AE36" s="24" t="s">
        <v>271</v>
      </c>
      <c r="AG36" s="140"/>
    </row>
    <row r="37" spans="1:33" ht="27" customHeight="1">
      <c r="A37" s="15">
        <v>34</v>
      </c>
      <c r="B37" s="287">
        <v>46048</v>
      </c>
      <c r="C37" s="168" t="s">
        <v>275</v>
      </c>
      <c r="D37" s="286" t="s">
        <v>276</v>
      </c>
      <c r="E37" s="338" t="s">
        <v>70</v>
      </c>
      <c r="F37" s="339" t="s">
        <v>277</v>
      </c>
      <c r="G37" s="340">
        <v>645600</v>
      </c>
      <c r="H37" s="287">
        <v>46051</v>
      </c>
      <c r="I37" s="286">
        <v>6266392</v>
      </c>
      <c r="J37" s="290" t="s">
        <v>278</v>
      </c>
      <c r="K37" s="287">
        <v>46023</v>
      </c>
      <c r="L37" s="287">
        <v>47118</v>
      </c>
      <c r="M37" s="385" t="s">
        <v>279</v>
      </c>
      <c r="N37" s="401">
        <v>1410000</v>
      </c>
      <c r="O37" s="386">
        <v>43900</v>
      </c>
      <c r="P37" s="291"/>
      <c r="Q37" s="292" t="s">
        <v>280</v>
      </c>
      <c r="R37" s="293"/>
      <c r="S37" s="294" t="s">
        <v>281</v>
      </c>
      <c r="T37" s="295" t="s">
        <v>282</v>
      </c>
      <c r="U37" s="296"/>
      <c r="V37" s="351"/>
      <c r="W37" s="297"/>
      <c r="X37" s="298">
        <v>43900</v>
      </c>
      <c r="Y37" s="294" t="s">
        <v>89</v>
      </c>
      <c r="Z37" s="299" t="s">
        <v>106</v>
      </c>
      <c r="AA37" s="300"/>
      <c r="AB37" s="353">
        <v>46023</v>
      </c>
      <c r="AC37" s="289" t="s">
        <v>283</v>
      </c>
      <c r="AD37" s="288"/>
      <c r="AE37" s="301"/>
      <c r="AF37" s="288"/>
      <c r="AG37" s="302"/>
    </row>
    <row r="38" spans="1:33" s="190" customFormat="1" ht="27" customHeight="1">
      <c r="A38" s="15">
        <v>35</v>
      </c>
      <c r="B38" s="81">
        <v>46052</v>
      </c>
      <c r="C38" s="15" t="s">
        <v>38</v>
      </c>
      <c r="D38" s="15" t="s">
        <v>284</v>
      </c>
      <c r="E38" s="26" t="s">
        <v>70</v>
      </c>
      <c r="F38" s="27" t="s">
        <v>41</v>
      </c>
      <c r="G38" s="27">
        <v>645600</v>
      </c>
      <c r="H38" s="81">
        <v>46052</v>
      </c>
      <c r="I38" s="27">
        <v>6261181</v>
      </c>
      <c r="J38" s="28" t="s">
        <v>285</v>
      </c>
      <c r="K38" s="81">
        <v>46023</v>
      </c>
      <c r="L38" s="81">
        <v>46387</v>
      </c>
      <c r="M38" s="88" t="s">
        <v>286</v>
      </c>
      <c r="N38" s="400">
        <v>44320</v>
      </c>
      <c r="O38" s="384">
        <f>P38*7.9</f>
        <v>3135.5099999999998</v>
      </c>
      <c r="P38" s="30">
        <v>396.9</v>
      </c>
      <c r="Q38" s="31">
        <v>46100</v>
      </c>
      <c r="R38" s="32">
        <v>46464</v>
      </c>
      <c r="S38" s="20" t="s">
        <v>287</v>
      </c>
      <c r="T38" s="33" t="s">
        <v>288</v>
      </c>
      <c r="U38" s="16">
        <v>46059</v>
      </c>
      <c r="V38" s="17" t="s">
        <v>289</v>
      </c>
      <c r="W38" s="18"/>
      <c r="X38" s="19">
        <v>3085.62</v>
      </c>
      <c r="Y38" s="20" t="s">
        <v>290</v>
      </c>
      <c r="Z38" s="20" t="s">
        <v>291</v>
      </c>
      <c r="AA38" s="116"/>
      <c r="AB38" s="353">
        <v>46023</v>
      </c>
      <c r="AC38" s="27" t="s">
        <v>292</v>
      </c>
      <c r="AD38" s="80" t="s">
        <v>213</v>
      </c>
      <c r="AE38" s="24" t="s">
        <v>126</v>
      </c>
      <c r="AF38" s="80"/>
      <c r="AG38" s="140"/>
    </row>
    <row r="39" spans="1:33" ht="27" customHeight="1">
      <c r="A39" s="15">
        <v>36</v>
      </c>
      <c r="B39" s="81">
        <v>46052</v>
      </c>
      <c r="C39" s="15" t="s">
        <v>38</v>
      </c>
      <c r="D39" s="15" t="s">
        <v>293</v>
      </c>
      <c r="E39" s="26" t="s">
        <v>70</v>
      </c>
      <c r="F39" s="27" t="s">
        <v>41</v>
      </c>
      <c r="G39" s="15">
        <v>645600</v>
      </c>
      <c r="H39" s="81">
        <v>46055</v>
      </c>
      <c r="I39" s="15">
        <v>6261992</v>
      </c>
      <c r="J39" s="28" t="s">
        <v>294</v>
      </c>
      <c r="K39" s="81">
        <v>46082</v>
      </c>
      <c r="L39" s="81">
        <v>46812</v>
      </c>
      <c r="M39" s="88" t="s">
        <v>295</v>
      </c>
      <c r="N39" s="400">
        <v>99360</v>
      </c>
      <c r="O39" s="384">
        <v>24000</v>
      </c>
      <c r="P39" s="30"/>
      <c r="Q39" s="31">
        <v>46206</v>
      </c>
      <c r="R39" s="32">
        <v>46936</v>
      </c>
      <c r="S39" s="20" t="s">
        <v>296</v>
      </c>
      <c r="T39" s="33" t="s">
        <v>297</v>
      </c>
      <c r="U39" s="16">
        <v>46077</v>
      </c>
      <c r="V39" s="17" t="s">
        <v>298</v>
      </c>
      <c r="W39" s="18">
        <v>46163</v>
      </c>
      <c r="X39" s="19">
        <v>24000</v>
      </c>
      <c r="Y39" s="20" t="s">
        <v>299</v>
      </c>
      <c r="Z39" s="176" t="s">
        <v>300</v>
      </c>
      <c r="AA39" s="279">
        <v>46055</v>
      </c>
      <c r="AB39" s="353">
        <v>46054</v>
      </c>
      <c r="AC39" s="27" t="s">
        <v>301</v>
      </c>
      <c r="AD39" s="80"/>
      <c r="AE39" s="24"/>
      <c r="AG39" s="140"/>
    </row>
    <row r="40" spans="1:33" ht="27" customHeight="1">
      <c r="A40" s="15">
        <v>37</v>
      </c>
      <c r="B40" s="81">
        <v>46055</v>
      </c>
      <c r="C40" s="15" t="s">
        <v>95</v>
      </c>
      <c r="D40" s="15" t="s">
        <v>302</v>
      </c>
      <c r="E40" s="26" t="s">
        <v>97</v>
      </c>
      <c r="F40" s="27" t="s">
        <v>109</v>
      </c>
      <c r="G40" s="27">
        <v>645602</v>
      </c>
      <c r="H40" s="81">
        <v>46055</v>
      </c>
      <c r="I40" s="27">
        <v>6261990</v>
      </c>
      <c r="J40" s="28" t="s">
        <v>303</v>
      </c>
      <c r="K40" s="81">
        <v>46073</v>
      </c>
      <c r="L40" s="81">
        <v>46437</v>
      </c>
      <c r="M40" s="88" t="s">
        <v>304</v>
      </c>
      <c r="N40" s="400">
        <v>278300</v>
      </c>
      <c r="O40" s="384">
        <f>P40*7.9</f>
        <v>241014.78000000003</v>
      </c>
      <c r="P40" s="30">
        <v>30508.2</v>
      </c>
      <c r="Q40" s="31">
        <v>46119</v>
      </c>
      <c r="R40" s="32">
        <v>46483</v>
      </c>
      <c r="S40" s="20" t="s">
        <v>305</v>
      </c>
      <c r="T40" s="33" t="s">
        <v>306</v>
      </c>
      <c r="U40" s="114">
        <v>46108</v>
      </c>
      <c r="V40" s="115" t="s">
        <v>307</v>
      </c>
      <c r="W40" s="18"/>
      <c r="X40" s="19">
        <v>237963.96</v>
      </c>
      <c r="Y40" s="20" t="s">
        <v>66</v>
      </c>
      <c r="Z40" s="21" t="s">
        <v>106</v>
      </c>
      <c r="AA40" s="22"/>
      <c r="AB40" s="353">
        <v>46054</v>
      </c>
      <c r="AC40" s="27" t="s">
        <v>308</v>
      </c>
      <c r="AD40" s="80"/>
      <c r="AE40" s="24"/>
      <c r="AG40" s="140"/>
    </row>
    <row r="41" spans="1:33" ht="27" customHeight="1">
      <c r="A41" s="15">
        <v>38</v>
      </c>
      <c r="B41" s="81">
        <v>46055</v>
      </c>
      <c r="C41" s="15" t="s">
        <v>95</v>
      </c>
      <c r="D41" s="15" t="s">
        <v>309</v>
      </c>
      <c r="E41" s="26" t="s">
        <v>97</v>
      </c>
      <c r="F41" s="27" t="s">
        <v>109</v>
      </c>
      <c r="G41" s="27">
        <v>645602</v>
      </c>
      <c r="H41" s="81">
        <v>46055</v>
      </c>
      <c r="I41" s="27">
        <v>6261996</v>
      </c>
      <c r="J41" s="28" t="s">
        <v>310</v>
      </c>
      <c r="K41" s="81">
        <v>45935</v>
      </c>
      <c r="L41" s="81">
        <v>46299</v>
      </c>
      <c r="M41" s="88" t="s">
        <v>311</v>
      </c>
      <c r="N41" s="400">
        <v>25740</v>
      </c>
      <c r="O41" s="384">
        <v>19900</v>
      </c>
      <c r="P41" s="30"/>
      <c r="Q41" s="31">
        <v>45935</v>
      </c>
      <c r="R41" s="32">
        <v>46299</v>
      </c>
      <c r="S41" s="20" t="s">
        <v>312</v>
      </c>
      <c r="T41" s="33" t="s">
        <v>313</v>
      </c>
      <c r="U41" s="114">
        <v>46066</v>
      </c>
      <c r="V41" s="115" t="s">
        <v>314</v>
      </c>
      <c r="W41" s="18"/>
      <c r="X41" s="19">
        <v>19900</v>
      </c>
      <c r="Y41" s="20" t="s">
        <v>237</v>
      </c>
      <c r="Z41" s="21" t="s">
        <v>106</v>
      </c>
      <c r="AA41" s="22"/>
      <c r="AB41" s="353">
        <v>46054</v>
      </c>
      <c r="AC41" s="27" t="s">
        <v>315</v>
      </c>
      <c r="AD41" s="80"/>
      <c r="AE41" s="24"/>
      <c r="AG41" s="140"/>
    </row>
    <row r="42" spans="1:33" ht="27" customHeight="1">
      <c r="A42" s="15">
        <v>39</v>
      </c>
      <c r="B42" s="81">
        <v>46055</v>
      </c>
      <c r="C42" s="15" t="s">
        <v>275</v>
      </c>
      <c r="D42" s="15" t="s">
        <v>316</v>
      </c>
      <c r="E42" s="26" t="s">
        <v>59</v>
      </c>
      <c r="F42" s="27" t="s">
        <v>41</v>
      </c>
      <c r="G42" s="15">
        <v>645600</v>
      </c>
      <c r="H42" s="81">
        <v>46055</v>
      </c>
      <c r="I42" s="27">
        <v>6261998</v>
      </c>
      <c r="J42" s="28" t="s">
        <v>317</v>
      </c>
      <c r="K42" s="81">
        <v>46065</v>
      </c>
      <c r="L42" s="81">
        <v>46429</v>
      </c>
      <c r="M42" s="88" t="s">
        <v>318</v>
      </c>
      <c r="N42" s="400">
        <v>22186</v>
      </c>
      <c r="O42" s="384">
        <v>14971</v>
      </c>
      <c r="P42" s="30"/>
      <c r="Q42" s="31">
        <v>46065</v>
      </c>
      <c r="R42" s="32">
        <v>46429</v>
      </c>
      <c r="S42" s="20" t="s">
        <v>319</v>
      </c>
      <c r="T42" s="33" t="s">
        <v>320</v>
      </c>
      <c r="U42" s="16">
        <v>46132</v>
      </c>
      <c r="V42" s="17" t="s">
        <v>321</v>
      </c>
      <c r="W42" s="18"/>
      <c r="X42" s="19">
        <v>14971</v>
      </c>
      <c r="Y42" s="20" t="s">
        <v>322</v>
      </c>
      <c r="Z42" s="21" t="s">
        <v>67</v>
      </c>
      <c r="AA42" s="22"/>
      <c r="AB42" s="353">
        <v>46054</v>
      </c>
      <c r="AC42" s="27" t="s">
        <v>323</v>
      </c>
      <c r="AD42" s="80"/>
      <c r="AE42" s="24"/>
      <c r="AG42" s="140"/>
    </row>
    <row r="43" spans="1:33" ht="27" customHeight="1">
      <c r="A43" s="15">
        <v>40</v>
      </c>
      <c r="B43" s="81">
        <v>46056</v>
      </c>
      <c r="C43" s="15" t="s">
        <v>38</v>
      </c>
      <c r="D43" s="168" t="s">
        <v>324</v>
      </c>
      <c r="E43" s="26" t="s">
        <v>70</v>
      </c>
      <c r="F43" s="27" t="s">
        <v>41</v>
      </c>
      <c r="G43" s="27">
        <v>645600</v>
      </c>
      <c r="H43" s="81">
        <v>46057</v>
      </c>
      <c r="I43" s="27">
        <v>6263098</v>
      </c>
      <c r="J43" s="28" t="s">
        <v>325</v>
      </c>
      <c r="K43" s="81">
        <v>46078</v>
      </c>
      <c r="L43" s="81">
        <v>46807</v>
      </c>
      <c r="M43" s="88" t="s">
        <v>326</v>
      </c>
      <c r="N43" s="400">
        <v>238040</v>
      </c>
      <c r="O43" s="384">
        <v>37183</v>
      </c>
      <c r="P43" s="30"/>
      <c r="Q43" s="31">
        <v>46143</v>
      </c>
      <c r="R43" s="32">
        <v>46843</v>
      </c>
      <c r="S43" s="20" t="s">
        <v>180</v>
      </c>
      <c r="T43" s="33" t="s">
        <v>327</v>
      </c>
      <c r="U43" s="16">
        <v>46077</v>
      </c>
      <c r="V43" s="17" t="s">
        <v>328</v>
      </c>
      <c r="W43" s="18">
        <v>46132</v>
      </c>
      <c r="X43" s="19">
        <v>37183</v>
      </c>
      <c r="Y43" s="20" t="s">
        <v>56</v>
      </c>
      <c r="Z43" s="176" t="s">
        <v>300</v>
      </c>
      <c r="AA43" s="116">
        <v>46057</v>
      </c>
      <c r="AB43" s="353">
        <v>46054</v>
      </c>
      <c r="AC43" s="27" t="s">
        <v>329</v>
      </c>
      <c r="AD43" s="80"/>
      <c r="AE43" s="24" t="s">
        <v>185</v>
      </c>
      <c r="AG43" s="140"/>
    </row>
    <row r="44" spans="1:33" ht="27" customHeight="1">
      <c r="A44" s="15">
        <v>41</v>
      </c>
      <c r="B44" s="81">
        <v>46058</v>
      </c>
      <c r="C44" s="15" t="s">
        <v>95</v>
      </c>
      <c r="D44" s="15" t="s">
        <v>330</v>
      </c>
      <c r="E44" s="26" t="s">
        <v>97</v>
      </c>
      <c r="F44" s="27" t="s">
        <v>98</v>
      </c>
      <c r="G44" s="27">
        <v>645602</v>
      </c>
      <c r="H44" s="81">
        <v>46062</v>
      </c>
      <c r="I44" s="27">
        <v>6264122</v>
      </c>
      <c r="J44" s="28" t="s">
        <v>331</v>
      </c>
      <c r="K44" s="81">
        <v>46023</v>
      </c>
      <c r="L44" s="81">
        <v>46752</v>
      </c>
      <c r="M44" s="88" t="s">
        <v>332</v>
      </c>
      <c r="N44" s="400">
        <v>1066152</v>
      </c>
      <c r="O44" s="384">
        <v>626400</v>
      </c>
      <c r="P44" s="30"/>
      <c r="Q44" s="31">
        <v>46023</v>
      </c>
      <c r="R44" s="32">
        <v>46752</v>
      </c>
      <c r="S44" s="20" t="s">
        <v>333</v>
      </c>
      <c r="T44" s="33" t="s">
        <v>334</v>
      </c>
      <c r="U44" s="114">
        <v>46090</v>
      </c>
      <c r="V44" s="115" t="s">
        <v>335</v>
      </c>
      <c r="W44" s="18"/>
      <c r="X44" s="19">
        <v>626400</v>
      </c>
      <c r="Y44" s="20" t="s">
        <v>336</v>
      </c>
      <c r="Z44" s="21" t="s">
        <v>106</v>
      </c>
      <c r="AA44" s="22"/>
      <c r="AB44" s="353">
        <v>46054</v>
      </c>
      <c r="AC44" s="27" t="s">
        <v>337</v>
      </c>
      <c r="AD44" s="80"/>
      <c r="AE44" s="24"/>
      <c r="AG44" s="140"/>
    </row>
    <row r="45" spans="1:33" ht="27" customHeight="1">
      <c r="A45" s="15">
        <v>42</v>
      </c>
      <c r="B45" s="81">
        <v>46059</v>
      </c>
      <c r="C45" s="15" t="s">
        <v>95</v>
      </c>
      <c r="D45" s="15" t="s">
        <v>338</v>
      </c>
      <c r="E45" s="26" t="s">
        <v>97</v>
      </c>
      <c r="F45" s="27" t="s">
        <v>98</v>
      </c>
      <c r="G45" s="27">
        <v>645602</v>
      </c>
      <c r="H45" s="81">
        <v>46062</v>
      </c>
      <c r="I45" s="27">
        <v>6264174</v>
      </c>
      <c r="J45" s="28" t="s">
        <v>339</v>
      </c>
      <c r="K45" s="81">
        <v>45920</v>
      </c>
      <c r="L45" s="81">
        <v>46649</v>
      </c>
      <c r="M45" s="88" t="s">
        <v>340</v>
      </c>
      <c r="N45" s="400">
        <v>82707</v>
      </c>
      <c r="O45" s="384">
        <v>28700</v>
      </c>
      <c r="P45" s="30"/>
      <c r="Q45" s="31">
        <v>46208</v>
      </c>
      <c r="R45" s="32">
        <v>46938</v>
      </c>
      <c r="S45" s="20" t="s">
        <v>341</v>
      </c>
      <c r="T45" s="33" t="s">
        <v>342</v>
      </c>
      <c r="U45" s="114">
        <v>46092</v>
      </c>
      <c r="V45" s="115" t="s">
        <v>343</v>
      </c>
      <c r="W45" s="18"/>
      <c r="X45" s="19">
        <v>28700</v>
      </c>
      <c r="Y45" s="20" t="s">
        <v>336</v>
      </c>
      <c r="Z45" s="21" t="s">
        <v>106</v>
      </c>
      <c r="AA45" s="22"/>
      <c r="AB45" s="353">
        <v>46054</v>
      </c>
      <c r="AC45" s="27" t="s">
        <v>344</v>
      </c>
      <c r="AD45" s="80"/>
      <c r="AE45" s="24"/>
      <c r="AG45" s="140"/>
    </row>
    <row r="46" spans="1:33" ht="27" customHeight="1">
      <c r="A46" s="15">
        <v>43</v>
      </c>
      <c r="B46" s="81">
        <v>46059</v>
      </c>
      <c r="C46" s="15" t="s">
        <v>95</v>
      </c>
      <c r="D46" s="378" t="s">
        <v>345</v>
      </c>
      <c r="E46" s="26" t="s">
        <v>97</v>
      </c>
      <c r="F46" s="27" t="s">
        <v>98</v>
      </c>
      <c r="G46" s="27">
        <v>645602</v>
      </c>
      <c r="H46" s="81">
        <v>46062</v>
      </c>
      <c r="I46" s="337">
        <v>6264252</v>
      </c>
      <c r="J46" s="28" t="s">
        <v>346</v>
      </c>
      <c r="K46" s="81">
        <v>46023</v>
      </c>
      <c r="L46" s="81">
        <v>47118</v>
      </c>
      <c r="M46" s="88" t="s">
        <v>279</v>
      </c>
      <c r="N46" s="400">
        <v>1410000</v>
      </c>
      <c r="O46" s="384">
        <v>192641.67</v>
      </c>
      <c r="P46" s="30">
        <v>24697.65</v>
      </c>
      <c r="Q46" s="31"/>
      <c r="R46" s="32">
        <v>47118</v>
      </c>
      <c r="S46" s="20" t="s">
        <v>305</v>
      </c>
      <c r="T46" s="177" t="s">
        <v>347</v>
      </c>
      <c r="U46" s="89"/>
      <c r="V46" s="350"/>
      <c r="W46" s="18"/>
      <c r="X46" s="19">
        <v>192641.67</v>
      </c>
      <c r="Y46" s="20" t="s">
        <v>89</v>
      </c>
      <c r="Z46" s="21" t="s">
        <v>106</v>
      </c>
      <c r="AA46" s="22"/>
      <c r="AB46" s="377">
        <v>46079</v>
      </c>
      <c r="AC46" s="27" t="s">
        <v>348</v>
      </c>
      <c r="AD46" s="80"/>
      <c r="AE46" s="24"/>
      <c r="AG46" s="140"/>
    </row>
    <row r="47" spans="1:33" ht="27" customHeight="1">
      <c r="A47" s="15">
        <v>44</v>
      </c>
      <c r="B47" s="81">
        <v>46062</v>
      </c>
      <c r="C47" s="15" t="s">
        <v>38</v>
      </c>
      <c r="D47" s="15" t="s">
        <v>349</v>
      </c>
      <c r="E47" s="26" t="s">
        <v>59</v>
      </c>
      <c r="F47" s="27" t="s">
        <v>41</v>
      </c>
      <c r="G47" s="27">
        <v>645600</v>
      </c>
      <c r="H47" s="81">
        <v>46064</v>
      </c>
      <c r="I47" s="27">
        <v>6265293</v>
      </c>
      <c r="J47" s="28" t="s">
        <v>350</v>
      </c>
      <c r="K47" s="81">
        <v>46034</v>
      </c>
      <c r="L47" s="81">
        <v>46398</v>
      </c>
      <c r="M47" s="88" t="s">
        <v>351</v>
      </c>
      <c r="N47" s="400">
        <v>14565</v>
      </c>
      <c r="O47" s="384">
        <v>6135.93</v>
      </c>
      <c r="P47" s="30"/>
      <c r="Q47" s="31">
        <v>46034</v>
      </c>
      <c r="R47" s="32">
        <v>46398</v>
      </c>
      <c r="S47" s="20" t="s">
        <v>352</v>
      </c>
      <c r="T47" s="33" t="s">
        <v>353</v>
      </c>
      <c r="U47" s="16">
        <v>46069</v>
      </c>
      <c r="V47" s="17" t="s">
        <v>354</v>
      </c>
      <c r="W47" s="18"/>
      <c r="X47" s="19">
        <v>6135.93</v>
      </c>
      <c r="Y47" s="20" t="s">
        <v>56</v>
      </c>
      <c r="Z47" s="20" t="s">
        <v>67</v>
      </c>
      <c r="AA47" s="116"/>
      <c r="AB47" s="353">
        <v>46054</v>
      </c>
      <c r="AC47" s="27" t="s">
        <v>355</v>
      </c>
      <c r="AD47" s="80"/>
      <c r="AE47" s="24"/>
      <c r="AG47" s="140"/>
    </row>
    <row r="48" spans="1:33" ht="27" customHeight="1">
      <c r="A48" s="15">
        <v>45</v>
      </c>
      <c r="B48" s="81">
        <v>46062</v>
      </c>
      <c r="C48" s="15" t="s">
        <v>38</v>
      </c>
      <c r="D48" s="168" t="s">
        <v>356</v>
      </c>
      <c r="E48" s="26" t="s">
        <v>70</v>
      </c>
      <c r="F48" s="27" t="s">
        <v>41</v>
      </c>
      <c r="G48" s="27">
        <v>645600</v>
      </c>
      <c r="H48" s="81">
        <v>46065</v>
      </c>
      <c r="I48" s="27">
        <v>6265568</v>
      </c>
      <c r="J48" s="28" t="s">
        <v>357</v>
      </c>
      <c r="K48" s="81">
        <v>46087</v>
      </c>
      <c r="L48" s="81">
        <v>46451</v>
      </c>
      <c r="M48" s="88" t="s">
        <v>358</v>
      </c>
      <c r="N48" s="400">
        <v>93100</v>
      </c>
      <c r="O48" s="384">
        <v>16544</v>
      </c>
      <c r="P48" s="30"/>
      <c r="Q48" s="31">
        <v>46143</v>
      </c>
      <c r="R48" s="32">
        <v>46507</v>
      </c>
      <c r="S48" s="20" t="s">
        <v>180</v>
      </c>
      <c r="T48" s="33" t="s">
        <v>359</v>
      </c>
      <c r="U48" s="16">
        <v>46077</v>
      </c>
      <c r="V48" s="17" t="s">
        <v>360</v>
      </c>
      <c r="W48" s="18">
        <v>46132</v>
      </c>
      <c r="X48" s="19">
        <v>16544</v>
      </c>
      <c r="Y48" s="20" t="s">
        <v>56</v>
      </c>
      <c r="Z48" s="20" t="s">
        <v>300</v>
      </c>
      <c r="AA48" s="116">
        <v>46066</v>
      </c>
      <c r="AB48" s="353">
        <v>46054</v>
      </c>
      <c r="AC48" s="27" t="s">
        <v>361</v>
      </c>
      <c r="AD48" s="80"/>
      <c r="AE48" s="24" t="s">
        <v>362</v>
      </c>
      <c r="AG48" s="140"/>
    </row>
    <row r="49" spans="1:33" ht="27" customHeight="1">
      <c r="A49" s="15">
        <v>46</v>
      </c>
      <c r="B49" s="81">
        <v>46063</v>
      </c>
      <c r="C49" s="15" t="s">
        <v>38</v>
      </c>
      <c r="D49" s="15" t="s">
        <v>363</v>
      </c>
      <c r="E49" s="26" t="s">
        <v>70</v>
      </c>
      <c r="F49" s="27" t="s">
        <v>41</v>
      </c>
      <c r="G49" s="27">
        <v>645600</v>
      </c>
      <c r="H49" s="81">
        <v>46065</v>
      </c>
      <c r="I49" s="27">
        <v>6265575</v>
      </c>
      <c r="J49" s="28" t="s">
        <v>364</v>
      </c>
      <c r="K49" s="81">
        <v>46061</v>
      </c>
      <c r="L49" s="81">
        <v>46425</v>
      </c>
      <c r="M49" s="88" t="s">
        <v>365</v>
      </c>
      <c r="N49" s="400">
        <v>120000</v>
      </c>
      <c r="O49" s="384">
        <f>P49*7.9</f>
        <v>82555</v>
      </c>
      <c r="P49" s="30">
        <v>10450</v>
      </c>
      <c r="Q49" s="31">
        <v>46061</v>
      </c>
      <c r="R49" s="32">
        <v>46425</v>
      </c>
      <c r="S49" s="20" t="s">
        <v>73</v>
      </c>
      <c r="T49" s="33" t="s">
        <v>366</v>
      </c>
      <c r="U49" s="16">
        <v>46073</v>
      </c>
      <c r="V49" s="17" t="s">
        <v>367</v>
      </c>
      <c r="W49" s="18"/>
      <c r="X49" s="19">
        <v>81510</v>
      </c>
      <c r="Y49" s="20" t="s">
        <v>47</v>
      </c>
      <c r="Z49" s="20" t="s">
        <v>300</v>
      </c>
      <c r="AA49" s="116">
        <v>46066</v>
      </c>
      <c r="AB49" s="353">
        <v>46054</v>
      </c>
      <c r="AC49" s="27" t="s">
        <v>368</v>
      </c>
      <c r="AD49" s="80" t="s">
        <v>213</v>
      </c>
      <c r="AE49" s="24"/>
      <c r="AG49" s="140"/>
    </row>
    <row r="50" spans="1:33" ht="27" customHeight="1">
      <c r="A50" s="15">
        <v>47</v>
      </c>
      <c r="B50" s="81">
        <v>46065</v>
      </c>
      <c r="C50" s="15" t="s">
        <v>38</v>
      </c>
      <c r="D50" s="168" t="s">
        <v>369</v>
      </c>
      <c r="E50" s="26" t="s">
        <v>70</v>
      </c>
      <c r="F50" s="27" t="s">
        <v>41</v>
      </c>
      <c r="G50" s="27">
        <v>645600</v>
      </c>
      <c r="H50" s="81">
        <v>46066</v>
      </c>
      <c r="I50" s="27">
        <v>6266396</v>
      </c>
      <c r="J50" s="28" t="s">
        <v>325</v>
      </c>
      <c r="K50" s="81">
        <v>46078</v>
      </c>
      <c r="L50" s="81">
        <v>46807</v>
      </c>
      <c r="M50" s="88" t="s">
        <v>326</v>
      </c>
      <c r="N50" s="400">
        <v>238040</v>
      </c>
      <c r="O50" s="384">
        <v>48000</v>
      </c>
      <c r="P50" s="30"/>
      <c r="Q50" s="31">
        <v>46082</v>
      </c>
      <c r="R50" s="32">
        <v>46811</v>
      </c>
      <c r="S50" s="20" t="s">
        <v>296</v>
      </c>
      <c r="T50" s="33" t="s">
        <v>370</v>
      </c>
      <c r="U50" s="16">
        <v>46112</v>
      </c>
      <c r="V50" s="17" t="s">
        <v>371</v>
      </c>
      <c r="W50" s="18"/>
      <c r="X50" s="19">
        <v>48000</v>
      </c>
      <c r="Y50" s="20" t="s">
        <v>56</v>
      </c>
      <c r="Z50" s="176" t="s">
        <v>300</v>
      </c>
      <c r="AA50" s="116">
        <v>46066</v>
      </c>
      <c r="AB50" s="353">
        <v>46054</v>
      </c>
      <c r="AC50" s="27" t="s">
        <v>329</v>
      </c>
      <c r="AD50" s="80"/>
      <c r="AE50" s="24" t="s">
        <v>372</v>
      </c>
      <c r="AG50" s="140"/>
    </row>
    <row r="51" spans="1:33" ht="27" customHeight="1">
      <c r="A51" s="15">
        <v>48</v>
      </c>
      <c r="B51" s="81">
        <v>46069</v>
      </c>
      <c r="C51" s="15" t="s">
        <v>38</v>
      </c>
      <c r="D51" s="15" t="s">
        <v>373</v>
      </c>
      <c r="E51" s="26" t="s">
        <v>70</v>
      </c>
      <c r="F51" s="27" t="s">
        <v>41</v>
      </c>
      <c r="G51" s="27">
        <v>645600</v>
      </c>
      <c r="H51" s="81">
        <v>46069</v>
      </c>
      <c r="I51" s="27">
        <v>6266640</v>
      </c>
      <c r="J51" s="28" t="s">
        <v>374</v>
      </c>
      <c r="K51" s="81">
        <v>46099</v>
      </c>
      <c r="L51" s="81">
        <v>46373</v>
      </c>
      <c r="M51" s="88" t="s">
        <v>375</v>
      </c>
      <c r="N51" s="400">
        <v>120000</v>
      </c>
      <c r="O51" s="384">
        <v>23047</v>
      </c>
      <c r="P51" s="30"/>
      <c r="Q51" s="31">
        <v>46149</v>
      </c>
      <c r="R51" s="32">
        <v>46513</v>
      </c>
      <c r="S51" s="20" t="s">
        <v>180</v>
      </c>
      <c r="T51" s="33" t="s">
        <v>376</v>
      </c>
      <c r="U51" s="16">
        <v>46170</v>
      </c>
      <c r="V51" s="17" t="s">
        <v>377</v>
      </c>
      <c r="W51" s="18"/>
      <c r="X51" s="19">
        <v>23047</v>
      </c>
      <c r="Y51" s="20" t="s">
        <v>47</v>
      </c>
      <c r="Z51" s="176" t="s">
        <v>300</v>
      </c>
      <c r="AA51" s="116"/>
      <c r="AB51" s="353">
        <v>46054</v>
      </c>
      <c r="AC51" s="27" t="s">
        <v>378</v>
      </c>
      <c r="AD51" s="80"/>
      <c r="AE51" s="24"/>
      <c r="AG51" s="140"/>
    </row>
    <row r="52" spans="1:33" ht="27" customHeight="1">
      <c r="A52" s="15">
        <v>49</v>
      </c>
      <c r="B52" s="81">
        <v>46077</v>
      </c>
      <c r="C52" s="15" t="s">
        <v>38</v>
      </c>
      <c r="D52" s="15" t="s">
        <v>379</v>
      </c>
      <c r="E52" s="26" t="s">
        <v>40</v>
      </c>
      <c r="F52" s="27" t="s">
        <v>41</v>
      </c>
      <c r="G52" s="27">
        <v>645600</v>
      </c>
      <c r="H52" s="81">
        <v>46077</v>
      </c>
      <c r="I52" s="27">
        <v>6267843</v>
      </c>
      <c r="J52" s="28" t="s">
        <v>380</v>
      </c>
      <c r="K52" s="81">
        <v>46060</v>
      </c>
      <c r="L52" s="81">
        <v>46424</v>
      </c>
      <c r="M52" s="88" t="s">
        <v>381</v>
      </c>
      <c r="N52" s="400">
        <v>461940</v>
      </c>
      <c r="O52" s="384">
        <f>P52*7.9</f>
        <v>204014.02400000003</v>
      </c>
      <c r="P52" s="30">
        <v>25824.560000000001</v>
      </c>
      <c r="Q52" s="31">
        <v>46054</v>
      </c>
      <c r="R52" s="32">
        <v>46424</v>
      </c>
      <c r="S52" s="20" t="s">
        <v>44</v>
      </c>
      <c r="T52" s="33" t="s">
        <v>382</v>
      </c>
      <c r="U52" s="16">
        <v>46079</v>
      </c>
      <c r="V52" s="17" t="s">
        <v>383</v>
      </c>
      <c r="W52" s="18"/>
      <c r="X52" s="19">
        <v>201431.57</v>
      </c>
      <c r="Y52" s="20" t="s">
        <v>115</v>
      </c>
      <c r="Z52" s="176" t="s">
        <v>48</v>
      </c>
      <c r="AA52" s="116"/>
      <c r="AB52" s="353">
        <v>46054</v>
      </c>
      <c r="AC52" s="27" t="s">
        <v>384</v>
      </c>
      <c r="AD52" s="80" t="s">
        <v>213</v>
      </c>
      <c r="AE52" s="24" t="s">
        <v>385</v>
      </c>
      <c r="AG52" s="140"/>
    </row>
    <row r="53" spans="1:33" ht="27" customHeight="1">
      <c r="A53" s="15">
        <v>50</v>
      </c>
      <c r="B53" s="81">
        <v>46077</v>
      </c>
      <c r="C53" s="15" t="s">
        <v>38</v>
      </c>
      <c r="D53" s="15" t="s">
        <v>386</v>
      </c>
      <c r="E53" s="26" t="s">
        <v>40</v>
      </c>
      <c r="F53" s="27" t="s">
        <v>41</v>
      </c>
      <c r="G53" s="27">
        <v>645600</v>
      </c>
      <c r="H53" s="81">
        <v>46077</v>
      </c>
      <c r="I53" s="27">
        <v>6267847</v>
      </c>
      <c r="J53" s="28" t="s">
        <v>380</v>
      </c>
      <c r="K53" s="81">
        <v>46060</v>
      </c>
      <c r="L53" s="81">
        <v>46424</v>
      </c>
      <c r="M53" s="88" t="s">
        <v>381</v>
      </c>
      <c r="N53" s="400">
        <v>461940</v>
      </c>
      <c r="O53" s="384">
        <f>P53*7.9</f>
        <v>68775.425000000003</v>
      </c>
      <c r="P53" s="30">
        <v>8705.75</v>
      </c>
      <c r="Q53" s="31">
        <v>46054</v>
      </c>
      <c r="R53" s="32">
        <v>46424</v>
      </c>
      <c r="S53" s="20" t="s">
        <v>44</v>
      </c>
      <c r="T53" s="33" t="s">
        <v>387</v>
      </c>
      <c r="U53" s="16">
        <v>46079</v>
      </c>
      <c r="V53" s="17" t="s">
        <v>388</v>
      </c>
      <c r="W53" s="18" t="s">
        <v>389</v>
      </c>
      <c r="X53" s="19">
        <v>67904.850000000006</v>
      </c>
      <c r="Y53" s="20" t="s">
        <v>115</v>
      </c>
      <c r="Z53" s="176" t="s">
        <v>48</v>
      </c>
      <c r="AA53" s="116"/>
      <c r="AB53" s="353">
        <v>46054</v>
      </c>
      <c r="AC53" s="27" t="s">
        <v>384</v>
      </c>
      <c r="AD53" s="80" t="s">
        <v>213</v>
      </c>
      <c r="AE53" s="24" t="s">
        <v>390</v>
      </c>
      <c r="AG53" s="140"/>
    </row>
    <row r="54" spans="1:33" ht="27" customHeight="1">
      <c r="A54" s="15">
        <v>51</v>
      </c>
      <c r="B54" s="81">
        <v>46077</v>
      </c>
      <c r="C54" s="15" t="s">
        <v>38</v>
      </c>
      <c r="D54" s="15" t="s">
        <v>391</v>
      </c>
      <c r="E54" s="26" t="s">
        <v>40</v>
      </c>
      <c r="F54" s="27" t="s">
        <v>41</v>
      </c>
      <c r="G54" s="27">
        <v>645600</v>
      </c>
      <c r="H54" s="81">
        <v>46078</v>
      </c>
      <c r="I54" s="27">
        <v>6268069</v>
      </c>
      <c r="J54" s="28" t="s">
        <v>392</v>
      </c>
      <c r="K54" s="81">
        <v>46113</v>
      </c>
      <c r="L54" s="81">
        <v>47208</v>
      </c>
      <c r="M54" s="88" t="s">
        <v>393</v>
      </c>
      <c r="N54" s="400">
        <v>1926000</v>
      </c>
      <c r="O54" s="384">
        <f>P54*7.9</f>
        <v>913720.32000000007</v>
      </c>
      <c r="P54" s="30">
        <v>115660.8</v>
      </c>
      <c r="Q54" s="31">
        <v>46113</v>
      </c>
      <c r="R54" s="32">
        <v>47208</v>
      </c>
      <c r="S54" s="20" t="s">
        <v>394</v>
      </c>
      <c r="T54" s="33" t="s">
        <v>395</v>
      </c>
      <c r="U54" s="16">
        <v>46083</v>
      </c>
      <c r="V54" s="17" t="s">
        <v>396</v>
      </c>
      <c r="W54" s="18"/>
      <c r="X54" s="19">
        <v>902154.23999999999</v>
      </c>
      <c r="Y54" s="20" t="s">
        <v>183</v>
      </c>
      <c r="Z54" s="176" t="s">
        <v>48</v>
      </c>
      <c r="AA54" s="116"/>
      <c r="AB54" s="353">
        <v>46054</v>
      </c>
      <c r="AC54" s="27" t="s">
        <v>397</v>
      </c>
      <c r="AD54" s="80"/>
      <c r="AE54" s="24"/>
      <c r="AG54" s="140"/>
    </row>
    <row r="55" spans="1:33" ht="27" customHeight="1">
      <c r="A55" s="15">
        <v>52</v>
      </c>
      <c r="B55" s="81">
        <v>46077</v>
      </c>
      <c r="C55" s="15" t="s">
        <v>38</v>
      </c>
      <c r="D55" s="15" t="s">
        <v>398</v>
      </c>
      <c r="E55" s="26" t="s">
        <v>59</v>
      </c>
      <c r="F55" s="27" t="s">
        <v>277</v>
      </c>
      <c r="G55" s="27">
        <v>645600</v>
      </c>
      <c r="H55" s="81">
        <v>46078</v>
      </c>
      <c r="I55" s="27">
        <v>6268087</v>
      </c>
      <c r="J55" s="28" t="s">
        <v>392</v>
      </c>
      <c r="K55" s="81">
        <v>46113</v>
      </c>
      <c r="L55" s="81">
        <v>47208</v>
      </c>
      <c r="M55" s="88" t="s">
        <v>393</v>
      </c>
      <c r="N55" s="400">
        <v>1926000</v>
      </c>
      <c r="O55" s="384">
        <v>103000</v>
      </c>
      <c r="P55" s="30"/>
      <c r="Q55" s="31">
        <v>46113</v>
      </c>
      <c r="R55" s="32">
        <v>47208</v>
      </c>
      <c r="S55" s="20" t="s">
        <v>399</v>
      </c>
      <c r="T55" s="33" t="s">
        <v>400</v>
      </c>
      <c r="U55" s="16">
        <v>46083</v>
      </c>
      <c r="V55" s="17" t="s">
        <v>401</v>
      </c>
      <c r="W55" s="18"/>
      <c r="X55" s="19">
        <v>103000</v>
      </c>
      <c r="Y55" s="20" t="s">
        <v>183</v>
      </c>
      <c r="Z55" s="176" t="s">
        <v>67</v>
      </c>
      <c r="AA55" s="116"/>
      <c r="AB55" s="353">
        <v>46054</v>
      </c>
      <c r="AC55" s="27" t="s">
        <v>397</v>
      </c>
      <c r="AD55" s="80"/>
      <c r="AE55" s="24"/>
      <c r="AG55" s="140"/>
    </row>
    <row r="56" spans="1:33" ht="27" customHeight="1">
      <c r="A56" s="15">
        <v>53</v>
      </c>
      <c r="B56" s="81">
        <v>46077</v>
      </c>
      <c r="C56" s="15" t="s">
        <v>38</v>
      </c>
      <c r="D56" s="15" t="s">
        <v>402</v>
      </c>
      <c r="E56" s="26" t="s">
        <v>59</v>
      </c>
      <c r="F56" s="27" t="s">
        <v>277</v>
      </c>
      <c r="G56" s="27">
        <v>645600</v>
      </c>
      <c r="H56" s="81">
        <v>46078</v>
      </c>
      <c r="I56" s="27">
        <v>6268089</v>
      </c>
      <c r="J56" s="28" t="s">
        <v>392</v>
      </c>
      <c r="K56" s="81">
        <v>46113</v>
      </c>
      <c r="L56" s="81">
        <v>47208</v>
      </c>
      <c r="M56" s="88" t="s">
        <v>393</v>
      </c>
      <c r="N56" s="400">
        <v>1926000</v>
      </c>
      <c r="O56" s="384">
        <v>9048</v>
      </c>
      <c r="P56" s="30"/>
      <c r="Q56" s="31">
        <v>46113</v>
      </c>
      <c r="R56" s="32">
        <v>47208</v>
      </c>
      <c r="S56" s="20" t="s">
        <v>296</v>
      </c>
      <c r="T56" s="33" t="s">
        <v>403</v>
      </c>
      <c r="U56" s="16">
        <v>46085</v>
      </c>
      <c r="V56" s="17" t="s">
        <v>404</v>
      </c>
      <c r="W56" s="18"/>
      <c r="X56" s="19">
        <v>9048</v>
      </c>
      <c r="Y56" s="20" t="s">
        <v>183</v>
      </c>
      <c r="Z56" s="176" t="s">
        <v>67</v>
      </c>
      <c r="AA56" s="116"/>
      <c r="AB56" s="353">
        <v>46054</v>
      </c>
      <c r="AC56" s="27" t="s">
        <v>397</v>
      </c>
      <c r="AD56" s="80"/>
      <c r="AE56" s="24"/>
      <c r="AG56" s="140"/>
    </row>
    <row r="57" spans="1:33" ht="27" customHeight="1">
      <c r="A57" s="15">
        <v>54</v>
      </c>
      <c r="B57" s="81">
        <v>46078</v>
      </c>
      <c r="C57" s="15" t="s">
        <v>38</v>
      </c>
      <c r="D57" s="15" t="s">
        <v>405</v>
      </c>
      <c r="E57" s="26" t="s">
        <v>40</v>
      </c>
      <c r="F57" s="27" t="s">
        <v>60</v>
      </c>
      <c r="G57" s="27">
        <v>645604</v>
      </c>
      <c r="H57" s="81">
        <v>46078</v>
      </c>
      <c r="I57" s="27">
        <v>6268148</v>
      </c>
      <c r="J57" s="28" t="s">
        <v>266</v>
      </c>
      <c r="K57" s="81">
        <v>46023</v>
      </c>
      <c r="L57" s="81">
        <v>47118</v>
      </c>
      <c r="M57" s="88" t="s">
        <v>406</v>
      </c>
      <c r="N57" s="400">
        <v>5384841.9000000004</v>
      </c>
      <c r="O57" s="384">
        <v>66401</v>
      </c>
      <c r="P57" s="30"/>
      <c r="Q57" s="31">
        <v>46113</v>
      </c>
      <c r="R57" s="32">
        <v>47208</v>
      </c>
      <c r="S57" s="20" t="s">
        <v>407</v>
      </c>
      <c r="T57" s="33" t="s">
        <v>408</v>
      </c>
      <c r="U57" s="16">
        <v>46085</v>
      </c>
      <c r="V57" s="17" t="s">
        <v>409</v>
      </c>
      <c r="W57" s="18"/>
      <c r="X57" s="19">
        <v>66401</v>
      </c>
      <c r="Y57" s="20" t="s">
        <v>105</v>
      </c>
      <c r="Z57" s="176" t="s">
        <v>48</v>
      </c>
      <c r="AA57" s="116"/>
      <c r="AB57" s="353">
        <v>46054</v>
      </c>
      <c r="AC57" s="27" t="s">
        <v>270</v>
      </c>
      <c r="AD57" s="80" t="s">
        <v>213</v>
      </c>
      <c r="AE57" s="24"/>
      <c r="AG57" s="140"/>
    </row>
    <row r="58" spans="1:33" ht="27" customHeight="1">
      <c r="A58" s="15">
        <v>55</v>
      </c>
      <c r="B58" s="81">
        <v>46078</v>
      </c>
      <c r="C58" s="15" t="s">
        <v>38</v>
      </c>
      <c r="D58" s="168" t="s">
        <v>410</v>
      </c>
      <c r="E58" s="26" t="s">
        <v>59</v>
      </c>
      <c r="F58" s="27" t="s">
        <v>41</v>
      </c>
      <c r="G58" s="27">
        <v>645600</v>
      </c>
      <c r="H58" s="81">
        <v>46078</v>
      </c>
      <c r="I58" s="27">
        <v>6268152</v>
      </c>
      <c r="J58" s="28" t="s">
        <v>411</v>
      </c>
      <c r="K58" s="81">
        <v>46068</v>
      </c>
      <c r="L58" s="81">
        <v>46432</v>
      </c>
      <c r="M58" s="88" t="s">
        <v>412</v>
      </c>
      <c r="N58" s="400">
        <v>3636245</v>
      </c>
      <c r="O58" s="384">
        <v>11801</v>
      </c>
      <c r="P58" s="30"/>
      <c r="Q58" s="31">
        <v>46045</v>
      </c>
      <c r="R58" s="32">
        <v>46409</v>
      </c>
      <c r="S58" s="20" t="s">
        <v>399</v>
      </c>
      <c r="T58" s="33" t="s">
        <v>413</v>
      </c>
      <c r="U58" s="16">
        <v>46080</v>
      </c>
      <c r="V58" s="17" t="s">
        <v>414</v>
      </c>
      <c r="W58" s="18"/>
      <c r="X58" s="19">
        <v>11801</v>
      </c>
      <c r="Y58" s="20" t="s">
        <v>245</v>
      </c>
      <c r="Z58" s="176" t="s">
        <v>67</v>
      </c>
      <c r="AA58" s="116"/>
      <c r="AB58" s="353">
        <v>46054</v>
      </c>
      <c r="AC58" s="27" t="s">
        <v>415</v>
      </c>
      <c r="AD58" s="80" t="s">
        <v>213</v>
      </c>
      <c r="AE58" s="24" t="s">
        <v>416</v>
      </c>
      <c r="AG58" s="140"/>
    </row>
    <row r="59" spans="1:33" ht="27" customHeight="1">
      <c r="A59" s="15">
        <v>56</v>
      </c>
      <c r="B59" s="81">
        <v>46078</v>
      </c>
      <c r="C59" s="15" t="s">
        <v>38</v>
      </c>
      <c r="D59" s="15" t="s">
        <v>417</v>
      </c>
      <c r="E59" s="26" t="s">
        <v>59</v>
      </c>
      <c r="F59" s="27" t="s">
        <v>41</v>
      </c>
      <c r="G59" s="27">
        <v>645600</v>
      </c>
      <c r="H59" s="81">
        <v>46078</v>
      </c>
      <c r="I59" s="27">
        <v>6268157</v>
      </c>
      <c r="J59" s="28" t="s">
        <v>411</v>
      </c>
      <c r="K59" s="81">
        <v>46068</v>
      </c>
      <c r="L59" s="81">
        <v>46432</v>
      </c>
      <c r="M59" s="88" t="s">
        <v>412</v>
      </c>
      <c r="N59" s="400">
        <v>3636245</v>
      </c>
      <c r="O59" s="384">
        <v>13330</v>
      </c>
      <c r="P59" s="30"/>
      <c r="Q59" s="31">
        <v>46068</v>
      </c>
      <c r="R59" s="32">
        <v>46432</v>
      </c>
      <c r="S59" s="20" t="s">
        <v>399</v>
      </c>
      <c r="T59" s="33" t="s">
        <v>418</v>
      </c>
      <c r="U59" s="16">
        <v>46080</v>
      </c>
      <c r="V59" s="17" t="s">
        <v>419</v>
      </c>
      <c r="W59" s="18">
        <v>46146</v>
      </c>
      <c r="X59" s="19">
        <v>13330</v>
      </c>
      <c r="Y59" s="20" t="s">
        <v>245</v>
      </c>
      <c r="Z59" s="176" t="s">
        <v>67</v>
      </c>
      <c r="AA59" s="116"/>
      <c r="AB59" s="353">
        <v>46054</v>
      </c>
      <c r="AC59" s="27" t="s">
        <v>415</v>
      </c>
      <c r="AD59" s="80" t="s">
        <v>213</v>
      </c>
      <c r="AE59" s="24" t="s">
        <v>385</v>
      </c>
      <c r="AG59" s="140"/>
    </row>
    <row r="60" spans="1:33" ht="27" customHeight="1">
      <c r="A60" s="15">
        <v>57</v>
      </c>
      <c r="B60" s="81">
        <v>46078</v>
      </c>
      <c r="C60" s="15" t="s">
        <v>38</v>
      </c>
      <c r="D60" s="168" t="s">
        <v>420</v>
      </c>
      <c r="E60" s="26" t="s">
        <v>59</v>
      </c>
      <c r="F60" s="27" t="s">
        <v>41</v>
      </c>
      <c r="G60" s="27">
        <v>645600</v>
      </c>
      <c r="H60" s="81">
        <v>46078</v>
      </c>
      <c r="I60" s="27">
        <v>6268158</v>
      </c>
      <c r="J60" s="28" t="s">
        <v>411</v>
      </c>
      <c r="K60" s="81">
        <v>46068</v>
      </c>
      <c r="L60" s="81">
        <v>46432</v>
      </c>
      <c r="M60" s="88" t="s">
        <v>412</v>
      </c>
      <c r="N60" s="400">
        <v>3636245</v>
      </c>
      <c r="O60" s="384">
        <v>49400</v>
      </c>
      <c r="P60" s="30"/>
      <c r="Q60" s="31">
        <v>46076</v>
      </c>
      <c r="R60" s="32">
        <v>46440</v>
      </c>
      <c r="S60" s="20" t="s">
        <v>399</v>
      </c>
      <c r="T60" s="33" t="s">
        <v>421</v>
      </c>
      <c r="U60" s="16">
        <v>46080</v>
      </c>
      <c r="V60" s="17" t="s">
        <v>422</v>
      </c>
      <c r="W60" s="18"/>
      <c r="X60" s="19">
        <v>49400</v>
      </c>
      <c r="Y60" s="20" t="s">
        <v>245</v>
      </c>
      <c r="Z60" s="176" t="s">
        <v>67</v>
      </c>
      <c r="AA60" s="116"/>
      <c r="AB60" s="353">
        <v>46054</v>
      </c>
      <c r="AC60" s="27" t="s">
        <v>415</v>
      </c>
      <c r="AD60" s="80" t="s">
        <v>213</v>
      </c>
      <c r="AE60" s="24" t="s">
        <v>385</v>
      </c>
      <c r="AG60" s="140"/>
    </row>
    <row r="61" spans="1:33" ht="27" customHeight="1">
      <c r="A61" s="15">
        <v>58</v>
      </c>
      <c r="B61" s="81">
        <v>46078</v>
      </c>
      <c r="C61" s="15" t="s">
        <v>95</v>
      </c>
      <c r="D61" s="187" t="s">
        <v>423</v>
      </c>
      <c r="E61" s="26" t="s">
        <v>97</v>
      </c>
      <c r="F61" s="27" t="s">
        <v>98</v>
      </c>
      <c r="G61" s="27">
        <v>645602</v>
      </c>
      <c r="H61" s="81">
        <v>46079</v>
      </c>
      <c r="I61" s="27">
        <v>6268416</v>
      </c>
      <c r="J61" s="28" t="s">
        <v>151</v>
      </c>
      <c r="K61" s="81">
        <v>45627</v>
      </c>
      <c r="L61" s="81">
        <v>47087</v>
      </c>
      <c r="M61" s="88" t="s">
        <v>152</v>
      </c>
      <c r="N61" s="400">
        <v>20046880</v>
      </c>
      <c r="O61" s="384">
        <v>466667</v>
      </c>
      <c r="P61" s="30"/>
      <c r="Q61" s="31"/>
      <c r="R61" s="32"/>
      <c r="S61" s="20" t="s">
        <v>154</v>
      </c>
      <c r="T61" s="33" t="s">
        <v>424</v>
      </c>
      <c r="U61" s="114">
        <v>46092</v>
      </c>
      <c r="V61" s="115" t="s">
        <v>425</v>
      </c>
      <c r="W61" s="18"/>
      <c r="X61" s="19">
        <v>466667</v>
      </c>
      <c r="Y61" s="20" t="s">
        <v>157</v>
      </c>
      <c r="Z61" s="176" t="s">
        <v>106</v>
      </c>
      <c r="AA61" s="116"/>
      <c r="AB61" s="353">
        <v>46054</v>
      </c>
      <c r="AC61" s="27" t="s">
        <v>158</v>
      </c>
      <c r="AD61" s="80"/>
      <c r="AE61" s="24"/>
      <c r="AG61" s="140"/>
    </row>
    <row r="62" spans="1:33" ht="27" customHeight="1">
      <c r="A62" s="15">
        <v>59</v>
      </c>
      <c r="B62" s="81">
        <v>46079</v>
      </c>
      <c r="C62" s="15" t="s">
        <v>38</v>
      </c>
      <c r="D62" s="15" t="s">
        <v>426</v>
      </c>
      <c r="E62" s="26" t="s">
        <v>40</v>
      </c>
      <c r="F62" s="27" t="s">
        <v>41</v>
      </c>
      <c r="G62" s="27">
        <v>645600</v>
      </c>
      <c r="H62" s="81">
        <v>46079</v>
      </c>
      <c r="I62" s="27">
        <v>6268703</v>
      </c>
      <c r="J62" s="28" t="s">
        <v>427</v>
      </c>
      <c r="K62" s="81">
        <v>46082</v>
      </c>
      <c r="L62" s="81">
        <v>46446</v>
      </c>
      <c r="M62" s="88" t="s">
        <v>428</v>
      </c>
      <c r="N62" s="400">
        <v>86708</v>
      </c>
      <c r="O62" s="384">
        <f>P62*7.9</f>
        <v>57604.272000000004</v>
      </c>
      <c r="P62" s="30">
        <v>7291.68</v>
      </c>
      <c r="Q62" s="31">
        <v>46082</v>
      </c>
      <c r="R62" s="32">
        <v>46446</v>
      </c>
      <c r="S62" s="20" t="s">
        <v>92</v>
      </c>
      <c r="T62" s="33" t="s">
        <v>429</v>
      </c>
      <c r="U62" s="16">
        <v>46080</v>
      </c>
      <c r="V62" s="17" t="s">
        <v>430</v>
      </c>
      <c r="W62" s="18"/>
      <c r="X62" s="19">
        <v>56875.14</v>
      </c>
      <c r="Y62" s="20" t="s">
        <v>336</v>
      </c>
      <c r="Z62" s="176" t="s">
        <v>48</v>
      </c>
      <c r="AA62" s="116"/>
      <c r="AB62" s="353">
        <v>46054</v>
      </c>
      <c r="AC62" s="27" t="s">
        <v>431</v>
      </c>
      <c r="AD62" s="80" t="s">
        <v>213</v>
      </c>
      <c r="AE62" s="24" t="s">
        <v>432</v>
      </c>
      <c r="AG62" s="140"/>
    </row>
    <row r="63" spans="1:33" ht="27" customHeight="1">
      <c r="A63" s="15">
        <v>60</v>
      </c>
      <c r="B63" s="81">
        <v>46078</v>
      </c>
      <c r="C63" s="15" t="s">
        <v>38</v>
      </c>
      <c r="D63" s="15" t="s">
        <v>433</v>
      </c>
      <c r="E63" s="26" t="s">
        <v>40</v>
      </c>
      <c r="F63" s="27" t="s">
        <v>41</v>
      </c>
      <c r="G63" s="27">
        <v>645600</v>
      </c>
      <c r="H63" s="81">
        <v>46079</v>
      </c>
      <c r="I63" s="27">
        <v>6268704</v>
      </c>
      <c r="J63" s="28" t="s">
        <v>266</v>
      </c>
      <c r="K63" s="81">
        <v>46023</v>
      </c>
      <c r="L63" s="81">
        <v>47118</v>
      </c>
      <c r="M63" s="88" t="s">
        <v>406</v>
      </c>
      <c r="N63" s="400">
        <v>5384841.9000000004</v>
      </c>
      <c r="O63" s="384">
        <v>1946</v>
      </c>
      <c r="P63" s="30"/>
      <c r="Q63" s="31">
        <v>46023</v>
      </c>
      <c r="R63" s="32">
        <v>46387</v>
      </c>
      <c r="S63" s="20" t="s">
        <v>352</v>
      </c>
      <c r="T63" s="33" t="s">
        <v>434</v>
      </c>
      <c r="U63" s="16">
        <v>46087</v>
      </c>
      <c r="V63" s="17" t="s">
        <v>435</v>
      </c>
      <c r="W63" s="18"/>
      <c r="X63" s="19">
        <v>1946</v>
      </c>
      <c r="Y63" s="20" t="s">
        <v>105</v>
      </c>
      <c r="Z63" s="176" t="s">
        <v>48</v>
      </c>
      <c r="AA63" s="116"/>
      <c r="AB63" s="353">
        <v>46054</v>
      </c>
      <c r="AC63" s="27" t="s">
        <v>270</v>
      </c>
      <c r="AD63" s="80"/>
      <c r="AE63" s="24"/>
      <c r="AG63" s="140"/>
    </row>
    <row r="64" spans="1:33" ht="27" customHeight="1">
      <c r="A64" s="15">
        <v>61</v>
      </c>
      <c r="B64" s="81">
        <v>46080</v>
      </c>
      <c r="C64" s="15" t="s">
        <v>38</v>
      </c>
      <c r="D64" s="15" t="s">
        <v>436</v>
      </c>
      <c r="E64" s="26" t="s">
        <v>40</v>
      </c>
      <c r="F64" s="27" t="s">
        <v>41</v>
      </c>
      <c r="G64" s="27">
        <v>645600</v>
      </c>
      <c r="H64" s="81">
        <v>46080</v>
      </c>
      <c r="I64" s="27">
        <v>6269045</v>
      </c>
      <c r="J64" s="28" t="s">
        <v>437</v>
      </c>
      <c r="K64" s="81">
        <v>46082</v>
      </c>
      <c r="L64" s="81">
        <v>46811</v>
      </c>
      <c r="M64" s="88" t="s">
        <v>438</v>
      </c>
      <c r="N64" s="400">
        <v>471686</v>
      </c>
      <c r="O64" s="384">
        <f>P64*7.9</f>
        <v>440255.38699999999</v>
      </c>
      <c r="P64" s="30">
        <v>55728.53</v>
      </c>
      <c r="Q64" s="31">
        <v>46113</v>
      </c>
      <c r="R64" s="32">
        <v>46843</v>
      </c>
      <c r="S64" s="20" t="s">
        <v>256</v>
      </c>
      <c r="T64" s="33" t="s">
        <v>439</v>
      </c>
      <c r="U64" s="16">
        <v>46087</v>
      </c>
      <c r="V64" s="17" t="s">
        <v>440</v>
      </c>
      <c r="W64" s="18"/>
      <c r="X64" s="19">
        <v>432233.89</v>
      </c>
      <c r="Y64" s="20" t="s">
        <v>115</v>
      </c>
      <c r="Z64" s="176" t="s">
        <v>48</v>
      </c>
      <c r="AA64" s="116"/>
      <c r="AB64" s="353">
        <v>46054</v>
      </c>
      <c r="AC64" s="27" t="s">
        <v>441</v>
      </c>
      <c r="AD64" s="80" t="s">
        <v>213</v>
      </c>
      <c r="AE64" s="24" t="s">
        <v>442</v>
      </c>
      <c r="AG64" s="140"/>
    </row>
    <row r="65" spans="1:33" ht="27" customHeight="1">
      <c r="A65" s="15">
        <v>62</v>
      </c>
      <c r="B65" s="81">
        <v>46084</v>
      </c>
      <c r="C65" s="15" t="s">
        <v>38</v>
      </c>
      <c r="D65" s="15" t="s">
        <v>443</v>
      </c>
      <c r="E65" s="26" t="s">
        <v>59</v>
      </c>
      <c r="F65" s="27" t="s">
        <v>41</v>
      </c>
      <c r="G65" s="27">
        <v>645600</v>
      </c>
      <c r="H65" s="81">
        <v>46084</v>
      </c>
      <c r="I65" s="27">
        <v>6270074</v>
      </c>
      <c r="J65" s="28" t="s">
        <v>444</v>
      </c>
      <c r="K65" s="81">
        <v>46099</v>
      </c>
      <c r="L65" s="81">
        <v>46463</v>
      </c>
      <c r="M65" s="88" t="s">
        <v>445</v>
      </c>
      <c r="N65" s="400">
        <v>54950</v>
      </c>
      <c r="O65" s="384">
        <v>30110</v>
      </c>
      <c r="P65" s="30"/>
      <c r="Q65" s="31">
        <v>46099</v>
      </c>
      <c r="R65" s="32">
        <v>46463</v>
      </c>
      <c r="S65" s="20" t="s">
        <v>399</v>
      </c>
      <c r="T65" s="33" t="s">
        <v>446</v>
      </c>
      <c r="U65" s="16">
        <v>46093</v>
      </c>
      <c r="V65" s="17" t="s">
        <v>447</v>
      </c>
      <c r="W65" s="18"/>
      <c r="X65" s="19">
        <v>30110</v>
      </c>
      <c r="Y65" s="20" t="s">
        <v>290</v>
      </c>
      <c r="Z65" s="176" t="s">
        <v>67</v>
      </c>
      <c r="AA65" s="116"/>
      <c r="AB65" s="353">
        <v>46082</v>
      </c>
      <c r="AC65" s="27" t="s">
        <v>448</v>
      </c>
      <c r="AD65" s="80" t="s">
        <v>213</v>
      </c>
      <c r="AE65" s="24" t="s">
        <v>449</v>
      </c>
      <c r="AG65" s="140"/>
    </row>
    <row r="66" spans="1:33" ht="27" customHeight="1">
      <c r="A66" s="15">
        <v>63</v>
      </c>
      <c r="B66" s="81">
        <v>46083</v>
      </c>
      <c r="C66" s="15" t="s">
        <v>38</v>
      </c>
      <c r="D66" s="15" t="s">
        <v>450</v>
      </c>
      <c r="E66" s="26" t="s">
        <v>70</v>
      </c>
      <c r="F66" s="27" t="s">
        <v>41</v>
      </c>
      <c r="G66" s="27">
        <v>645600</v>
      </c>
      <c r="H66" s="81">
        <v>46084</v>
      </c>
      <c r="I66" s="27">
        <v>6270077</v>
      </c>
      <c r="J66" s="28" t="s">
        <v>451</v>
      </c>
      <c r="K66" s="81">
        <v>46082</v>
      </c>
      <c r="L66" s="81">
        <v>46446</v>
      </c>
      <c r="M66" s="88" t="s">
        <v>452</v>
      </c>
      <c r="N66" s="400">
        <v>348777</v>
      </c>
      <c r="O66" s="384">
        <f>P66*7.9</f>
        <v>82713</v>
      </c>
      <c r="P66" s="30">
        <v>10470</v>
      </c>
      <c r="Q66" s="31">
        <v>46082</v>
      </c>
      <c r="R66" s="32">
        <v>46446</v>
      </c>
      <c r="S66" s="20" t="s">
        <v>73</v>
      </c>
      <c r="T66" s="33" t="s">
        <v>453</v>
      </c>
      <c r="U66" s="16">
        <v>46104</v>
      </c>
      <c r="V66" s="17" t="s">
        <v>454</v>
      </c>
      <c r="W66" s="18">
        <v>46125</v>
      </c>
      <c r="X66" s="19">
        <v>81867.02</v>
      </c>
      <c r="Y66" s="20" t="s">
        <v>56</v>
      </c>
      <c r="Z66" s="176" t="s">
        <v>300</v>
      </c>
      <c r="AA66" s="116"/>
      <c r="AB66" s="353">
        <v>46082</v>
      </c>
      <c r="AC66" s="27" t="s">
        <v>455</v>
      </c>
      <c r="AD66" s="80"/>
      <c r="AE66" s="24"/>
      <c r="AG66" s="140"/>
    </row>
    <row r="67" spans="1:33" ht="27" customHeight="1">
      <c r="A67" s="15">
        <v>64</v>
      </c>
      <c r="B67" s="81">
        <v>46083</v>
      </c>
      <c r="C67" s="15" t="s">
        <v>38</v>
      </c>
      <c r="D67" s="15" t="s">
        <v>456</v>
      </c>
      <c r="E67" s="26" t="s">
        <v>70</v>
      </c>
      <c r="F67" s="27" t="s">
        <v>41</v>
      </c>
      <c r="G67" s="27">
        <v>645600</v>
      </c>
      <c r="H67" s="81">
        <v>46084</v>
      </c>
      <c r="I67" s="27">
        <v>6270078</v>
      </c>
      <c r="J67" s="28" t="s">
        <v>451</v>
      </c>
      <c r="K67" s="81">
        <v>46082</v>
      </c>
      <c r="L67" s="81">
        <v>46446</v>
      </c>
      <c r="M67" s="88" t="s">
        <v>452</v>
      </c>
      <c r="N67" s="402">
        <v>348777</v>
      </c>
      <c r="O67" s="387" t="s">
        <v>457</v>
      </c>
      <c r="P67" s="30"/>
      <c r="Q67" s="31" t="s">
        <v>458</v>
      </c>
      <c r="R67" s="32"/>
      <c r="S67" s="20" t="s">
        <v>459</v>
      </c>
      <c r="T67" s="33" t="s">
        <v>460</v>
      </c>
      <c r="U67" s="352" t="s">
        <v>461</v>
      </c>
      <c r="V67" s="165" t="s">
        <v>462</v>
      </c>
      <c r="W67" s="18"/>
      <c r="X67" s="19" t="s">
        <v>457</v>
      </c>
      <c r="Y67" s="20" t="s">
        <v>56</v>
      </c>
      <c r="Z67" s="176" t="s">
        <v>300</v>
      </c>
      <c r="AA67" s="116"/>
      <c r="AB67" s="353">
        <v>46082</v>
      </c>
      <c r="AC67" s="27" t="s">
        <v>455</v>
      </c>
      <c r="AD67" s="80"/>
      <c r="AE67" s="24"/>
      <c r="AG67" s="140"/>
    </row>
    <row r="68" spans="1:33" ht="27" customHeight="1">
      <c r="A68" s="15">
        <v>65</v>
      </c>
      <c r="B68" s="81">
        <v>46085</v>
      </c>
      <c r="C68" s="15" t="s">
        <v>95</v>
      </c>
      <c r="D68" s="15" t="s">
        <v>463</v>
      </c>
      <c r="E68" s="26" t="s">
        <v>97</v>
      </c>
      <c r="F68" s="27" t="s">
        <v>98</v>
      </c>
      <c r="G68" s="27">
        <v>645602</v>
      </c>
      <c r="H68" s="81">
        <v>46085</v>
      </c>
      <c r="I68" s="168">
        <v>6270379</v>
      </c>
      <c r="J68" s="28" t="s">
        <v>464</v>
      </c>
      <c r="K68" s="81">
        <v>46087</v>
      </c>
      <c r="L68" s="81">
        <v>46451</v>
      </c>
      <c r="M68" s="88" t="s">
        <v>465</v>
      </c>
      <c r="N68" s="400">
        <v>149150</v>
      </c>
      <c r="O68" s="384">
        <f>P68*7.9</f>
        <v>128550.69600000001</v>
      </c>
      <c r="P68" s="30">
        <v>16272.24</v>
      </c>
      <c r="Q68" s="31" t="s">
        <v>280</v>
      </c>
      <c r="R68" s="32"/>
      <c r="S68" s="20" t="s">
        <v>305</v>
      </c>
      <c r="T68" s="33" t="s">
        <v>466</v>
      </c>
      <c r="U68" s="114">
        <v>46087</v>
      </c>
      <c r="V68" s="115" t="s">
        <v>467</v>
      </c>
      <c r="W68" s="18"/>
      <c r="X68" s="19">
        <v>127235.9</v>
      </c>
      <c r="Y68" s="20" t="s">
        <v>66</v>
      </c>
      <c r="Z68" s="21" t="s">
        <v>106</v>
      </c>
      <c r="AA68" s="22"/>
      <c r="AB68" s="353">
        <v>46082</v>
      </c>
      <c r="AC68" s="27" t="s">
        <v>468</v>
      </c>
      <c r="AD68" s="80" t="s">
        <v>213</v>
      </c>
      <c r="AE68" s="24" t="s">
        <v>469</v>
      </c>
      <c r="AG68" s="140"/>
    </row>
    <row r="69" spans="1:33" ht="27" customHeight="1">
      <c r="A69" s="15">
        <v>66</v>
      </c>
      <c r="B69" s="81">
        <v>46083</v>
      </c>
      <c r="C69" s="15" t="s">
        <v>38</v>
      </c>
      <c r="D69" s="15" t="s">
        <v>470</v>
      </c>
      <c r="E69" s="26" t="s">
        <v>70</v>
      </c>
      <c r="F69" s="27" t="s">
        <v>41</v>
      </c>
      <c r="G69" s="27">
        <v>645600</v>
      </c>
      <c r="H69" s="81">
        <v>46086</v>
      </c>
      <c r="I69" s="27">
        <v>6271177</v>
      </c>
      <c r="J69" s="28" t="s">
        <v>471</v>
      </c>
      <c r="K69" s="81">
        <v>46077</v>
      </c>
      <c r="L69" s="81">
        <v>46806</v>
      </c>
      <c r="M69" s="88" t="s">
        <v>472</v>
      </c>
      <c r="N69" s="400">
        <v>1545755</v>
      </c>
      <c r="O69" s="384">
        <f>P69*7.9</f>
        <v>303022.35400000005</v>
      </c>
      <c r="P69" s="30">
        <v>38357.26</v>
      </c>
      <c r="Q69" s="31">
        <v>46082</v>
      </c>
      <c r="R69" s="32">
        <v>46811</v>
      </c>
      <c r="S69" s="20" t="s">
        <v>473</v>
      </c>
      <c r="T69" s="33" t="s">
        <v>474</v>
      </c>
      <c r="U69" s="16">
        <v>46093</v>
      </c>
      <c r="V69" s="17" t="s">
        <v>475</v>
      </c>
      <c r="W69" s="18"/>
      <c r="X69" s="19">
        <v>299923.09000000003</v>
      </c>
      <c r="Y69" s="20" t="s">
        <v>123</v>
      </c>
      <c r="Z69" s="20" t="s">
        <v>291</v>
      </c>
      <c r="AA69" s="116"/>
      <c r="AB69" s="353">
        <v>46082</v>
      </c>
      <c r="AC69" s="27" t="s">
        <v>476</v>
      </c>
      <c r="AD69" s="80"/>
      <c r="AE69" s="24"/>
      <c r="AF69" s="80" t="s">
        <v>477</v>
      </c>
      <c r="AG69" s="140">
        <v>46101</v>
      </c>
    </row>
    <row r="70" spans="1:33" ht="27" customHeight="1">
      <c r="A70" s="15">
        <v>67</v>
      </c>
      <c r="B70" s="81">
        <v>46085</v>
      </c>
      <c r="C70" s="15" t="s">
        <v>38</v>
      </c>
      <c r="D70" s="15" t="s">
        <v>478</v>
      </c>
      <c r="E70" s="26" t="s">
        <v>479</v>
      </c>
      <c r="F70" s="27" t="s">
        <v>41</v>
      </c>
      <c r="G70" s="27">
        <v>645600</v>
      </c>
      <c r="H70" s="81">
        <v>46087</v>
      </c>
      <c r="I70" s="27">
        <v>6271617</v>
      </c>
      <c r="J70" s="28" t="s">
        <v>480</v>
      </c>
      <c r="K70" s="81">
        <v>45165</v>
      </c>
      <c r="L70" s="81">
        <v>46260</v>
      </c>
      <c r="M70" s="88" t="s">
        <v>481</v>
      </c>
      <c r="N70" s="400">
        <v>592038</v>
      </c>
      <c r="O70" s="384">
        <f>P70*7.9</f>
        <v>26817.813999999998</v>
      </c>
      <c r="P70" s="30">
        <v>3394.66</v>
      </c>
      <c r="Q70" s="31">
        <v>46082</v>
      </c>
      <c r="R70" s="32">
        <v>46446</v>
      </c>
      <c r="S70" s="20" t="s">
        <v>473</v>
      </c>
      <c r="T70" s="33" t="s">
        <v>482</v>
      </c>
      <c r="U70" s="16">
        <v>46093</v>
      </c>
      <c r="V70" s="17" t="s">
        <v>483</v>
      </c>
      <c r="W70" s="18"/>
      <c r="X70" s="19">
        <v>26543.53</v>
      </c>
      <c r="Y70" s="20" t="s">
        <v>123</v>
      </c>
      <c r="Z70" s="20" t="s">
        <v>291</v>
      </c>
      <c r="AA70" s="116"/>
      <c r="AB70" s="353">
        <v>46082</v>
      </c>
      <c r="AC70" s="27" t="s">
        <v>484</v>
      </c>
      <c r="AD70" s="80"/>
      <c r="AE70" s="24"/>
      <c r="AF70" s="80" t="s">
        <v>485</v>
      </c>
      <c r="AG70" s="140">
        <v>46101</v>
      </c>
    </row>
    <row r="71" spans="1:33" ht="27" customHeight="1">
      <c r="A71" s="15">
        <v>68</v>
      </c>
      <c r="B71" s="81">
        <v>46090</v>
      </c>
      <c r="C71" s="15" t="s">
        <v>95</v>
      </c>
      <c r="D71" s="15" t="s">
        <v>486</v>
      </c>
      <c r="E71" s="26" t="s">
        <v>97</v>
      </c>
      <c r="F71" s="27" t="s">
        <v>98</v>
      </c>
      <c r="G71" s="27">
        <v>645602</v>
      </c>
      <c r="H71" s="81">
        <v>46090</v>
      </c>
      <c r="I71" s="27">
        <v>6272154</v>
      </c>
      <c r="J71" s="28" t="s">
        <v>151</v>
      </c>
      <c r="K71" s="81">
        <v>45627</v>
      </c>
      <c r="L71" s="81">
        <v>47087</v>
      </c>
      <c r="M71" s="88" t="s">
        <v>152</v>
      </c>
      <c r="N71" s="400">
        <v>20046880</v>
      </c>
      <c r="O71" s="384">
        <v>466667</v>
      </c>
      <c r="P71" s="30"/>
      <c r="Q71" s="31" t="s">
        <v>487</v>
      </c>
      <c r="R71" s="32"/>
      <c r="S71" s="20" t="s">
        <v>154</v>
      </c>
      <c r="T71" s="33" t="s">
        <v>424</v>
      </c>
      <c r="U71" s="114">
        <v>46108</v>
      </c>
      <c r="V71" s="115" t="s">
        <v>488</v>
      </c>
      <c r="W71" s="18"/>
      <c r="X71" s="19">
        <v>466667</v>
      </c>
      <c r="Y71" s="20" t="s">
        <v>157</v>
      </c>
      <c r="Z71" s="176" t="s">
        <v>106</v>
      </c>
      <c r="AA71" s="116"/>
      <c r="AB71" s="353">
        <v>46082</v>
      </c>
      <c r="AC71" s="27" t="s">
        <v>158</v>
      </c>
      <c r="AD71" s="80"/>
      <c r="AE71" s="24"/>
      <c r="AG71" s="140"/>
    </row>
    <row r="72" spans="1:33" ht="27" customHeight="1">
      <c r="A72" s="15">
        <v>69</v>
      </c>
      <c r="B72" s="81">
        <v>46091</v>
      </c>
      <c r="C72" s="15" t="s">
        <v>95</v>
      </c>
      <c r="D72" s="15" t="s">
        <v>489</v>
      </c>
      <c r="E72" s="26" t="s">
        <v>97</v>
      </c>
      <c r="F72" s="27" t="s">
        <v>109</v>
      </c>
      <c r="G72" s="27">
        <v>645602</v>
      </c>
      <c r="H72" s="81">
        <v>46091</v>
      </c>
      <c r="I72" s="27">
        <v>6272594</v>
      </c>
      <c r="J72" s="28" t="s">
        <v>490</v>
      </c>
      <c r="K72" s="81">
        <v>46131</v>
      </c>
      <c r="L72" s="81">
        <v>46495</v>
      </c>
      <c r="M72" s="88" t="s">
        <v>491</v>
      </c>
      <c r="N72" s="400">
        <v>9648</v>
      </c>
      <c r="O72" s="384">
        <v>9580</v>
      </c>
      <c r="P72" s="30"/>
      <c r="Q72" s="31">
        <v>46131</v>
      </c>
      <c r="R72" s="32">
        <v>46495</v>
      </c>
      <c r="S72" s="20" t="s">
        <v>492</v>
      </c>
      <c r="T72" s="33" t="s">
        <v>493</v>
      </c>
      <c r="U72" s="114">
        <v>46099</v>
      </c>
      <c r="V72" s="115" t="s">
        <v>494</v>
      </c>
      <c r="W72" s="18"/>
      <c r="X72" s="19">
        <v>9690</v>
      </c>
      <c r="Y72" s="20" t="s">
        <v>115</v>
      </c>
      <c r="Z72" s="176" t="s">
        <v>106</v>
      </c>
      <c r="AA72" s="116"/>
      <c r="AB72" s="353">
        <v>46082</v>
      </c>
      <c r="AC72" s="27" t="s">
        <v>495</v>
      </c>
      <c r="AD72" s="80" t="s">
        <v>213</v>
      </c>
      <c r="AE72" s="24"/>
      <c r="AG72" s="140"/>
    </row>
    <row r="73" spans="1:33" ht="27" customHeight="1">
      <c r="A73" s="15">
        <v>70</v>
      </c>
      <c r="B73" s="81">
        <v>46091</v>
      </c>
      <c r="C73" s="15" t="s">
        <v>95</v>
      </c>
      <c r="D73" s="15" t="s">
        <v>496</v>
      </c>
      <c r="E73" s="26" t="s">
        <v>97</v>
      </c>
      <c r="F73" s="27" t="s">
        <v>98</v>
      </c>
      <c r="G73" s="27">
        <v>645602</v>
      </c>
      <c r="H73" s="81">
        <v>46091</v>
      </c>
      <c r="I73" s="27">
        <v>6272606</v>
      </c>
      <c r="J73" s="28" t="s">
        <v>497</v>
      </c>
      <c r="K73" s="81">
        <v>46023</v>
      </c>
      <c r="L73" s="81" t="s">
        <v>498</v>
      </c>
      <c r="M73" s="88" t="s">
        <v>499</v>
      </c>
      <c r="N73" s="400">
        <v>155270</v>
      </c>
      <c r="O73" s="384">
        <v>115000</v>
      </c>
      <c r="P73" s="30"/>
      <c r="Q73" s="31">
        <v>46023</v>
      </c>
      <c r="R73" s="32">
        <v>46387</v>
      </c>
      <c r="S73" s="20" t="s">
        <v>500</v>
      </c>
      <c r="T73" s="33" t="s">
        <v>501</v>
      </c>
      <c r="U73" s="114">
        <v>46126</v>
      </c>
      <c r="V73" s="115" t="s">
        <v>502</v>
      </c>
      <c r="W73" s="18"/>
      <c r="X73" s="19">
        <v>115000</v>
      </c>
      <c r="Y73" s="20" t="s">
        <v>148</v>
      </c>
      <c r="Z73" s="176" t="s">
        <v>106</v>
      </c>
      <c r="AA73" s="116"/>
      <c r="AB73" s="353">
        <v>46082</v>
      </c>
      <c r="AC73" s="27" t="s">
        <v>503</v>
      </c>
      <c r="AD73" s="80"/>
      <c r="AE73" s="24"/>
      <c r="AG73" s="140"/>
    </row>
    <row r="74" spans="1:33" ht="27" customHeight="1">
      <c r="A74" s="91">
        <v>71</v>
      </c>
      <c r="B74" s="92">
        <v>46083</v>
      </c>
      <c r="C74" s="91" t="s">
        <v>38</v>
      </c>
      <c r="D74" s="91" t="s">
        <v>504</v>
      </c>
      <c r="E74" s="93" t="s">
        <v>70</v>
      </c>
      <c r="F74" s="94" t="s">
        <v>277</v>
      </c>
      <c r="G74" s="94">
        <v>645600</v>
      </c>
      <c r="H74" s="92">
        <v>46094</v>
      </c>
      <c r="I74" s="94">
        <v>6273875</v>
      </c>
      <c r="J74" s="95" t="s">
        <v>471</v>
      </c>
      <c r="K74" s="92">
        <v>46077</v>
      </c>
      <c r="L74" s="92">
        <v>46806</v>
      </c>
      <c r="M74" s="388" t="s">
        <v>472</v>
      </c>
      <c r="N74" s="403">
        <v>1545755</v>
      </c>
      <c r="O74" s="389">
        <v>18750</v>
      </c>
      <c r="P74" s="98"/>
      <c r="Q74" s="99">
        <v>46077</v>
      </c>
      <c r="R74" s="100">
        <v>46806</v>
      </c>
      <c r="S74" s="101" t="s">
        <v>505</v>
      </c>
      <c r="T74" s="102" t="s">
        <v>506</v>
      </c>
      <c r="U74" s="103" t="s">
        <v>507</v>
      </c>
      <c r="V74" s="104"/>
      <c r="W74" s="105"/>
      <c r="X74" s="106"/>
      <c r="Y74" s="101" t="s">
        <v>123</v>
      </c>
      <c r="Z74" s="101" t="s">
        <v>291</v>
      </c>
      <c r="AA74" s="380"/>
      <c r="AB74" s="381">
        <v>46082</v>
      </c>
      <c r="AC74" s="94" t="s">
        <v>476</v>
      </c>
      <c r="AD74" s="138"/>
      <c r="AE74" s="110" t="s">
        <v>508</v>
      </c>
      <c r="AF74" s="138"/>
      <c r="AG74" s="382"/>
    </row>
    <row r="75" spans="1:33" ht="27" customHeight="1">
      <c r="A75" s="15">
        <v>72</v>
      </c>
      <c r="B75" s="81">
        <v>46083</v>
      </c>
      <c r="C75" s="15" t="s">
        <v>38</v>
      </c>
      <c r="D75" s="15" t="s">
        <v>509</v>
      </c>
      <c r="E75" s="26" t="s">
        <v>70</v>
      </c>
      <c r="F75" s="27" t="s">
        <v>277</v>
      </c>
      <c r="G75" s="27">
        <v>645600</v>
      </c>
      <c r="H75" s="81">
        <v>46094</v>
      </c>
      <c r="I75" s="27">
        <v>6273876</v>
      </c>
      <c r="J75" s="28" t="s">
        <v>471</v>
      </c>
      <c r="K75" s="81">
        <v>46077</v>
      </c>
      <c r="L75" s="81">
        <v>46806</v>
      </c>
      <c r="M75" s="88" t="s">
        <v>472</v>
      </c>
      <c r="N75" s="400">
        <v>1545755</v>
      </c>
      <c r="O75" s="384">
        <v>14175</v>
      </c>
      <c r="P75" s="30"/>
      <c r="Q75" s="31">
        <v>45994</v>
      </c>
      <c r="R75" s="32">
        <v>46441</v>
      </c>
      <c r="S75" s="20" t="s">
        <v>510</v>
      </c>
      <c r="T75" s="33" t="s">
        <v>511</v>
      </c>
      <c r="U75" s="16">
        <v>46122</v>
      </c>
      <c r="V75" s="17" t="s">
        <v>512</v>
      </c>
      <c r="W75" s="18"/>
      <c r="X75" s="19">
        <v>14175</v>
      </c>
      <c r="Y75" s="20" t="s">
        <v>123</v>
      </c>
      <c r="Z75" s="20" t="s">
        <v>291</v>
      </c>
      <c r="AA75" s="116"/>
      <c r="AB75" s="353">
        <v>46082</v>
      </c>
      <c r="AC75" s="27" t="s">
        <v>476</v>
      </c>
      <c r="AD75" s="80"/>
      <c r="AE75" s="24"/>
      <c r="AG75" s="140"/>
    </row>
    <row r="76" spans="1:33" ht="27" customHeight="1">
      <c r="A76" s="91">
        <v>73</v>
      </c>
      <c r="B76" s="92">
        <v>46083</v>
      </c>
      <c r="C76" s="91" t="s">
        <v>38</v>
      </c>
      <c r="D76" s="91" t="s">
        <v>513</v>
      </c>
      <c r="E76" s="93" t="s">
        <v>70</v>
      </c>
      <c r="F76" s="94" t="s">
        <v>277</v>
      </c>
      <c r="G76" s="94">
        <v>645600</v>
      </c>
      <c r="H76" s="92">
        <v>46094</v>
      </c>
      <c r="I76" s="94">
        <v>6273879</v>
      </c>
      <c r="J76" s="95" t="s">
        <v>471</v>
      </c>
      <c r="K76" s="92">
        <v>46077</v>
      </c>
      <c r="L76" s="92">
        <v>46806</v>
      </c>
      <c r="M76" s="388" t="s">
        <v>472</v>
      </c>
      <c r="N76" s="403">
        <v>1545755</v>
      </c>
      <c r="O76" s="389">
        <v>11200</v>
      </c>
      <c r="P76" s="98"/>
      <c r="Q76" s="99">
        <v>46077</v>
      </c>
      <c r="R76" s="100">
        <v>46806</v>
      </c>
      <c r="S76" s="101" t="s">
        <v>514</v>
      </c>
      <c r="T76" s="101" t="s">
        <v>515</v>
      </c>
      <c r="U76" s="103" t="s">
        <v>507</v>
      </c>
      <c r="V76" s="104"/>
      <c r="W76" s="105"/>
      <c r="X76" s="106"/>
      <c r="Y76" s="101" t="s">
        <v>123</v>
      </c>
      <c r="Z76" s="101" t="s">
        <v>291</v>
      </c>
      <c r="AA76" s="380"/>
      <c r="AB76" s="381">
        <v>46082</v>
      </c>
      <c r="AC76" s="94" t="s">
        <v>476</v>
      </c>
      <c r="AD76" s="138"/>
      <c r="AE76" s="110" t="s">
        <v>508</v>
      </c>
      <c r="AF76" s="138"/>
      <c r="AG76" s="382"/>
    </row>
    <row r="77" spans="1:33" ht="27" customHeight="1">
      <c r="A77" s="15">
        <v>74</v>
      </c>
      <c r="B77" s="81">
        <v>46085</v>
      </c>
      <c r="C77" s="15" t="s">
        <v>38</v>
      </c>
      <c r="D77" s="15" t="s">
        <v>516</v>
      </c>
      <c r="E77" s="26" t="s">
        <v>479</v>
      </c>
      <c r="F77" s="27" t="s">
        <v>41</v>
      </c>
      <c r="G77" s="27">
        <v>645600</v>
      </c>
      <c r="H77" s="81">
        <v>46094</v>
      </c>
      <c r="I77" s="27">
        <v>6273880</v>
      </c>
      <c r="J77" s="28" t="s">
        <v>517</v>
      </c>
      <c r="K77" s="81">
        <v>45413</v>
      </c>
      <c r="L77" s="81">
        <v>46507</v>
      </c>
      <c r="M77" s="28" t="s">
        <v>518</v>
      </c>
      <c r="N77" s="400">
        <v>1329483</v>
      </c>
      <c r="O77" s="384">
        <f>P77*7.9</f>
        <v>49013.417000000001</v>
      </c>
      <c r="P77" s="30">
        <v>6204.23</v>
      </c>
      <c r="Q77" s="31">
        <v>46113</v>
      </c>
      <c r="R77" s="32">
        <v>46507</v>
      </c>
      <c r="S77" s="20" t="s">
        <v>473</v>
      </c>
      <c r="T77" s="33" t="s">
        <v>519</v>
      </c>
      <c r="U77" s="16">
        <v>46107</v>
      </c>
      <c r="V77" s="17" t="s">
        <v>520</v>
      </c>
      <c r="W77" s="18"/>
      <c r="X77" s="19">
        <v>48512.12</v>
      </c>
      <c r="Y77" s="20" t="s">
        <v>47</v>
      </c>
      <c r="Z77" s="20" t="s">
        <v>291</v>
      </c>
      <c r="AA77" s="116"/>
      <c r="AB77" s="353">
        <v>46082</v>
      </c>
      <c r="AC77" s="27" t="s">
        <v>521</v>
      </c>
      <c r="AD77" s="80"/>
      <c r="AE77" s="24"/>
      <c r="AG77" s="140"/>
    </row>
    <row r="78" spans="1:33" ht="27" customHeight="1">
      <c r="A78" s="15">
        <v>75</v>
      </c>
      <c r="B78" s="81">
        <v>46098</v>
      </c>
      <c r="C78" s="15" t="s">
        <v>38</v>
      </c>
      <c r="D78" s="15" t="s">
        <v>522</v>
      </c>
      <c r="E78" s="26" t="s">
        <v>479</v>
      </c>
      <c r="F78" s="27" t="s">
        <v>41</v>
      </c>
      <c r="G78" s="27">
        <v>645600</v>
      </c>
      <c r="H78" s="81">
        <v>46098</v>
      </c>
      <c r="I78" s="27">
        <v>6274933</v>
      </c>
      <c r="J78" s="28" t="s">
        <v>523</v>
      </c>
      <c r="K78" s="81">
        <v>46220</v>
      </c>
      <c r="L78" s="81">
        <v>46584</v>
      </c>
      <c r="M78" s="28" t="s">
        <v>524</v>
      </c>
      <c r="N78" s="400">
        <v>110065</v>
      </c>
      <c r="O78" s="384">
        <f>P78*7.9</f>
        <v>50744.623</v>
      </c>
      <c r="P78" s="30">
        <v>6423.37</v>
      </c>
      <c r="Q78" s="31">
        <v>46054</v>
      </c>
      <c r="R78" s="32">
        <v>47149</v>
      </c>
      <c r="S78" s="20" t="s">
        <v>525</v>
      </c>
      <c r="T78" s="33" t="s">
        <v>526</v>
      </c>
      <c r="U78" s="16">
        <v>46113</v>
      </c>
      <c r="V78" s="17" t="s">
        <v>527</v>
      </c>
      <c r="W78" s="18"/>
      <c r="X78" s="19">
        <v>50225.61</v>
      </c>
      <c r="Y78" s="20" t="s">
        <v>123</v>
      </c>
      <c r="Z78" s="20" t="s">
        <v>291</v>
      </c>
      <c r="AA78" s="116"/>
      <c r="AB78" s="353">
        <v>46082</v>
      </c>
      <c r="AC78" s="27" t="s">
        <v>528</v>
      </c>
      <c r="AD78" s="80" t="s">
        <v>213</v>
      </c>
      <c r="AE78" s="24"/>
      <c r="AF78" s="80">
        <v>404415667</v>
      </c>
      <c r="AG78" s="140">
        <v>46132</v>
      </c>
    </row>
    <row r="79" spans="1:33" ht="27" customHeight="1">
      <c r="A79" s="15">
        <v>76</v>
      </c>
      <c r="B79" s="81">
        <v>46097</v>
      </c>
      <c r="C79" s="15" t="s">
        <v>38</v>
      </c>
      <c r="D79" s="15" t="s">
        <v>529</v>
      </c>
      <c r="E79" s="26" t="s">
        <v>479</v>
      </c>
      <c r="F79" s="27" t="s">
        <v>41</v>
      </c>
      <c r="G79" s="27">
        <v>645600</v>
      </c>
      <c r="H79" s="81">
        <v>46099</v>
      </c>
      <c r="I79" s="27">
        <v>6275338</v>
      </c>
      <c r="J79" s="28" t="s">
        <v>530</v>
      </c>
      <c r="K79" s="81">
        <v>45960</v>
      </c>
      <c r="L79" s="81">
        <v>46689</v>
      </c>
      <c r="M79" s="28" t="s">
        <v>531</v>
      </c>
      <c r="N79" s="400">
        <v>202382.4</v>
      </c>
      <c r="O79" s="384">
        <f>P79*7.9</f>
        <v>30352.037000000004</v>
      </c>
      <c r="P79" s="30">
        <v>3842.03</v>
      </c>
      <c r="Q79" s="31">
        <v>46113</v>
      </c>
      <c r="R79" s="32">
        <v>46477</v>
      </c>
      <c r="S79" s="20" t="s">
        <v>525</v>
      </c>
      <c r="T79" s="33" t="s">
        <v>532</v>
      </c>
      <c r="U79" s="16">
        <v>46107</v>
      </c>
      <c r="V79" s="17" t="s">
        <v>533</v>
      </c>
      <c r="W79" s="18"/>
      <c r="X79" s="19">
        <v>30041.599999999999</v>
      </c>
      <c r="Y79" s="20" t="s">
        <v>123</v>
      </c>
      <c r="Z79" s="20" t="s">
        <v>291</v>
      </c>
      <c r="AA79" s="116"/>
      <c r="AB79" s="353">
        <v>46082</v>
      </c>
      <c r="AC79" s="27" t="s">
        <v>534</v>
      </c>
      <c r="AD79" s="80"/>
      <c r="AE79" s="24"/>
      <c r="AG79" s="140"/>
    </row>
    <row r="80" spans="1:33" ht="27" customHeight="1">
      <c r="A80" s="15">
        <v>77</v>
      </c>
      <c r="B80" s="81">
        <v>46099</v>
      </c>
      <c r="C80" s="15" t="s">
        <v>38</v>
      </c>
      <c r="D80" s="15" t="s">
        <v>535</v>
      </c>
      <c r="E80" s="26" t="s">
        <v>40</v>
      </c>
      <c r="F80" s="27" t="s">
        <v>41</v>
      </c>
      <c r="G80" s="27">
        <v>645600</v>
      </c>
      <c r="H80" s="81">
        <v>46099</v>
      </c>
      <c r="I80" s="27">
        <v>6275339</v>
      </c>
      <c r="J80" s="28" t="s">
        <v>536</v>
      </c>
      <c r="K80" s="81">
        <v>45870</v>
      </c>
      <c r="L80" s="81">
        <v>46234</v>
      </c>
      <c r="M80" s="34" t="s">
        <v>537</v>
      </c>
      <c r="N80" s="400">
        <v>11802786.199999999</v>
      </c>
      <c r="O80" s="384">
        <f>P80*7.9</f>
        <v>35238.424000000006</v>
      </c>
      <c r="P80" s="30">
        <v>4460.5600000000004</v>
      </c>
      <c r="Q80" s="31">
        <v>46113</v>
      </c>
      <c r="R80" s="32">
        <v>46477</v>
      </c>
      <c r="S80" s="20" t="s">
        <v>538</v>
      </c>
      <c r="T80" s="33" t="s">
        <v>539</v>
      </c>
      <c r="U80" s="16">
        <v>46104</v>
      </c>
      <c r="V80" s="17" t="s">
        <v>540</v>
      </c>
      <c r="W80" s="18"/>
      <c r="X80" s="19">
        <v>34878.01</v>
      </c>
      <c r="Y80" s="20" t="s">
        <v>541</v>
      </c>
      <c r="Z80" s="176" t="s">
        <v>48</v>
      </c>
      <c r="AA80" s="116"/>
      <c r="AB80" s="353">
        <v>46082</v>
      </c>
      <c r="AC80" s="27" t="s">
        <v>542</v>
      </c>
      <c r="AD80" s="80" t="s">
        <v>213</v>
      </c>
      <c r="AE80" s="24" t="s">
        <v>543</v>
      </c>
      <c r="AG80" s="140"/>
    </row>
    <row r="81" spans="1:33" ht="27" customHeight="1">
      <c r="A81" s="15">
        <v>78</v>
      </c>
      <c r="B81" s="81">
        <v>46098</v>
      </c>
      <c r="C81" s="15" t="s">
        <v>38</v>
      </c>
      <c r="D81" s="15" t="s">
        <v>544</v>
      </c>
      <c r="E81" s="26" t="s">
        <v>70</v>
      </c>
      <c r="F81" s="27" t="s">
        <v>41</v>
      </c>
      <c r="G81" s="27">
        <v>645600</v>
      </c>
      <c r="H81" s="81">
        <v>46100</v>
      </c>
      <c r="I81" s="27">
        <v>6275853</v>
      </c>
      <c r="J81" s="28" t="s">
        <v>545</v>
      </c>
      <c r="K81" s="81">
        <v>46114</v>
      </c>
      <c r="L81" s="81">
        <v>46478</v>
      </c>
      <c r="M81" s="34" t="s">
        <v>546</v>
      </c>
      <c r="N81" s="400">
        <v>71500</v>
      </c>
      <c r="O81" s="384">
        <v>7800</v>
      </c>
      <c r="P81" s="30"/>
      <c r="Q81" s="31">
        <v>46114</v>
      </c>
      <c r="R81" s="32">
        <v>46478</v>
      </c>
      <c r="S81" s="20" t="s">
        <v>120</v>
      </c>
      <c r="T81" s="33" t="s">
        <v>547</v>
      </c>
      <c r="U81" s="16">
        <v>46107</v>
      </c>
      <c r="V81" s="17" t="s">
        <v>548</v>
      </c>
      <c r="W81" s="18"/>
      <c r="X81" s="19">
        <v>7800</v>
      </c>
      <c r="Y81" s="20" t="s">
        <v>47</v>
      </c>
      <c r="Z81" s="20" t="s">
        <v>291</v>
      </c>
      <c r="AA81" s="116"/>
      <c r="AB81" s="353">
        <v>46082</v>
      </c>
      <c r="AC81" s="27" t="s">
        <v>549</v>
      </c>
      <c r="AD81" s="80"/>
      <c r="AE81" s="24"/>
      <c r="AG81" s="140"/>
    </row>
    <row r="82" spans="1:33" ht="27" customHeight="1">
      <c r="A82" s="15">
        <v>79</v>
      </c>
      <c r="B82" s="81">
        <v>46099</v>
      </c>
      <c r="C82" s="15" t="s">
        <v>38</v>
      </c>
      <c r="D82" s="15" t="s">
        <v>550</v>
      </c>
      <c r="E82" s="26" t="s">
        <v>70</v>
      </c>
      <c r="F82" s="27" t="s">
        <v>41</v>
      </c>
      <c r="G82" s="27">
        <v>645600</v>
      </c>
      <c r="H82" s="81">
        <v>46100</v>
      </c>
      <c r="I82" s="27">
        <v>6275862</v>
      </c>
      <c r="J82" s="28" t="s">
        <v>551</v>
      </c>
      <c r="K82" s="81">
        <v>46106</v>
      </c>
      <c r="L82" s="81">
        <v>46470</v>
      </c>
      <c r="M82" s="34" t="s">
        <v>552</v>
      </c>
      <c r="N82" s="400">
        <v>695630</v>
      </c>
      <c r="O82" s="384">
        <f>P82*7.9</f>
        <v>41443.4</v>
      </c>
      <c r="P82" s="30">
        <v>5246</v>
      </c>
      <c r="Q82" s="31">
        <v>46137</v>
      </c>
      <c r="R82" s="32">
        <v>46501</v>
      </c>
      <c r="S82" s="20" t="s">
        <v>73</v>
      </c>
      <c r="T82" s="33" t="s">
        <v>553</v>
      </c>
      <c r="U82" s="16">
        <v>46107</v>
      </c>
      <c r="V82" s="17" t="s">
        <v>554</v>
      </c>
      <c r="W82" s="18">
        <v>46125</v>
      </c>
      <c r="X82" s="19">
        <v>41019.519999999997</v>
      </c>
      <c r="Y82" s="20" t="s">
        <v>47</v>
      </c>
      <c r="Z82" s="176" t="s">
        <v>300</v>
      </c>
      <c r="AA82" s="116"/>
      <c r="AB82" s="353">
        <v>46082</v>
      </c>
      <c r="AC82" s="27" t="s">
        <v>555</v>
      </c>
      <c r="AD82" s="80" t="s">
        <v>213</v>
      </c>
      <c r="AE82" s="24"/>
      <c r="AG82" s="140"/>
    </row>
    <row r="83" spans="1:33" ht="27" customHeight="1">
      <c r="A83" s="15">
        <v>80</v>
      </c>
      <c r="B83" s="81">
        <v>46099</v>
      </c>
      <c r="C83" s="15" t="s">
        <v>38</v>
      </c>
      <c r="D83" s="15" t="s">
        <v>556</v>
      </c>
      <c r="E83" s="26" t="s">
        <v>70</v>
      </c>
      <c r="F83" s="27" t="s">
        <v>41</v>
      </c>
      <c r="G83" s="27">
        <v>645600</v>
      </c>
      <c r="H83" s="81">
        <v>46100</v>
      </c>
      <c r="I83" s="27">
        <v>6275863</v>
      </c>
      <c r="J83" s="28" t="s">
        <v>551</v>
      </c>
      <c r="K83" s="81">
        <v>46106</v>
      </c>
      <c r="L83" s="81">
        <v>46470</v>
      </c>
      <c r="M83" s="34" t="s">
        <v>552</v>
      </c>
      <c r="N83" s="400">
        <v>695630</v>
      </c>
      <c r="O83" s="384">
        <f>P83*7.9</f>
        <v>233050</v>
      </c>
      <c r="P83" s="30">
        <f>38093-6000-2593</f>
        <v>29500</v>
      </c>
      <c r="Q83" s="31">
        <v>46106</v>
      </c>
      <c r="R83" s="32">
        <v>46470</v>
      </c>
      <c r="S83" s="20" t="s">
        <v>557</v>
      </c>
      <c r="T83" s="33" t="s">
        <v>558</v>
      </c>
      <c r="U83" s="16">
        <v>46106</v>
      </c>
      <c r="V83" s="17" t="s">
        <v>559</v>
      </c>
      <c r="W83" s="18">
        <v>46132</v>
      </c>
      <c r="X83" s="19">
        <v>230666.4</v>
      </c>
      <c r="Y83" s="20" t="s">
        <v>47</v>
      </c>
      <c r="Z83" s="176" t="s">
        <v>300</v>
      </c>
      <c r="AA83" s="116"/>
      <c r="AB83" s="353">
        <v>46082</v>
      </c>
      <c r="AC83" s="27" t="s">
        <v>555</v>
      </c>
      <c r="AD83" s="80" t="s">
        <v>213</v>
      </c>
      <c r="AE83" s="24"/>
      <c r="AG83" s="140"/>
    </row>
    <row r="84" spans="1:33" ht="27" customHeight="1">
      <c r="A84" s="15">
        <v>81</v>
      </c>
      <c r="B84" s="81">
        <v>46099</v>
      </c>
      <c r="C84" s="15" t="s">
        <v>38</v>
      </c>
      <c r="D84" s="15" t="s">
        <v>560</v>
      </c>
      <c r="E84" s="26" t="s">
        <v>70</v>
      </c>
      <c r="F84" s="27" t="s">
        <v>41</v>
      </c>
      <c r="G84" s="27">
        <v>645600</v>
      </c>
      <c r="H84" s="81">
        <v>46100</v>
      </c>
      <c r="I84" s="27">
        <v>6275864</v>
      </c>
      <c r="J84" s="28" t="s">
        <v>551</v>
      </c>
      <c r="K84" s="81">
        <v>46106</v>
      </c>
      <c r="L84" s="81">
        <v>46470</v>
      </c>
      <c r="M84" s="34" t="s">
        <v>552</v>
      </c>
      <c r="N84" s="400">
        <v>695630</v>
      </c>
      <c r="O84" s="384">
        <v>68000</v>
      </c>
      <c r="P84" s="30"/>
      <c r="Q84" s="31">
        <v>46204</v>
      </c>
      <c r="R84" s="32">
        <v>46568</v>
      </c>
      <c r="S84" s="20" t="s">
        <v>557</v>
      </c>
      <c r="T84" s="33" t="s">
        <v>561</v>
      </c>
      <c r="U84" s="16">
        <v>46107</v>
      </c>
      <c r="V84" s="17" t="s">
        <v>562</v>
      </c>
      <c r="W84" s="18">
        <v>46163</v>
      </c>
      <c r="X84" s="19">
        <v>68000</v>
      </c>
      <c r="Y84" s="20" t="s">
        <v>47</v>
      </c>
      <c r="Z84" s="176" t="s">
        <v>300</v>
      </c>
      <c r="AA84" s="116"/>
      <c r="AB84" s="353">
        <v>46082</v>
      </c>
      <c r="AC84" s="27" t="s">
        <v>555</v>
      </c>
      <c r="AD84" s="80" t="s">
        <v>213</v>
      </c>
      <c r="AE84" s="24" t="s">
        <v>563</v>
      </c>
      <c r="AG84" s="140"/>
    </row>
    <row r="85" spans="1:33" ht="27" customHeight="1">
      <c r="A85" s="15">
        <v>82</v>
      </c>
      <c r="B85" s="81">
        <v>46099</v>
      </c>
      <c r="C85" s="15" t="s">
        <v>38</v>
      </c>
      <c r="D85" s="15" t="s">
        <v>564</v>
      </c>
      <c r="E85" s="26" t="s">
        <v>70</v>
      </c>
      <c r="F85" s="27" t="s">
        <v>41</v>
      </c>
      <c r="G85" s="27">
        <v>645600</v>
      </c>
      <c r="H85" s="81">
        <v>46100</v>
      </c>
      <c r="I85" s="27">
        <v>6275865</v>
      </c>
      <c r="J85" s="28" t="s">
        <v>551</v>
      </c>
      <c r="K85" s="81">
        <v>46106</v>
      </c>
      <c r="L85" s="81">
        <v>46470</v>
      </c>
      <c r="M85" s="34" t="s">
        <v>552</v>
      </c>
      <c r="N85" s="400">
        <v>695630</v>
      </c>
      <c r="O85" s="384">
        <v>63000</v>
      </c>
      <c r="P85" s="30"/>
      <c r="Q85" s="31">
        <v>46106</v>
      </c>
      <c r="R85" s="32">
        <v>46470</v>
      </c>
      <c r="S85" s="20" t="s">
        <v>557</v>
      </c>
      <c r="T85" s="33" t="s">
        <v>565</v>
      </c>
      <c r="U85" s="16">
        <v>46107</v>
      </c>
      <c r="V85" s="17" t="s">
        <v>566</v>
      </c>
      <c r="W85" s="18">
        <v>46132</v>
      </c>
      <c r="X85" s="19">
        <v>63000</v>
      </c>
      <c r="Y85" s="20" t="s">
        <v>47</v>
      </c>
      <c r="Z85" s="176" t="s">
        <v>300</v>
      </c>
      <c r="AA85" s="116"/>
      <c r="AB85" s="353">
        <v>46082</v>
      </c>
      <c r="AC85" s="27" t="s">
        <v>555</v>
      </c>
      <c r="AD85" s="80" t="s">
        <v>213</v>
      </c>
      <c r="AE85" s="24"/>
      <c r="AG85" s="140"/>
    </row>
    <row r="86" spans="1:33" ht="27" customHeight="1">
      <c r="A86" s="15">
        <v>83</v>
      </c>
      <c r="B86" s="81">
        <v>46099</v>
      </c>
      <c r="C86" s="15" t="s">
        <v>38</v>
      </c>
      <c r="D86" s="15" t="s">
        <v>567</v>
      </c>
      <c r="E86" s="26" t="s">
        <v>70</v>
      </c>
      <c r="F86" s="27" t="s">
        <v>41</v>
      </c>
      <c r="G86" s="27">
        <v>645600</v>
      </c>
      <c r="H86" s="81">
        <v>46100</v>
      </c>
      <c r="I86" s="27">
        <v>6275866</v>
      </c>
      <c r="J86" s="28" t="s">
        <v>551</v>
      </c>
      <c r="K86" s="81">
        <v>46106</v>
      </c>
      <c r="L86" s="81">
        <v>46470</v>
      </c>
      <c r="M86" s="34" t="s">
        <v>552</v>
      </c>
      <c r="N86" s="400">
        <v>695630</v>
      </c>
      <c r="O86" s="384">
        <v>32952</v>
      </c>
      <c r="P86" s="30"/>
      <c r="Q86" s="31">
        <v>46106</v>
      </c>
      <c r="R86" s="32">
        <v>46470</v>
      </c>
      <c r="S86" s="20" t="s">
        <v>557</v>
      </c>
      <c r="T86" s="33" t="s">
        <v>568</v>
      </c>
      <c r="U86" s="16">
        <v>46107</v>
      </c>
      <c r="V86" s="17" t="s">
        <v>569</v>
      </c>
      <c r="W86" s="18">
        <v>46163</v>
      </c>
      <c r="X86" s="19">
        <v>32952</v>
      </c>
      <c r="Y86" s="20" t="s">
        <v>47</v>
      </c>
      <c r="Z86" s="176" t="s">
        <v>300</v>
      </c>
      <c r="AA86" s="116"/>
      <c r="AB86" s="353">
        <v>46082</v>
      </c>
      <c r="AC86" s="27" t="s">
        <v>555</v>
      </c>
      <c r="AD86" s="80" t="s">
        <v>213</v>
      </c>
      <c r="AE86" s="24"/>
      <c r="AG86" s="140"/>
    </row>
    <row r="87" spans="1:33" ht="27" customHeight="1">
      <c r="A87" s="15">
        <v>84</v>
      </c>
      <c r="B87" s="81">
        <v>46100</v>
      </c>
      <c r="C87" s="15" t="s">
        <v>95</v>
      </c>
      <c r="D87" s="15" t="s">
        <v>570</v>
      </c>
      <c r="E87" s="26" t="s">
        <v>97</v>
      </c>
      <c r="F87" s="27" t="s">
        <v>109</v>
      </c>
      <c r="G87" s="27">
        <v>645602</v>
      </c>
      <c r="H87" s="81">
        <v>46101</v>
      </c>
      <c r="I87" s="27">
        <v>6276002</v>
      </c>
      <c r="J87" s="28" t="s">
        <v>571</v>
      </c>
      <c r="K87" s="81">
        <v>46082</v>
      </c>
      <c r="L87" s="81">
        <v>46812</v>
      </c>
      <c r="M87" s="390" t="s">
        <v>572</v>
      </c>
      <c r="N87" s="400">
        <v>376200</v>
      </c>
      <c r="O87" s="384">
        <v>228000</v>
      </c>
      <c r="P87" s="30"/>
      <c r="Q87" s="31">
        <v>46082</v>
      </c>
      <c r="R87" s="32">
        <v>46812</v>
      </c>
      <c r="S87" s="20" t="s">
        <v>573</v>
      </c>
      <c r="T87" s="33" t="s">
        <v>574</v>
      </c>
      <c r="U87" s="114">
        <v>46111</v>
      </c>
      <c r="V87" s="115" t="s">
        <v>575</v>
      </c>
      <c r="W87" s="18"/>
      <c r="X87" s="19">
        <v>228000</v>
      </c>
      <c r="Y87" s="20" t="s">
        <v>541</v>
      </c>
      <c r="Z87" s="176" t="s">
        <v>106</v>
      </c>
      <c r="AA87" s="116"/>
      <c r="AB87" s="353">
        <v>46082</v>
      </c>
      <c r="AC87" s="27" t="s">
        <v>576</v>
      </c>
      <c r="AD87" s="80" t="s">
        <v>213</v>
      </c>
      <c r="AE87" s="24"/>
      <c r="AG87" s="140"/>
    </row>
    <row r="88" spans="1:33" ht="27" customHeight="1">
      <c r="A88" s="15">
        <v>85</v>
      </c>
      <c r="B88" s="81">
        <v>46100</v>
      </c>
      <c r="C88" s="15" t="s">
        <v>95</v>
      </c>
      <c r="D88" s="15" t="s">
        <v>577</v>
      </c>
      <c r="E88" s="26" t="s">
        <v>97</v>
      </c>
      <c r="F88" s="27" t="s">
        <v>98</v>
      </c>
      <c r="G88" s="27">
        <v>645602</v>
      </c>
      <c r="H88" s="81">
        <v>46101</v>
      </c>
      <c r="I88" s="15">
        <v>6276154</v>
      </c>
      <c r="J88" s="28" t="s">
        <v>571</v>
      </c>
      <c r="K88" s="81">
        <v>46082</v>
      </c>
      <c r="L88" s="81">
        <v>46812</v>
      </c>
      <c r="M88" s="390" t="s">
        <v>572</v>
      </c>
      <c r="N88" s="400">
        <v>376200</v>
      </c>
      <c r="O88" s="384">
        <v>18706</v>
      </c>
      <c r="P88" s="30"/>
      <c r="Q88" s="31" t="s">
        <v>578</v>
      </c>
      <c r="R88" s="32"/>
      <c r="S88" s="20" t="s">
        <v>579</v>
      </c>
      <c r="T88" s="33" t="s">
        <v>580</v>
      </c>
      <c r="U88" s="114">
        <v>46113</v>
      </c>
      <c r="V88" s="115" t="s">
        <v>581</v>
      </c>
      <c r="W88" s="18"/>
      <c r="X88" s="19">
        <v>18706</v>
      </c>
      <c r="Y88" s="20" t="s">
        <v>541</v>
      </c>
      <c r="Z88" s="176" t="s">
        <v>106</v>
      </c>
      <c r="AA88" s="116"/>
      <c r="AB88" s="353">
        <v>46082</v>
      </c>
      <c r="AC88" s="27" t="s">
        <v>582</v>
      </c>
      <c r="AD88" s="80" t="s">
        <v>213</v>
      </c>
      <c r="AE88" s="24"/>
      <c r="AG88" s="140"/>
    </row>
    <row r="89" spans="1:33" ht="27" customHeight="1">
      <c r="A89" s="15">
        <v>86</v>
      </c>
      <c r="B89" s="81">
        <v>46100</v>
      </c>
      <c r="C89" s="15" t="s">
        <v>95</v>
      </c>
      <c r="D89" s="15" t="s">
        <v>583</v>
      </c>
      <c r="E89" s="26" t="s">
        <v>97</v>
      </c>
      <c r="F89" s="27" t="s">
        <v>109</v>
      </c>
      <c r="G89" s="15">
        <v>645602</v>
      </c>
      <c r="H89" s="81">
        <v>46101</v>
      </c>
      <c r="I89" s="15">
        <v>6276224</v>
      </c>
      <c r="J89" s="28" t="s">
        <v>584</v>
      </c>
      <c r="K89" s="81">
        <v>46049</v>
      </c>
      <c r="L89" s="81">
        <v>46413</v>
      </c>
      <c r="M89" s="390" t="s">
        <v>585</v>
      </c>
      <c r="N89" s="400">
        <v>22600</v>
      </c>
      <c r="O89" s="384">
        <v>19000</v>
      </c>
      <c r="P89" s="30"/>
      <c r="Q89" s="31">
        <v>46049</v>
      </c>
      <c r="R89" s="32">
        <v>46413</v>
      </c>
      <c r="S89" s="20" t="s">
        <v>586</v>
      </c>
      <c r="T89" s="33" t="s">
        <v>587</v>
      </c>
      <c r="U89" s="114">
        <v>46169</v>
      </c>
      <c r="V89" s="115" t="s">
        <v>588</v>
      </c>
      <c r="W89" s="18"/>
      <c r="X89" s="19">
        <v>19000</v>
      </c>
      <c r="Y89" s="20" t="s">
        <v>589</v>
      </c>
      <c r="Z89" s="176" t="s">
        <v>106</v>
      </c>
      <c r="AA89" s="116"/>
      <c r="AB89" s="353">
        <v>46082</v>
      </c>
      <c r="AC89" s="27" t="s">
        <v>590</v>
      </c>
      <c r="AD89" s="80"/>
      <c r="AE89" s="24"/>
      <c r="AG89" s="140"/>
    </row>
    <row r="90" spans="1:33" ht="27" customHeight="1">
      <c r="A90" s="15">
        <v>87</v>
      </c>
      <c r="B90" s="81">
        <v>46101</v>
      </c>
      <c r="C90" s="15" t="s">
        <v>95</v>
      </c>
      <c r="D90" s="15" t="s">
        <v>591</v>
      </c>
      <c r="E90" s="26" t="s">
        <v>97</v>
      </c>
      <c r="F90" s="27" t="s">
        <v>98</v>
      </c>
      <c r="G90" s="15">
        <v>645602</v>
      </c>
      <c r="H90" s="81">
        <v>46101</v>
      </c>
      <c r="I90" s="15">
        <v>6276232</v>
      </c>
      <c r="J90" s="28" t="s">
        <v>592</v>
      </c>
      <c r="K90" s="81">
        <v>46010</v>
      </c>
      <c r="L90" s="81">
        <v>46413</v>
      </c>
      <c r="M90" s="390" t="s">
        <v>593</v>
      </c>
      <c r="N90" s="400">
        <v>37340</v>
      </c>
      <c r="O90" s="384">
        <v>29500</v>
      </c>
      <c r="P90" s="30"/>
      <c r="Q90" s="31">
        <v>45992</v>
      </c>
      <c r="R90" s="342">
        <v>46374</v>
      </c>
      <c r="S90" s="341" t="s">
        <v>594</v>
      </c>
      <c r="T90" s="33" t="s">
        <v>595</v>
      </c>
      <c r="U90" s="114">
        <v>46113</v>
      </c>
      <c r="V90" s="115" t="s">
        <v>596</v>
      </c>
      <c r="W90" s="18"/>
      <c r="X90" s="19">
        <v>29500</v>
      </c>
      <c r="Y90" s="176" t="s">
        <v>89</v>
      </c>
      <c r="Z90" s="176" t="s">
        <v>106</v>
      </c>
      <c r="AA90" s="116"/>
      <c r="AB90" s="353">
        <v>46082</v>
      </c>
      <c r="AC90" s="27" t="s">
        <v>597</v>
      </c>
      <c r="AD90" s="80" t="s">
        <v>213</v>
      </c>
      <c r="AE90" s="24"/>
      <c r="AG90" s="140"/>
    </row>
    <row r="91" spans="1:33" ht="27" customHeight="1">
      <c r="A91" s="15">
        <v>88</v>
      </c>
      <c r="B91" s="81">
        <v>46100</v>
      </c>
      <c r="C91" s="15" t="s">
        <v>38</v>
      </c>
      <c r="D91" s="15" t="s">
        <v>598</v>
      </c>
      <c r="E91" s="26" t="s">
        <v>40</v>
      </c>
      <c r="F91" s="27" t="s">
        <v>41</v>
      </c>
      <c r="G91" s="27">
        <v>645600</v>
      </c>
      <c r="H91" s="81">
        <v>46101</v>
      </c>
      <c r="I91" s="27">
        <v>6276241</v>
      </c>
      <c r="J91" s="28" t="s">
        <v>266</v>
      </c>
      <c r="K91" s="81">
        <v>46023</v>
      </c>
      <c r="L91" s="81">
        <v>47118</v>
      </c>
      <c r="M91" s="34" t="s">
        <v>406</v>
      </c>
      <c r="N91" s="400">
        <v>5384841.9900000002</v>
      </c>
      <c r="O91" s="384">
        <v>9000</v>
      </c>
      <c r="P91" s="30"/>
      <c r="Q91" s="31">
        <v>46023</v>
      </c>
      <c r="R91" s="32">
        <v>46387</v>
      </c>
      <c r="S91" s="20" t="s">
        <v>599</v>
      </c>
      <c r="T91" s="33" t="s">
        <v>600</v>
      </c>
      <c r="U91" s="16">
        <v>46107</v>
      </c>
      <c r="V91" s="17" t="s">
        <v>601</v>
      </c>
      <c r="W91" s="18"/>
      <c r="X91" s="19">
        <v>9000</v>
      </c>
      <c r="Y91" s="20" t="s">
        <v>602</v>
      </c>
      <c r="Z91" s="176" t="s">
        <v>48</v>
      </c>
      <c r="AA91" s="116"/>
      <c r="AB91" s="353">
        <v>46082</v>
      </c>
      <c r="AC91" s="27" t="s">
        <v>270</v>
      </c>
      <c r="AD91" s="80"/>
      <c r="AE91" s="24"/>
      <c r="AG91" s="140"/>
    </row>
    <row r="92" spans="1:33" ht="27" customHeight="1">
      <c r="A92" s="15">
        <v>89</v>
      </c>
      <c r="B92" s="258">
        <v>46100</v>
      </c>
      <c r="C92" s="257" t="s">
        <v>38</v>
      </c>
      <c r="D92" s="257" t="s">
        <v>603</v>
      </c>
      <c r="E92" s="259" t="s">
        <v>70</v>
      </c>
      <c r="F92" s="260" t="s">
        <v>41</v>
      </c>
      <c r="G92" s="260">
        <v>645600</v>
      </c>
      <c r="H92" s="258">
        <v>46101</v>
      </c>
      <c r="I92" s="260">
        <v>6276249</v>
      </c>
      <c r="J92" s="261" t="s">
        <v>604</v>
      </c>
      <c r="K92" s="258">
        <v>46067</v>
      </c>
      <c r="L92" s="258">
        <v>46441</v>
      </c>
      <c r="M92" s="391" t="s">
        <v>605</v>
      </c>
      <c r="N92" s="404">
        <v>252630</v>
      </c>
      <c r="O92" s="392">
        <v>13600</v>
      </c>
      <c r="P92" s="263"/>
      <c r="Q92" s="264" t="s">
        <v>606</v>
      </c>
      <c r="R92" s="265"/>
      <c r="S92" s="266" t="s">
        <v>607</v>
      </c>
      <c r="T92" s="267" t="s">
        <v>608</v>
      </c>
      <c r="U92" s="268" t="s">
        <v>609</v>
      </c>
      <c r="V92" s="269" t="s">
        <v>609</v>
      </c>
      <c r="W92" s="270"/>
      <c r="X92" s="271" t="s">
        <v>609</v>
      </c>
      <c r="Y92" s="266" t="s">
        <v>56</v>
      </c>
      <c r="Z92" s="266" t="s">
        <v>291</v>
      </c>
      <c r="AA92" s="284"/>
      <c r="AB92" s="354">
        <v>46082</v>
      </c>
      <c r="AC92" s="260" t="s">
        <v>610</v>
      </c>
      <c r="AD92" s="274"/>
      <c r="AE92" s="285" t="s">
        <v>611</v>
      </c>
      <c r="AG92" s="140"/>
    </row>
    <row r="93" spans="1:33" ht="27" customHeight="1">
      <c r="A93" s="15">
        <v>90</v>
      </c>
      <c r="B93" s="81">
        <v>46104</v>
      </c>
      <c r="C93" s="15" t="s">
        <v>38</v>
      </c>
      <c r="D93" s="15" t="s">
        <v>612</v>
      </c>
      <c r="E93" s="26" t="s">
        <v>59</v>
      </c>
      <c r="F93" s="27" t="s">
        <v>41</v>
      </c>
      <c r="G93" s="27">
        <v>645600</v>
      </c>
      <c r="H93" s="81">
        <v>46105</v>
      </c>
      <c r="I93" s="27">
        <v>6277211</v>
      </c>
      <c r="J93" s="28" t="s">
        <v>613</v>
      </c>
      <c r="K93" s="81">
        <v>46110</v>
      </c>
      <c r="L93" s="81">
        <v>46474</v>
      </c>
      <c r="M93" s="34" t="s">
        <v>614</v>
      </c>
      <c r="N93" s="400">
        <v>45000</v>
      </c>
      <c r="O93" s="384">
        <v>16968</v>
      </c>
      <c r="P93" s="30"/>
      <c r="Q93" s="31">
        <v>46110</v>
      </c>
      <c r="R93" s="32">
        <v>46474</v>
      </c>
      <c r="S93" s="20" t="s">
        <v>120</v>
      </c>
      <c r="T93" s="33" t="s">
        <v>615</v>
      </c>
      <c r="U93" s="16">
        <v>46107</v>
      </c>
      <c r="V93" s="17" t="s">
        <v>616</v>
      </c>
      <c r="W93" s="18">
        <v>46178</v>
      </c>
      <c r="X93" s="19">
        <v>16968</v>
      </c>
      <c r="Y93" s="20" t="s">
        <v>47</v>
      </c>
      <c r="Z93" s="20" t="s">
        <v>67</v>
      </c>
      <c r="AA93" s="116"/>
      <c r="AB93" s="353">
        <v>46082</v>
      </c>
      <c r="AC93" s="27" t="s">
        <v>617</v>
      </c>
      <c r="AD93" s="80" t="s">
        <v>213</v>
      </c>
      <c r="AE93" s="24"/>
      <c r="AG93" s="140"/>
    </row>
    <row r="94" spans="1:33" ht="27" customHeight="1">
      <c r="A94" s="15">
        <v>91</v>
      </c>
      <c r="B94" s="81">
        <v>46105</v>
      </c>
      <c r="C94" s="15" t="s">
        <v>38</v>
      </c>
      <c r="D94" s="15" t="s">
        <v>618</v>
      </c>
      <c r="E94" s="26" t="s">
        <v>40</v>
      </c>
      <c r="F94" s="27" t="s">
        <v>41</v>
      </c>
      <c r="G94" s="27">
        <v>645600</v>
      </c>
      <c r="H94" s="81">
        <v>46105</v>
      </c>
      <c r="I94" s="27">
        <v>6277238</v>
      </c>
      <c r="J94" s="28" t="s">
        <v>619</v>
      </c>
      <c r="K94" s="81">
        <v>46110</v>
      </c>
      <c r="L94" s="81">
        <v>46840</v>
      </c>
      <c r="M94" s="34" t="s">
        <v>620</v>
      </c>
      <c r="N94" s="400">
        <v>3396605</v>
      </c>
      <c r="O94" s="384">
        <f>P94*7.9</f>
        <v>485639.54400000005</v>
      </c>
      <c r="P94" s="30">
        <v>61473.36</v>
      </c>
      <c r="Q94" s="31">
        <v>46112</v>
      </c>
      <c r="R94" s="32">
        <v>46842</v>
      </c>
      <c r="S94" s="20" t="s">
        <v>92</v>
      </c>
      <c r="T94" s="33" t="s">
        <v>621</v>
      </c>
      <c r="U94" s="16">
        <v>46107</v>
      </c>
      <c r="V94" s="17" t="s">
        <v>622</v>
      </c>
      <c r="W94" s="18" t="s">
        <v>389</v>
      </c>
      <c r="X94" s="19">
        <v>480672.5</v>
      </c>
      <c r="Y94" s="20" t="s">
        <v>322</v>
      </c>
      <c r="Z94" s="176" t="s">
        <v>48</v>
      </c>
      <c r="AA94" s="116"/>
      <c r="AB94" s="353">
        <v>46082</v>
      </c>
      <c r="AC94" s="27" t="s">
        <v>623</v>
      </c>
      <c r="AD94" s="80" t="s">
        <v>213</v>
      </c>
      <c r="AE94" s="24" t="s">
        <v>624</v>
      </c>
      <c r="AG94" s="140"/>
    </row>
    <row r="95" spans="1:33" ht="27" customHeight="1">
      <c r="A95" s="15">
        <v>92</v>
      </c>
      <c r="B95" s="81">
        <v>46105</v>
      </c>
      <c r="C95" s="15" t="s">
        <v>38</v>
      </c>
      <c r="D95" s="283" t="s">
        <v>625</v>
      </c>
      <c r="E95" s="26" t="s">
        <v>40</v>
      </c>
      <c r="F95" s="27" t="s">
        <v>41</v>
      </c>
      <c r="G95" s="27">
        <v>645600</v>
      </c>
      <c r="H95" s="81">
        <v>46105</v>
      </c>
      <c r="I95" s="27">
        <v>6277244</v>
      </c>
      <c r="J95" s="28" t="s">
        <v>254</v>
      </c>
      <c r="K95" s="81">
        <v>45809</v>
      </c>
      <c r="L95" s="81">
        <v>46173</v>
      </c>
      <c r="M95" s="88" t="s">
        <v>255</v>
      </c>
      <c r="N95" s="400">
        <v>1311056</v>
      </c>
      <c r="O95" s="384">
        <f>P95*7.9</f>
        <v>22855.964</v>
      </c>
      <c r="P95" s="30">
        <v>2893.16</v>
      </c>
      <c r="Q95" s="31">
        <v>46113</v>
      </c>
      <c r="R95" s="32">
        <v>46477</v>
      </c>
      <c r="S95" s="20" t="s">
        <v>256</v>
      </c>
      <c r="T95" s="33" t="s">
        <v>626</v>
      </c>
      <c r="U95" s="16">
        <v>46108</v>
      </c>
      <c r="V95" s="17" t="s">
        <v>627</v>
      </c>
      <c r="W95" s="18"/>
      <c r="X95" s="19">
        <v>22622.2</v>
      </c>
      <c r="Y95" s="20" t="s">
        <v>259</v>
      </c>
      <c r="Z95" s="20" t="s">
        <v>48</v>
      </c>
      <c r="AA95" s="116"/>
      <c r="AB95" s="353">
        <v>46082</v>
      </c>
      <c r="AC95" s="27" t="s">
        <v>260</v>
      </c>
      <c r="AD95" s="80"/>
      <c r="AE95" s="24"/>
      <c r="AG95" s="140"/>
    </row>
    <row r="96" spans="1:33" ht="27" customHeight="1">
      <c r="A96" s="15">
        <v>93</v>
      </c>
      <c r="B96" s="81">
        <v>46107</v>
      </c>
      <c r="C96" s="15" t="s">
        <v>95</v>
      </c>
      <c r="D96" s="15" t="s">
        <v>628</v>
      </c>
      <c r="E96" s="26" t="s">
        <v>97</v>
      </c>
      <c r="F96" s="27" t="s">
        <v>98</v>
      </c>
      <c r="G96" s="15">
        <v>645602</v>
      </c>
      <c r="H96" s="81">
        <v>46107</v>
      </c>
      <c r="I96" s="15">
        <v>6278031</v>
      </c>
      <c r="J96" s="28" t="s">
        <v>629</v>
      </c>
      <c r="K96" s="81">
        <v>45978</v>
      </c>
      <c r="L96" s="81">
        <v>46342</v>
      </c>
      <c r="M96" s="88" t="s">
        <v>630</v>
      </c>
      <c r="N96" s="400">
        <v>92000</v>
      </c>
      <c r="O96" s="384">
        <v>80000</v>
      </c>
      <c r="P96" s="30"/>
      <c r="Q96" s="31">
        <v>45978</v>
      </c>
      <c r="R96" s="32">
        <v>46342</v>
      </c>
      <c r="S96" s="20" t="s">
        <v>631</v>
      </c>
      <c r="T96" s="33" t="s">
        <v>632</v>
      </c>
      <c r="U96" s="114">
        <v>46142</v>
      </c>
      <c r="V96" s="115" t="s">
        <v>633</v>
      </c>
      <c r="W96" s="18"/>
      <c r="X96" s="19">
        <v>80000</v>
      </c>
      <c r="Y96" s="20" t="s">
        <v>634</v>
      </c>
      <c r="Z96" s="176" t="s">
        <v>106</v>
      </c>
      <c r="AA96" s="116"/>
      <c r="AB96" s="353">
        <v>46082</v>
      </c>
      <c r="AC96" s="27" t="s">
        <v>635</v>
      </c>
      <c r="AD96" s="80" t="s">
        <v>213</v>
      </c>
      <c r="AE96" s="24"/>
      <c r="AG96" s="140"/>
    </row>
    <row r="97" spans="1:33" ht="27" customHeight="1">
      <c r="A97" s="15">
        <v>94</v>
      </c>
      <c r="B97" s="81">
        <v>46111</v>
      </c>
      <c r="C97" s="15" t="s">
        <v>38</v>
      </c>
      <c r="D97" s="15" t="s">
        <v>636</v>
      </c>
      <c r="E97" s="26" t="s">
        <v>70</v>
      </c>
      <c r="F97" s="27" t="s">
        <v>41</v>
      </c>
      <c r="G97" s="27">
        <v>645600</v>
      </c>
      <c r="H97" s="81">
        <v>46111</v>
      </c>
      <c r="I97" s="27">
        <v>6278951</v>
      </c>
      <c r="J97" s="28" t="s">
        <v>637</v>
      </c>
      <c r="K97" s="81">
        <v>45981</v>
      </c>
      <c r="L97" s="81">
        <v>46345</v>
      </c>
      <c r="M97" s="34" t="s">
        <v>638</v>
      </c>
      <c r="N97" s="400">
        <v>79320</v>
      </c>
      <c r="O97" s="384">
        <f>P97*7.9</f>
        <v>16590</v>
      </c>
      <c r="P97" s="30">
        <v>2100</v>
      </c>
      <c r="Q97" s="31">
        <v>45981</v>
      </c>
      <c r="R97" s="32">
        <v>46345</v>
      </c>
      <c r="S97" s="20" t="s">
        <v>73</v>
      </c>
      <c r="T97" s="33" t="s">
        <v>639</v>
      </c>
      <c r="U97" s="16">
        <v>46113</v>
      </c>
      <c r="V97" s="17" t="s">
        <v>640</v>
      </c>
      <c r="W97" s="18">
        <v>46135</v>
      </c>
      <c r="X97" s="19">
        <v>16420.32</v>
      </c>
      <c r="Y97" s="20" t="s">
        <v>56</v>
      </c>
      <c r="Z97" s="176" t="s">
        <v>300</v>
      </c>
      <c r="AA97" s="116"/>
      <c r="AB97" s="353">
        <v>46082</v>
      </c>
      <c r="AC97" s="27" t="s">
        <v>641</v>
      </c>
      <c r="AD97" s="80" t="s">
        <v>213</v>
      </c>
      <c r="AE97" s="24" t="s">
        <v>642</v>
      </c>
      <c r="AG97" s="140"/>
    </row>
    <row r="98" spans="1:33" ht="27" customHeight="1">
      <c r="A98" s="15">
        <v>95</v>
      </c>
      <c r="B98" s="81">
        <v>46111</v>
      </c>
      <c r="C98" s="15" t="s">
        <v>38</v>
      </c>
      <c r="D98" s="15" t="s">
        <v>643</v>
      </c>
      <c r="E98" s="26" t="s">
        <v>70</v>
      </c>
      <c r="F98" s="27" t="s">
        <v>41</v>
      </c>
      <c r="G98" s="27">
        <v>645600</v>
      </c>
      <c r="H98" s="81">
        <v>46111</v>
      </c>
      <c r="I98" s="27">
        <v>6279036</v>
      </c>
      <c r="J98" s="28" t="s">
        <v>644</v>
      </c>
      <c r="K98" s="81">
        <v>46083</v>
      </c>
      <c r="L98" s="81">
        <v>46447</v>
      </c>
      <c r="M98" s="34" t="s">
        <v>645</v>
      </c>
      <c r="N98" s="400">
        <v>371000</v>
      </c>
      <c r="O98" s="384">
        <f>P98*7.9</f>
        <v>30557.200000000001</v>
      </c>
      <c r="P98" s="30">
        <v>3868</v>
      </c>
      <c r="Q98" s="31">
        <v>46113</v>
      </c>
      <c r="R98" s="32">
        <v>46477</v>
      </c>
      <c r="S98" s="20" t="s">
        <v>73</v>
      </c>
      <c r="T98" s="33" t="s">
        <v>646</v>
      </c>
      <c r="U98" s="16">
        <v>46113</v>
      </c>
      <c r="V98" s="17" t="s">
        <v>647</v>
      </c>
      <c r="W98" s="18"/>
      <c r="X98" s="19">
        <v>30244.67</v>
      </c>
      <c r="Y98" s="20" t="s">
        <v>56</v>
      </c>
      <c r="Z98" s="176" t="s">
        <v>300</v>
      </c>
      <c r="AA98" s="116"/>
      <c r="AB98" s="353">
        <v>46082</v>
      </c>
      <c r="AC98" s="27" t="s">
        <v>648</v>
      </c>
      <c r="AD98" s="80"/>
      <c r="AE98" s="24"/>
      <c r="AG98" s="140"/>
    </row>
    <row r="99" spans="1:33" s="134" customFormat="1" ht="27" customHeight="1">
      <c r="A99" s="15">
        <v>96</v>
      </c>
      <c r="B99" s="81">
        <v>46114</v>
      </c>
      <c r="C99" s="15" t="s">
        <v>38</v>
      </c>
      <c r="D99" s="15" t="s">
        <v>649</v>
      </c>
      <c r="E99" s="26" t="s">
        <v>70</v>
      </c>
      <c r="F99" s="27" t="s">
        <v>41</v>
      </c>
      <c r="G99" s="27">
        <v>645600</v>
      </c>
      <c r="H99" s="81">
        <v>46120</v>
      </c>
      <c r="I99" s="27">
        <v>6280953</v>
      </c>
      <c r="J99" s="28" t="s">
        <v>650</v>
      </c>
      <c r="K99" s="81">
        <v>45992</v>
      </c>
      <c r="L99" s="81">
        <v>46356</v>
      </c>
      <c r="M99" s="34" t="s">
        <v>651</v>
      </c>
      <c r="N99" s="400">
        <v>217746</v>
      </c>
      <c r="O99" s="384">
        <f>P99*7.9</f>
        <v>58952.170000000006</v>
      </c>
      <c r="P99" s="30">
        <v>7462.3</v>
      </c>
      <c r="Q99" s="31">
        <v>46113</v>
      </c>
      <c r="R99" s="32">
        <v>46477</v>
      </c>
      <c r="S99" s="20" t="s">
        <v>525</v>
      </c>
      <c r="T99" s="33" t="s">
        <v>652</v>
      </c>
      <c r="U99" s="16">
        <v>46122</v>
      </c>
      <c r="V99" s="17" t="s">
        <v>653</v>
      </c>
      <c r="W99" s="18"/>
      <c r="X99" s="19">
        <v>58410.41</v>
      </c>
      <c r="Y99" s="20" t="s">
        <v>123</v>
      </c>
      <c r="Z99" s="176" t="s">
        <v>654</v>
      </c>
      <c r="AA99" s="116"/>
      <c r="AB99" s="353">
        <v>46113</v>
      </c>
      <c r="AC99" s="27" t="s">
        <v>655</v>
      </c>
      <c r="AD99" s="80"/>
      <c r="AE99" s="24"/>
      <c r="AF99" s="80">
        <v>404415664</v>
      </c>
      <c r="AG99" s="140">
        <v>46132</v>
      </c>
    </row>
    <row r="100" spans="1:33" ht="27" customHeight="1">
      <c r="A100" s="15">
        <v>97</v>
      </c>
      <c r="B100" s="81">
        <v>46114</v>
      </c>
      <c r="C100" s="15" t="s">
        <v>38</v>
      </c>
      <c r="D100" s="15" t="s">
        <v>656</v>
      </c>
      <c r="E100" s="26" t="s">
        <v>70</v>
      </c>
      <c r="F100" s="27" t="s">
        <v>277</v>
      </c>
      <c r="G100" s="27">
        <v>645600</v>
      </c>
      <c r="H100" s="81">
        <v>46121</v>
      </c>
      <c r="I100" s="27">
        <v>6281359</v>
      </c>
      <c r="J100" s="28" t="s">
        <v>657</v>
      </c>
      <c r="K100" s="81">
        <v>46128</v>
      </c>
      <c r="L100" s="81">
        <v>46492</v>
      </c>
      <c r="M100" s="34" t="s">
        <v>658</v>
      </c>
      <c r="N100" s="400">
        <v>225300</v>
      </c>
      <c r="O100" s="384">
        <v>4800</v>
      </c>
      <c r="P100" s="30"/>
      <c r="Q100" s="31">
        <v>46200</v>
      </c>
      <c r="R100" s="32">
        <v>46564</v>
      </c>
      <c r="S100" s="20" t="s">
        <v>599</v>
      </c>
      <c r="T100" s="33" t="s">
        <v>659</v>
      </c>
      <c r="U100" s="16">
        <v>46129</v>
      </c>
      <c r="V100" s="17" t="s">
        <v>660</v>
      </c>
      <c r="W100" s="18"/>
      <c r="X100" s="19">
        <v>4800</v>
      </c>
      <c r="Y100" s="20" t="s">
        <v>123</v>
      </c>
      <c r="Z100" s="176" t="s">
        <v>654</v>
      </c>
      <c r="AA100" s="116"/>
      <c r="AB100" s="353">
        <v>46113</v>
      </c>
      <c r="AC100" s="27" t="s">
        <v>661</v>
      </c>
      <c r="AD100" s="80"/>
      <c r="AE100" s="24"/>
      <c r="AG100" s="140"/>
    </row>
    <row r="101" spans="1:33" s="134" customFormat="1" ht="27" customHeight="1">
      <c r="A101" s="15">
        <v>98</v>
      </c>
      <c r="B101" s="81">
        <v>46114</v>
      </c>
      <c r="C101" s="15" t="s">
        <v>38</v>
      </c>
      <c r="D101" s="15" t="s">
        <v>662</v>
      </c>
      <c r="E101" s="26" t="s">
        <v>70</v>
      </c>
      <c r="F101" s="27" t="s">
        <v>277</v>
      </c>
      <c r="G101" s="27">
        <v>645600</v>
      </c>
      <c r="H101" s="81">
        <v>46121</v>
      </c>
      <c r="I101" s="27">
        <v>6281363</v>
      </c>
      <c r="J101" s="28" t="s">
        <v>657</v>
      </c>
      <c r="K101" s="81">
        <v>46128</v>
      </c>
      <c r="L101" s="81">
        <v>46492</v>
      </c>
      <c r="M101" s="34" t="s">
        <v>658</v>
      </c>
      <c r="N101" s="400">
        <v>225300</v>
      </c>
      <c r="O101" s="384">
        <v>5000</v>
      </c>
      <c r="P101" s="30"/>
      <c r="Q101" s="31">
        <v>46169</v>
      </c>
      <c r="R101" s="32">
        <v>46533</v>
      </c>
      <c r="S101" s="20" t="s">
        <v>599</v>
      </c>
      <c r="T101" s="33" t="s">
        <v>663</v>
      </c>
      <c r="U101" s="16">
        <v>46126</v>
      </c>
      <c r="V101" s="17" t="s">
        <v>664</v>
      </c>
      <c r="W101" s="18"/>
      <c r="X101" s="19">
        <v>5000</v>
      </c>
      <c r="Y101" s="20" t="s">
        <v>123</v>
      </c>
      <c r="Z101" s="176" t="s">
        <v>654</v>
      </c>
      <c r="AA101" s="116"/>
      <c r="AB101" s="353">
        <v>46113</v>
      </c>
      <c r="AC101" s="27" t="s">
        <v>661</v>
      </c>
      <c r="AD101" s="80"/>
      <c r="AE101" s="24"/>
      <c r="AF101" s="80"/>
      <c r="AG101" s="140"/>
    </row>
    <row r="102" spans="1:33" ht="27" customHeight="1">
      <c r="A102" s="15">
        <v>99</v>
      </c>
      <c r="B102" s="81">
        <v>46114</v>
      </c>
      <c r="C102" s="15" t="s">
        <v>38</v>
      </c>
      <c r="D102" s="15" t="s">
        <v>665</v>
      </c>
      <c r="E102" s="26" t="s">
        <v>70</v>
      </c>
      <c r="F102" s="27" t="s">
        <v>277</v>
      </c>
      <c r="G102" s="27">
        <v>645600</v>
      </c>
      <c r="H102" s="81">
        <v>46121</v>
      </c>
      <c r="I102" s="27">
        <v>6281366</v>
      </c>
      <c r="J102" s="28" t="s">
        <v>657</v>
      </c>
      <c r="K102" s="81">
        <v>46128</v>
      </c>
      <c r="L102" s="81">
        <v>46492</v>
      </c>
      <c r="M102" s="34" t="s">
        <v>658</v>
      </c>
      <c r="N102" s="400">
        <v>225300</v>
      </c>
      <c r="O102" s="384">
        <v>4875</v>
      </c>
      <c r="P102" s="30"/>
      <c r="Q102" s="31">
        <v>46235</v>
      </c>
      <c r="R102" s="32">
        <v>46599</v>
      </c>
      <c r="S102" s="20" t="s">
        <v>666</v>
      </c>
      <c r="T102" s="33" t="s">
        <v>667</v>
      </c>
      <c r="U102" s="16">
        <v>46126</v>
      </c>
      <c r="V102" s="17" t="s">
        <v>668</v>
      </c>
      <c r="W102" s="18"/>
      <c r="X102" s="19">
        <v>4875</v>
      </c>
      <c r="Y102" s="20" t="s">
        <v>123</v>
      </c>
      <c r="Z102" s="176" t="s">
        <v>654</v>
      </c>
      <c r="AA102" s="116"/>
      <c r="AB102" s="353">
        <v>46113</v>
      </c>
      <c r="AC102" s="27" t="s">
        <v>661</v>
      </c>
      <c r="AD102" s="80"/>
      <c r="AE102" s="24"/>
      <c r="AG102" s="140"/>
    </row>
    <row r="103" spans="1:33" ht="27" customHeight="1">
      <c r="A103" s="15">
        <v>100</v>
      </c>
      <c r="B103" s="81">
        <v>46120</v>
      </c>
      <c r="C103" s="15" t="s">
        <v>38</v>
      </c>
      <c r="D103" s="15" t="s">
        <v>669</v>
      </c>
      <c r="E103" s="26" t="s">
        <v>40</v>
      </c>
      <c r="F103" s="27" t="s">
        <v>277</v>
      </c>
      <c r="G103" s="27">
        <v>645600</v>
      </c>
      <c r="H103" s="81">
        <v>46121</v>
      </c>
      <c r="I103" s="27">
        <v>6281452</v>
      </c>
      <c r="J103" s="28" t="s">
        <v>670</v>
      </c>
      <c r="K103" s="81">
        <v>46174</v>
      </c>
      <c r="L103" s="81">
        <v>46538</v>
      </c>
      <c r="M103" s="34" t="s">
        <v>671</v>
      </c>
      <c r="N103" s="400">
        <v>4750</v>
      </c>
      <c r="O103" s="384">
        <v>4500</v>
      </c>
      <c r="P103" s="30"/>
      <c r="Q103" s="31">
        <v>46174</v>
      </c>
      <c r="R103" s="32">
        <v>46538</v>
      </c>
      <c r="S103" s="20" t="s">
        <v>505</v>
      </c>
      <c r="T103" s="33" t="s">
        <v>672</v>
      </c>
      <c r="U103" s="16">
        <v>46125</v>
      </c>
      <c r="V103" s="17" t="s">
        <v>673</v>
      </c>
      <c r="W103" s="18"/>
      <c r="X103" s="19">
        <v>4500</v>
      </c>
      <c r="Y103" s="20" t="s">
        <v>541</v>
      </c>
      <c r="Z103" s="20" t="s">
        <v>48</v>
      </c>
      <c r="AA103" s="116"/>
      <c r="AB103" s="353">
        <v>46113</v>
      </c>
      <c r="AC103" s="27" t="s">
        <v>674</v>
      </c>
      <c r="AD103" s="80" t="s">
        <v>213</v>
      </c>
      <c r="AE103" s="24" t="s">
        <v>675</v>
      </c>
      <c r="AG103" s="140"/>
    </row>
    <row r="104" spans="1:33" ht="27" customHeight="1">
      <c r="A104" s="15">
        <v>101</v>
      </c>
      <c r="B104" s="81">
        <v>46120</v>
      </c>
      <c r="C104" s="15" t="s">
        <v>38</v>
      </c>
      <c r="D104" s="15" t="s">
        <v>676</v>
      </c>
      <c r="E104" s="26" t="s">
        <v>70</v>
      </c>
      <c r="F104" s="27" t="s">
        <v>277</v>
      </c>
      <c r="G104" s="27">
        <v>645600</v>
      </c>
      <c r="H104" s="81">
        <v>46121</v>
      </c>
      <c r="I104" s="27">
        <v>6281461</v>
      </c>
      <c r="J104" s="28" t="s">
        <v>677</v>
      </c>
      <c r="K104" s="81">
        <v>46102</v>
      </c>
      <c r="L104" s="81">
        <v>46466</v>
      </c>
      <c r="M104" s="34" t="s">
        <v>678</v>
      </c>
      <c r="N104" s="400">
        <v>113600</v>
      </c>
      <c r="O104" s="384">
        <v>4100</v>
      </c>
      <c r="P104" s="30"/>
      <c r="Q104" s="31">
        <v>46102</v>
      </c>
      <c r="R104" s="32">
        <v>46466</v>
      </c>
      <c r="S104" s="20" t="s">
        <v>666</v>
      </c>
      <c r="T104" s="33" t="s">
        <v>679</v>
      </c>
      <c r="U104" s="16">
        <v>46129</v>
      </c>
      <c r="V104" s="17" t="s">
        <v>680</v>
      </c>
      <c r="W104" s="18"/>
      <c r="X104" s="19">
        <v>4100</v>
      </c>
      <c r="Y104" s="20" t="s">
        <v>290</v>
      </c>
      <c r="Z104" s="176" t="s">
        <v>654</v>
      </c>
      <c r="AA104" s="116"/>
      <c r="AB104" s="353">
        <v>46113</v>
      </c>
      <c r="AC104" s="27" t="s">
        <v>681</v>
      </c>
      <c r="AD104" s="80" t="s">
        <v>213</v>
      </c>
      <c r="AE104" s="24"/>
      <c r="AG104" s="140"/>
    </row>
    <row r="105" spans="1:33" ht="27" customHeight="1">
      <c r="A105" s="15">
        <v>102</v>
      </c>
      <c r="B105" s="81">
        <v>46121</v>
      </c>
      <c r="C105" s="15" t="s">
        <v>38</v>
      </c>
      <c r="D105" s="15" t="s">
        <v>682</v>
      </c>
      <c r="E105" s="26" t="s">
        <v>40</v>
      </c>
      <c r="F105" s="27" t="s">
        <v>41</v>
      </c>
      <c r="G105" s="27">
        <v>645600</v>
      </c>
      <c r="H105" s="81">
        <v>46121</v>
      </c>
      <c r="I105" s="27">
        <v>6281463</v>
      </c>
      <c r="J105" s="28" t="s">
        <v>411</v>
      </c>
      <c r="K105" s="81">
        <v>45839</v>
      </c>
      <c r="L105" s="81">
        <v>46203</v>
      </c>
      <c r="M105" s="34" t="s">
        <v>683</v>
      </c>
      <c r="N105" s="400">
        <v>1268060</v>
      </c>
      <c r="O105" s="384">
        <f>P105*7.9</f>
        <v>8943.8270000000011</v>
      </c>
      <c r="P105" s="30">
        <v>1132.1300000000001</v>
      </c>
      <c r="Q105" s="31">
        <v>45839</v>
      </c>
      <c r="R105" s="32">
        <v>46203</v>
      </c>
      <c r="S105" s="20" t="s">
        <v>684</v>
      </c>
      <c r="T105" s="33" t="s">
        <v>685</v>
      </c>
      <c r="U105" s="16">
        <v>46150</v>
      </c>
      <c r="V105" s="17" t="s">
        <v>686</v>
      </c>
      <c r="W105" s="18"/>
      <c r="X105" s="19">
        <v>8861.6299999999992</v>
      </c>
      <c r="Y105" s="20" t="s">
        <v>245</v>
      </c>
      <c r="Z105" s="20" t="s">
        <v>48</v>
      </c>
      <c r="AA105" s="116"/>
      <c r="AB105" s="353">
        <v>46113</v>
      </c>
      <c r="AC105" s="27" t="s">
        <v>687</v>
      </c>
      <c r="AD105" s="80" t="s">
        <v>213</v>
      </c>
      <c r="AE105" s="24" t="s">
        <v>688</v>
      </c>
      <c r="AG105" s="140"/>
    </row>
    <row r="106" spans="1:33" ht="27" customHeight="1">
      <c r="A106" s="15">
        <v>103</v>
      </c>
      <c r="B106" s="81">
        <v>46121</v>
      </c>
      <c r="C106" s="15" t="s">
        <v>38</v>
      </c>
      <c r="D106" s="15" t="s">
        <v>689</v>
      </c>
      <c r="E106" s="26" t="s">
        <v>40</v>
      </c>
      <c r="F106" s="27" t="s">
        <v>41</v>
      </c>
      <c r="G106" s="27">
        <v>645600</v>
      </c>
      <c r="H106" s="81">
        <v>46122</v>
      </c>
      <c r="I106" s="27">
        <v>6281817</v>
      </c>
      <c r="J106" s="28" t="s">
        <v>411</v>
      </c>
      <c r="K106" s="81">
        <v>45474</v>
      </c>
      <c r="L106" s="81">
        <v>45838</v>
      </c>
      <c r="M106" s="34" t="s">
        <v>690</v>
      </c>
      <c r="N106" s="400">
        <v>1268060</v>
      </c>
      <c r="O106" s="384">
        <f>P106*7.9</f>
        <v>8943.8270000000011</v>
      </c>
      <c r="P106" s="30">
        <v>1132.1300000000001</v>
      </c>
      <c r="Q106" s="31">
        <v>45474</v>
      </c>
      <c r="R106" s="32">
        <v>45838</v>
      </c>
      <c r="S106" s="20" t="s">
        <v>684</v>
      </c>
      <c r="T106" s="33" t="s">
        <v>691</v>
      </c>
      <c r="U106" s="16">
        <v>46150</v>
      </c>
      <c r="V106" s="17" t="s">
        <v>692</v>
      </c>
      <c r="W106" s="18"/>
      <c r="X106" s="19">
        <v>8861.6299999999992</v>
      </c>
      <c r="Y106" s="20" t="s">
        <v>245</v>
      </c>
      <c r="Z106" s="20" t="s">
        <v>48</v>
      </c>
      <c r="AA106" s="116"/>
      <c r="AB106" s="353">
        <v>46113</v>
      </c>
      <c r="AC106" s="27" t="s">
        <v>693</v>
      </c>
      <c r="AD106" s="80" t="s">
        <v>213</v>
      </c>
      <c r="AE106" s="24" t="s">
        <v>694</v>
      </c>
      <c r="AG106" s="140"/>
    </row>
    <row r="107" spans="1:33" ht="27" customHeight="1">
      <c r="A107" s="15">
        <v>104</v>
      </c>
      <c r="B107" s="81">
        <v>46122</v>
      </c>
      <c r="C107" s="15" t="s">
        <v>95</v>
      </c>
      <c r="D107" s="15" t="s">
        <v>695</v>
      </c>
      <c r="E107" s="26" t="s">
        <v>97</v>
      </c>
      <c r="F107" s="27" t="s">
        <v>109</v>
      </c>
      <c r="G107" s="27">
        <v>645602</v>
      </c>
      <c r="H107" s="81">
        <v>46126</v>
      </c>
      <c r="I107" s="27">
        <v>6282534</v>
      </c>
      <c r="J107" s="28" t="s">
        <v>696</v>
      </c>
      <c r="K107" s="81">
        <v>46137</v>
      </c>
      <c r="L107" s="81">
        <v>46501</v>
      </c>
      <c r="M107" s="34" t="s">
        <v>697</v>
      </c>
      <c r="N107" s="400">
        <v>18000</v>
      </c>
      <c r="O107" s="384">
        <v>15000</v>
      </c>
      <c r="P107" s="30"/>
      <c r="Q107" s="31">
        <v>46137</v>
      </c>
      <c r="R107" s="32">
        <v>46501</v>
      </c>
      <c r="S107" s="20" t="s">
        <v>586</v>
      </c>
      <c r="T107" s="33" t="s">
        <v>698</v>
      </c>
      <c r="U107" s="114">
        <v>46139</v>
      </c>
      <c r="V107" s="115" t="s">
        <v>699</v>
      </c>
      <c r="W107" s="18"/>
      <c r="X107" s="19">
        <v>15000</v>
      </c>
      <c r="Y107" s="20" t="s">
        <v>165</v>
      </c>
      <c r="Z107" s="176" t="s">
        <v>106</v>
      </c>
      <c r="AA107" s="116"/>
      <c r="AB107" s="353">
        <v>46113</v>
      </c>
      <c r="AC107" s="27" t="s">
        <v>700</v>
      </c>
      <c r="AD107" s="80" t="s">
        <v>213</v>
      </c>
      <c r="AE107" s="24"/>
      <c r="AG107" s="140"/>
    </row>
    <row r="108" spans="1:33" ht="27" customHeight="1">
      <c r="A108" s="15">
        <v>105</v>
      </c>
      <c r="B108" s="81">
        <v>46121</v>
      </c>
      <c r="C108" s="15" t="s">
        <v>38</v>
      </c>
      <c r="D108" s="15" t="s">
        <v>701</v>
      </c>
      <c r="E108" s="26" t="s">
        <v>70</v>
      </c>
      <c r="F108" s="27" t="s">
        <v>277</v>
      </c>
      <c r="G108" s="27">
        <v>645600</v>
      </c>
      <c r="H108" s="81">
        <v>46126</v>
      </c>
      <c r="I108" s="27">
        <v>6282663</v>
      </c>
      <c r="J108" s="28" t="s">
        <v>702</v>
      </c>
      <c r="K108" s="81">
        <v>46160</v>
      </c>
      <c r="L108" s="81">
        <v>46524</v>
      </c>
      <c r="M108" s="34" t="s">
        <v>703</v>
      </c>
      <c r="N108" s="400">
        <v>37797</v>
      </c>
      <c r="O108" s="384">
        <v>16677</v>
      </c>
      <c r="P108" s="30"/>
      <c r="Q108" s="31">
        <v>46143</v>
      </c>
      <c r="R108" s="32">
        <v>46507</v>
      </c>
      <c r="S108" s="20" t="s">
        <v>557</v>
      </c>
      <c r="T108" s="33" t="s">
        <v>704</v>
      </c>
      <c r="U108" s="16">
        <v>46146</v>
      </c>
      <c r="V108" s="17" t="s">
        <v>705</v>
      </c>
      <c r="W108" s="18"/>
      <c r="X108" s="19">
        <v>16677</v>
      </c>
      <c r="Y108" s="20" t="s">
        <v>336</v>
      </c>
      <c r="Z108" s="176" t="s">
        <v>300</v>
      </c>
      <c r="AA108" s="116"/>
      <c r="AB108" s="353">
        <v>46113</v>
      </c>
      <c r="AC108" s="27" t="s">
        <v>706</v>
      </c>
      <c r="AD108" s="80"/>
      <c r="AE108" s="24"/>
      <c r="AG108" s="140"/>
    </row>
    <row r="109" spans="1:33" ht="27" customHeight="1">
      <c r="A109" s="15">
        <v>106</v>
      </c>
      <c r="B109" s="81">
        <v>46126</v>
      </c>
      <c r="C109" s="15" t="s">
        <v>38</v>
      </c>
      <c r="D109" s="15" t="s">
        <v>707</v>
      </c>
      <c r="E109" s="26" t="s">
        <v>70</v>
      </c>
      <c r="F109" s="27" t="s">
        <v>41</v>
      </c>
      <c r="G109" s="27">
        <v>645600</v>
      </c>
      <c r="H109" s="81">
        <v>46128</v>
      </c>
      <c r="I109" s="27">
        <v>6283549</v>
      </c>
      <c r="J109" s="28" t="s">
        <v>708</v>
      </c>
      <c r="K109" s="81">
        <v>46145</v>
      </c>
      <c r="L109" s="81">
        <v>46509</v>
      </c>
      <c r="M109" s="34" t="s">
        <v>709</v>
      </c>
      <c r="N109" s="400">
        <v>147000</v>
      </c>
      <c r="O109" s="384">
        <f>P109*7.9</f>
        <v>63042</v>
      </c>
      <c r="P109" s="30">
        <v>7980</v>
      </c>
      <c r="Q109" s="31">
        <v>46145</v>
      </c>
      <c r="R109" s="32">
        <v>46509</v>
      </c>
      <c r="S109" s="20" t="s">
        <v>73</v>
      </c>
      <c r="T109" s="33" t="s">
        <v>710</v>
      </c>
      <c r="U109" s="16">
        <v>46146</v>
      </c>
      <c r="V109" s="17" t="s">
        <v>711</v>
      </c>
      <c r="W109" s="18"/>
      <c r="X109" s="19">
        <v>62462.65</v>
      </c>
      <c r="Y109" s="20" t="s">
        <v>47</v>
      </c>
      <c r="Z109" s="176" t="s">
        <v>300</v>
      </c>
      <c r="AA109" s="116"/>
      <c r="AB109" s="353">
        <v>46113</v>
      </c>
      <c r="AC109" s="27" t="s">
        <v>712</v>
      </c>
      <c r="AD109" s="80"/>
      <c r="AE109" s="24"/>
      <c r="AG109" s="140"/>
    </row>
    <row r="110" spans="1:33" ht="27" customHeight="1">
      <c r="A110" s="15">
        <v>107</v>
      </c>
      <c r="B110" s="81">
        <v>46133</v>
      </c>
      <c r="C110" s="15" t="s">
        <v>38</v>
      </c>
      <c r="D110" s="15" t="s">
        <v>713</v>
      </c>
      <c r="E110" s="26" t="s">
        <v>70</v>
      </c>
      <c r="F110" s="27" t="s">
        <v>41</v>
      </c>
      <c r="G110" s="27">
        <v>645600</v>
      </c>
      <c r="H110" s="81">
        <v>46133</v>
      </c>
      <c r="I110" s="27">
        <v>6285079</v>
      </c>
      <c r="J110" s="28" t="s">
        <v>714</v>
      </c>
      <c r="K110" s="81">
        <v>46005</v>
      </c>
      <c r="L110" s="81">
        <v>46369</v>
      </c>
      <c r="M110" s="34" t="s">
        <v>715</v>
      </c>
      <c r="N110" s="400">
        <v>153050</v>
      </c>
      <c r="O110" s="384">
        <f>P110*7.9</f>
        <v>14409.6</v>
      </c>
      <c r="P110" s="30">
        <v>1824</v>
      </c>
      <c r="Q110" s="31">
        <v>46143</v>
      </c>
      <c r="R110" s="32">
        <v>46507</v>
      </c>
      <c r="S110" s="20" t="s">
        <v>525</v>
      </c>
      <c r="T110" s="33" t="s">
        <v>716</v>
      </c>
      <c r="U110" s="16">
        <v>46140</v>
      </c>
      <c r="V110" s="17" t="s">
        <v>717</v>
      </c>
      <c r="W110" s="18"/>
      <c r="X110" s="19">
        <v>14277.18</v>
      </c>
      <c r="Y110" s="20" t="s">
        <v>105</v>
      </c>
      <c r="Z110" s="176" t="s">
        <v>654</v>
      </c>
      <c r="AA110" s="116"/>
      <c r="AB110" s="353">
        <v>46113</v>
      </c>
      <c r="AC110" s="27" t="s">
        <v>718</v>
      </c>
      <c r="AD110" s="80"/>
      <c r="AE110" s="24"/>
      <c r="AF110" s="80">
        <v>404422119</v>
      </c>
      <c r="AG110" s="140">
        <v>46162</v>
      </c>
    </row>
    <row r="111" spans="1:33" ht="27" customHeight="1">
      <c r="A111" s="15">
        <v>108</v>
      </c>
      <c r="B111" s="81">
        <v>46128</v>
      </c>
      <c r="C111" s="15" t="s">
        <v>38</v>
      </c>
      <c r="D111" s="15" t="s">
        <v>719</v>
      </c>
      <c r="E111" s="26" t="s">
        <v>70</v>
      </c>
      <c r="F111" s="27" t="s">
        <v>277</v>
      </c>
      <c r="G111" s="27">
        <v>645600</v>
      </c>
      <c r="H111" s="81">
        <v>46133</v>
      </c>
      <c r="I111" s="27">
        <v>6285088</v>
      </c>
      <c r="J111" s="28" t="s">
        <v>720</v>
      </c>
      <c r="K111" s="81">
        <v>46101</v>
      </c>
      <c r="L111" s="81">
        <v>46831</v>
      </c>
      <c r="M111" s="34" t="s">
        <v>721</v>
      </c>
      <c r="N111" s="400">
        <v>498000</v>
      </c>
      <c r="O111" s="384">
        <v>7979.4</v>
      </c>
      <c r="P111" s="30"/>
      <c r="Q111" s="31" t="s">
        <v>578</v>
      </c>
      <c r="R111" s="32"/>
      <c r="S111" s="20" t="s">
        <v>722</v>
      </c>
      <c r="T111" s="33" t="s">
        <v>723</v>
      </c>
      <c r="U111" s="16">
        <v>46141</v>
      </c>
      <c r="V111" s="17" t="s">
        <v>724</v>
      </c>
      <c r="W111" s="18"/>
      <c r="X111" s="19">
        <v>7979.4</v>
      </c>
      <c r="Y111" s="20" t="s">
        <v>89</v>
      </c>
      <c r="Z111" s="176" t="s">
        <v>654</v>
      </c>
      <c r="AA111" s="116"/>
      <c r="AB111" s="353">
        <v>46113</v>
      </c>
      <c r="AC111" s="27" t="s">
        <v>725</v>
      </c>
      <c r="AD111" s="80" t="s">
        <v>213</v>
      </c>
      <c r="AE111" s="24"/>
      <c r="AG111" s="140"/>
    </row>
    <row r="112" spans="1:33" ht="27" customHeight="1">
      <c r="A112" s="15">
        <v>109</v>
      </c>
      <c r="B112" s="81">
        <v>46128</v>
      </c>
      <c r="C112" s="15" t="s">
        <v>38</v>
      </c>
      <c r="D112" s="15" t="s">
        <v>726</v>
      </c>
      <c r="E112" s="26" t="s">
        <v>70</v>
      </c>
      <c r="F112" s="27" t="s">
        <v>41</v>
      </c>
      <c r="G112" s="27">
        <v>645600</v>
      </c>
      <c r="H112" s="81">
        <v>46133</v>
      </c>
      <c r="I112" s="27">
        <v>6285090</v>
      </c>
      <c r="J112" s="28" t="s">
        <v>727</v>
      </c>
      <c r="K112" s="81">
        <v>46155</v>
      </c>
      <c r="L112" s="81">
        <v>46519</v>
      </c>
      <c r="M112" s="34" t="s">
        <v>728</v>
      </c>
      <c r="N112" s="400">
        <v>307368</v>
      </c>
      <c r="O112" s="384">
        <v>13700</v>
      </c>
      <c r="P112" s="30"/>
      <c r="Q112" s="31">
        <v>46155</v>
      </c>
      <c r="R112" s="32">
        <v>46519</v>
      </c>
      <c r="S112" s="20" t="s">
        <v>120</v>
      </c>
      <c r="T112" s="33" t="s">
        <v>729</v>
      </c>
      <c r="U112" s="16">
        <v>46141</v>
      </c>
      <c r="V112" s="17" t="s">
        <v>730</v>
      </c>
      <c r="W112" s="18">
        <v>46178</v>
      </c>
      <c r="X112" s="19">
        <v>13700</v>
      </c>
      <c r="Y112" s="20" t="s">
        <v>731</v>
      </c>
      <c r="Z112" s="176" t="s">
        <v>654</v>
      </c>
      <c r="AA112" s="116"/>
      <c r="AB112" s="353">
        <v>46113</v>
      </c>
      <c r="AC112" s="27" t="s">
        <v>732</v>
      </c>
      <c r="AD112" s="80"/>
      <c r="AE112" s="24"/>
      <c r="AG112" s="140"/>
    </row>
    <row r="113" spans="1:33" ht="27" customHeight="1">
      <c r="A113" s="15">
        <v>110</v>
      </c>
      <c r="B113" s="81">
        <v>46133</v>
      </c>
      <c r="C113" s="15" t="s">
        <v>38</v>
      </c>
      <c r="D113" s="15" t="s">
        <v>733</v>
      </c>
      <c r="E113" s="26" t="s">
        <v>40</v>
      </c>
      <c r="F113" s="27" t="s">
        <v>41</v>
      </c>
      <c r="G113" s="27">
        <v>645600</v>
      </c>
      <c r="H113" s="81">
        <v>46134</v>
      </c>
      <c r="I113" s="27">
        <v>6285433</v>
      </c>
      <c r="J113" s="28" t="s">
        <v>254</v>
      </c>
      <c r="K113" s="81">
        <v>45809</v>
      </c>
      <c r="L113" s="81">
        <v>46173</v>
      </c>
      <c r="M113" s="88" t="s">
        <v>255</v>
      </c>
      <c r="N113" s="400"/>
      <c r="O113" s="384">
        <f>P113*7.9</f>
        <v>27413.553000000004</v>
      </c>
      <c r="P113" s="30">
        <v>3470.07</v>
      </c>
      <c r="Q113" s="31">
        <v>46143</v>
      </c>
      <c r="R113" s="32">
        <v>46507</v>
      </c>
      <c r="S113" s="20" t="s">
        <v>256</v>
      </c>
      <c r="T113" s="33" t="s">
        <v>734</v>
      </c>
      <c r="U113" s="16">
        <v>46139</v>
      </c>
      <c r="V113" s="17" t="s">
        <v>735</v>
      </c>
      <c r="W113" s="18"/>
      <c r="X113" s="19">
        <v>27161.63</v>
      </c>
      <c r="Y113" s="20" t="s">
        <v>259</v>
      </c>
      <c r="Z113" s="20" t="s">
        <v>48</v>
      </c>
      <c r="AA113" s="116"/>
      <c r="AB113" s="353">
        <v>46113</v>
      </c>
      <c r="AC113" s="27" t="s">
        <v>260</v>
      </c>
      <c r="AD113" s="80"/>
      <c r="AE113" s="24"/>
      <c r="AG113" s="140"/>
    </row>
    <row r="114" spans="1:33" ht="27" customHeight="1">
      <c r="A114" s="15">
        <v>111</v>
      </c>
      <c r="B114" s="81">
        <v>46133</v>
      </c>
      <c r="C114" s="15" t="s">
        <v>95</v>
      </c>
      <c r="D114" s="15" t="s">
        <v>736</v>
      </c>
      <c r="E114" s="26" t="s">
        <v>97</v>
      </c>
      <c r="F114" s="27" t="s">
        <v>109</v>
      </c>
      <c r="G114" s="27">
        <v>645602</v>
      </c>
      <c r="H114" s="81">
        <v>46135</v>
      </c>
      <c r="I114" s="27">
        <v>6285706</v>
      </c>
      <c r="J114" s="28" t="s">
        <v>737</v>
      </c>
      <c r="K114" s="81">
        <v>46167</v>
      </c>
      <c r="L114" s="81">
        <v>46531</v>
      </c>
      <c r="M114" s="88" t="s">
        <v>738</v>
      </c>
      <c r="N114" s="400">
        <v>34500</v>
      </c>
      <c r="O114" s="384">
        <v>25000</v>
      </c>
      <c r="P114" s="30"/>
      <c r="Q114" s="31">
        <v>46167</v>
      </c>
      <c r="R114" s="32">
        <v>46531</v>
      </c>
      <c r="S114" s="20" t="s">
        <v>586</v>
      </c>
      <c r="T114" s="33" t="s">
        <v>739</v>
      </c>
      <c r="U114" s="114">
        <v>46139</v>
      </c>
      <c r="V114" s="115" t="s">
        <v>740</v>
      </c>
      <c r="W114" s="18"/>
      <c r="X114" s="19">
        <v>25000</v>
      </c>
      <c r="Y114" s="20" t="s">
        <v>183</v>
      </c>
      <c r="Z114" s="20" t="s">
        <v>106</v>
      </c>
      <c r="AA114" s="116"/>
      <c r="AB114" s="353">
        <v>46113</v>
      </c>
      <c r="AC114" s="27" t="s">
        <v>741</v>
      </c>
      <c r="AD114" s="80" t="s">
        <v>213</v>
      </c>
      <c r="AE114" s="24"/>
      <c r="AG114" s="140"/>
    </row>
    <row r="115" spans="1:33" ht="27" customHeight="1">
      <c r="A115" s="15">
        <v>112</v>
      </c>
      <c r="B115" s="81">
        <v>46134</v>
      </c>
      <c r="C115" s="15" t="s">
        <v>38</v>
      </c>
      <c r="D115" s="15" t="s">
        <v>742</v>
      </c>
      <c r="E115" s="26" t="s">
        <v>40</v>
      </c>
      <c r="F115" s="27" t="s">
        <v>277</v>
      </c>
      <c r="G115" s="27">
        <v>645600</v>
      </c>
      <c r="H115" s="81">
        <v>46134</v>
      </c>
      <c r="I115" s="27">
        <v>6285827</v>
      </c>
      <c r="J115" s="28" t="s">
        <v>743</v>
      </c>
      <c r="K115" s="81">
        <v>46123</v>
      </c>
      <c r="L115" s="81">
        <v>46487</v>
      </c>
      <c r="M115" s="88" t="s">
        <v>744</v>
      </c>
      <c r="N115" s="400"/>
      <c r="O115" s="384">
        <v>205000</v>
      </c>
      <c r="P115" s="30"/>
      <c r="Q115" s="31">
        <v>46123</v>
      </c>
      <c r="R115" s="32">
        <v>46487</v>
      </c>
      <c r="S115" s="20" t="s">
        <v>745</v>
      </c>
      <c r="T115" s="33" t="s">
        <v>746</v>
      </c>
      <c r="U115" s="16">
        <v>46141</v>
      </c>
      <c r="V115" s="17" t="s">
        <v>747</v>
      </c>
      <c r="W115" s="18"/>
      <c r="X115" s="19">
        <v>205000</v>
      </c>
      <c r="Y115" s="20" t="s">
        <v>290</v>
      </c>
      <c r="Z115" s="20" t="s">
        <v>48</v>
      </c>
      <c r="AA115" s="116"/>
      <c r="AB115" s="353">
        <v>46113</v>
      </c>
      <c r="AC115" s="27" t="s">
        <v>748</v>
      </c>
      <c r="AD115" s="80" t="s">
        <v>213</v>
      </c>
      <c r="AE115" s="24" t="s">
        <v>749</v>
      </c>
      <c r="AG115" s="140"/>
    </row>
    <row r="116" spans="1:33" ht="27" customHeight="1">
      <c r="A116" s="15">
        <v>113</v>
      </c>
      <c r="B116" s="81">
        <v>46134</v>
      </c>
      <c r="C116" s="15" t="s">
        <v>38</v>
      </c>
      <c r="D116" s="15" t="s">
        <v>750</v>
      </c>
      <c r="E116" s="26" t="s">
        <v>40</v>
      </c>
      <c r="F116" s="27" t="s">
        <v>41</v>
      </c>
      <c r="G116" s="27">
        <v>645600</v>
      </c>
      <c r="H116" s="81">
        <v>46134</v>
      </c>
      <c r="I116" s="27">
        <v>6286236</v>
      </c>
      <c r="J116" s="28" t="s">
        <v>743</v>
      </c>
      <c r="K116" s="81">
        <v>46123</v>
      </c>
      <c r="L116" s="81">
        <v>46487</v>
      </c>
      <c r="M116" s="88" t="s">
        <v>744</v>
      </c>
      <c r="N116" s="400"/>
      <c r="O116" s="384">
        <f>P116*7.9</f>
        <v>36662.873</v>
      </c>
      <c r="P116" s="30">
        <v>4640.87</v>
      </c>
      <c r="Q116" s="31">
        <v>46143</v>
      </c>
      <c r="R116" s="32">
        <v>46507</v>
      </c>
      <c r="S116" s="20" t="s">
        <v>256</v>
      </c>
      <c r="T116" s="33" t="s">
        <v>751</v>
      </c>
      <c r="U116" s="16">
        <v>46142</v>
      </c>
      <c r="V116" s="17" t="s">
        <v>752</v>
      </c>
      <c r="W116" s="18"/>
      <c r="X116" s="19">
        <v>36325.949999999997</v>
      </c>
      <c r="Y116" s="20" t="s">
        <v>290</v>
      </c>
      <c r="Z116" s="20" t="s">
        <v>48</v>
      </c>
      <c r="AA116" s="116"/>
      <c r="AB116" s="353">
        <v>46113</v>
      </c>
      <c r="AC116" s="27" t="s">
        <v>748</v>
      </c>
      <c r="AD116" s="80" t="s">
        <v>213</v>
      </c>
      <c r="AE116" s="24"/>
      <c r="AG116" s="140"/>
    </row>
    <row r="117" spans="1:33" ht="27" customHeight="1">
      <c r="A117" s="15">
        <v>114</v>
      </c>
      <c r="B117" s="81">
        <v>46134</v>
      </c>
      <c r="C117" s="15" t="s">
        <v>38</v>
      </c>
      <c r="D117" s="15" t="s">
        <v>753</v>
      </c>
      <c r="E117" s="26" t="s">
        <v>40</v>
      </c>
      <c r="F117" s="27" t="s">
        <v>41</v>
      </c>
      <c r="G117" s="27">
        <v>645600</v>
      </c>
      <c r="H117" s="81">
        <v>46134</v>
      </c>
      <c r="I117" s="27">
        <v>6286240</v>
      </c>
      <c r="J117" s="28" t="s">
        <v>743</v>
      </c>
      <c r="K117" s="81">
        <v>46123</v>
      </c>
      <c r="L117" s="81">
        <v>46487</v>
      </c>
      <c r="M117" s="88" t="s">
        <v>744</v>
      </c>
      <c r="N117" s="400"/>
      <c r="O117" s="384">
        <f>P117*7.9</f>
        <v>4573.152</v>
      </c>
      <c r="P117" s="30">
        <v>578.88</v>
      </c>
      <c r="Q117" s="31">
        <v>46143</v>
      </c>
      <c r="R117" s="32">
        <v>46507</v>
      </c>
      <c r="S117" s="20" t="s">
        <v>256</v>
      </c>
      <c r="T117" s="33" t="s">
        <v>754</v>
      </c>
      <c r="U117" s="16">
        <v>46142</v>
      </c>
      <c r="V117" s="17" t="s">
        <v>755</v>
      </c>
      <c r="W117" s="18"/>
      <c r="X117" s="19">
        <v>4531.13</v>
      </c>
      <c r="Y117" s="20" t="s">
        <v>290</v>
      </c>
      <c r="Z117" s="20" t="s">
        <v>48</v>
      </c>
      <c r="AA117" s="116"/>
      <c r="AB117" s="353">
        <v>46113</v>
      </c>
      <c r="AC117" s="27" t="s">
        <v>748</v>
      </c>
      <c r="AD117" s="80" t="s">
        <v>213</v>
      </c>
      <c r="AE117" s="24"/>
      <c r="AG117" s="140"/>
    </row>
    <row r="118" spans="1:33" ht="27" customHeight="1">
      <c r="A118" s="15">
        <v>115</v>
      </c>
      <c r="B118" s="81">
        <v>46136</v>
      </c>
      <c r="C118" s="15" t="s">
        <v>38</v>
      </c>
      <c r="D118" s="15" t="s">
        <v>756</v>
      </c>
      <c r="E118" s="26" t="s">
        <v>70</v>
      </c>
      <c r="F118" s="27" t="s">
        <v>41</v>
      </c>
      <c r="G118" s="27">
        <v>645600</v>
      </c>
      <c r="H118" s="81">
        <v>46139</v>
      </c>
      <c r="I118" s="27">
        <v>6286897</v>
      </c>
      <c r="J118" s="28" t="s">
        <v>757</v>
      </c>
      <c r="K118" s="81">
        <v>46155</v>
      </c>
      <c r="L118" s="81">
        <v>46265</v>
      </c>
      <c r="M118" s="88" t="s">
        <v>758</v>
      </c>
      <c r="N118" s="400"/>
      <c r="O118" s="384">
        <f>P118*7.9</f>
        <v>23505.502</v>
      </c>
      <c r="P118" s="30">
        <v>2975.38</v>
      </c>
      <c r="Q118" s="31">
        <v>46113</v>
      </c>
      <c r="R118" s="32">
        <v>46477</v>
      </c>
      <c r="S118" s="20" t="s">
        <v>525</v>
      </c>
      <c r="T118" s="33" t="s">
        <v>759</v>
      </c>
      <c r="U118" s="16">
        <v>46142</v>
      </c>
      <c r="V118" s="17" t="s">
        <v>760</v>
      </c>
      <c r="W118" s="18"/>
      <c r="X118" s="19">
        <v>23289.49</v>
      </c>
      <c r="Y118" s="20" t="s">
        <v>123</v>
      </c>
      <c r="Z118" s="176" t="s">
        <v>654</v>
      </c>
      <c r="AA118" s="116"/>
      <c r="AB118" s="353">
        <v>46113</v>
      </c>
      <c r="AC118" s="27" t="s">
        <v>761</v>
      </c>
      <c r="AD118" s="80" t="s">
        <v>213</v>
      </c>
      <c r="AE118" s="24"/>
      <c r="AF118" s="80">
        <v>404422119</v>
      </c>
      <c r="AG118" s="140">
        <v>46162</v>
      </c>
    </row>
    <row r="119" spans="1:33" ht="51.75" customHeight="1">
      <c r="A119" s="15">
        <v>116</v>
      </c>
      <c r="B119" s="81">
        <v>46141</v>
      </c>
      <c r="C119" s="15" t="s">
        <v>38</v>
      </c>
      <c r="D119" s="187" t="s">
        <v>762</v>
      </c>
      <c r="E119" s="26" t="s">
        <v>40</v>
      </c>
      <c r="F119" s="27" t="s">
        <v>41</v>
      </c>
      <c r="G119" s="27">
        <v>645600</v>
      </c>
      <c r="H119" s="81">
        <v>46139</v>
      </c>
      <c r="I119" s="27">
        <v>6286978</v>
      </c>
      <c r="J119" s="28" t="s">
        <v>743</v>
      </c>
      <c r="K119" s="81">
        <v>46123</v>
      </c>
      <c r="L119" s="81">
        <v>46487</v>
      </c>
      <c r="M119" s="88" t="s">
        <v>744</v>
      </c>
      <c r="N119" s="400"/>
      <c r="O119" s="384">
        <f>P119*7.9</f>
        <v>286672.35600000009</v>
      </c>
      <c r="P119" s="30">
        <f>6049.92+209.76+209.76+209.76+209.76+5085.72+1233.84+664.56+209.76+5085.72+420.48+5085.72+6621.6+3313.44+833.04+844.8</f>
        <v>36287.640000000007</v>
      </c>
      <c r="Q119" s="31">
        <v>46143</v>
      </c>
      <c r="R119" s="32">
        <v>46507</v>
      </c>
      <c r="S119" s="20" t="s">
        <v>763</v>
      </c>
      <c r="T119" s="33" t="s">
        <v>764</v>
      </c>
      <c r="U119" s="16">
        <v>46142</v>
      </c>
      <c r="V119" s="17" t="s">
        <v>765</v>
      </c>
      <c r="W119" s="18"/>
      <c r="X119" s="19">
        <v>284037.89</v>
      </c>
      <c r="Y119" s="20" t="s">
        <v>290</v>
      </c>
      <c r="Z119" s="20" t="s">
        <v>48</v>
      </c>
      <c r="AA119" s="116"/>
      <c r="AB119" s="353">
        <v>46113</v>
      </c>
      <c r="AC119" s="27" t="s">
        <v>748</v>
      </c>
      <c r="AD119" s="80" t="s">
        <v>213</v>
      </c>
      <c r="AE119" s="24"/>
      <c r="AG119" s="140"/>
    </row>
    <row r="120" spans="1:33" s="345" customFormat="1" ht="50.25" customHeight="1">
      <c r="A120" s="15">
        <v>117</v>
      </c>
      <c r="B120" s="315">
        <v>46146</v>
      </c>
      <c r="C120" s="314" t="s">
        <v>95</v>
      </c>
      <c r="D120" s="314" t="s">
        <v>766</v>
      </c>
      <c r="E120" s="317" t="s">
        <v>97</v>
      </c>
      <c r="F120" s="318" t="s">
        <v>98</v>
      </c>
      <c r="G120" s="318">
        <v>645602</v>
      </c>
      <c r="H120" s="315">
        <v>46142</v>
      </c>
      <c r="I120" s="318">
        <v>6287968</v>
      </c>
      <c r="J120" s="319" t="s">
        <v>767</v>
      </c>
      <c r="K120" s="315">
        <v>46054</v>
      </c>
      <c r="L120" s="315">
        <v>46418</v>
      </c>
      <c r="M120" s="393" t="s">
        <v>768</v>
      </c>
      <c r="N120" s="405"/>
      <c r="O120" s="394">
        <v>550000</v>
      </c>
      <c r="P120" s="321"/>
      <c r="Q120" s="322" t="s">
        <v>280</v>
      </c>
      <c r="R120" s="323"/>
      <c r="S120" s="324" t="s">
        <v>769</v>
      </c>
      <c r="T120" s="325" t="s">
        <v>770</v>
      </c>
      <c r="U120" s="89" t="s">
        <v>609</v>
      </c>
      <c r="V120" s="90" t="s">
        <v>609</v>
      </c>
      <c r="W120" s="328"/>
      <c r="X120" s="118" t="s">
        <v>609</v>
      </c>
      <c r="Y120" s="324" t="s">
        <v>191</v>
      </c>
      <c r="Z120" s="343" t="s">
        <v>106</v>
      </c>
      <c r="AA120" s="119"/>
      <c r="AB120" s="355">
        <v>46113</v>
      </c>
      <c r="AC120" s="318" t="s">
        <v>771</v>
      </c>
      <c r="AD120" s="330" t="s">
        <v>213</v>
      </c>
      <c r="AE120" s="331"/>
      <c r="AF120" s="330"/>
      <c r="AG120" s="344"/>
    </row>
    <row r="121" spans="1:33" s="345" customFormat="1" ht="27" customHeight="1">
      <c r="A121" s="15">
        <v>118</v>
      </c>
      <c r="B121" s="315">
        <v>46146</v>
      </c>
      <c r="C121" s="314" t="s">
        <v>95</v>
      </c>
      <c r="D121" s="314" t="s">
        <v>772</v>
      </c>
      <c r="E121" s="317" t="s">
        <v>97</v>
      </c>
      <c r="F121" s="318" t="s">
        <v>98</v>
      </c>
      <c r="G121" s="318">
        <v>645602</v>
      </c>
      <c r="H121" s="315">
        <v>46142</v>
      </c>
      <c r="I121" s="318">
        <v>6287997</v>
      </c>
      <c r="J121" s="319" t="s">
        <v>767</v>
      </c>
      <c r="K121" s="315">
        <v>46054</v>
      </c>
      <c r="L121" s="315">
        <v>46418</v>
      </c>
      <c r="M121" s="393" t="s">
        <v>768</v>
      </c>
      <c r="N121" s="405"/>
      <c r="O121" s="394">
        <v>60000</v>
      </c>
      <c r="P121" s="321"/>
      <c r="Q121" s="322" t="s">
        <v>280</v>
      </c>
      <c r="R121" s="323"/>
      <c r="S121" s="324" t="s">
        <v>769</v>
      </c>
      <c r="T121" s="325" t="s">
        <v>773</v>
      </c>
      <c r="U121" s="89" t="s">
        <v>609</v>
      </c>
      <c r="V121" s="90" t="s">
        <v>609</v>
      </c>
      <c r="W121" s="328"/>
      <c r="X121" s="118" t="s">
        <v>609</v>
      </c>
      <c r="Y121" s="324" t="s">
        <v>191</v>
      </c>
      <c r="Z121" s="343" t="s">
        <v>106</v>
      </c>
      <c r="AA121" s="119"/>
      <c r="AB121" s="355">
        <v>46113</v>
      </c>
      <c r="AC121" s="318" t="s">
        <v>771</v>
      </c>
      <c r="AD121" s="330" t="s">
        <v>213</v>
      </c>
      <c r="AE121" s="331"/>
      <c r="AF121" s="330"/>
      <c r="AG121" s="344"/>
    </row>
    <row r="122" spans="1:33" ht="22.5" customHeight="1">
      <c r="A122" s="15">
        <v>119</v>
      </c>
      <c r="B122" s="81">
        <v>46146</v>
      </c>
      <c r="C122" s="15" t="s">
        <v>95</v>
      </c>
      <c r="D122" s="15" t="s">
        <v>774</v>
      </c>
      <c r="E122" s="26" t="s">
        <v>97</v>
      </c>
      <c r="F122" s="27" t="s">
        <v>109</v>
      </c>
      <c r="G122" s="27">
        <v>645602</v>
      </c>
      <c r="H122" s="81">
        <v>46117</v>
      </c>
      <c r="I122" s="27">
        <v>6288655</v>
      </c>
      <c r="J122" s="28" t="s">
        <v>775</v>
      </c>
      <c r="K122" s="81">
        <v>46128</v>
      </c>
      <c r="L122" s="81">
        <v>46492</v>
      </c>
      <c r="M122" s="88" t="s">
        <v>776</v>
      </c>
      <c r="N122" s="400">
        <v>16675</v>
      </c>
      <c r="O122" s="384">
        <v>13000</v>
      </c>
      <c r="P122" s="30"/>
      <c r="Q122" s="31">
        <v>46128</v>
      </c>
      <c r="R122" s="32">
        <v>46492</v>
      </c>
      <c r="S122" s="20" t="s">
        <v>777</v>
      </c>
      <c r="T122" s="33" t="s">
        <v>778</v>
      </c>
      <c r="U122" s="114">
        <v>46153</v>
      </c>
      <c r="V122" s="115" t="s">
        <v>779</v>
      </c>
      <c r="W122" s="18"/>
      <c r="X122" s="19">
        <v>13000</v>
      </c>
      <c r="Y122" s="20" t="s">
        <v>56</v>
      </c>
      <c r="Z122" s="21">
        <v>1590734</v>
      </c>
      <c r="AA122" s="22"/>
      <c r="AB122" s="353">
        <v>46113</v>
      </c>
      <c r="AC122" s="27" t="s">
        <v>780</v>
      </c>
      <c r="AD122" s="80"/>
      <c r="AE122" s="24"/>
      <c r="AG122" s="140"/>
    </row>
    <row r="123" spans="1:33" ht="27" customHeight="1">
      <c r="A123" s="15">
        <v>120</v>
      </c>
      <c r="B123" s="81">
        <v>46149</v>
      </c>
      <c r="C123" s="15" t="s">
        <v>38</v>
      </c>
      <c r="D123" s="15" t="s">
        <v>781</v>
      </c>
      <c r="E123" s="26" t="s">
        <v>40</v>
      </c>
      <c r="F123" s="27" t="s">
        <v>41</v>
      </c>
      <c r="G123" s="27">
        <v>645600</v>
      </c>
      <c r="H123" s="81">
        <v>46150</v>
      </c>
      <c r="I123" s="27">
        <v>6290584</v>
      </c>
      <c r="J123" s="28" t="s">
        <v>782</v>
      </c>
      <c r="K123" s="81">
        <v>46167</v>
      </c>
      <c r="L123" s="81">
        <v>46897</v>
      </c>
      <c r="M123" s="88" t="s">
        <v>783</v>
      </c>
      <c r="N123" s="400"/>
      <c r="O123" s="384">
        <f>P123*7.9</f>
        <v>347679.31600000005</v>
      </c>
      <c r="P123" s="30">
        <v>44010.04</v>
      </c>
      <c r="Q123" s="31">
        <v>46174</v>
      </c>
      <c r="R123" s="32">
        <v>46904</v>
      </c>
      <c r="S123" s="20" t="s">
        <v>784</v>
      </c>
      <c r="T123" s="33" t="s">
        <v>785</v>
      </c>
      <c r="U123" s="16">
        <v>46155</v>
      </c>
      <c r="V123" s="17" t="s">
        <v>786</v>
      </c>
      <c r="W123" s="18"/>
      <c r="X123" s="19">
        <v>344845.06</v>
      </c>
      <c r="Y123" s="20" t="s">
        <v>245</v>
      </c>
      <c r="Z123" s="20" t="s">
        <v>48</v>
      </c>
      <c r="AA123" s="116"/>
      <c r="AB123" s="353">
        <v>46143</v>
      </c>
      <c r="AC123" s="27" t="s">
        <v>787</v>
      </c>
      <c r="AD123" s="80"/>
      <c r="AE123" s="24" t="s">
        <v>788</v>
      </c>
      <c r="AG123" s="140"/>
    </row>
    <row r="124" spans="1:33" ht="27" customHeight="1">
      <c r="A124" s="15">
        <v>121</v>
      </c>
      <c r="B124" s="81">
        <v>46149</v>
      </c>
      <c r="C124" s="15" t="s">
        <v>38</v>
      </c>
      <c r="D124" s="15" t="s">
        <v>789</v>
      </c>
      <c r="E124" s="26" t="s">
        <v>40</v>
      </c>
      <c r="F124" s="27" t="s">
        <v>41</v>
      </c>
      <c r="G124" s="27">
        <v>645600</v>
      </c>
      <c r="H124" s="81">
        <v>46150</v>
      </c>
      <c r="I124" s="27">
        <v>6290588</v>
      </c>
      <c r="J124" s="28" t="s">
        <v>790</v>
      </c>
      <c r="K124" s="81">
        <v>46143</v>
      </c>
      <c r="L124" s="81">
        <v>47238</v>
      </c>
      <c r="M124" s="88" t="s">
        <v>791</v>
      </c>
      <c r="N124" s="400"/>
      <c r="O124" s="384">
        <f>P124*7.9</f>
        <v>11904.984</v>
      </c>
      <c r="P124" s="30">
        <v>1506.96</v>
      </c>
      <c r="Q124" s="31">
        <v>46143</v>
      </c>
      <c r="R124" s="32">
        <v>47238</v>
      </c>
      <c r="S124" s="20" t="s">
        <v>394</v>
      </c>
      <c r="T124" s="33" t="s">
        <v>792</v>
      </c>
      <c r="U124" s="16">
        <v>46162</v>
      </c>
      <c r="V124" s="17" t="s">
        <v>793</v>
      </c>
      <c r="W124" s="18">
        <v>46227</v>
      </c>
      <c r="X124" s="19">
        <v>11807.94</v>
      </c>
      <c r="Y124" s="20" t="s">
        <v>794</v>
      </c>
      <c r="Z124" s="20" t="s">
        <v>48</v>
      </c>
      <c r="AA124" s="116"/>
      <c r="AB124" s="353">
        <v>46143</v>
      </c>
      <c r="AC124" s="27" t="s">
        <v>795</v>
      </c>
      <c r="AD124" s="80"/>
      <c r="AE124" s="24"/>
      <c r="AG124" s="140"/>
    </row>
    <row r="125" spans="1:33" ht="27" customHeight="1">
      <c r="A125" s="15">
        <v>122</v>
      </c>
      <c r="B125" s="81">
        <v>46156</v>
      </c>
      <c r="C125" s="15" t="s">
        <v>95</v>
      </c>
      <c r="D125" s="15" t="s">
        <v>796</v>
      </c>
      <c r="E125" s="26" t="s">
        <v>97</v>
      </c>
      <c r="F125" s="27" t="s">
        <v>109</v>
      </c>
      <c r="G125" s="27">
        <v>645602</v>
      </c>
      <c r="H125" s="81">
        <v>46153</v>
      </c>
      <c r="I125" s="27">
        <v>6292271</v>
      </c>
      <c r="J125" s="28" t="s">
        <v>797</v>
      </c>
      <c r="K125" s="81">
        <v>46132</v>
      </c>
      <c r="L125" s="81">
        <v>46496</v>
      </c>
      <c r="M125" s="88" t="s">
        <v>798</v>
      </c>
      <c r="N125" s="400">
        <v>23400</v>
      </c>
      <c r="O125" s="384">
        <v>18000</v>
      </c>
      <c r="P125" s="30"/>
      <c r="Q125" s="31">
        <v>46132</v>
      </c>
      <c r="R125" s="32">
        <v>46496</v>
      </c>
      <c r="S125" s="20" t="s">
        <v>586</v>
      </c>
      <c r="T125" s="33" t="s">
        <v>799</v>
      </c>
      <c r="U125" s="114">
        <v>46182</v>
      </c>
      <c r="V125" s="115" t="s">
        <v>800</v>
      </c>
      <c r="W125" s="18"/>
      <c r="X125" s="19">
        <v>18000</v>
      </c>
      <c r="Y125" s="20" t="s">
        <v>165</v>
      </c>
      <c r="Z125" s="21" t="s">
        <v>106</v>
      </c>
      <c r="AA125" s="116"/>
      <c r="AB125" s="353">
        <v>46143</v>
      </c>
      <c r="AC125" s="27" t="s">
        <v>801</v>
      </c>
      <c r="AD125" s="80"/>
      <c r="AE125" s="24"/>
      <c r="AG125" s="140"/>
    </row>
    <row r="126" spans="1:33" ht="27" customHeight="1">
      <c r="A126" s="15">
        <v>122</v>
      </c>
      <c r="B126" s="81">
        <v>46157</v>
      </c>
      <c r="C126" s="15" t="s">
        <v>95</v>
      </c>
      <c r="D126" s="15" t="s">
        <v>802</v>
      </c>
      <c r="E126" s="26" t="s">
        <v>97</v>
      </c>
      <c r="F126" s="27" t="s">
        <v>109</v>
      </c>
      <c r="G126" s="15">
        <v>645602</v>
      </c>
      <c r="H126" s="81">
        <v>46161</v>
      </c>
      <c r="I126" s="15">
        <v>6293815</v>
      </c>
      <c r="J126" s="28" t="s">
        <v>803</v>
      </c>
      <c r="K126" s="81">
        <v>46083</v>
      </c>
      <c r="L126" s="81">
        <v>46813</v>
      </c>
      <c r="M126" s="88" t="s">
        <v>804</v>
      </c>
      <c r="N126" s="400">
        <v>715580</v>
      </c>
      <c r="O126" s="384">
        <v>2550</v>
      </c>
      <c r="P126" s="30"/>
      <c r="Q126" s="31" t="s">
        <v>805</v>
      </c>
      <c r="R126" s="32"/>
      <c r="S126" s="176" t="s">
        <v>505</v>
      </c>
      <c r="T126" s="33" t="s">
        <v>806</v>
      </c>
      <c r="U126" s="114">
        <v>46175</v>
      </c>
      <c r="V126" s="115" t="s">
        <v>807</v>
      </c>
      <c r="W126" s="18"/>
      <c r="X126" s="19">
        <v>2550</v>
      </c>
      <c r="Y126" s="20" t="s">
        <v>808</v>
      </c>
      <c r="Z126" s="21" t="s">
        <v>106</v>
      </c>
      <c r="AA126" s="279"/>
      <c r="AB126" s="353">
        <v>46143</v>
      </c>
      <c r="AC126" s="27" t="s">
        <v>809</v>
      </c>
      <c r="AD126" s="80"/>
      <c r="AE126" s="24"/>
      <c r="AG126" s="140"/>
    </row>
    <row r="127" spans="1:33" ht="27" customHeight="1">
      <c r="A127" s="15">
        <v>123</v>
      </c>
      <c r="B127" s="81">
        <v>46156</v>
      </c>
      <c r="C127" s="15" t="s">
        <v>95</v>
      </c>
      <c r="D127" s="15" t="s">
        <v>810</v>
      </c>
      <c r="E127" s="26" t="s">
        <v>97</v>
      </c>
      <c r="F127" s="27" t="s">
        <v>109</v>
      </c>
      <c r="G127" s="27">
        <v>645602</v>
      </c>
      <c r="H127" s="81">
        <v>46156</v>
      </c>
      <c r="I127" s="27">
        <v>6292314</v>
      </c>
      <c r="J127" s="28" t="s">
        <v>219</v>
      </c>
      <c r="K127" s="81">
        <v>46113</v>
      </c>
      <c r="L127" s="81">
        <v>46203</v>
      </c>
      <c r="M127" s="88" t="s">
        <v>811</v>
      </c>
      <c r="N127" s="400">
        <v>35000</v>
      </c>
      <c r="O127" s="384">
        <v>26750</v>
      </c>
      <c r="P127" s="30"/>
      <c r="Q127" s="31">
        <v>46113</v>
      </c>
      <c r="R127" s="32">
        <v>46203</v>
      </c>
      <c r="S127" s="20" t="s">
        <v>221</v>
      </c>
      <c r="T127" s="33" t="s">
        <v>812</v>
      </c>
      <c r="U127" s="114">
        <v>46184</v>
      </c>
      <c r="V127" s="115" t="s">
        <v>813</v>
      </c>
      <c r="W127" s="18"/>
      <c r="X127" s="19">
        <v>26750</v>
      </c>
      <c r="Y127" s="20" t="s">
        <v>336</v>
      </c>
      <c r="Z127" s="21" t="s">
        <v>106</v>
      </c>
      <c r="AA127" s="116"/>
      <c r="AB127" s="353">
        <v>46143</v>
      </c>
      <c r="AC127" s="27" t="s">
        <v>814</v>
      </c>
      <c r="AD127" s="80"/>
      <c r="AE127" s="24"/>
      <c r="AG127" s="140"/>
    </row>
    <row r="128" spans="1:33" ht="27" customHeight="1">
      <c r="A128" s="15">
        <v>124</v>
      </c>
      <c r="B128" s="81">
        <v>46150</v>
      </c>
      <c r="C128" s="15" t="s">
        <v>38</v>
      </c>
      <c r="D128" s="15" t="s">
        <v>815</v>
      </c>
      <c r="E128" s="26" t="s">
        <v>70</v>
      </c>
      <c r="F128" s="27" t="s">
        <v>41</v>
      </c>
      <c r="G128" s="27">
        <v>645600</v>
      </c>
      <c r="H128" s="81">
        <v>46156</v>
      </c>
      <c r="I128" s="27">
        <v>6292438</v>
      </c>
      <c r="J128" s="28" t="s">
        <v>816</v>
      </c>
      <c r="K128" s="81">
        <v>46236</v>
      </c>
      <c r="L128" s="81">
        <v>46600</v>
      </c>
      <c r="M128" s="88" t="s">
        <v>817</v>
      </c>
      <c r="N128" s="400"/>
      <c r="O128" s="384">
        <f>P128*7.9</f>
        <v>2639.0740000000001</v>
      </c>
      <c r="P128" s="30">
        <v>334.06</v>
      </c>
      <c r="Q128" s="31">
        <v>46174</v>
      </c>
      <c r="R128" s="32">
        <v>46538</v>
      </c>
      <c r="S128" s="20" t="s">
        <v>473</v>
      </c>
      <c r="T128" s="33" t="s">
        <v>818</v>
      </c>
      <c r="U128" s="16">
        <v>46164</v>
      </c>
      <c r="V128" s="17" t="s">
        <v>819</v>
      </c>
      <c r="W128" s="18"/>
      <c r="X128" s="19">
        <v>2617.56</v>
      </c>
      <c r="Y128" s="20" t="s">
        <v>123</v>
      </c>
      <c r="Z128" s="176" t="s">
        <v>654</v>
      </c>
      <c r="AA128" s="116"/>
      <c r="AB128" s="353">
        <v>46143</v>
      </c>
      <c r="AC128" s="27" t="s">
        <v>820</v>
      </c>
      <c r="AD128" s="80"/>
      <c r="AE128" s="24"/>
      <c r="AG128" s="140"/>
    </row>
    <row r="129" spans="1:42" ht="27" customHeight="1">
      <c r="A129" s="15">
        <v>125</v>
      </c>
      <c r="B129" s="81">
        <v>46144</v>
      </c>
      <c r="C129" s="15" t="s">
        <v>38</v>
      </c>
      <c r="D129" s="15" t="s">
        <v>821</v>
      </c>
      <c r="E129" s="26" t="s">
        <v>40</v>
      </c>
      <c r="F129" s="27" t="s">
        <v>41</v>
      </c>
      <c r="G129" s="27">
        <v>645600</v>
      </c>
      <c r="H129" s="81">
        <v>46157</v>
      </c>
      <c r="I129" s="27">
        <v>6292832</v>
      </c>
      <c r="J129" s="28" t="s">
        <v>411</v>
      </c>
      <c r="K129" s="81">
        <v>46167</v>
      </c>
      <c r="L129" s="81">
        <v>46531</v>
      </c>
      <c r="M129" s="88" t="s">
        <v>822</v>
      </c>
      <c r="N129" s="400"/>
      <c r="O129" s="384">
        <f>P129*7.9</f>
        <v>1046971.1999999998</v>
      </c>
      <c r="P129" s="30">
        <f>45.6+0+1713.6+40209.84+84513.12+3236.4+1358.88+1450.56</f>
        <v>132527.99999999997</v>
      </c>
      <c r="Q129" s="31" t="s">
        <v>823</v>
      </c>
      <c r="R129" s="32"/>
      <c r="S129" s="20" t="s">
        <v>394</v>
      </c>
      <c r="T129" s="33" t="s">
        <v>824</v>
      </c>
      <c r="U129" s="16">
        <v>46168</v>
      </c>
      <c r="V129" s="165" t="s">
        <v>825</v>
      </c>
      <c r="W129" s="18"/>
      <c r="X129" s="19">
        <v>1038436.39</v>
      </c>
      <c r="Y129" s="20" t="s">
        <v>245</v>
      </c>
      <c r="Z129" s="20" t="s">
        <v>48</v>
      </c>
      <c r="AA129" s="116"/>
      <c r="AB129" s="353">
        <v>46143</v>
      </c>
      <c r="AC129" s="27" t="s">
        <v>826</v>
      </c>
      <c r="AD129" s="80"/>
      <c r="AE129" s="24"/>
      <c r="AG129" s="140"/>
    </row>
    <row r="130" spans="1:42" ht="27" customHeight="1">
      <c r="A130" s="15">
        <v>126</v>
      </c>
      <c r="B130" s="81">
        <v>46154</v>
      </c>
      <c r="C130" s="15" t="s">
        <v>38</v>
      </c>
      <c r="D130" s="15" t="s">
        <v>827</v>
      </c>
      <c r="E130" s="26" t="s">
        <v>40</v>
      </c>
      <c r="F130" s="27" t="s">
        <v>41</v>
      </c>
      <c r="G130" s="27">
        <v>645600</v>
      </c>
      <c r="H130" s="81">
        <v>46160</v>
      </c>
      <c r="I130" s="27">
        <v>6293279</v>
      </c>
      <c r="J130" s="28" t="s">
        <v>828</v>
      </c>
      <c r="K130" s="81">
        <v>46160</v>
      </c>
      <c r="L130" s="81">
        <v>46524</v>
      </c>
      <c r="M130" s="88" t="s">
        <v>829</v>
      </c>
      <c r="N130" s="400"/>
      <c r="O130" s="384">
        <f>P130*7.9</f>
        <v>3720.3470000000002</v>
      </c>
      <c r="P130" s="30">
        <v>470.93</v>
      </c>
      <c r="Q130" s="31">
        <v>46160</v>
      </c>
      <c r="R130" s="32">
        <v>46524</v>
      </c>
      <c r="S130" s="20" t="s">
        <v>784</v>
      </c>
      <c r="T130" s="33" t="s">
        <v>830</v>
      </c>
      <c r="U130" s="16">
        <v>46163</v>
      </c>
      <c r="V130" s="17" t="s">
        <v>831</v>
      </c>
      <c r="W130" s="18">
        <v>46227</v>
      </c>
      <c r="X130" s="19">
        <v>3690.02</v>
      </c>
      <c r="Y130" s="20" t="s">
        <v>832</v>
      </c>
      <c r="Z130" s="20" t="s">
        <v>48</v>
      </c>
      <c r="AA130" s="116"/>
      <c r="AB130" s="353">
        <v>46143</v>
      </c>
      <c r="AC130" s="27" t="s">
        <v>833</v>
      </c>
      <c r="AD130" s="80"/>
      <c r="AE130" s="24"/>
      <c r="AG130" s="140"/>
    </row>
    <row r="131" spans="1:42" ht="27" customHeight="1">
      <c r="A131" s="15">
        <v>127</v>
      </c>
      <c r="B131" s="81">
        <v>46156</v>
      </c>
      <c r="C131" s="15" t="s">
        <v>38</v>
      </c>
      <c r="D131" s="15" t="s">
        <v>834</v>
      </c>
      <c r="E131" s="26" t="s">
        <v>70</v>
      </c>
      <c r="F131" s="27" t="s">
        <v>41</v>
      </c>
      <c r="G131" s="27">
        <v>645600</v>
      </c>
      <c r="H131" s="81">
        <v>46160</v>
      </c>
      <c r="I131" s="27">
        <v>6293285</v>
      </c>
      <c r="J131" s="28" t="s">
        <v>835</v>
      </c>
      <c r="K131" s="81">
        <v>45898</v>
      </c>
      <c r="L131" s="81">
        <v>46262</v>
      </c>
      <c r="M131" s="88" t="s">
        <v>836</v>
      </c>
      <c r="N131" s="400"/>
      <c r="O131" s="384">
        <f>P131*7.9</f>
        <v>130659.99600000001</v>
      </c>
      <c r="P131" s="30">
        <v>16539.240000000002</v>
      </c>
      <c r="Q131" s="31">
        <v>46143</v>
      </c>
      <c r="R131" s="32">
        <v>46507</v>
      </c>
      <c r="S131" s="20" t="s">
        <v>473</v>
      </c>
      <c r="T131" s="33" t="s">
        <v>837</v>
      </c>
      <c r="U131" s="16">
        <v>46164</v>
      </c>
      <c r="V131" s="17" t="s">
        <v>838</v>
      </c>
      <c r="W131" s="18"/>
      <c r="X131" s="19">
        <v>129594.87</v>
      </c>
      <c r="Y131" s="20" t="s">
        <v>123</v>
      </c>
      <c r="Z131" s="176" t="s">
        <v>654</v>
      </c>
      <c r="AA131" s="116"/>
      <c r="AB131" s="353">
        <v>46143</v>
      </c>
      <c r="AC131" s="27" t="s">
        <v>839</v>
      </c>
      <c r="AD131" s="80"/>
      <c r="AE131" s="24"/>
      <c r="AG131" s="140"/>
    </row>
    <row r="132" spans="1:42" ht="27" customHeight="1">
      <c r="A132" s="15">
        <v>128</v>
      </c>
      <c r="B132" s="81">
        <v>46156</v>
      </c>
      <c r="C132" s="15" t="s">
        <v>38</v>
      </c>
      <c r="D132" s="15" t="s">
        <v>840</v>
      </c>
      <c r="E132" s="26" t="s">
        <v>70</v>
      </c>
      <c r="F132" s="27" t="s">
        <v>41</v>
      </c>
      <c r="G132" s="27">
        <v>645600</v>
      </c>
      <c r="H132" s="81">
        <v>46160</v>
      </c>
      <c r="I132" s="27">
        <v>6293286</v>
      </c>
      <c r="J132" s="28" t="s">
        <v>841</v>
      </c>
      <c r="K132" s="81">
        <v>45884</v>
      </c>
      <c r="L132" s="81">
        <v>46248</v>
      </c>
      <c r="M132" s="88" t="s">
        <v>842</v>
      </c>
      <c r="N132" s="400"/>
      <c r="O132" s="384">
        <f>P132*7.9</f>
        <v>102699.052</v>
      </c>
      <c r="P132" s="30">
        <v>12999.88</v>
      </c>
      <c r="Q132" s="31">
        <v>46143</v>
      </c>
      <c r="R132" s="32">
        <v>46507</v>
      </c>
      <c r="S132" s="20" t="s">
        <v>473</v>
      </c>
      <c r="T132" s="33" t="s">
        <v>843</v>
      </c>
      <c r="U132" s="16">
        <v>46164</v>
      </c>
      <c r="V132" s="17" t="s">
        <v>844</v>
      </c>
      <c r="W132" s="18"/>
      <c r="X132" s="19">
        <v>101861.86</v>
      </c>
      <c r="Y132" s="20" t="s">
        <v>123</v>
      </c>
      <c r="Z132" s="176" t="s">
        <v>654</v>
      </c>
      <c r="AA132" s="116"/>
      <c r="AB132" s="353">
        <v>46143</v>
      </c>
      <c r="AC132" s="27" t="s">
        <v>845</v>
      </c>
      <c r="AD132" s="80"/>
      <c r="AE132" s="24"/>
      <c r="AG132" s="140"/>
    </row>
    <row r="133" spans="1:42" ht="27" customHeight="1">
      <c r="A133" s="15">
        <v>129</v>
      </c>
      <c r="B133" s="81">
        <v>46157</v>
      </c>
      <c r="C133" s="15" t="s">
        <v>95</v>
      </c>
      <c r="D133" s="15" t="s">
        <v>846</v>
      </c>
      <c r="E133" s="26" t="s">
        <v>97</v>
      </c>
      <c r="F133" s="27" t="s">
        <v>98</v>
      </c>
      <c r="G133" s="15">
        <v>645602</v>
      </c>
      <c r="H133" s="81">
        <v>46161</v>
      </c>
      <c r="I133" s="15">
        <v>6293741</v>
      </c>
      <c r="J133" s="171" t="s">
        <v>803</v>
      </c>
      <c r="K133" s="81">
        <v>46083</v>
      </c>
      <c r="L133" s="81">
        <v>46813</v>
      </c>
      <c r="M133" s="88" t="s">
        <v>804</v>
      </c>
      <c r="N133" s="400">
        <v>715580</v>
      </c>
      <c r="O133" s="384">
        <v>564500</v>
      </c>
      <c r="P133" s="30"/>
      <c r="Q133" s="31">
        <v>46113</v>
      </c>
      <c r="R133" s="32">
        <v>46843</v>
      </c>
      <c r="S133" s="20" t="s">
        <v>847</v>
      </c>
      <c r="T133" s="33" t="s">
        <v>848</v>
      </c>
      <c r="U133" s="114">
        <v>46190</v>
      </c>
      <c r="V133" s="115" t="s">
        <v>849</v>
      </c>
      <c r="W133" s="18"/>
      <c r="X133" s="19">
        <v>564500</v>
      </c>
      <c r="Y133" s="20" t="s">
        <v>808</v>
      </c>
      <c r="Z133" s="21" t="s">
        <v>106</v>
      </c>
      <c r="AA133" s="279"/>
      <c r="AB133" s="353">
        <v>46143</v>
      </c>
      <c r="AC133" s="27" t="s">
        <v>809</v>
      </c>
      <c r="AD133" s="80"/>
      <c r="AE133" s="24"/>
      <c r="AG133" s="140"/>
    </row>
    <row r="134" spans="1:42" ht="27" customHeight="1">
      <c r="A134" s="15">
        <v>131</v>
      </c>
      <c r="B134" s="81">
        <v>46161</v>
      </c>
      <c r="C134" s="15" t="s">
        <v>38</v>
      </c>
      <c r="D134" s="15" t="s">
        <v>850</v>
      </c>
      <c r="E134" s="26" t="s">
        <v>70</v>
      </c>
      <c r="F134" s="27" t="s">
        <v>41</v>
      </c>
      <c r="G134" s="27">
        <v>645600</v>
      </c>
      <c r="H134" s="81">
        <v>46161</v>
      </c>
      <c r="I134" s="27">
        <v>6293818</v>
      </c>
      <c r="J134" s="28" t="s">
        <v>851</v>
      </c>
      <c r="K134" s="81">
        <v>45918</v>
      </c>
      <c r="L134" s="81">
        <v>46282</v>
      </c>
      <c r="M134" s="88" t="s">
        <v>852</v>
      </c>
      <c r="N134" s="400"/>
      <c r="O134" s="384">
        <f>P134*7.9</f>
        <v>17681.306</v>
      </c>
      <c r="P134" s="30">
        <v>2238.14</v>
      </c>
      <c r="Q134" s="31">
        <v>46143</v>
      </c>
      <c r="R134" s="32">
        <v>46507</v>
      </c>
      <c r="S134" s="20" t="s">
        <v>473</v>
      </c>
      <c r="T134" s="33" t="s">
        <v>853</v>
      </c>
      <c r="U134" s="16">
        <v>46170</v>
      </c>
      <c r="V134" s="17" t="s">
        <v>854</v>
      </c>
      <c r="W134" s="18"/>
      <c r="X134" s="19">
        <v>17537.169999999998</v>
      </c>
      <c r="Y134" s="20" t="s">
        <v>123</v>
      </c>
      <c r="Z134" s="176" t="s">
        <v>654</v>
      </c>
      <c r="AA134" s="116"/>
      <c r="AB134" s="353">
        <v>46143</v>
      </c>
      <c r="AC134" s="27" t="s">
        <v>855</v>
      </c>
      <c r="AD134" s="80" t="s">
        <v>213</v>
      </c>
      <c r="AE134" s="24"/>
      <c r="AG134" s="140"/>
    </row>
    <row r="135" spans="1:42" ht="27" customHeight="1">
      <c r="A135" s="15">
        <v>132</v>
      </c>
      <c r="B135" s="81">
        <v>46161</v>
      </c>
      <c r="C135" s="15" t="s">
        <v>38</v>
      </c>
      <c r="D135" s="15" t="s">
        <v>856</v>
      </c>
      <c r="E135" s="26" t="s">
        <v>40</v>
      </c>
      <c r="F135" s="27" t="s">
        <v>41</v>
      </c>
      <c r="G135" s="27">
        <v>645600</v>
      </c>
      <c r="H135" s="81">
        <v>46161</v>
      </c>
      <c r="I135" s="27">
        <v>6293820</v>
      </c>
      <c r="J135" s="28" t="s">
        <v>857</v>
      </c>
      <c r="K135" s="81">
        <v>46148</v>
      </c>
      <c r="L135" s="81">
        <v>46512</v>
      </c>
      <c r="M135" s="88" t="s">
        <v>858</v>
      </c>
      <c r="N135" s="400"/>
      <c r="O135" s="384">
        <f>P135*7.9</f>
        <v>12594.97</v>
      </c>
      <c r="P135" s="30">
        <v>1594.3</v>
      </c>
      <c r="Q135" s="31">
        <v>46174</v>
      </c>
      <c r="R135" s="32">
        <v>46538</v>
      </c>
      <c r="S135" s="20" t="s">
        <v>784</v>
      </c>
      <c r="T135" s="33" t="s">
        <v>859</v>
      </c>
      <c r="U135" s="16">
        <v>46198</v>
      </c>
      <c r="V135" s="17" t="s">
        <v>860</v>
      </c>
      <c r="W135" s="18"/>
      <c r="X135" s="19">
        <v>12492.3</v>
      </c>
      <c r="Y135" s="20" t="s">
        <v>861</v>
      </c>
      <c r="Z135" s="20" t="s">
        <v>48</v>
      </c>
      <c r="AA135" s="116"/>
      <c r="AB135" s="353">
        <v>46143</v>
      </c>
      <c r="AC135" s="27" t="s">
        <v>862</v>
      </c>
      <c r="AD135" s="80" t="s">
        <v>213</v>
      </c>
      <c r="AE135" s="24"/>
      <c r="AG135" s="140"/>
    </row>
    <row r="136" spans="1:42" ht="27" customHeight="1">
      <c r="A136" s="15">
        <v>133</v>
      </c>
      <c r="B136" s="81">
        <v>46162</v>
      </c>
      <c r="C136" s="15" t="s">
        <v>95</v>
      </c>
      <c r="D136" s="15" t="s">
        <v>863</v>
      </c>
      <c r="E136" s="26" t="s">
        <v>97</v>
      </c>
      <c r="F136" s="27" t="s">
        <v>109</v>
      </c>
      <c r="G136" s="15">
        <v>645602</v>
      </c>
      <c r="H136" s="81">
        <v>46163</v>
      </c>
      <c r="I136" s="15">
        <v>6294344</v>
      </c>
      <c r="J136" s="171" t="s">
        <v>864</v>
      </c>
      <c r="K136" s="81">
        <v>46143</v>
      </c>
      <c r="L136" s="81">
        <v>46507</v>
      </c>
      <c r="M136" s="88" t="s">
        <v>865</v>
      </c>
      <c r="N136" s="400">
        <v>6110434</v>
      </c>
      <c r="O136" s="384">
        <v>108500</v>
      </c>
      <c r="P136" s="30"/>
      <c r="Q136" s="31">
        <v>46143</v>
      </c>
      <c r="R136" s="32">
        <v>46507</v>
      </c>
      <c r="S136" s="20" t="s">
        <v>866</v>
      </c>
      <c r="T136" s="33" t="s">
        <v>867</v>
      </c>
      <c r="U136" s="114">
        <v>46189</v>
      </c>
      <c r="V136" s="115" t="s">
        <v>868</v>
      </c>
      <c r="W136" s="18"/>
      <c r="X136" s="19">
        <v>108500</v>
      </c>
      <c r="Y136" s="20" t="s">
        <v>148</v>
      </c>
      <c r="Z136" s="21" t="s">
        <v>106</v>
      </c>
      <c r="AA136" s="279"/>
      <c r="AB136" s="353">
        <v>46143</v>
      </c>
      <c r="AC136" s="27" t="s">
        <v>869</v>
      </c>
      <c r="AD136" s="80"/>
      <c r="AE136" s="24"/>
      <c r="AG136" s="140"/>
    </row>
    <row r="137" spans="1:42" ht="27" customHeight="1">
      <c r="A137" s="15">
        <v>134</v>
      </c>
      <c r="B137" s="81">
        <v>46162</v>
      </c>
      <c r="C137" s="15" t="s">
        <v>95</v>
      </c>
      <c r="D137" s="15" t="s">
        <v>870</v>
      </c>
      <c r="E137" s="26" t="s">
        <v>97</v>
      </c>
      <c r="F137" s="27" t="s">
        <v>109</v>
      </c>
      <c r="G137" s="15">
        <v>645602</v>
      </c>
      <c r="H137" s="81">
        <v>46163</v>
      </c>
      <c r="I137" s="15">
        <v>6294354</v>
      </c>
      <c r="J137" s="171" t="s">
        <v>864</v>
      </c>
      <c r="K137" s="81">
        <v>46143</v>
      </c>
      <c r="L137" s="81">
        <v>46507</v>
      </c>
      <c r="M137" s="88" t="s">
        <v>865</v>
      </c>
      <c r="N137" s="400">
        <v>6110434</v>
      </c>
      <c r="O137" s="384">
        <v>161268</v>
      </c>
      <c r="P137" s="30"/>
      <c r="Q137" s="31">
        <v>46293</v>
      </c>
      <c r="R137" s="32">
        <v>46507</v>
      </c>
      <c r="S137" s="20" t="s">
        <v>871</v>
      </c>
      <c r="T137" s="33" t="s">
        <v>872</v>
      </c>
      <c r="U137" s="114">
        <v>46175</v>
      </c>
      <c r="V137" s="115" t="s">
        <v>873</v>
      </c>
      <c r="W137" s="18"/>
      <c r="X137" s="19">
        <v>161268</v>
      </c>
      <c r="Y137" s="20" t="s">
        <v>148</v>
      </c>
      <c r="Z137" s="21" t="s">
        <v>106</v>
      </c>
      <c r="AA137" s="279"/>
      <c r="AB137" s="353">
        <v>46143</v>
      </c>
      <c r="AC137" s="27" t="s">
        <v>869</v>
      </c>
      <c r="AD137" s="80"/>
      <c r="AE137" s="24"/>
      <c r="AG137" s="140"/>
    </row>
    <row r="138" spans="1:42" ht="27" customHeight="1">
      <c r="A138" s="15">
        <v>135</v>
      </c>
      <c r="B138" s="81">
        <v>46162</v>
      </c>
      <c r="C138" s="15" t="s">
        <v>95</v>
      </c>
      <c r="D138" s="15" t="s">
        <v>874</v>
      </c>
      <c r="E138" s="26" t="s">
        <v>97</v>
      </c>
      <c r="F138" s="27" t="s">
        <v>98</v>
      </c>
      <c r="G138" s="15">
        <v>645602</v>
      </c>
      <c r="H138" s="81">
        <v>46163</v>
      </c>
      <c r="I138" s="15">
        <v>6294365</v>
      </c>
      <c r="J138" s="171" t="s">
        <v>864</v>
      </c>
      <c r="K138" s="81">
        <v>46143</v>
      </c>
      <c r="L138" s="81">
        <v>46507</v>
      </c>
      <c r="M138" s="88" t="s">
        <v>865</v>
      </c>
      <c r="N138" s="400">
        <v>6110434</v>
      </c>
      <c r="O138" s="384">
        <v>586386</v>
      </c>
      <c r="P138" s="30"/>
      <c r="Q138" s="31">
        <v>46293</v>
      </c>
      <c r="R138" s="32">
        <v>46507</v>
      </c>
      <c r="S138" s="20" t="s">
        <v>875</v>
      </c>
      <c r="T138" s="33" t="s">
        <v>876</v>
      </c>
      <c r="U138" s="89">
        <v>46238</v>
      </c>
      <c r="V138" s="90" t="s">
        <v>877</v>
      </c>
      <c r="W138" s="18"/>
      <c r="X138" s="19">
        <v>586386</v>
      </c>
      <c r="Y138" s="20" t="s">
        <v>148</v>
      </c>
      <c r="Z138" s="21" t="s">
        <v>106</v>
      </c>
      <c r="AA138" s="279"/>
      <c r="AB138" s="353">
        <v>46143</v>
      </c>
      <c r="AC138" s="27" t="s">
        <v>869</v>
      </c>
      <c r="AD138" s="80"/>
      <c r="AE138" s="24"/>
      <c r="AG138" s="140"/>
    </row>
    <row r="139" spans="1:42" ht="27" customHeight="1">
      <c r="A139" s="15">
        <v>136</v>
      </c>
      <c r="B139" s="81">
        <v>46162</v>
      </c>
      <c r="C139" s="15" t="s">
        <v>95</v>
      </c>
      <c r="D139" s="15" t="s">
        <v>878</v>
      </c>
      <c r="E139" s="26" t="s">
        <v>97</v>
      </c>
      <c r="F139" s="27" t="s">
        <v>98</v>
      </c>
      <c r="G139" s="168">
        <v>645602</v>
      </c>
      <c r="H139" s="81">
        <v>46163</v>
      </c>
      <c r="I139" s="168">
        <v>6294368</v>
      </c>
      <c r="J139" s="171" t="s">
        <v>803</v>
      </c>
      <c r="K139" s="81">
        <v>46082</v>
      </c>
      <c r="L139" s="169">
        <v>46811</v>
      </c>
      <c r="M139" s="395" t="s">
        <v>879</v>
      </c>
      <c r="N139" s="406">
        <v>627000</v>
      </c>
      <c r="O139" s="396">
        <v>434663.1</v>
      </c>
      <c r="P139" s="173"/>
      <c r="Q139" s="174">
        <v>46082</v>
      </c>
      <c r="R139" s="175">
        <v>46811</v>
      </c>
      <c r="S139" s="176" t="s">
        <v>880</v>
      </c>
      <c r="T139" s="177" t="s">
        <v>881</v>
      </c>
      <c r="U139" s="200">
        <v>46174</v>
      </c>
      <c r="V139" s="201" t="s">
        <v>882</v>
      </c>
      <c r="W139" s="251"/>
      <c r="X139" s="180">
        <v>434663.1</v>
      </c>
      <c r="Y139" s="176" t="s">
        <v>56</v>
      </c>
      <c r="Z139" s="346" t="s">
        <v>106</v>
      </c>
      <c r="AA139" s="279"/>
      <c r="AB139" s="356">
        <v>46143</v>
      </c>
      <c r="AC139" s="186" t="s">
        <v>883</v>
      </c>
      <c r="AD139" s="183"/>
      <c r="AE139" s="184"/>
      <c r="AF139" s="183"/>
      <c r="AG139" s="347"/>
      <c r="AH139" s="282"/>
      <c r="AI139" s="282"/>
      <c r="AJ139" s="282"/>
      <c r="AK139" s="282"/>
      <c r="AL139" s="282"/>
      <c r="AM139" s="282"/>
      <c r="AN139" s="282"/>
      <c r="AO139" s="282"/>
      <c r="AP139" s="282"/>
    </row>
    <row r="140" spans="1:42" ht="27" customHeight="1">
      <c r="A140" s="15">
        <v>137</v>
      </c>
      <c r="B140" s="81">
        <v>46162</v>
      </c>
      <c r="C140" s="15" t="s">
        <v>95</v>
      </c>
      <c r="D140" s="15" t="s">
        <v>884</v>
      </c>
      <c r="E140" s="26" t="s">
        <v>97</v>
      </c>
      <c r="F140" s="27" t="s">
        <v>98</v>
      </c>
      <c r="G140" s="168">
        <v>645602</v>
      </c>
      <c r="H140" s="81">
        <v>46163</v>
      </c>
      <c r="I140" s="168">
        <v>6294384</v>
      </c>
      <c r="J140" s="171" t="s">
        <v>743</v>
      </c>
      <c r="K140" s="81"/>
      <c r="L140" s="81"/>
      <c r="M140" s="395" t="s">
        <v>885</v>
      </c>
      <c r="N140" s="400">
        <v>962640</v>
      </c>
      <c r="O140" s="384">
        <v>4500</v>
      </c>
      <c r="P140" s="30"/>
      <c r="Q140" s="31" t="s">
        <v>487</v>
      </c>
      <c r="R140" s="32"/>
      <c r="S140" s="20" t="s">
        <v>573</v>
      </c>
      <c r="T140" s="33" t="s">
        <v>886</v>
      </c>
      <c r="U140" s="114">
        <v>46171</v>
      </c>
      <c r="V140" s="115" t="s">
        <v>887</v>
      </c>
      <c r="W140" s="18"/>
      <c r="X140" s="19">
        <v>4500</v>
      </c>
      <c r="Y140" s="20" t="s">
        <v>290</v>
      </c>
      <c r="Z140" s="21" t="s">
        <v>106</v>
      </c>
      <c r="AA140" s="279"/>
      <c r="AB140" s="353">
        <v>46143</v>
      </c>
      <c r="AC140" s="186" t="s">
        <v>888</v>
      </c>
      <c r="AD140" s="80"/>
      <c r="AE140" s="24"/>
      <c r="AG140" s="140"/>
    </row>
    <row r="141" spans="1:42" ht="27" customHeight="1">
      <c r="A141" s="15">
        <v>138</v>
      </c>
      <c r="B141" s="81">
        <v>46163</v>
      </c>
      <c r="C141" s="15" t="s">
        <v>38</v>
      </c>
      <c r="D141" s="15" t="s">
        <v>889</v>
      </c>
      <c r="E141" s="26" t="s">
        <v>40</v>
      </c>
      <c r="F141" s="27" t="s">
        <v>41</v>
      </c>
      <c r="G141" s="27">
        <v>645600</v>
      </c>
      <c r="H141" s="81">
        <v>46163</v>
      </c>
      <c r="I141" s="27">
        <v>6294467</v>
      </c>
      <c r="J141" s="28" t="s">
        <v>492</v>
      </c>
      <c r="K141" s="81">
        <v>45689</v>
      </c>
      <c r="L141" s="81">
        <v>46783</v>
      </c>
      <c r="M141" s="88" t="s">
        <v>890</v>
      </c>
      <c r="N141" s="400"/>
      <c r="O141" s="384">
        <f>P141*7.9</f>
        <v>36671.800000000003</v>
      </c>
      <c r="P141" s="30">
        <v>4642</v>
      </c>
      <c r="Q141" s="31">
        <v>46174</v>
      </c>
      <c r="R141" s="32">
        <v>46783</v>
      </c>
      <c r="S141" s="20" t="s">
        <v>394</v>
      </c>
      <c r="T141" s="33" t="s">
        <v>891</v>
      </c>
      <c r="U141" s="16">
        <v>46168</v>
      </c>
      <c r="V141" s="17" t="s">
        <v>892</v>
      </c>
      <c r="W141" s="18"/>
      <c r="X141" s="19">
        <v>36372.86</v>
      </c>
      <c r="Y141" s="20" t="s">
        <v>245</v>
      </c>
      <c r="Z141" s="20" t="s">
        <v>48</v>
      </c>
      <c r="AA141" s="116"/>
      <c r="AB141" s="353">
        <v>46143</v>
      </c>
      <c r="AC141" s="27" t="s">
        <v>893</v>
      </c>
      <c r="AD141" s="80" t="s">
        <v>213</v>
      </c>
      <c r="AE141" s="24" t="s">
        <v>894</v>
      </c>
      <c r="AG141" s="140"/>
    </row>
    <row r="142" spans="1:42" ht="27" customHeight="1">
      <c r="A142" s="15">
        <v>139</v>
      </c>
      <c r="B142" s="81">
        <v>46163</v>
      </c>
      <c r="C142" s="15" t="s">
        <v>38</v>
      </c>
      <c r="D142" s="15" t="s">
        <v>895</v>
      </c>
      <c r="E142" s="26" t="s">
        <v>70</v>
      </c>
      <c r="F142" s="27" t="s">
        <v>41</v>
      </c>
      <c r="G142" s="27">
        <v>645600</v>
      </c>
      <c r="H142" s="81">
        <v>46163</v>
      </c>
      <c r="I142" s="27">
        <v>6294503</v>
      </c>
      <c r="J142" s="28" t="s">
        <v>294</v>
      </c>
      <c r="K142" s="81">
        <v>46176</v>
      </c>
      <c r="L142" s="81">
        <v>46906</v>
      </c>
      <c r="M142" s="88" t="s">
        <v>896</v>
      </c>
      <c r="N142" s="400"/>
      <c r="O142" s="384">
        <v>24000</v>
      </c>
      <c r="P142" s="30"/>
      <c r="Q142" s="31">
        <v>46206</v>
      </c>
      <c r="R142" s="32">
        <v>46936</v>
      </c>
      <c r="S142" s="20" t="s">
        <v>296</v>
      </c>
      <c r="T142" s="33" t="s">
        <v>897</v>
      </c>
      <c r="U142" s="16">
        <v>46189</v>
      </c>
      <c r="V142" s="17" t="s">
        <v>898</v>
      </c>
      <c r="W142" s="18"/>
      <c r="X142" s="19">
        <v>24000</v>
      </c>
      <c r="Y142" s="20" t="s">
        <v>794</v>
      </c>
      <c r="Z142" s="20" t="s">
        <v>899</v>
      </c>
      <c r="AA142" s="116">
        <v>46163</v>
      </c>
      <c r="AB142" s="353">
        <v>46143</v>
      </c>
      <c r="AC142" s="27" t="s">
        <v>900</v>
      </c>
      <c r="AD142" s="80"/>
      <c r="AE142" s="24" t="s">
        <v>901</v>
      </c>
      <c r="AG142" s="140"/>
    </row>
    <row r="143" spans="1:42" ht="27" customHeight="1">
      <c r="A143" s="15">
        <v>140</v>
      </c>
      <c r="B143" s="81">
        <v>46164</v>
      </c>
      <c r="C143" s="15" t="s">
        <v>38</v>
      </c>
      <c r="D143" s="15" t="s">
        <v>902</v>
      </c>
      <c r="E143" s="26" t="s">
        <v>70</v>
      </c>
      <c r="F143" s="27" t="s">
        <v>41</v>
      </c>
      <c r="G143" s="27">
        <v>645600</v>
      </c>
      <c r="H143" s="81">
        <v>46164</v>
      </c>
      <c r="I143" s="27">
        <v>6295014</v>
      </c>
      <c r="J143" s="28" t="s">
        <v>903</v>
      </c>
      <c r="K143" s="81">
        <v>46119</v>
      </c>
      <c r="L143" s="81">
        <v>46483</v>
      </c>
      <c r="M143" s="88" t="s">
        <v>904</v>
      </c>
      <c r="N143" s="400"/>
      <c r="O143" s="384">
        <f>P143*7.9</f>
        <v>62094</v>
      </c>
      <c r="P143" s="30">
        <v>7860</v>
      </c>
      <c r="Q143" s="31">
        <v>46149</v>
      </c>
      <c r="R143" s="32">
        <v>46513</v>
      </c>
      <c r="S143" s="20" t="s">
        <v>905</v>
      </c>
      <c r="T143" s="33" t="s">
        <v>906</v>
      </c>
      <c r="U143" s="16">
        <v>46176</v>
      </c>
      <c r="V143" s="17" t="s">
        <v>907</v>
      </c>
      <c r="W143" s="18"/>
      <c r="X143" s="19">
        <v>61587.82</v>
      </c>
      <c r="Y143" s="20" t="s">
        <v>245</v>
      </c>
      <c r="Z143" s="176" t="s">
        <v>300</v>
      </c>
      <c r="AA143" s="116"/>
      <c r="AB143" s="353">
        <v>46143</v>
      </c>
      <c r="AC143" s="27" t="s">
        <v>908</v>
      </c>
      <c r="AD143" s="80"/>
      <c r="AE143" s="24"/>
      <c r="AG143" s="140"/>
    </row>
    <row r="144" spans="1:42" ht="27" customHeight="1">
      <c r="A144" s="15">
        <v>141</v>
      </c>
      <c r="B144" s="81">
        <v>46169</v>
      </c>
      <c r="C144" s="15" t="s">
        <v>38</v>
      </c>
      <c r="D144" s="15" t="s">
        <v>909</v>
      </c>
      <c r="E144" s="26" t="s">
        <v>40</v>
      </c>
      <c r="F144" s="27" t="s">
        <v>41</v>
      </c>
      <c r="G144" s="27">
        <v>645600</v>
      </c>
      <c r="H144" s="81">
        <v>46169</v>
      </c>
      <c r="I144" s="27">
        <v>6296050</v>
      </c>
      <c r="J144" s="28" t="s">
        <v>437</v>
      </c>
      <c r="K144" s="81">
        <v>46143</v>
      </c>
      <c r="L144" s="81">
        <v>46568</v>
      </c>
      <c r="M144" s="88" t="s">
        <v>910</v>
      </c>
      <c r="N144" s="400"/>
      <c r="O144" s="384">
        <f>P144*7.9</f>
        <v>103801.734</v>
      </c>
      <c r="P144" s="30">
        <v>13139.46</v>
      </c>
      <c r="Q144" s="31">
        <v>46143</v>
      </c>
      <c r="R144" s="32">
        <v>46568</v>
      </c>
      <c r="S144" s="20" t="s">
        <v>394</v>
      </c>
      <c r="T144" s="33" t="s">
        <v>911</v>
      </c>
      <c r="U144" s="16">
        <v>46171</v>
      </c>
      <c r="V144" s="17" t="s">
        <v>912</v>
      </c>
      <c r="W144" s="18" t="s">
        <v>913</v>
      </c>
      <c r="X144" s="19">
        <v>102955.55</v>
      </c>
      <c r="Y144" s="20" t="s">
        <v>541</v>
      </c>
      <c r="Z144" s="20" t="s">
        <v>48</v>
      </c>
      <c r="AA144" s="116"/>
      <c r="AB144" s="353">
        <v>46143</v>
      </c>
      <c r="AC144" s="27" t="s">
        <v>914</v>
      </c>
      <c r="AD144" s="80" t="s">
        <v>213</v>
      </c>
      <c r="AE144" s="24" t="s">
        <v>915</v>
      </c>
      <c r="AG144" s="140"/>
    </row>
    <row r="145" spans="1:33" ht="27" customHeight="1">
      <c r="A145" s="15">
        <v>142</v>
      </c>
      <c r="B145" s="81">
        <v>46170</v>
      </c>
      <c r="C145" s="15" t="s">
        <v>38</v>
      </c>
      <c r="D145" s="15" t="s">
        <v>916</v>
      </c>
      <c r="E145" s="26" t="s">
        <v>70</v>
      </c>
      <c r="F145" s="27" t="s">
        <v>41</v>
      </c>
      <c r="G145" s="27">
        <v>645600</v>
      </c>
      <c r="H145" s="81">
        <v>46170</v>
      </c>
      <c r="I145" s="27">
        <v>6296525</v>
      </c>
      <c r="J145" s="28" t="s">
        <v>757</v>
      </c>
      <c r="K145" s="81">
        <v>45926</v>
      </c>
      <c r="L145" s="81">
        <v>46290</v>
      </c>
      <c r="M145" s="88" t="s">
        <v>917</v>
      </c>
      <c r="N145" s="400"/>
      <c r="O145" s="384">
        <f>P145*7.9</f>
        <v>8634.9369999999999</v>
      </c>
      <c r="P145" s="30">
        <v>1093.03</v>
      </c>
      <c r="Q145" s="31">
        <v>46143</v>
      </c>
      <c r="R145" s="32">
        <v>46507</v>
      </c>
      <c r="S145" s="20" t="s">
        <v>473</v>
      </c>
      <c r="T145" s="33" t="s">
        <v>918</v>
      </c>
      <c r="U145" s="16">
        <v>46171</v>
      </c>
      <c r="V145" s="17" t="s">
        <v>919</v>
      </c>
      <c r="W145" s="18"/>
      <c r="X145" s="19">
        <v>8564.5499999999993</v>
      </c>
      <c r="Y145" s="20" t="s">
        <v>123</v>
      </c>
      <c r="Z145" s="176" t="s">
        <v>920</v>
      </c>
      <c r="AA145" s="116"/>
      <c r="AB145" s="353">
        <v>46143</v>
      </c>
      <c r="AC145" s="27" t="s">
        <v>921</v>
      </c>
      <c r="AD145" s="80" t="s">
        <v>213</v>
      </c>
      <c r="AE145" s="24" t="s">
        <v>915</v>
      </c>
      <c r="AG145" s="140"/>
    </row>
    <row r="146" spans="1:33" ht="27" customHeight="1">
      <c r="A146" s="15">
        <v>143</v>
      </c>
      <c r="B146" s="81">
        <v>46171</v>
      </c>
      <c r="C146" s="15" t="s">
        <v>95</v>
      </c>
      <c r="D146" s="15" t="s">
        <v>922</v>
      </c>
      <c r="E146" s="26" t="s">
        <v>97</v>
      </c>
      <c r="F146" s="27" t="s">
        <v>98</v>
      </c>
      <c r="G146" s="15">
        <v>645602</v>
      </c>
      <c r="H146" s="81">
        <v>46171</v>
      </c>
      <c r="I146" s="15">
        <v>6296977</v>
      </c>
      <c r="J146" s="28" t="s">
        <v>151</v>
      </c>
      <c r="K146" s="81">
        <v>45627</v>
      </c>
      <c r="L146" s="81">
        <v>47087</v>
      </c>
      <c r="M146" s="88" t="s">
        <v>152</v>
      </c>
      <c r="N146" s="400">
        <v>20046880</v>
      </c>
      <c r="O146" s="384">
        <v>447650</v>
      </c>
      <c r="P146" s="30"/>
      <c r="Q146" s="31">
        <v>46174</v>
      </c>
      <c r="R146" s="32">
        <v>46356</v>
      </c>
      <c r="S146" s="20" t="s">
        <v>215</v>
      </c>
      <c r="T146" s="33" t="s">
        <v>216</v>
      </c>
      <c r="U146" s="114">
        <v>46175</v>
      </c>
      <c r="V146" s="115" t="s">
        <v>923</v>
      </c>
      <c r="W146" s="18"/>
      <c r="X146" s="19">
        <v>447650</v>
      </c>
      <c r="Y146" s="20" t="s">
        <v>157</v>
      </c>
      <c r="Z146" s="176" t="s">
        <v>106</v>
      </c>
      <c r="AA146" s="279"/>
      <c r="AB146" s="353">
        <v>46168</v>
      </c>
      <c r="AC146" s="27" t="s">
        <v>158</v>
      </c>
      <c r="AD146" s="80"/>
      <c r="AE146" s="24"/>
      <c r="AG146" s="140"/>
    </row>
    <row r="147" spans="1:33" ht="27" customHeight="1">
      <c r="A147" s="15">
        <v>144</v>
      </c>
      <c r="B147" s="81">
        <v>46170</v>
      </c>
      <c r="C147" s="15" t="s">
        <v>38</v>
      </c>
      <c r="D147" s="15" t="s">
        <v>924</v>
      </c>
      <c r="E147" s="26" t="s">
        <v>70</v>
      </c>
      <c r="F147" s="27" t="s">
        <v>41</v>
      </c>
      <c r="G147" s="27">
        <v>645600</v>
      </c>
      <c r="H147" s="81">
        <v>46171</v>
      </c>
      <c r="I147" s="27">
        <v>6296980</v>
      </c>
      <c r="J147" s="28" t="s">
        <v>925</v>
      </c>
      <c r="K147" s="81">
        <v>46143</v>
      </c>
      <c r="L147" s="81">
        <v>46873</v>
      </c>
      <c r="M147" s="88" t="s">
        <v>926</v>
      </c>
      <c r="N147" s="400"/>
      <c r="O147" s="384">
        <v>4890</v>
      </c>
      <c r="P147" s="30"/>
      <c r="Q147" s="31" t="s">
        <v>927</v>
      </c>
      <c r="R147" s="32"/>
      <c r="S147" s="20" t="s">
        <v>505</v>
      </c>
      <c r="T147" s="33" t="s">
        <v>928</v>
      </c>
      <c r="U147" s="16">
        <v>46181</v>
      </c>
      <c r="V147" s="17" t="s">
        <v>929</v>
      </c>
      <c r="W147" s="18"/>
      <c r="X147" s="19">
        <v>4890</v>
      </c>
      <c r="Y147" s="20" t="s">
        <v>832</v>
      </c>
      <c r="Z147" s="176" t="s">
        <v>300</v>
      </c>
      <c r="AA147" s="116"/>
      <c r="AB147" s="353">
        <v>46143</v>
      </c>
      <c r="AC147" s="27" t="s">
        <v>930</v>
      </c>
      <c r="AD147" s="80"/>
      <c r="AE147" s="24"/>
      <c r="AG147" s="140"/>
    </row>
    <row r="148" spans="1:33" ht="27" customHeight="1">
      <c r="A148" s="15">
        <v>145</v>
      </c>
      <c r="B148" s="81">
        <v>46170</v>
      </c>
      <c r="C148" s="15" t="s">
        <v>38</v>
      </c>
      <c r="D148" s="15" t="s">
        <v>931</v>
      </c>
      <c r="E148" s="26" t="s">
        <v>70</v>
      </c>
      <c r="F148" s="27" t="s">
        <v>277</v>
      </c>
      <c r="G148" s="27">
        <v>645600</v>
      </c>
      <c r="H148" s="81">
        <v>46171</v>
      </c>
      <c r="I148" s="27">
        <v>6296991</v>
      </c>
      <c r="J148" s="28" t="s">
        <v>932</v>
      </c>
      <c r="K148" s="81">
        <v>46194</v>
      </c>
      <c r="L148" s="81">
        <v>46446</v>
      </c>
      <c r="M148" s="88" t="s">
        <v>933</v>
      </c>
      <c r="N148" s="400"/>
      <c r="O148" s="384">
        <v>29926</v>
      </c>
      <c r="P148" s="30"/>
      <c r="Q148" s="31">
        <v>46194</v>
      </c>
      <c r="R148" s="32">
        <v>46446</v>
      </c>
      <c r="S148" s="20" t="s">
        <v>399</v>
      </c>
      <c r="T148" s="33" t="s">
        <v>934</v>
      </c>
      <c r="U148" s="16">
        <v>46182</v>
      </c>
      <c r="V148" s="17" t="s">
        <v>935</v>
      </c>
      <c r="W148" s="18"/>
      <c r="X148" s="19">
        <v>29926</v>
      </c>
      <c r="Y148" s="20" t="s">
        <v>123</v>
      </c>
      <c r="Z148" s="176" t="s">
        <v>920</v>
      </c>
      <c r="AA148" s="116"/>
      <c r="AB148" s="353">
        <v>46143</v>
      </c>
      <c r="AC148" s="27" t="s">
        <v>936</v>
      </c>
      <c r="AD148" s="80"/>
      <c r="AE148" s="24"/>
      <c r="AG148" s="140"/>
    </row>
    <row r="149" spans="1:33" ht="27" customHeight="1">
      <c r="A149" s="15">
        <v>146</v>
      </c>
      <c r="B149" s="81">
        <v>46170</v>
      </c>
      <c r="C149" s="15" t="s">
        <v>38</v>
      </c>
      <c r="D149" s="15" t="s">
        <v>937</v>
      </c>
      <c r="E149" s="26" t="s">
        <v>70</v>
      </c>
      <c r="F149" s="27" t="s">
        <v>277</v>
      </c>
      <c r="G149" s="27">
        <v>645600</v>
      </c>
      <c r="H149" s="81">
        <v>46171</v>
      </c>
      <c r="I149" s="27">
        <v>6296993</v>
      </c>
      <c r="J149" s="28" t="s">
        <v>932</v>
      </c>
      <c r="K149" s="81">
        <v>46194</v>
      </c>
      <c r="L149" s="81">
        <v>46446</v>
      </c>
      <c r="M149" s="88" t="s">
        <v>933</v>
      </c>
      <c r="N149" s="400"/>
      <c r="O149" s="384">
        <v>5550</v>
      </c>
      <c r="P149" s="30"/>
      <c r="Q149" s="31">
        <v>46194</v>
      </c>
      <c r="R149" s="32">
        <v>46446</v>
      </c>
      <c r="S149" s="20" t="s">
        <v>514</v>
      </c>
      <c r="T149" s="33" t="s">
        <v>938</v>
      </c>
      <c r="U149" s="16">
        <v>46185</v>
      </c>
      <c r="V149" s="17" t="s">
        <v>939</v>
      </c>
      <c r="W149" s="18"/>
      <c r="X149" s="19">
        <v>5550</v>
      </c>
      <c r="Y149" s="20" t="s">
        <v>123</v>
      </c>
      <c r="Z149" s="176" t="s">
        <v>920</v>
      </c>
      <c r="AA149" s="116"/>
      <c r="AB149" s="353">
        <v>46143</v>
      </c>
      <c r="AC149" s="27" t="s">
        <v>936</v>
      </c>
      <c r="AD149" s="80"/>
      <c r="AE149" s="24"/>
      <c r="AG149" s="140"/>
    </row>
    <row r="150" spans="1:33" ht="27" customHeight="1">
      <c r="A150" s="15">
        <v>147</v>
      </c>
      <c r="B150" s="81">
        <v>46170</v>
      </c>
      <c r="C150" s="15" t="s">
        <v>38</v>
      </c>
      <c r="D150" s="15" t="s">
        <v>940</v>
      </c>
      <c r="E150" s="26" t="s">
        <v>70</v>
      </c>
      <c r="F150" s="27" t="s">
        <v>277</v>
      </c>
      <c r="G150" s="27">
        <v>645600</v>
      </c>
      <c r="H150" s="81">
        <v>46171</v>
      </c>
      <c r="I150" s="27">
        <v>6296994</v>
      </c>
      <c r="J150" s="28" t="s">
        <v>932</v>
      </c>
      <c r="K150" s="81">
        <v>46194</v>
      </c>
      <c r="L150" s="81">
        <v>46446</v>
      </c>
      <c r="M150" s="88" t="s">
        <v>933</v>
      </c>
      <c r="N150" s="400"/>
      <c r="O150" s="384">
        <v>3500</v>
      </c>
      <c r="P150" s="30"/>
      <c r="Q150" s="31">
        <v>46194</v>
      </c>
      <c r="R150" s="32">
        <v>46446</v>
      </c>
      <c r="S150" s="20" t="s">
        <v>514</v>
      </c>
      <c r="T150" s="33" t="s">
        <v>941</v>
      </c>
      <c r="U150" s="16">
        <v>46182</v>
      </c>
      <c r="V150" s="17" t="s">
        <v>942</v>
      </c>
      <c r="W150" s="18"/>
      <c r="X150" s="19">
        <v>3500</v>
      </c>
      <c r="Y150" s="20" t="s">
        <v>123</v>
      </c>
      <c r="Z150" s="176" t="s">
        <v>920</v>
      </c>
      <c r="AA150" s="116"/>
      <c r="AB150" s="353">
        <v>46143</v>
      </c>
      <c r="AC150" s="27" t="s">
        <v>936</v>
      </c>
      <c r="AD150" s="80"/>
      <c r="AE150" s="24"/>
      <c r="AG150" s="140"/>
    </row>
    <row r="151" spans="1:33" ht="27" customHeight="1">
      <c r="A151" s="15">
        <v>148</v>
      </c>
      <c r="B151" s="81">
        <v>46029</v>
      </c>
      <c r="C151" s="15" t="s">
        <v>95</v>
      </c>
      <c r="D151" s="15" t="s">
        <v>943</v>
      </c>
      <c r="E151" s="26" t="s">
        <v>97</v>
      </c>
      <c r="F151" s="27" t="s">
        <v>944</v>
      </c>
      <c r="G151" s="27">
        <v>645602</v>
      </c>
      <c r="H151" s="81">
        <v>46174</v>
      </c>
      <c r="I151" s="27">
        <v>6297404</v>
      </c>
      <c r="J151" s="28" t="s">
        <v>945</v>
      </c>
      <c r="K151" s="81">
        <v>45292</v>
      </c>
      <c r="L151" s="81">
        <v>46387</v>
      </c>
      <c r="M151" s="88" t="s">
        <v>946</v>
      </c>
      <c r="N151" s="400">
        <v>289904</v>
      </c>
      <c r="O151" s="384">
        <v>83500</v>
      </c>
      <c r="P151" s="30"/>
      <c r="Q151" s="31">
        <v>46023</v>
      </c>
      <c r="R151" s="32">
        <v>46387</v>
      </c>
      <c r="S151" s="20" t="s">
        <v>594</v>
      </c>
      <c r="T151" s="33" t="s">
        <v>947</v>
      </c>
      <c r="U151" s="114">
        <v>46175</v>
      </c>
      <c r="V151" s="115" t="s">
        <v>948</v>
      </c>
      <c r="W151" s="18"/>
      <c r="X151" s="19">
        <v>83500</v>
      </c>
      <c r="Y151" s="20" t="s">
        <v>290</v>
      </c>
      <c r="Z151" s="21" t="s">
        <v>106</v>
      </c>
      <c r="AA151" s="22"/>
      <c r="AB151" s="353">
        <v>46174</v>
      </c>
      <c r="AC151" s="27" t="s">
        <v>949</v>
      </c>
      <c r="AD151" s="80"/>
      <c r="AE151" s="24"/>
      <c r="AG151" s="140"/>
    </row>
    <row r="152" spans="1:33" ht="27" customHeight="1">
      <c r="A152" s="15">
        <v>149</v>
      </c>
      <c r="B152" s="81">
        <v>46176</v>
      </c>
      <c r="C152" s="15" t="s">
        <v>38</v>
      </c>
      <c r="D152" s="15" t="s">
        <v>950</v>
      </c>
      <c r="E152" s="26" t="s">
        <v>40</v>
      </c>
      <c r="F152" s="27" t="s">
        <v>41</v>
      </c>
      <c r="G152" s="27">
        <v>645600</v>
      </c>
      <c r="H152" s="81">
        <v>46176</v>
      </c>
      <c r="I152" s="27">
        <v>6298424</v>
      </c>
      <c r="J152" s="28" t="s">
        <v>743</v>
      </c>
      <c r="K152" s="81">
        <v>46123</v>
      </c>
      <c r="L152" s="81">
        <v>46487</v>
      </c>
      <c r="M152" s="88" t="s">
        <v>744</v>
      </c>
      <c r="N152" s="400"/>
      <c r="O152" s="384">
        <f>P152*7.9</f>
        <v>69787.02</v>
      </c>
      <c r="P152" s="30">
        <f>6843.96+706.08+1283.76</f>
        <v>8833.7999999999993</v>
      </c>
      <c r="Q152" s="31">
        <v>46143</v>
      </c>
      <c r="R152" s="32">
        <v>46507</v>
      </c>
      <c r="S152" s="20" t="s">
        <v>44</v>
      </c>
      <c r="T152" s="33" t="s">
        <v>951</v>
      </c>
      <c r="U152" s="16">
        <v>46182</v>
      </c>
      <c r="V152" s="17" t="s">
        <v>952</v>
      </c>
      <c r="W152" s="18"/>
      <c r="X152" s="19">
        <f>53619+5531.78+10057.62</f>
        <v>69208.399999999994</v>
      </c>
      <c r="Y152" s="20" t="s">
        <v>290</v>
      </c>
      <c r="Z152" s="20" t="s">
        <v>48</v>
      </c>
      <c r="AA152" s="116"/>
      <c r="AB152" s="353">
        <v>46174</v>
      </c>
      <c r="AC152" s="27" t="s">
        <v>748</v>
      </c>
      <c r="AD152" s="80" t="s">
        <v>213</v>
      </c>
      <c r="AE152" s="24" t="s">
        <v>953</v>
      </c>
      <c r="AG152" s="140"/>
    </row>
    <row r="153" spans="1:33" ht="27" customHeight="1">
      <c r="A153" s="15">
        <v>150</v>
      </c>
      <c r="B153" s="81">
        <v>46176</v>
      </c>
      <c r="C153" s="15" t="s">
        <v>38</v>
      </c>
      <c r="D153" s="15" t="s">
        <v>954</v>
      </c>
      <c r="E153" s="26" t="s">
        <v>40</v>
      </c>
      <c r="F153" s="27" t="s">
        <v>41</v>
      </c>
      <c r="G153" s="27">
        <v>645600</v>
      </c>
      <c r="H153" s="81">
        <v>46176</v>
      </c>
      <c r="I153" s="27">
        <v>6298435</v>
      </c>
      <c r="J153" s="28" t="s">
        <v>955</v>
      </c>
      <c r="K153" s="81">
        <v>46203</v>
      </c>
      <c r="L153" s="81">
        <v>46567</v>
      </c>
      <c r="M153" s="88" t="s">
        <v>956</v>
      </c>
      <c r="N153" s="400"/>
      <c r="O153" s="384">
        <f>P153*7.9</f>
        <v>10570.358</v>
      </c>
      <c r="P153" s="30">
        <v>1338.02</v>
      </c>
      <c r="Q153" s="31">
        <v>46113</v>
      </c>
      <c r="R153" s="32">
        <v>46567</v>
      </c>
      <c r="S153" s="20" t="s">
        <v>92</v>
      </c>
      <c r="T153" s="349" t="s">
        <v>957</v>
      </c>
      <c r="U153" s="16">
        <v>46189</v>
      </c>
      <c r="V153" s="17" t="s">
        <v>958</v>
      </c>
      <c r="W153" s="18"/>
      <c r="X153" s="19">
        <v>2077.87</v>
      </c>
      <c r="Y153" s="20" t="s">
        <v>299</v>
      </c>
      <c r="Z153" s="20" t="s">
        <v>48</v>
      </c>
      <c r="AA153" s="116"/>
      <c r="AB153" s="353">
        <v>46174</v>
      </c>
      <c r="AC153" s="27" t="s">
        <v>959</v>
      </c>
      <c r="AD153" s="80" t="s">
        <v>213</v>
      </c>
      <c r="AE153" s="24" t="s">
        <v>960</v>
      </c>
      <c r="AG153" s="140"/>
    </row>
    <row r="154" spans="1:33" ht="27" customHeight="1">
      <c r="A154" s="15">
        <v>151</v>
      </c>
      <c r="B154" s="81">
        <v>46176</v>
      </c>
      <c r="C154" s="15" t="s">
        <v>95</v>
      </c>
      <c r="D154" s="15" t="s">
        <v>961</v>
      </c>
      <c r="E154" s="26" t="s">
        <v>97</v>
      </c>
      <c r="F154" s="27" t="s">
        <v>944</v>
      </c>
      <c r="G154" s="27">
        <v>645602</v>
      </c>
      <c r="H154" s="81">
        <v>46177</v>
      </c>
      <c r="I154" s="27">
        <v>6298557</v>
      </c>
      <c r="J154" s="28" t="s">
        <v>962</v>
      </c>
      <c r="K154" s="81">
        <v>46244</v>
      </c>
      <c r="L154" s="81">
        <v>46608</v>
      </c>
      <c r="M154" s="88" t="s">
        <v>963</v>
      </c>
      <c r="N154" s="400">
        <v>2996</v>
      </c>
      <c r="O154" s="384">
        <f>P154*7.9</f>
        <v>1237.1400000000001</v>
      </c>
      <c r="P154" s="30">
        <v>156.6</v>
      </c>
      <c r="Q154" s="31">
        <v>46244</v>
      </c>
      <c r="R154" s="32">
        <v>46608</v>
      </c>
      <c r="S154" s="20" t="s">
        <v>305</v>
      </c>
      <c r="T154" s="33" t="s">
        <v>964</v>
      </c>
      <c r="U154" s="114">
        <v>46182</v>
      </c>
      <c r="V154" s="115" t="s">
        <v>965</v>
      </c>
      <c r="W154" s="18"/>
      <c r="X154" s="19">
        <v>1226.8800000000001</v>
      </c>
      <c r="Y154" s="348" t="s">
        <v>966</v>
      </c>
      <c r="Z154" s="21" t="s">
        <v>106</v>
      </c>
      <c r="AA154" s="22"/>
      <c r="AB154" s="353">
        <v>46174</v>
      </c>
      <c r="AC154" s="27" t="s">
        <v>967</v>
      </c>
      <c r="AD154" s="80"/>
      <c r="AE154" s="24"/>
      <c r="AG154" s="140"/>
    </row>
    <row r="155" spans="1:33" ht="27" customHeight="1">
      <c r="A155" s="15">
        <v>152</v>
      </c>
      <c r="B155" s="81">
        <v>46177</v>
      </c>
      <c r="C155" s="15" t="s">
        <v>38</v>
      </c>
      <c r="D155" s="15" t="s">
        <v>968</v>
      </c>
      <c r="E155" s="26" t="s">
        <v>70</v>
      </c>
      <c r="F155" s="27" t="s">
        <v>277</v>
      </c>
      <c r="G155" s="27">
        <v>645600</v>
      </c>
      <c r="H155" s="81">
        <v>46178</v>
      </c>
      <c r="I155" s="27">
        <v>6299216</v>
      </c>
      <c r="J155" s="28" t="s">
        <v>969</v>
      </c>
      <c r="K155" s="81">
        <v>46153</v>
      </c>
      <c r="L155" s="81">
        <v>46517</v>
      </c>
      <c r="M155" s="88" t="s">
        <v>970</v>
      </c>
      <c r="N155" s="400"/>
      <c r="O155" s="384">
        <f>P155*7.9</f>
        <v>51611.569000000003</v>
      </c>
      <c r="P155" s="30">
        <v>6533.11</v>
      </c>
      <c r="Q155" s="31">
        <v>46054</v>
      </c>
      <c r="R155" s="32">
        <v>46418</v>
      </c>
      <c r="S155" s="20" t="s">
        <v>473</v>
      </c>
      <c r="T155" s="33" t="s">
        <v>971</v>
      </c>
      <c r="U155" s="16">
        <v>46198</v>
      </c>
      <c r="V155" s="17" t="s">
        <v>972</v>
      </c>
      <c r="W155" s="18"/>
      <c r="X155" s="19">
        <v>51183.65</v>
      </c>
      <c r="Y155" s="20" t="s">
        <v>56</v>
      </c>
      <c r="Z155" s="176" t="s">
        <v>920</v>
      </c>
      <c r="AA155" s="116"/>
      <c r="AB155" s="353">
        <v>46174</v>
      </c>
      <c r="AC155" s="27" t="s">
        <v>973</v>
      </c>
      <c r="AD155" s="80"/>
      <c r="AE155" s="24"/>
      <c r="AF155" s="80" t="s">
        <v>974</v>
      </c>
      <c r="AG155" s="140">
        <v>46203</v>
      </c>
    </row>
    <row r="156" spans="1:33" ht="27" customHeight="1">
      <c r="A156" s="15">
        <v>153</v>
      </c>
      <c r="B156" s="81">
        <v>46178</v>
      </c>
      <c r="C156" s="15" t="s">
        <v>38</v>
      </c>
      <c r="D156" s="15" t="s">
        <v>975</v>
      </c>
      <c r="E156" s="26" t="s">
        <v>59</v>
      </c>
      <c r="F156" s="27" t="s">
        <v>41</v>
      </c>
      <c r="G156" s="27">
        <v>645600</v>
      </c>
      <c r="H156" s="81">
        <v>46178</v>
      </c>
      <c r="I156" s="27">
        <v>6299270</v>
      </c>
      <c r="J156" s="28" t="s">
        <v>976</v>
      </c>
      <c r="K156" s="81">
        <v>46220</v>
      </c>
      <c r="L156" s="81">
        <v>46584</v>
      </c>
      <c r="M156" s="88" t="s">
        <v>977</v>
      </c>
      <c r="N156" s="400"/>
      <c r="O156" s="384">
        <v>23119</v>
      </c>
      <c r="P156" s="30"/>
      <c r="Q156" s="31">
        <v>46220</v>
      </c>
      <c r="R156" s="32">
        <v>46584</v>
      </c>
      <c r="S156" s="20" t="s">
        <v>128</v>
      </c>
      <c r="T156" s="33" t="s">
        <v>978</v>
      </c>
      <c r="U156" s="16">
        <v>46184</v>
      </c>
      <c r="V156" s="17" t="s">
        <v>979</v>
      </c>
      <c r="W156" s="18"/>
      <c r="X156" s="19">
        <v>23119</v>
      </c>
      <c r="Y156" s="20" t="s">
        <v>56</v>
      </c>
      <c r="Z156" s="20" t="s">
        <v>67</v>
      </c>
      <c r="AA156" s="116"/>
      <c r="AB156" s="353">
        <v>46174</v>
      </c>
      <c r="AC156" s="27" t="s">
        <v>980</v>
      </c>
      <c r="AD156" s="80"/>
      <c r="AE156" s="24"/>
      <c r="AG156" s="140"/>
    </row>
    <row r="157" spans="1:33" ht="27" customHeight="1">
      <c r="A157" s="15">
        <v>154</v>
      </c>
      <c r="B157" s="81">
        <v>46181</v>
      </c>
      <c r="C157" s="15" t="s">
        <v>95</v>
      </c>
      <c r="D157" s="15" t="s">
        <v>981</v>
      </c>
      <c r="E157" s="26" t="s">
        <v>97</v>
      </c>
      <c r="F157" s="27" t="s">
        <v>98</v>
      </c>
      <c r="G157" s="27">
        <v>645602</v>
      </c>
      <c r="H157" s="81">
        <v>46181</v>
      </c>
      <c r="I157" s="27">
        <v>6299804</v>
      </c>
      <c r="J157" s="28" t="s">
        <v>233</v>
      </c>
      <c r="K157" s="81">
        <v>45931</v>
      </c>
      <c r="L157" s="81">
        <v>46295</v>
      </c>
      <c r="M157" s="88" t="s">
        <v>234</v>
      </c>
      <c r="N157" s="400">
        <v>369000</v>
      </c>
      <c r="O157" s="384">
        <v>11589</v>
      </c>
      <c r="P157" s="30"/>
      <c r="Q157" s="31" t="s">
        <v>805</v>
      </c>
      <c r="R157" s="32"/>
      <c r="S157" s="20" t="s">
        <v>982</v>
      </c>
      <c r="T157" s="33" t="s">
        <v>983</v>
      </c>
      <c r="U157" s="114">
        <v>46184</v>
      </c>
      <c r="V157" s="115" t="s">
        <v>984</v>
      </c>
      <c r="W157" s="18"/>
      <c r="X157" s="19">
        <v>11589</v>
      </c>
      <c r="Y157" s="20" t="s">
        <v>985</v>
      </c>
      <c r="Z157" s="20" t="s">
        <v>106</v>
      </c>
      <c r="AA157" s="116"/>
      <c r="AB157" s="353">
        <v>46174</v>
      </c>
      <c r="AC157" s="27" t="s">
        <v>986</v>
      </c>
      <c r="AD157" s="80"/>
      <c r="AE157" s="24"/>
      <c r="AG157" s="140"/>
    </row>
    <row r="158" spans="1:33" ht="27" customHeight="1">
      <c r="A158" s="15">
        <v>155</v>
      </c>
      <c r="B158" s="81">
        <v>46181</v>
      </c>
      <c r="C158" s="15" t="s">
        <v>95</v>
      </c>
      <c r="D158" s="15" t="s">
        <v>987</v>
      </c>
      <c r="E158" s="26" t="s">
        <v>97</v>
      </c>
      <c r="F158" s="27" t="s">
        <v>98</v>
      </c>
      <c r="G158" s="27">
        <v>645602</v>
      </c>
      <c r="H158" s="81">
        <v>46181</v>
      </c>
      <c r="I158" s="27">
        <v>6299845</v>
      </c>
      <c r="J158" s="28" t="s">
        <v>233</v>
      </c>
      <c r="K158" s="81">
        <v>45931</v>
      </c>
      <c r="L158" s="81">
        <v>46295</v>
      </c>
      <c r="M158" s="88" t="s">
        <v>234</v>
      </c>
      <c r="N158" s="400">
        <v>369000</v>
      </c>
      <c r="O158" s="384">
        <v>3740</v>
      </c>
      <c r="P158" s="30"/>
      <c r="Q158" s="31" t="s">
        <v>805</v>
      </c>
      <c r="R158" s="32"/>
      <c r="S158" s="20" t="s">
        <v>505</v>
      </c>
      <c r="T158" s="33" t="s">
        <v>988</v>
      </c>
      <c r="U158" s="114">
        <v>46185</v>
      </c>
      <c r="V158" s="115" t="s">
        <v>989</v>
      </c>
      <c r="W158" s="18"/>
      <c r="X158" s="19">
        <v>3740</v>
      </c>
      <c r="Y158" s="20" t="s">
        <v>985</v>
      </c>
      <c r="Z158" s="20" t="s">
        <v>106</v>
      </c>
      <c r="AA158" s="116"/>
      <c r="AB158" s="353">
        <v>46174</v>
      </c>
      <c r="AC158" s="27" t="s">
        <v>990</v>
      </c>
      <c r="AD158" s="80"/>
      <c r="AE158" s="24"/>
      <c r="AG158" s="140"/>
    </row>
    <row r="159" spans="1:33" ht="27" customHeight="1">
      <c r="A159" s="15">
        <v>156</v>
      </c>
      <c r="B159" s="81">
        <v>46184</v>
      </c>
      <c r="C159" s="15" t="s">
        <v>38</v>
      </c>
      <c r="D159" s="15" t="s">
        <v>991</v>
      </c>
      <c r="E159" s="26" t="s">
        <v>59</v>
      </c>
      <c r="F159" s="27" t="s">
        <v>41</v>
      </c>
      <c r="G159" s="27">
        <v>645600</v>
      </c>
      <c r="H159" s="81">
        <v>46185</v>
      </c>
      <c r="I159" s="27">
        <v>6302021</v>
      </c>
      <c r="J159" s="28" t="s">
        <v>411</v>
      </c>
      <c r="K159" s="81">
        <v>46204</v>
      </c>
      <c r="L159" s="81">
        <v>46568</v>
      </c>
      <c r="M159" s="88" t="s">
        <v>992</v>
      </c>
      <c r="N159" s="400"/>
      <c r="O159" s="384">
        <v>101073</v>
      </c>
      <c r="P159" s="30"/>
      <c r="Q159" s="31">
        <v>46194</v>
      </c>
      <c r="R159" s="32">
        <v>46568</v>
      </c>
      <c r="S159" s="20" t="s">
        <v>120</v>
      </c>
      <c r="T159" s="33" t="s">
        <v>993</v>
      </c>
      <c r="U159" s="16">
        <v>46191</v>
      </c>
      <c r="V159" s="17" t="s">
        <v>994</v>
      </c>
      <c r="W159" s="18"/>
      <c r="X159" s="19">
        <v>101073</v>
      </c>
      <c r="Y159" s="20" t="s">
        <v>245</v>
      </c>
      <c r="Z159" s="20" t="s">
        <v>67</v>
      </c>
      <c r="AA159" s="116"/>
      <c r="AB159" s="353">
        <v>46174</v>
      </c>
      <c r="AC159" s="27" t="s">
        <v>995</v>
      </c>
      <c r="AD159" s="80"/>
      <c r="AE159" s="24"/>
      <c r="AG159" s="140"/>
    </row>
    <row r="160" spans="1:33" ht="27" customHeight="1">
      <c r="A160" s="15">
        <v>157</v>
      </c>
      <c r="B160" s="81">
        <v>46184</v>
      </c>
      <c r="C160" s="15" t="s">
        <v>38</v>
      </c>
      <c r="D160" s="15" t="s">
        <v>996</v>
      </c>
      <c r="E160" s="26" t="s">
        <v>59</v>
      </c>
      <c r="F160" s="27" t="s">
        <v>41</v>
      </c>
      <c r="G160" s="27">
        <v>645600</v>
      </c>
      <c r="H160" s="81">
        <v>46185</v>
      </c>
      <c r="I160" s="27">
        <v>6302023</v>
      </c>
      <c r="J160" s="28" t="s">
        <v>411</v>
      </c>
      <c r="K160" s="81">
        <v>46204</v>
      </c>
      <c r="L160" s="81">
        <v>46568</v>
      </c>
      <c r="M160" s="88" t="s">
        <v>992</v>
      </c>
      <c r="N160" s="400"/>
      <c r="O160" s="384">
        <v>2926</v>
      </c>
      <c r="P160" s="30"/>
      <c r="Q160" s="31">
        <v>46185</v>
      </c>
      <c r="R160" s="32">
        <v>46568</v>
      </c>
      <c r="S160" s="20" t="s">
        <v>120</v>
      </c>
      <c r="T160" s="33" t="s">
        <v>997</v>
      </c>
      <c r="U160" s="16">
        <v>46191</v>
      </c>
      <c r="V160" s="17" t="s">
        <v>998</v>
      </c>
      <c r="W160" s="18"/>
      <c r="X160" s="19">
        <v>2926</v>
      </c>
      <c r="Y160" s="20" t="s">
        <v>245</v>
      </c>
      <c r="Z160" s="20" t="s">
        <v>67</v>
      </c>
      <c r="AA160" s="116"/>
      <c r="AB160" s="353">
        <v>46174</v>
      </c>
      <c r="AC160" s="27" t="s">
        <v>995</v>
      </c>
      <c r="AD160" s="80"/>
      <c r="AE160" s="24"/>
      <c r="AG160" s="140"/>
    </row>
    <row r="161" spans="1:33" ht="27" customHeight="1">
      <c r="A161" s="15">
        <v>158</v>
      </c>
      <c r="B161" s="81">
        <v>46184</v>
      </c>
      <c r="C161" s="15" t="s">
        <v>38</v>
      </c>
      <c r="D161" s="15" t="s">
        <v>999</v>
      </c>
      <c r="E161" s="26" t="s">
        <v>59</v>
      </c>
      <c r="F161" s="27" t="s">
        <v>41</v>
      </c>
      <c r="G161" s="27">
        <v>645600</v>
      </c>
      <c r="H161" s="81">
        <v>46185</v>
      </c>
      <c r="I161" s="27">
        <v>6302024</v>
      </c>
      <c r="J161" s="28" t="s">
        <v>411</v>
      </c>
      <c r="K161" s="81">
        <v>46204</v>
      </c>
      <c r="L161" s="81">
        <v>46568</v>
      </c>
      <c r="M161" s="88" t="s">
        <v>992</v>
      </c>
      <c r="N161" s="400"/>
      <c r="O161" s="384">
        <v>284</v>
      </c>
      <c r="P161" s="30"/>
      <c r="Q161" s="31">
        <v>46229</v>
      </c>
      <c r="R161" s="32">
        <v>46593</v>
      </c>
      <c r="S161" s="20" t="s">
        <v>128</v>
      </c>
      <c r="T161" s="33" t="s">
        <v>1000</v>
      </c>
      <c r="U161" s="16">
        <v>46191</v>
      </c>
      <c r="V161" s="17" t="s">
        <v>1001</v>
      </c>
      <c r="W161" s="18"/>
      <c r="X161" s="19">
        <v>284</v>
      </c>
      <c r="Y161" s="20" t="s">
        <v>245</v>
      </c>
      <c r="Z161" s="20" t="s">
        <v>67</v>
      </c>
      <c r="AA161" s="116"/>
      <c r="AB161" s="353">
        <v>46174</v>
      </c>
      <c r="AC161" s="27" t="s">
        <v>995</v>
      </c>
      <c r="AD161" s="80"/>
      <c r="AE161" s="24"/>
      <c r="AG161" s="140"/>
    </row>
    <row r="162" spans="1:33" ht="27" customHeight="1">
      <c r="A162" s="15">
        <v>159</v>
      </c>
      <c r="B162" s="81">
        <v>46181</v>
      </c>
      <c r="C162" s="15" t="s">
        <v>38</v>
      </c>
      <c r="D162" s="15" t="s">
        <v>1002</v>
      </c>
      <c r="E162" s="26" t="s">
        <v>40</v>
      </c>
      <c r="F162" s="27" t="s">
        <v>41</v>
      </c>
      <c r="G162" s="27">
        <v>645600</v>
      </c>
      <c r="H162" s="81">
        <v>46184</v>
      </c>
      <c r="I162" s="27">
        <v>6301362</v>
      </c>
      <c r="J162" s="28" t="s">
        <v>1003</v>
      </c>
      <c r="K162" s="81">
        <v>46204</v>
      </c>
      <c r="L162" s="81">
        <v>46568</v>
      </c>
      <c r="M162" s="88" t="s">
        <v>1004</v>
      </c>
      <c r="N162" s="400"/>
      <c r="O162" s="384">
        <f>P162*7.9</f>
        <v>203494.83600000001</v>
      </c>
      <c r="P162" s="30">
        <v>25758.84</v>
      </c>
      <c r="Q162" s="31">
        <v>46204</v>
      </c>
      <c r="R162" s="32">
        <v>46568</v>
      </c>
      <c r="S162" s="20" t="s">
        <v>1005</v>
      </c>
      <c r="T162" s="33" t="s">
        <v>1006</v>
      </c>
      <c r="U162" s="16">
        <v>46185</v>
      </c>
      <c r="V162" s="17" t="s">
        <v>1007</v>
      </c>
      <c r="W162" s="18"/>
      <c r="X162" s="19">
        <v>201807.63</v>
      </c>
      <c r="Y162" s="20" t="s">
        <v>245</v>
      </c>
      <c r="Z162" s="20" t="s">
        <v>48</v>
      </c>
      <c r="AA162" s="116"/>
      <c r="AB162" s="353">
        <v>46174</v>
      </c>
      <c r="AC162" s="27" t="s">
        <v>1008</v>
      </c>
      <c r="AD162" s="80" t="s">
        <v>213</v>
      </c>
      <c r="AE162" s="24"/>
      <c r="AG162" s="140"/>
    </row>
    <row r="163" spans="1:33" ht="27" customHeight="1">
      <c r="A163" s="15">
        <v>160</v>
      </c>
      <c r="B163" s="81">
        <v>46184</v>
      </c>
      <c r="C163" s="15" t="s">
        <v>95</v>
      </c>
      <c r="D163" s="15" t="s">
        <v>1009</v>
      </c>
      <c r="E163" s="26" t="s">
        <v>97</v>
      </c>
      <c r="F163" s="27" t="s">
        <v>109</v>
      </c>
      <c r="G163" s="27">
        <v>645602</v>
      </c>
      <c r="H163" s="81">
        <v>46185</v>
      </c>
      <c r="I163" s="27">
        <v>6301882</v>
      </c>
      <c r="J163" s="28" t="s">
        <v>1010</v>
      </c>
      <c r="K163" s="81">
        <v>46054</v>
      </c>
      <c r="L163" s="81">
        <v>46418</v>
      </c>
      <c r="M163" s="88" t="s">
        <v>1011</v>
      </c>
      <c r="N163" s="400">
        <v>660030</v>
      </c>
      <c r="O163" s="384">
        <v>590000</v>
      </c>
      <c r="P163" s="30"/>
      <c r="Q163" s="31">
        <v>46054</v>
      </c>
      <c r="R163" s="32">
        <v>46418</v>
      </c>
      <c r="S163" s="20" t="s">
        <v>769</v>
      </c>
      <c r="T163" s="33" t="s">
        <v>1012</v>
      </c>
      <c r="U163" s="114">
        <v>46189</v>
      </c>
      <c r="V163" s="115" t="s">
        <v>1013</v>
      </c>
      <c r="W163" s="18"/>
      <c r="X163" s="19">
        <v>590000</v>
      </c>
      <c r="Y163" s="20" t="s">
        <v>1014</v>
      </c>
      <c r="Z163" s="20" t="s">
        <v>106</v>
      </c>
      <c r="AA163" s="116"/>
      <c r="AB163" s="353">
        <v>46174</v>
      </c>
      <c r="AC163" s="27" t="s">
        <v>1015</v>
      </c>
      <c r="AD163" s="80" t="s">
        <v>213</v>
      </c>
      <c r="AE163" s="24"/>
      <c r="AG163" s="140"/>
    </row>
    <row r="164" spans="1:33" ht="27" customHeight="1">
      <c r="A164" s="15">
        <v>161</v>
      </c>
      <c r="B164" s="81">
        <v>46184</v>
      </c>
      <c r="C164" s="15" t="s">
        <v>95</v>
      </c>
      <c r="D164" s="15" t="s">
        <v>1016</v>
      </c>
      <c r="E164" s="26" t="s">
        <v>97</v>
      </c>
      <c r="F164" s="27" t="s">
        <v>109</v>
      </c>
      <c r="G164" s="27">
        <v>645602</v>
      </c>
      <c r="H164" s="81">
        <v>46185</v>
      </c>
      <c r="I164" s="27">
        <v>6301946</v>
      </c>
      <c r="J164" s="28" t="s">
        <v>1010</v>
      </c>
      <c r="K164" s="81">
        <v>46054</v>
      </c>
      <c r="L164" s="81">
        <v>46418</v>
      </c>
      <c r="M164" s="88" t="s">
        <v>1011</v>
      </c>
      <c r="N164" s="400">
        <v>660030</v>
      </c>
      <c r="O164" s="384">
        <v>60000</v>
      </c>
      <c r="P164" s="30"/>
      <c r="Q164" s="31">
        <v>46054</v>
      </c>
      <c r="R164" s="32">
        <v>46418</v>
      </c>
      <c r="S164" s="20" t="s">
        <v>769</v>
      </c>
      <c r="T164" s="33" t="s">
        <v>1017</v>
      </c>
      <c r="U164" s="114">
        <v>46189</v>
      </c>
      <c r="V164" s="115" t="s">
        <v>1018</v>
      </c>
      <c r="W164" s="18"/>
      <c r="X164" s="19">
        <v>60000</v>
      </c>
      <c r="Y164" s="20" t="s">
        <v>1014</v>
      </c>
      <c r="Z164" s="20" t="s">
        <v>106</v>
      </c>
      <c r="AA164" s="116"/>
      <c r="AB164" s="353">
        <v>46174</v>
      </c>
      <c r="AC164" s="27" t="s">
        <v>1015</v>
      </c>
      <c r="AD164" s="80" t="s">
        <v>213</v>
      </c>
      <c r="AE164" s="24"/>
      <c r="AG164" s="140"/>
    </row>
    <row r="165" spans="1:33" ht="27" customHeight="1">
      <c r="A165" s="15">
        <v>162</v>
      </c>
      <c r="B165" s="81">
        <v>46185</v>
      </c>
      <c r="C165" s="15" t="s">
        <v>95</v>
      </c>
      <c r="D165" s="15" t="s">
        <v>1019</v>
      </c>
      <c r="E165" s="26" t="s">
        <v>97</v>
      </c>
      <c r="F165" s="27" t="s">
        <v>98</v>
      </c>
      <c r="G165" s="27">
        <v>645602</v>
      </c>
      <c r="H165" s="81">
        <v>46185</v>
      </c>
      <c r="I165" s="27">
        <v>6302529</v>
      </c>
      <c r="J165" s="28" t="s">
        <v>1020</v>
      </c>
      <c r="K165" s="81">
        <v>45597</v>
      </c>
      <c r="L165" s="81">
        <v>46691</v>
      </c>
      <c r="M165" s="88" t="s">
        <v>885</v>
      </c>
      <c r="N165" s="400"/>
      <c r="O165" s="384">
        <v>8000</v>
      </c>
      <c r="P165" s="30"/>
      <c r="Q165" s="31" t="s">
        <v>805</v>
      </c>
      <c r="R165" s="32"/>
      <c r="S165" s="20" t="s">
        <v>1021</v>
      </c>
      <c r="T165" s="33" t="s">
        <v>1022</v>
      </c>
      <c r="U165" s="114">
        <v>46220</v>
      </c>
      <c r="V165" s="115" t="s">
        <v>1023</v>
      </c>
      <c r="W165" s="18"/>
      <c r="X165" s="19">
        <v>8000</v>
      </c>
      <c r="Y165" s="20" t="s">
        <v>1024</v>
      </c>
      <c r="Z165" s="20" t="s">
        <v>106</v>
      </c>
      <c r="AA165" s="116"/>
      <c r="AB165" s="353">
        <v>46174</v>
      </c>
      <c r="AC165" s="27" t="s">
        <v>1015</v>
      </c>
      <c r="AD165" s="80" t="s">
        <v>213</v>
      </c>
      <c r="AE165" s="24"/>
      <c r="AG165" s="140"/>
    </row>
    <row r="166" spans="1:33" ht="27" customHeight="1">
      <c r="A166" s="15">
        <v>163</v>
      </c>
      <c r="B166" s="81">
        <v>46185</v>
      </c>
      <c r="C166" s="15" t="s">
        <v>95</v>
      </c>
      <c r="D166" s="15" t="s">
        <v>1025</v>
      </c>
      <c r="E166" s="26" t="s">
        <v>97</v>
      </c>
      <c r="F166" s="27" t="s">
        <v>98</v>
      </c>
      <c r="G166" s="27">
        <v>645602</v>
      </c>
      <c r="H166" s="81">
        <v>46185</v>
      </c>
      <c r="I166" s="27">
        <v>6302540</v>
      </c>
      <c r="J166" s="28" t="s">
        <v>1020</v>
      </c>
      <c r="K166" s="81">
        <v>45597</v>
      </c>
      <c r="L166" s="81">
        <v>46691</v>
      </c>
      <c r="M166" s="88" t="s">
        <v>885</v>
      </c>
      <c r="N166" s="400"/>
      <c r="O166" s="384">
        <v>15000</v>
      </c>
      <c r="P166" s="30"/>
      <c r="Q166" s="31" t="s">
        <v>805</v>
      </c>
      <c r="R166" s="32"/>
      <c r="S166" s="20" t="s">
        <v>1021</v>
      </c>
      <c r="T166" s="33" t="s">
        <v>1026</v>
      </c>
      <c r="U166" s="114">
        <v>46220</v>
      </c>
      <c r="V166" s="115" t="s">
        <v>1023</v>
      </c>
      <c r="W166" s="18"/>
      <c r="X166" s="19">
        <v>15000</v>
      </c>
      <c r="Y166" s="20" t="s">
        <v>1024</v>
      </c>
      <c r="Z166" s="20" t="s">
        <v>106</v>
      </c>
      <c r="AA166" s="116"/>
      <c r="AB166" s="353">
        <v>46174</v>
      </c>
      <c r="AC166" s="27" t="s">
        <v>1015</v>
      </c>
      <c r="AD166" s="80" t="s">
        <v>213</v>
      </c>
      <c r="AE166" s="24"/>
      <c r="AG166" s="140"/>
    </row>
    <row r="167" spans="1:33" ht="27" customHeight="1">
      <c r="A167" s="15">
        <v>164</v>
      </c>
      <c r="B167" s="81">
        <v>46185</v>
      </c>
      <c r="C167" s="15" t="s">
        <v>38</v>
      </c>
      <c r="D167" s="15" t="s">
        <v>1027</v>
      </c>
      <c r="E167" s="26" t="s">
        <v>70</v>
      </c>
      <c r="F167" s="27" t="s">
        <v>277</v>
      </c>
      <c r="G167" s="27">
        <v>645600</v>
      </c>
      <c r="H167" s="81">
        <v>46185</v>
      </c>
      <c r="I167" s="27">
        <v>6302030</v>
      </c>
      <c r="J167" s="28" t="s">
        <v>1028</v>
      </c>
      <c r="K167" s="81">
        <v>46197</v>
      </c>
      <c r="L167" s="81">
        <v>46927</v>
      </c>
      <c r="M167" s="88" t="s">
        <v>1029</v>
      </c>
      <c r="N167" s="400"/>
      <c r="O167" s="384">
        <v>20100</v>
      </c>
      <c r="P167" s="30"/>
      <c r="Q167" s="31">
        <v>46197</v>
      </c>
      <c r="R167" s="32">
        <v>46927</v>
      </c>
      <c r="S167" s="20" t="s">
        <v>120</v>
      </c>
      <c r="T167" s="33" t="s">
        <v>1030</v>
      </c>
      <c r="U167" s="16">
        <v>46196</v>
      </c>
      <c r="V167" s="17" t="s">
        <v>1031</v>
      </c>
      <c r="W167" s="18"/>
      <c r="X167" s="19">
        <v>20100</v>
      </c>
      <c r="Y167" s="20" t="s">
        <v>731</v>
      </c>
      <c r="Z167" s="20" t="s">
        <v>920</v>
      </c>
      <c r="AA167" s="116">
        <v>46185</v>
      </c>
      <c r="AB167" s="353">
        <v>46174</v>
      </c>
      <c r="AC167" s="27" t="s">
        <v>1032</v>
      </c>
      <c r="AD167" s="80"/>
      <c r="AE167" s="24"/>
      <c r="AG167" s="140"/>
    </row>
    <row r="168" spans="1:33" ht="27" customHeight="1">
      <c r="A168" s="15">
        <v>165</v>
      </c>
      <c r="B168" s="81">
        <v>46185</v>
      </c>
      <c r="C168" s="15" t="s">
        <v>38</v>
      </c>
      <c r="D168" s="15" t="s">
        <v>1033</v>
      </c>
      <c r="E168" s="26" t="s">
        <v>70</v>
      </c>
      <c r="F168" s="27" t="s">
        <v>41</v>
      </c>
      <c r="G168" s="27">
        <v>645600</v>
      </c>
      <c r="H168" s="81">
        <v>46186</v>
      </c>
      <c r="I168" s="27">
        <v>6302092</v>
      </c>
      <c r="J168" s="28" t="s">
        <v>969</v>
      </c>
      <c r="K168" s="81">
        <v>46153</v>
      </c>
      <c r="L168" s="81">
        <v>46517</v>
      </c>
      <c r="M168" s="88" t="s">
        <v>970</v>
      </c>
      <c r="N168" s="400"/>
      <c r="O168" s="384">
        <v>16500</v>
      </c>
      <c r="P168" s="30"/>
      <c r="Q168" s="31" t="s">
        <v>1034</v>
      </c>
      <c r="R168" s="32"/>
      <c r="S168" s="20" t="s">
        <v>510</v>
      </c>
      <c r="T168" s="33" t="s">
        <v>1035</v>
      </c>
      <c r="U168" s="16">
        <v>46196</v>
      </c>
      <c r="V168" s="17" t="s">
        <v>1036</v>
      </c>
      <c r="W168" s="18"/>
      <c r="X168" s="19">
        <v>16500</v>
      </c>
      <c r="Y168" s="20" t="s">
        <v>56</v>
      </c>
      <c r="Z168" s="20" t="s">
        <v>920</v>
      </c>
      <c r="AA168" s="116">
        <v>46186</v>
      </c>
      <c r="AB168" s="353">
        <v>46174</v>
      </c>
      <c r="AC168" s="27" t="s">
        <v>973</v>
      </c>
      <c r="AD168" s="80"/>
      <c r="AE168" s="24"/>
      <c r="AG168" s="140"/>
    </row>
    <row r="169" spans="1:33" ht="27" customHeight="1">
      <c r="A169" s="15">
        <v>166</v>
      </c>
      <c r="B169" s="81">
        <v>46185</v>
      </c>
      <c r="C169" s="15" t="s">
        <v>38</v>
      </c>
      <c r="D169" s="15" t="s">
        <v>1037</v>
      </c>
      <c r="E169" s="26" t="s">
        <v>70</v>
      </c>
      <c r="F169" s="27" t="s">
        <v>277</v>
      </c>
      <c r="G169" s="27">
        <v>645600</v>
      </c>
      <c r="H169" s="81">
        <v>46186</v>
      </c>
      <c r="I169" s="27">
        <v>6302093</v>
      </c>
      <c r="J169" s="28" t="s">
        <v>1038</v>
      </c>
      <c r="K169" s="81">
        <v>46113</v>
      </c>
      <c r="L169" s="81">
        <v>46477</v>
      </c>
      <c r="M169" s="88" t="s">
        <v>1039</v>
      </c>
      <c r="N169" s="400"/>
      <c r="O169" s="384">
        <v>27075</v>
      </c>
      <c r="P169" s="30"/>
      <c r="Q169" s="31">
        <v>46204</v>
      </c>
      <c r="R169" s="32">
        <v>46477</v>
      </c>
      <c r="S169" s="20" t="s">
        <v>120</v>
      </c>
      <c r="T169" s="33" t="s">
        <v>1040</v>
      </c>
      <c r="U169" s="16">
        <v>46196</v>
      </c>
      <c r="V169" s="17" t="s">
        <v>1041</v>
      </c>
      <c r="W169" s="18"/>
      <c r="X169" s="19">
        <v>27075</v>
      </c>
      <c r="Y169" s="20" t="s">
        <v>123</v>
      </c>
      <c r="Z169" s="20" t="s">
        <v>920</v>
      </c>
      <c r="AA169" s="116">
        <v>46186</v>
      </c>
      <c r="AB169" s="353">
        <v>46174</v>
      </c>
      <c r="AC169" s="27" t="s">
        <v>1042</v>
      </c>
      <c r="AD169" s="80"/>
      <c r="AE169" s="24" t="s">
        <v>1043</v>
      </c>
      <c r="AG169" s="140"/>
    </row>
    <row r="170" spans="1:33" ht="27" customHeight="1">
      <c r="A170" s="15">
        <v>167</v>
      </c>
      <c r="B170" s="81">
        <v>46185</v>
      </c>
      <c r="C170" s="15" t="s">
        <v>38</v>
      </c>
      <c r="D170" s="15" t="s">
        <v>1044</v>
      </c>
      <c r="E170" s="26" t="s">
        <v>70</v>
      </c>
      <c r="F170" s="27" t="s">
        <v>41</v>
      </c>
      <c r="G170" s="27">
        <v>645600</v>
      </c>
      <c r="H170" s="81">
        <v>46186</v>
      </c>
      <c r="I170" s="27">
        <v>6302098</v>
      </c>
      <c r="J170" s="28" t="s">
        <v>1045</v>
      </c>
      <c r="K170" s="81" t="s">
        <v>1046</v>
      </c>
      <c r="L170" s="81"/>
      <c r="M170" s="88" t="s">
        <v>1047</v>
      </c>
      <c r="N170" s="400"/>
      <c r="O170" s="384">
        <v>3680</v>
      </c>
      <c r="P170" s="30"/>
      <c r="Q170" s="31" t="s">
        <v>927</v>
      </c>
      <c r="R170" s="32"/>
      <c r="S170" s="20" t="s">
        <v>505</v>
      </c>
      <c r="T170" s="33" t="s">
        <v>1048</v>
      </c>
      <c r="U170" s="16">
        <v>46206</v>
      </c>
      <c r="V170" s="17" t="s">
        <v>1049</v>
      </c>
      <c r="W170" s="18"/>
      <c r="X170" s="19">
        <v>3680</v>
      </c>
      <c r="Y170" s="20" t="s">
        <v>794</v>
      </c>
      <c r="Z170" s="20" t="s">
        <v>300</v>
      </c>
      <c r="AA170" s="116">
        <v>46186</v>
      </c>
      <c r="AB170" s="353">
        <v>46174</v>
      </c>
      <c r="AC170" s="27" t="s">
        <v>455</v>
      </c>
      <c r="AD170" s="80"/>
      <c r="AE170" s="24" t="s">
        <v>1050</v>
      </c>
      <c r="AG170" s="140"/>
    </row>
    <row r="171" spans="1:33" ht="27" customHeight="1">
      <c r="A171" s="15">
        <v>168</v>
      </c>
      <c r="B171" s="81">
        <v>46188</v>
      </c>
      <c r="C171" s="15" t="s">
        <v>1051</v>
      </c>
      <c r="D171" s="15" t="s">
        <v>1052</v>
      </c>
      <c r="E171" s="26" t="s">
        <v>70</v>
      </c>
      <c r="F171" s="27" t="s">
        <v>277</v>
      </c>
      <c r="G171" s="27">
        <v>645600</v>
      </c>
      <c r="H171" s="81">
        <v>46189</v>
      </c>
      <c r="I171" s="27">
        <v>6302973</v>
      </c>
      <c r="J171" s="28" t="s">
        <v>1053</v>
      </c>
      <c r="K171" s="81">
        <v>45496</v>
      </c>
      <c r="L171" s="81">
        <v>46956</v>
      </c>
      <c r="M171" s="88" t="s">
        <v>1054</v>
      </c>
      <c r="N171" s="400"/>
      <c r="O171" s="384">
        <v>250000</v>
      </c>
      <c r="P171" s="30"/>
      <c r="Q171" s="31">
        <v>46226</v>
      </c>
      <c r="R171" s="32">
        <v>46590</v>
      </c>
      <c r="S171" s="20" t="s">
        <v>1055</v>
      </c>
      <c r="T171" s="33" t="s">
        <v>1056</v>
      </c>
      <c r="U171" s="16">
        <v>46205</v>
      </c>
      <c r="V171" s="17" t="s">
        <v>1057</v>
      </c>
      <c r="W171" s="18"/>
      <c r="X171" s="19">
        <v>250000</v>
      </c>
      <c r="Y171" s="20" t="s">
        <v>66</v>
      </c>
      <c r="Z171" s="20" t="s">
        <v>1058</v>
      </c>
      <c r="AA171" s="116"/>
      <c r="AB171" s="353">
        <v>46174</v>
      </c>
      <c r="AC171" s="27" t="s">
        <v>1059</v>
      </c>
      <c r="AD171" s="80"/>
      <c r="AE171" s="24"/>
      <c r="AG171" s="140"/>
    </row>
    <row r="172" spans="1:33" ht="27" customHeight="1">
      <c r="A172" s="15">
        <v>169</v>
      </c>
      <c r="B172" s="81">
        <v>46196</v>
      </c>
      <c r="C172" s="15" t="s">
        <v>38</v>
      </c>
      <c r="D172" s="15" t="s">
        <v>1060</v>
      </c>
      <c r="E172" s="26" t="s">
        <v>40</v>
      </c>
      <c r="F172" s="27" t="s">
        <v>41</v>
      </c>
      <c r="G172" s="27">
        <v>645600</v>
      </c>
      <c r="H172" s="81">
        <v>46196</v>
      </c>
      <c r="I172" s="27">
        <v>6304900</v>
      </c>
      <c r="J172" s="28" t="s">
        <v>1061</v>
      </c>
      <c r="K172" s="81">
        <v>46201</v>
      </c>
      <c r="L172" s="81">
        <v>47296</v>
      </c>
      <c r="M172" s="88" t="s">
        <v>1062</v>
      </c>
      <c r="N172" s="400"/>
      <c r="O172" s="384">
        <f t="shared" ref="O172:O177" si="0">P172*7.9</f>
        <v>202954.95</v>
      </c>
      <c r="P172" s="30">
        <f>8563.5*3</f>
        <v>25690.5</v>
      </c>
      <c r="Q172" s="31">
        <v>46201</v>
      </c>
      <c r="R172" s="32">
        <v>47296</v>
      </c>
      <c r="S172" s="20" t="s">
        <v>1005</v>
      </c>
      <c r="T172" s="33" t="s">
        <v>1063</v>
      </c>
      <c r="U172" s="16">
        <v>46197</v>
      </c>
      <c r="V172" s="17" t="s">
        <v>1064</v>
      </c>
      <c r="W172" s="18"/>
      <c r="X172" s="19">
        <v>201272.22</v>
      </c>
      <c r="Y172" s="20" t="s">
        <v>336</v>
      </c>
      <c r="Z172" s="20" t="s">
        <v>48</v>
      </c>
      <c r="AA172" s="116"/>
      <c r="AB172" s="353">
        <v>46174</v>
      </c>
      <c r="AC172" s="27" t="s">
        <v>1065</v>
      </c>
      <c r="AD172" s="80" t="s">
        <v>213</v>
      </c>
      <c r="AE172" s="24" t="s">
        <v>1066</v>
      </c>
      <c r="AG172" s="140"/>
    </row>
    <row r="173" spans="1:33" ht="27" customHeight="1">
      <c r="A173" s="15">
        <v>170</v>
      </c>
      <c r="B173" s="81">
        <v>46198</v>
      </c>
      <c r="C173" s="15" t="s">
        <v>38</v>
      </c>
      <c r="D173" s="15" t="s">
        <v>1067</v>
      </c>
      <c r="E173" s="26" t="s">
        <v>40</v>
      </c>
      <c r="F173" s="27" t="s">
        <v>41</v>
      </c>
      <c r="G173" s="27">
        <v>645600</v>
      </c>
      <c r="H173" s="81">
        <v>46198</v>
      </c>
      <c r="I173" s="27">
        <v>6305614</v>
      </c>
      <c r="J173" s="28" t="s">
        <v>1068</v>
      </c>
      <c r="K173" s="81">
        <v>46174</v>
      </c>
      <c r="L173" s="81">
        <v>11109</v>
      </c>
      <c r="M173" s="88" t="s">
        <v>1069</v>
      </c>
      <c r="N173" s="400"/>
      <c r="O173" s="384">
        <f t="shared" si="0"/>
        <v>1191908.7079999999</v>
      </c>
      <c r="P173" s="30">
        <v>150874.51999999999</v>
      </c>
      <c r="Q173" s="31">
        <v>46174</v>
      </c>
      <c r="R173" s="32">
        <v>47634</v>
      </c>
      <c r="S173" s="20" t="s">
        <v>1005</v>
      </c>
      <c r="T173" s="33" t="s">
        <v>1070</v>
      </c>
      <c r="U173" s="16">
        <v>46202</v>
      </c>
      <c r="V173" s="17" t="s">
        <v>1071</v>
      </c>
      <c r="W173" s="18"/>
      <c r="X173" s="19">
        <v>1182026.43</v>
      </c>
      <c r="Y173" s="20" t="s">
        <v>259</v>
      </c>
      <c r="Z173" s="20" t="s">
        <v>48</v>
      </c>
      <c r="AA173" s="116"/>
      <c r="AB173" s="353">
        <v>46174</v>
      </c>
      <c r="AC173" s="27" t="s">
        <v>1072</v>
      </c>
      <c r="AD173" s="80" t="s">
        <v>213</v>
      </c>
      <c r="AE173" s="24" t="s">
        <v>1073</v>
      </c>
      <c r="AG173" s="140"/>
    </row>
    <row r="174" spans="1:33" ht="63.75">
      <c r="A174" s="15">
        <v>171</v>
      </c>
      <c r="B174" s="81">
        <v>46198</v>
      </c>
      <c r="C174" s="15" t="s">
        <v>38</v>
      </c>
      <c r="D174" s="15" t="s">
        <v>1074</v>
      </c>
      <c r="E174" s="26" t="s">
        <v>40</v>
      </c>
      <c r="F174" s="27" t="s">
        <v>41</v>
      </c>
      <c r="G174" s="27">
        <v>645600</v>
      </c>
      <c r="H174" s="81">
        <v>46198</v>
      </c>
      <c r="I174" s="27">
        <v>6305620</v>
      </c>
      <c r="J174" s="28" t="s">
        <v>1068</v>
      </c>
      <c r="K174" s="81">
        <v>46174</v>
      </c>
      <c r="L174" s="81">
        <v>11109</v>
      </c>
      <c r="M174" s="88" t="s">
        <v>1069</v>
      </c>
      <c r="N174" s="400"/>
      <c r="O174" s="384">
        <f t="shared" si="0"/>
        <v>4962547.977</v>
      </c>
      <c r="P174" s="30">
        <f>24346+1359.24+2191.14+9974.34+8268.71+387.36+2592+3513.6+25920+242.88+8784+4888.8+7097.76+13527.36+13545.6+7315.2+340055.04+154161.6</f>
        <v>628170.63</v>
      </c>
      <c r="Q174" s="31">
        <v>46174</v>
      </c>
      <c r="R174" s="32">
        <v>47634</v>
      </c>
      <c r="S174" s="20" t="s">
        <v>1075</v>
      </c>
      <c r="T174" s="33" t="s">
        <v>1076</v>
      </c>
      <c r="U174" s="16">
        <v>46202</v>
      </c>
      <c r="V174" s="165" t="s">
        <v>1077</v>
      </c>
      <c r="W174" s="18"/>
      <c r="X174" s="19" t="s">
        <v>1078</v>
      </c>
      <c r="Y174" s="20" t="s">
        <v>259</v>
      </c>
      <c r="Z174" s="20" t="s">
        <v>48</v>
      </c>
      <c r="AA174" s="116"/>
      <c r="AB174" s="353">
        <v>46174</v>
      </c>
      <c r="AC174" s="27" t="s">
        <v>1072</v>
      </c>
      <c r="AD174" s="80" t="s">
        <v>213</v>
      </c>
      <c r="AE174" s="24" t="s">
        <v>1079</v>
      </c>
      <c r="AG174" s="140"/>
    </row>
    <row r="175" spans="1:33" ht="27" customHeight="1">
      <c r="A175" s="15">
        <v>172</v>
      </c>
      <c r="B175" s="81">
        <v>46198</v>
      </c>
      <c r="C175" s="15" t="s">
        <v>38</v>
      </c>
      <c r="D175" s="15" t="s">
        <v>1080</v>
      </c>
      <c r="E175" s="26" t="s">
        <v>40</v>
      </c>
      <c r="F175" s="27" t="s">
        <v>41</v>
      </c>
      <c r="G175" s="27">
        <v>645600</v>
      </c>
      <c r="H175" s="81">
        <v>46198</v>
      </c>
      <c r="I175" s="27">
        <v>6305650</v>
      </c>
      <c r="J175" s="28" t="s">
        <v>380</v>
      </c>
      <c r="K175" s="81">
        <v>46094</v>
      </c>
      <c r="L175" s="81">
        <v>47190</v>
      </c>
      <c r="M175" s="88" t="s">
        <v>1081</v>
      </c>
      <c r="N175" s="400"/>
      <c r="O175" s="384">
        <f t="shared" si="0"/>
        <v>260512.21700000003</v>
      </c>
      <c r="P175" s="30">
        <v>32976.230000000003</v>
      </c>
      <c r="Q175" s="31">
        <v>46094</v>
      </c>
      <c r="R175" s="32">
        <v>46458</v>
      </c>
      <c r="S175" s="20" t="s">
        <v>1005</v>
      </c>
      <c r="T175" s="33" t="s">
        <v>1082</v>
      </c>
      <c r="U175" s="16">
        <v>46203</v>
      </c>
      <c r="V175" s="17" t="s">
        <v>1083</v>
      </c>
      <c r="W175" s="18"/>
      <c r="X175" s="19">
        <v>258352</v>
      </c>
      <c r="Y175" s="20" t="s">
        <v>541</v>
      </c>
      <c r="Z175" s="20" t="s">
        <v>48</v>
      </c>
      <c r="AA175" s="116"/>
      <c r="AB175" s="353">
        <v>46174</v>
      </c>
      <c r="AC175" s="27" t="s">
        <v>1084</v>
      </c>
      <c r="AD175" s="80" t="s">
        <v>213</v>
      </c>
      <c r="AE175" s="24" t="s">
        <v>1085</v>
      </c>
      <c r="AG175" s="140"/>
    </row>
    <row r="176" spans="1:33" ht="27" customHeight="1">
      <c r="A176" s="15">
        <v>173</v>
      </c>
      <c r="B176" s="81">
        <v>46198</v>
      </c>
      <c r="C176" s="15" t="s">
        <v>38</v>
      </c>
      <c r="D176" s="15" t="s">
        <v>1086</v>
      </c>
      <c r="E176" s="26" t="s">
        <v>40</v>
      </c>
      <c r="F176" s="27" t="s">
        <v>41</v>
      </c>
      <c r="G176" s="27">
        <v>645600</v>
      </c>
      <c r="H176" s="81">
        <v>46198</v>
      </c>
      <c r="I176" s="27">
        <v>6305653</v>
      </c>
      <c r="J176" s="28" t="s">
        <v>380</v>
      </c>
      <c r="K176" s="81">
        <v>46094</v>
      </c>
      <c r="L176" s="81">
        <v>47190</v>
      </c>
      <c r="M176" s="88" t="s">
        <v>1081</v>
      </c>
      <c r="N176" s="400"/>
      <c r="O176" s="384">
        <f t="shared" si="0"/>
        <v>521011.636</v>
      </c>
      <c r="P176" s="30">
        <v>65950.84</v>
      </c>
      <c r="Q176" s="31">
        <v>46459</v>
      </c>
      <c r="R176" s="32">
        <v>47189</v>
      </c>
      <c r="S176" s="20" t="s">
        <v>1005</v>
      </c>
      <c r="T176" s="33" t="s">
        <v>1087</v>
      </c>
      <c r="U176" s="16">
        <v>46203</v>
      </c>
      <c r="V176" s="17" t="s">
        <v>1088</v>
      </c>
      <c r="W176" s="18"/>
      <c r="X176" s="19">
        <v>516691.86</v>
      </c>
      <c r="Y176" s="20" t="s">
        <v>541</v>
      </c>
      <c r="Z176" s="20" t="s">
        <v>48</v>
      </c>
      <c r="AA176" s="116"/>
      <c r="AB176" s="353">
        <v>46174</v>
      </c>
      <c r="AC176" s="27" t="s">
        <v>1084</v>
      </c>
      <c r="AD176" s="80" t="s">
        <v>213</v>
      </c>
      <c r="AE176" s="24" t="s">
        <v>1085</v>
      </c>
      <c r="AG176" s="140"/>
    </row>
    <row r="177" spans="1:33" ht="27" customHeight="1">
      <c r="A177" s="15">
        <v>174</v>
      </c>
      <c r="B177" s="81">
        <v>46199</v>
      </c>
      <c r="C177" s="15" t="s">
        <v>38</v>
      </c>
      <c r="D177" s="15" t="s">
        <v>1089</v>
      </c>
      <c r="E177" s="26" t="s">
        <v>70</v>
      </c>
      <c r="F177" s="27" t="s">
        <v>41</v>
      </c>
      <c r="G177" s="27">
        <v>645600</v>
      </c>
      <c r="H177" s="81">
        <v>46199</v>
      </c>
      <c r="I177" s="27">
        <v>6306168</v>
      </c>
      <c r="J177" s="28" t="s">
        <v>1090</v>
      </c>
      <c r="K177" s="81">
        <v>46199</v>
      </c>
      <c r="L177" s="81">
        <v>46563</v>
      </c>
      <c r="M177" s="88" t="s">
        <v>1091</v>
      </c>
      <c r="N177" s="400">
        <v>292630</v>
      </c>
      <c r="O177" s="384">
        <f t="shared" si="0"/>
        <v>34957.5</v>
      </c>
      <c r="P177" s="30">
        <v>4425</v>
      </c>
      <c r="Q177" s="31">
        <v>46199</v>
      </c>
      <c r="R177" s="32">
        <v>46563</v>
      </c>
      <c r="S177" s="20" t="s">
        <v>905</v>
      </c>
      <c r="T177" s="33" t="s">
        <v>1092</v>
      </c>
      <c r="U177" s="16">
        <v>46203</v>
      </c>
      <c r="V177" s="17" t="s">
        <v>1093</v>
      </c>
      <c r="W177" s="18"/>
      <c r="X177" s="19">
        <v>34667.660000000003</v>
      </c>
      <c r="Y177" s="20" t="s">
        <v>56</v>
      </c>
      <c r="Z177" s="20" t="s">
        <v>300</v>
      </c>
      <c r="AA177" s="116"/>
      <c r="AB177" s="353">
        <v>46174</v>
      </c>
      <c r="AC177" s="27" t="s">
        <v>1094</v>
      </c>
      <c r="AD177" s="80" t="s">
        <v>213</v>
      </c>
      <c r="AE177" s="24" t="s">
        <v>1095</v>
      </c>
      <c r="AG177" s="140"/>
    </row>
    <row r="178" spans="1:33" ht="27" customHeight="1">
      <c r="A178" s="15">
        <v>175</v>
      </c>
      <c r="B178" s="81">
        <v>46199</v>
      </c>
      <c r="C178" s="15" t="s">
        <v>38</v>
      </c>
      <c r="D178" s="15" t="s">
        <v>1096</v>
      </c>
      <c r="E178" s="26" t="s">
        <v>70</v>
      </c>
      <c r="F178" s="27" t="s">
        <v>41</v>
      </c>
      <c r="G178" s="27">
        <v>645600</v>
      </c>
      <c r="H178" s="81">
        <v>46199</v>
      </c>
      <c r="I178" s="27">
        <v>6306170</v>
      </c>
      <c r="J178" s="28" t="s">
        <v>1090</v>
      </c>
      <c r="K178" s="81">
        <v>46199</v>
      </c>
      <c r="L178" s="81">
        <v>46563</v>
      </c>
      <c r="M178" s="88" t="s">
        <v>1091</v>
      </c>
      <c r="N178" s="400">
        <v>292630</v>
      </c>
      <c r="O178" s="384">
        <v>26130</v>
      </c>
      <c r="P178" s="30"/>
      <c r="Q178" s="31">
        <v>46199</v>
      </c>
      <c r="R178" s="32">
        <v>46563</v>
      </c>
      <c r="S178" s="20" t="s">
        <v>180</v>
      </c>
      <c r="T178" s="33" t="s">
        <v>1097</v>
      </c>
      <c r="U178" s="16">
        <v>46203</v>
      </c>
      <c r="V178" s="17" t="s">
        <v>1098</v>
      </c>
      <c r="W178" s="18"/>
      <c r="X178" s="19">
        <v>26130</v>
      </c>
      <c r="Y178" s="20" t="s">
        <v>56</v>
      </c>
      <c r="Z178" s="20" t="s">
        <v>300</v>
      </c>
      <c r="AA178" s="116"/>
      <c r="AB178" s="353">
        <v>46174</v>
      </c>
      <c r="AC178" s="27" t="s">
        <v>1094</v>
      </c>
      <c r="AD178" s="80" t="s">
        <v>213</v>
      </c>
      <c r="AE178" s="24" t="s">
        <v>1095</v>
      </c>
      <c r="AG178" s="140"/>
    </row>
    <row r="179" spans="1:33" ht="27" customHeight="1">
      <c r="A179" s="15">
        <v>176</v>
      </c>
      <c r="B179" s="81">
        <v>46195</v>
      </c>
      <c r="C179" s="15" t="s">
        <v>38</v>
      </c>
      <c r="D179" s="15" t="s">
        <v>1099</v>
      </c>
      <c r="E179" s="26" t="s">
        <v>70</v>
      </c>
      <c r="F179" s="27" t="s">
        <v>277</v>
      </c>
      <c r="G179" s="27">
        <v>645600</v>
      </c>
      <c r="H179" s="81">
        <v>46199</v>
      </c>
      <c r="I179" s="27">
        <v>6306173</v>
      </c>
      <c r="J179" s="28" t="s">
        <v>1100</v>
      </c>
      <c r="K179" s="81">
        <v>46202</v>
      </c>
      <c r="L179" s="81">
        <v>46932</v>
      </c>
      <c r="M179" s="88" t="s">
        <v>1101</v>
      </c>
      <c r="N179" s="400">
        <v>511200</v>
      </c>
      <c r="O179" s="384">
        <v>92924</v>
      </c>
      <c r="P179" s="30"/>
      <c r="Q179" s="31">
        <v>46202</v>
      </c>
      <c r="R179" s="32">
        <v>46932</v>
      </c>
      <c r="S179" s="20" t="s">
        <v>120</v>
      </c>
      <c r="T179" s="33" t="s">
        <v>1102</v>
      </c>
      <c r="U179" s="16">
        <v>46203</v>
      </c>
      <c r="V179" s="17" t="s">
        <v>1103</v>
      </c>
      <c r="W179" s="18"/>
      <c r="X179" s="19">
        <v>92924</v>
      </c>
      <c r="Y179" s="20" t="s">
        <v>123</v>
      </c>
      <c r="Z179" s="20" t="s">
        <v>920</v>
      </c>
      <c r="AA179" s="116"/>
      <c r="AB179" s="353">
        <v>46174</v>
      </c>
      <c r="AC179" s="27" t="s">
        <v>1104</v>
      </c>
      <c r="AD179" s="80"/>
      <c r="AE179" s="24"/>
      <c r="AG179" s="140"/>
    </row>
    <row r="180" spans="1:33" ht="42.75" customHeight="1">
      <c r="A180" s="15">
        <v>177</v>
      </c>
      <c r="B180" s="81">
        <v>46195</v>
      </c>
      <c r="C180" s="15" t="s">
        <v>38</v>
      </c>
      <c r="D180" s="15" t="s">
        <v>1105</v>
      </c>
      <c r="E180" s="26" t="s">
        <v>70</v>
      </c>
      <c r="F180" s="27" t="s">
        <v>277</v>
      </c>
      <c r="G180" s="27">
        <v>645600</v>
      </c>
      <c r="H180" s="81">
        <v>46199</v>
      </c>
      <c r="I180" s="27">
        <v>6306174</v>
      </c>
      <c r="J180" s="28" t="s">
        <v>1100</v>
      </c>
      <c r="K180" s="81">
        <v>46202</v>
      </c>
      <c r="L180" s="81">
        <v>46932</v>
      </c>
      <c r="M180" s="88" t="s">
        <v>1101</v>
      </c>
      <c r="N180" s="400">
        <v>511200</v>
      </c>
      <c r="O180" s="384">
        <v>23000</v>
      </c>
      <c r="P180" s="30"/>
      <c r="Q180" s="31">
        <v>46346</v>
      </c>
      <c r="R180" s="32">
        <v>46932</v>
      </c>
      <c r="S180" s="20" t="s">
        <v>607</v>
      </c>
      <c r="T180" s="33" t="s">
        <v>1106</v>
      </c>
      <c r="U180" s="16">
        <v>46203</v>
      </c>
      <c r="V180" s="17" t="s">
        <v>1107</v>
      </c>
      <c r="W180" s="18"/>
      <c r="X180" s="19">
        <v>23000</v>
      </c>
      <c r="Y180" s="20" t="s">
        <v>123</v>
      </c>
      <c r="Z180" s="20" t="s">
        <v>920</v>
      </c>
      <c r="AA180" s="116"/>
      <c r="AB180" s="353">
        <v>46174</v>
      </c>
      <c r="AC180" s="27" t="s">
        <v>1104</v>
      </c>
      <c r="AD180" s="80"/>
      <c r="AE180" s="24"/>
      <c r="AG180" s="140"/>
    </row>
    <row r="181" spans="1:33" ht="27" customHeight="1">
      <c r="A181" s="15">
        <v>178</v>
      </c>
      <c r="B181" s="81">
        <v>46195</v>
      </c>
      <c r="C181" s="15" t="s">
        <v>38</v>
      </c>
      <c r="D181" s="15" t="s">
        <v>1108</v>
      </c>
      <c r="E181" s="26" t="s">
        <v>70</v>
      </c>
      <c r="F181" s="27" t="s">
        <v>41</v>
      </c>
      <c r="G181" s="27">
        <v>645600</v>
      </c>
      <c r="H181" s="81">
        <v>46199</v>
      </c>
      <c r="I181" s="27">
        <v>6306178</v>
      </c>
      <c r="J181" s="28" t="s">
        <v>1100</v>
      </c>
      <c r="K181" s="81">
        <v>46202</v>
      </c>
      <c r="L181" s="81">
        <v>46932</v>
      </c>
      <c r="M181" s="88" t="s">
        <v>1101</v>
      </c>
      <c r="N181" s="400">
        <v>511200</v>
      </c>
      <c r="O181" s="384">
        <f>P181*7.9</f>
        <v>65279.754000000008</v>
      </c>
      <c r="P181" s="113">
        <v>8263.26</v>
      </c>
      <c r="Q181" s="31">
        <v>46174</v>
      </c>
      <c r="R181" s="383">
        <v>46934</v>
      </c>
      <c r="S181" s="20" t="s">
        <v>473</v>
      </c>
      <c r="T181" s="177" t="s">
        <v>1109</v>
      </c>
      <c r="U181" s="89">
        <v>46251</v>
      </c>
      <c r="V181" s="90" t="s">
        <v>1110</v>
      </c>
      <c r="W181" s="18"/>
      <c r="X181" s="19">
        <v>64802.14</v>
      </c>
      <c r="Y181" s="20" t="s">
        <v>123</v>
      </c>
      <c r="Z181" s="20" t="s">
        <v>920</v>
      </c>
      <c r="AA181" s="116"/>
      <c r="AB181" s="353">
        <v>46174</v>
      </c>
      <c r="AC181" s="27" t="s">
        <v>1104</v>
      </c>
      <c r="AD181" s="80"/>
      <c r="AE181" s="24" t="s">
        <v>1111</v>
      </c>
      <c r="AG181" s="140"/>
    </row>
    <row r="182" spans="1:33" ht="27" customHeight="1">
      <c r="A182" s="15">
        <v>179</v>
      </c>
      <c r="B182" s="81">
        <v>46195</v>
      </c>
      <c r="C182" s="15" t="s">
        <v>38</v>
      </c>
      <c r="D182" s="15" t="s">
        <v>1112</v>
      </c>
      <c r="E182" s="26" t="s">
        <v>70</v>
      </c>
      <c r="F182" s="27" t="s">
        <v>41</v>
      </c>
      <c r="G182" s="27">
        <v>645600</v>
      </c>
      <c r="H182" s="81">
        <v>46199</v>
      </c>
      <c r="I182" s="27">
        <v>6306179</v>
      </c>
      <c r="J182" s="28" t="s">
        <v>714</v>
      </c>
      <c r="K182" s="81">
        <v>46204</v>
      </c>
      <c r="L182" s="81">
        <v>46568</v>
      </c>
      <c r="M182" s="34" t="s">
        <v>1113</v>
      </c>
      <c r="N182" s="402">
        <v>240860</v>
      </c>
      <c r="O182" s="384">
        <f>P182*7.9</f>
        <v>26519.194000000003</v>
      </c>
      <c r="P182" s="30">
        <v>3356.86</v>
      </c>
      <c r="Q182" s="31">
        <v>46204</v>
      </c>
      <c r="R182" s="32">
        <v>46568</v>
      </c>
      <c r="S182" s="20" t="s">
        <v>525</v>
      </c>
      <c r="T182" s="33" t="s">
        <v>1114</v>
      </c>
      <c r="U182" s="16">
        <v>46206</v>
      </c>
      <c r="V182" s="17" t="s">
        <v>1115</v>
      </c>
      <c r="W182" s="18"/>
      <c r="X182" s="19">
        <v>26299.32</v>
      </c>
      <c r="Y182" s="20" t="s">
        <v>105</v>
      </c>
      <c r="Z182" s="20" t="s">
        <v>920</v>
      </c>
      <c r="AA182" s="116"/>
      <c r="AB182" s="353">
        <v>46174</v>
      </c>
      <c r="AC182" s="27" t="s">
        <v>1116</v>
      </c>
      <c r="AD182" s="80"/>
      <c r="AE182" s="24"/>
      <c r="AF182" s="80">
        <v>404433328</v>
      </c>
      <c r="AG182" s="140">
        <v>46207</v>
      </c>
    </row>
    <row r="183" spans="1:33" ht="27" customHeight="1">
      <c r="A183" s="15">
        <v>180</v>
      </c>
      <c r="B183" s="81">
        <v>46199</v>
      </c>
      <c r="C183" s="15" t="s">
        <v>38</v>
      </c>
      <c r="D183" s="15" t="s">
        <v>1117</v>
      </c>
      <c r="E183" s="26" t="s">
        <v>40</v>
      </c>
      <c r="F183" s="27" t="s">
        <v>41</v>
      </c>
      <c r="G183" s="27">
        <v>645600</v>
      </c>
      <c r="H183" s="81">
        <v>46202</v>
      </c>
      <c r="I183" s="27">
        <v>6306662</v>
      </c>
      <c r="J183" s="28" t="s">
        <v>1061</v>
      </c>
      <c r="K183" s="81">
        <v>46201</v>
      </c>
      <c r="L183" s="81">
        <v>47296</v>
      </c>
      <c r="M183" s="88" t="s">
        <v>1062</v>
      </c>
      <c r="N183" s="400">
        <v>60999</v>
      </c>
      <c r="O183" s="384">
        <v>27750</v>
      </c>
      <c r="P183" s="30"/>
      <c r="Q183" s="31">
        <v>46201</v>
      </c>
      <c r="R183" s="32">
        <v>47296</v>
      </c>
      <c r="S183" s="20" t="s">
        <v>1118</v>
      </c>
      <c r="T183" s="33" t="s">
        <v>1119</v>
      </c>
      <c r="U183" s="16">
        <v>46210</v>
      </c>
      <c r="V183" s="17" t="s">
        <v>1120</v>
      </c>
      <c r="W183" s="18"/>
      <c r="X183" s="19">
        <f>9250*3</f>
        <v>27750</v>
      </c>
      <c r="Y183" s="20" t="s">
        <v>336</v>
      </c>
      <c r="Z183" s="20" t="s">
        <v>48</v>
      </c>
      <c r="AA183" s="116"/>
      <c r="AB183" s="353">
        <v>46174</v>
      </c>
      <c r="AC183" s="27" t="s">
        <v>1065</v>
      </c>
      <c r="AD183" s="80"/>
      <c r="AE183" s="24" t="s">
        <v>1121</v>
      </c>
      <c r="AG183" s="140"/>
    </row>
    <row r="184" spans="1:33" ht="27" customHeight="1">
      <c r="A184" s="15">
        <v>181</v>
      </c>
      <c r="B184" s="81">
        <v>46202</v>
      </c>
      <c r="C184" s="15" t="s">
        <v>38</v>
      </c>
      <c r="D184" s="15" t="s">
        <v>1122</v>
      </c>
      <c r="E184" s="26" t="s">
        <v>70</v>
      </c>
      <c r="F184" s="27" t="s">
        <v>277</v>
      </c>
      <c r="G184" s="27">
        <v>645600</v>
      </c>
      <c r="H184" s="81">
        <v>46202</v>
      </c>
      <c r="I184" s="27">
        <v>6306679</v>
      </c>
      <c r="J184" s="28" t="s">
        <v>1123</v>
      </c>
      <c r="K184" s="81">
        <v>46143</v>
      </c>
      <c r="L184" s="81">
        <v>46567</v>
      </c>
      <c r="M184" s="88" t="s">
        <v>1124</v>
      </c>
      <c r="N184" s="400">
        <v>341001</v>
      </c>
      <c r="O184" s="384">
        <v>9400</v>
      </c>
      <c r="P184" s="30"/>
      <c r="Q184" s="31">
        <v>46114</v>
      </c>
      <c r="R184" s="32">
        <v>46478</v>
      </c>
      <c r="S184" s="20" t="s">
        <v>666</v>
      </c>
      <c r="T184" s="33" t="s">
        <v>1125</v>
      </c>
      <c r="U184" s="16">
        <v>46210</v>
      </c>
      <c r="V184" s="17" t="s">
        <v>1126</v>
      </c>
      <c r="W184" s="18"/>
      <c r="X184" s="19">
        <v>9400</v>
      </c>
      <c r="Y184" s="20" t="s">
        <v>123</v>
      </c>
      <c r="Z184" s="20" t="s">
        <v>920</v>
      </c>
      <c r="AA184" s="116"/>
      <c r="AB184" s="353">
        <v>46174</v>
      </c>
      <c r="AC184" s="27" t="s">
        <v>1127</v>
      </c>
      <c r="AD184" s="80" t="s">
        <v>213</v>
      </c>
      <c r="AE184" s="24"/>
      <c r="AG184" s="140"/>
    </row>
    <row r="185" spans="1:33" ht="27" customHeight="1">
      <c r="A185" s="15">
        <v>182</v>
      </c>
      <c r="B185" s="81">
        <v>46202</v>
      </c>
      <c r="C185" s="15" t="s">
        <v>38</v>
      </c>
      <c r="D185" s="15" t="s">
        <v>1128</v>
      </c>
      <c r="E185" s="26" t="s">
        <v>70</v>
      </c>
      <c r="F185" s="27" t="s">
        <v>277</v>
      </c>
      <c r="G185" s="27">
        <v>645600</v>
      </c>
      <c r="H185" s="81">
        <v>46202</v>
      </c>
      <c r="I185" s="27">
        <v>6306680</v>
      </c>
      <c r="J185" s="28" t="s">
        <v>1123</v>
      </c>
      <c r="K185" s="81">
        <v>46143</v>
      </c>
      <c r="L185" s="81">
        <v>46567</v>
      </c>
      <c r="M185" s="88" t="s">
        <v>1124</v>
      </c>
      <c r="N185" s="400">
        <v>341001</v>
      </c>
      <c r="O185" s="384">
        <v>2614.8000000000002</v>
      </c>
      <c r="P185" s="30"/>
      <c r="Q185" s="31">
        <v>46333</v>
      </c>
      <c r="R185" s="32">
        <v>46697</v>
      </c>
      <c r="S185" s="20" t="s">
        <v>1129</v>
      </c>
      <c r="T185" s="33" t="s">
        <v>1130</v>
      </c>
      <c r="U185" s="16">
        <v>46209</v>
      </c>
      <c r="V185" s="17" t="s">
        <v>1131</v>
      </c>
      <c r="W185" s="18"/>
      <c r="X185" s="19">
        <v>2614.8000000000002</v>
      </c>
      <c r="Y185" s="20" t="s">
        <v>123</v>
      </c>
      <c r="Z185" s="20" t="s">
        <v>920</v>
      </c>
      <c r="AA185" s="116"/>
      <c r="AB185" s="353">
        <v>46174</v>
      </c>
      <c r="AC185" s="27" t="s">
        <v>1127</v>
      </c>
      <c r="AD185" s="80" t="s">
        <v>213</v>
      </c>
      <c r="AE185" s="24"/>
      <c r="AG185" s="140"/>
    </row>
    <row r="186" spans="1:33" ht="27" customHeight="1">
      <c r="A186" s="15">
        <v>183</v>
      </c>
      <c r="B186" s="81">
        <v>46205</v>
      </c>
      <c r="C186" s="15" t="s">
        <v>38</v>
      </c>
      <c r="D186" s="15" t="s">
        <v>1132</v>
      </c>
      <c r="E186" s="26" t="s">
        <v>40</v>
      </c>
      <c r="F186" s="27" t="s">
        <v>277</v>
      </c>
      <c r="G186" s="27">
        <v>645600</v>
      </c>
      <c r="H186" s="81">
        <v>46205</v>
      </c>
      <c r="I186" s="27">
        <v>6307693</v>
      </c>
      <c r="J186" s="28" t="s">
        <v>411</v>
      </c>
      <c r="K186" s="81">
        <v>46204</v>
      </c>
      <c r="L186" s="81">
        <v>46568</v>
      </c>
      <c r="M186" s="88" t="s">
        <v>1133</v>
      </c>
      <c r="N186" s="400">
        <v>1521672</v>
      </c>
      <c r="O186" s="384">
        <f>P186*7.9</f>
        <v>16397.003000000001</v>
      </c>
      <c r="P186" s="30">
        <v>2075.5700000000002</v>
      </c>
      <c r="Q186" s="31">
        <v>46204</v>
      </c>
      <c r="R186" s="32">
        <v>46568</v>
      </c>
      <c r="S186" s="20" t="s">
        <v>1134</v>
      </c>
      <c r="T186" s="33" t="s">
        <v>1135</v>
      </c>
      <c r="U186" s="16">
        <v>46210</v>
      </c>
      <c r="V186" s="17" t="s">
        <v>1136</v>
      </c>
      <c r="W186" s="18"/>
      <c r="X186" s="19">
        <v>16275.37</v>
      </c>
      <c r="Y186" s="20" t="s">
        <v>245</v>
      </c>
      <c r="Z186" s="20" t="s">
        <v>48</v>
      </c>
      <c r="AA186" s="116"/>
      <c r="AB186" s="353">
        <v>46204</v>
      </c>
      <c r="AC186" s="27" t="s">
        <v>1137</v>
      </c>
      <c r="AD186" s="80" t="s">
        <v>213</v>
      </c>
      <c r="AE186" s="24"/>
      <c r="AG186" s="140"/>
    </row>
    <row r="187" spans="1:33" ht="27" customHeight="1">
      <c r="A187" s="15">
        <v>184</v>
      </c>
      <c r="B187" s="81">
        <v>46209</v>
      </c>
      <c r="C187" s="15" t="s">
        <v>38</v>
      </c>
      <c r="D187" s="15" t="s">
        <v>1138</v>
      </c>
      <c r="E187" s="26" t="s">
        <v>70</v>
      </c>
      <c r="F187" s="27" t="s">
        <v>41</v>
      </c>
      <c r="G187" s="27">
        <v>645600</v>
      </c>
      <c r="H187" s="81">
        <v>46209</v>
      </c>
      <c r="I187" s="27">
        <v>6308865</v>
      </c>
      <c r="J187" s="28" t="s">
        <v>1139</v>
      </c>
      <c r="K187" s="81">
        <v>46316</v>
      </c>
      <c r="L187" s="81">
        <v>46680</v>
      </c>
      <c r="M187" s="88" t="s">
        <v>1140</v>
      </c>
      <c r="N187" s="400">
        <v>208410</v>
      </c>
      <c r="O187" s="384">
        <f>P187*7.9</f>
        <v>160014.10500000001</v>
      </c>
      <c r="P187" s="30">
        <v>20254.95</v>
      </c>
      <c r="Q187" s="31">
        <v>46316</v>
      </c>
      <c r="R187" s="32">
        <v>46680</v>
      </c>
      <c r="S187" s="20" t="s">
        <v>287</v>
      </c>
      <c r="T187" s="33" t="s">
        <v>1141</v>
      </c>
      <c r="U187" s="16">
        <v>46216</v>
      </c>
      <c r="V187" s="17" t="s">
        <v>1142</v>
      </c>
      <c r="W187" s="18"/>
      <c r="X187" s="19">
        <v>158827.16</v>
      </c>
      <c r="Y187" s="20" t="s">
        <v>290</v>
      </c>
      <c r="Z187" s="20" t="s">
        <v>920</v>
      </c>
      <c r="AA187" s="116"/>
      <c r="AB187" s="353">
        <v>46204</v>
      </c>
      <c r="AC187" s="27" t="s">
        <v>1143</v>
      </c>
      <c r="AD187" s="80" t="s">
        <v>213</v>
      </c>
      <c r="AE187" s="24"/>
      <c r="AG187" s="140"/>
    </row>
    <row r="188" spans="1:33" ht="27" customHeight="1">
      <c r="A188" s="15">
        <v>185</v>
      </c>
      <c r="B188" s="81">
        <v>46210</v>
      </c>
      <c r="C188" s="15" t="s">
        <v>95</v>
      </c>
      <c r="D188" s="15" t="s">
        <v>1144</v>
      </c>
      <c r="E188" s="26" t="s">
        <v>97</v>
      </c>
      <c r="F188" s="27" t="s">
        <v>109</v>
      </c>
      <c r="G188" s="15">
        <v>645602</v>
      </c>
      <c r="H188" s="81">
        <v>46211</v>
      </c>
      <c r="I188" s="15">
        <v>6309808</v>
      </c>
      <c r="J188" s="28" t="s">
        <v>497</v>
      </c>
      <c r="K188" s="81">
        <v>46143</v>
      </c>
      <c r="L188" s="81">
        <v>46507</v>
      </c>
      <c r="M188" s="88" t="s">
        <v>1145</v>
      </c>
      <c r="N188" s="400">
        <v>862910</v>
      </c>
      <c r="O188" s="384">
        <v>398000</v>
      </c>
      <c r="P188" s="30"/>
      <c r="Q188" s="31">
        <v>46143</v>
      </c>
      <c r="R188" s="32">
        <v>46507</v>
      </c>
      <c r="S188" s="20" t="s">
        <v>1021</v>
      </c>
      <c r="T188" s="33" t="s">
        <v>1146</v>
      </c>
      <c r="U188" s="114">
        <v>46220</v>
      </c>
      <c r="V188" s="115" t="s">
        <v>1147</v>
      </c>
      <c r="W188" s="18"/>
      <c r="X188" s="19">
        <v>398000</v>
      </c>
      <c r="Y188" s="20" t="s">
        <v>336</v>
      </c>
      <c r="Z188" s="176" t="s">
        <v>106</v>
      </c>
      <c r="AA188" s="279"/>
      <c r="AB188" s="353">
        <v>46204</v>
      </c>
      <c r="AC188" s="27" t="s">
        <v>1148</v>
      </c>
      <c r="AD188" s="80" t="s">
        <v>213</v>
      </c>
      <c r="AE188" s="24"/>
      <c r="AG188" s="140"/>
    </row>
    <row r="189" spans="1:33" ht="27" customHeight="1">
      <c r="A189" s="15">
        <v>186</v>
      </c>
      <c r="B189" s="81">
        <v>46210</v>
      </c>
      <c r="C189" s="15" t="s">
        <v>38</v>
      </c>
      <c r="D189" s="15" t="s">
        <v>1149</v>
      </c>
      <c r="E189" s="26" t="s">
        <v>70</v>
      </c>
      <c r="F189" s="27" t="s">
        <v>41</v>
      </c>
      <c r="G189" s="27">
        <v>645600</v>
      </c>
      <c r="H189" s="81">
        <v>46211</v>
      </c>
      <c r="I189" s="15">
        <v>6309807</v>
      </c>
      <c r="J189" s="28" t="s">
        <v>1150</v>
      </c>
      <c r="K189" s="81">
        <v>46227</v>
      </c>
      <c r="L189" s="81">
        <v>46591</v>
      </c>
      <c r="M189" s="88" t="s">
        <v>1151</v>
      </c>
      <c r="N189" s="400">
        <v>108445</v>
      </c>
      <c r="O189" s="384">
        <f>P189*7.9</f>
        <v>28756</v>
      </c>
      <c r="P189" s="30">
        <v>3640</v>
      </c>
      <c r="Q189" s="31">
        <v>46227</v>
      </c>
      <c r="R189" s="32">
        <v>46591</v>
      </c>
      <c r="S189" s="20" t="s">
        <v>905</v>
      </c>
      <c r="T189" s="33" t="s">
        <v>1152</v>
      </c>
      <c r="U189" s="16">
        <v>46240</v>
      </c>
      <c r="V189" s="17" t="s">
        <v>1153</v>
      </c>
      <c r="W189" s="18"/>
      <c r="X189" s="19">
        <v>28542.7</v>
      </c>
      <c r="Y189" s="20" t="s">
        <v>336</v>
      </c>
      <c r="Z189" s="20" t="s">
        <v>300</v>
      </c>
      <c r="AA189" s="116"/>
      <c r="AB189" s="353">
        <v>46204</v>
      </c>
      <c r="AC189" s="27" t="s">
        <v>1154</v>
      </c>
      <c r="AD189" s="80"/>
      <c r="AE189" s="24"/>
      <c r="AG189" s="140"/>
    </row>
    <row r="190" spans="1:33" ht="27" customHeight="1">
      <c r="A190" s="15">
        <v>187</v>
      </c>
      <c r="B190" s="81">
        <v>46212</v>
      </c>
      <c r="C190" s="15" t="s">
        <v>38</v>
      </c>
      <c r="D190" s="15" t="s">
        <v>1155</v>
      </c>
      <c r="E190" s="26" t="s">
        <v>70</v>
      </c>
      <c r="F190" s="27" t="s">
        <v>41</v>
      </c>
      <c r="G190" s="15">
        <v>645600</v>
      </c>
      <c r="H190" s="81">
        <v>46213</v>
      </c>
      <c r="I190" s="15">
        <v>6310608</v>
      </c>
      <c r="J190" s="28" t="s">
        <v>1156</v>
      </c>
      <c r="K190" s="81">
        <v>46188</v>
      </c>
      <c r="L190" s="81">
        <v>46918</v>
      </c>
      <c r="M190" s="88" t="s">
        <v>1157</v>
      </c>
      <c r="N190" s="400">
        <v>1905000</v>
      </c>
      <c r="O190" s="384">
        <f>P190*7.9</f>
        <v>89586</v>
      </c>
      <c r="P190" s="30">
        <v>11340</v>
      </c>
      <c r="Q190" s="31">
        <v>46221</v>
      </c>
      <c r="R190" s="32">
        <v>46951</v>
      </c>
      <c r="S190" s="20" t="s">
        <v>73</v>
      </c>
      <c r="T190" s="33" t="s">
        <v>1158</v>
      </c>
      <c r="U190" s="16">
        <v>46217</v>
      </c>
      <c r="V190" s="17" t="s">
        <v>1159</v>
      </c>
      <c r="W190" s="18">
        <v>46227</v>
      </c>
      <c r="X190" s="19">
        <v>88921.48</v>
      </c>
      <c r="Y190" s="20" t="s">
        <v>47</v>
      </c>
      <c r="Z190" s="20" t="s">
        <v>920</v>
      </c>
      <c r="AA190" s="116"/>
      <c r="AB190" s="353">
        <v>46204</v>
      </c>
      <c r="AC190" s="27" t="s">
        <v>1160</v>
      </c>
      <c r="AD190" s="80" t="s">
        <v>213</v>
      </c>
      <c r="AE190" s="24"/>
      <c r="AG190" s="140"/>
    </row>
    <row r="191" spans="1:33" ht="27" customHeight="1">
      <c r="A191" s="15">
        <v>188</v>
      </c>
      <c r="B191" s="81">
        <v>46212</v>
      </c>
      <c r="C191" s="15" t="s">
        <v>95</v>
      </c>
      <c r="D191" s="15" t="s">
        <v>1161</v>
      </c>
      <c r="E191" s="26" t="s">
        <v>97</v>
      </c>
      <c r="F191" s="27" t="s">
        <v>109</v>
      </c>
      <c r="G191" s="15">
        <v>645602</v>
      </c>
      <c r="H191" s="81">
        <v>46216</v>
      </c>
      <c r="I191" s="15">
        <v>6311218</v>
      </c>
      <c r="J191" s="28" t="s">
        <v>1162</v>
      </c>
      <c r="K191" s="81">
        <v>46214</v>
      </c>
      <c r="L191" s="81">
        <v>46578</v>
      </c>
      <c r="M191" s="88" t="s">
        <v>1163</v>
      </c>
      <c r="N191" s="400">
        <v>10527</v>
      </c>
      <c r="O191" s="384">
        <v>10000</v>
      </c>
      <c r="P191" s="30"/>
      <c r="Q191" s="31" t="s">
        <v>280</v>
      </c>
      <c r="R191" s="32"/>
      <c r="S191" s="20" t="s">
        <v>1164</v>
      </c>
      <c r="T191" s="33" t="s">
        <v>1165</v>
      </c>
      <c r="U191" s="114">
        <v>46239</v>
      </c>
      <c r="V191" s="115" t="s">
        <v>1166</v>
      </c>
      <c r="W191" s="18"/>
      <c r="X191" s="19">
        <v>10000</v>
      </c>
      <c r="Y191" s="20" t="s">
        <v>1167</v>
      </c>
      <c r="Z191" s="176" t="s">
        <v>106</v>
      </c>
      <c r="AA191" s="279"/>
      <c r="AB191" s="353">
        <v>46204</v>
      </c>
      <c r="AC191" s="27" t="s">
        <v>1168</v>
      </c>
      <c r="AD191" s="80" t="s">
        <v>213</v>
      </c>
      <c r="AE191" s="24"/>
      <c r="AG191" s="140"/>
    </row>
    <row r="192" spans="1:33" ht="27" customHeight="1">
      <c r="A192" s="15">
        <v>189</v>
      </c>
      <c r="B192" s="81">
        <v>46217</v>
      </c>
      <c r="C192" s="15" t="s">
        <v>38</v>
      </c>
      <c r="D192" s="15" t="s">
        <v>1169</v>
      </c>
      <c r="E192" s="26" t="s">
        <v>40</v>
      </c>
      <c r="F192" s="27" t="s">
        <v>41</v>
      </c>
      <c r="G192" s="15">
        <v>645600</v>
      </c>
      <c r="H192" s="81">
        <v>46217</v>
      </c>
      <c r="I192" s="15">
        <v>6312219</v>
      </c>
      <c r="J192" s="28" t="s">
        <v>1170</v>
      </c>
      <c r="K192" s="81">
        <v>46225</v>
      </c>
      <c r="L192" s="81">
        <v>46589</v>
      </c>
      <c r="M192" s="88" t="s">
        <v>1171</v>
      </c>
      <c r="N192" s="400">
        <v>130000</v>
      </c>
      <c r="O192" s="384">
        <f>P192*7.9</f>
        <v>12002.786</v>
      </c>
      <c r="P192" s="30">
        <v>1519.34</v>
      </c>
      <c r="Q192" s="31">
        <v>46235</v>
      </c>
      <c r="R192" s="32">
        <v>46599</v>
      </c>
      <c r="S192" s="20" t="s">
        <v>784</v>
      </c>
      <c r="T192" s="33" t="s">
        <v>1172</v>
      </c>
      <c r="U192" s="16">
        <v>46224</v>
      </c>
      <c r="V192" s="17" t="s">
        <v>1173</v>
      </c>
      <c r="W192" s="18"/>
      <c r="X192" s="19">
        <v>11913.75</v>
      </c>
      <c r="Y192" s="20" t="s">
        <v>290</v>
      </c>
      <c r="Z192" s="20" t="s">
        <v>48</v>
      </c>
      <c r="AA192" s="116"/>
      <c r="AB192" s="353">
        <v>46204</v>
      </c>
      <c r="AC192" s="27" t="s">
        <v>1174</v>
      </c>
      <c r="AD192" s="80"/>
      <c r="AE192" s="24"/>
      <c r="AG192" s="140"/>
    </row>
    <row r="193" spans="1:42" ht="27" customHeight="1">
      <c r="A193" s="15">
        <v>190</v>
      </c>
      <c r="B193" s="81">
        <v>46218</v>
      </c>
      <c r="C193" s="15" t="s">
        <v>38</v>
      </c>
      <c r="D193" s="15" t="s">
        <v>1175</v>
      </c>
      <c r="E193" s="26" t="s">
        <v>40</v>
      </c>
      <c r="F193" s="27" t="s">
        <v>41</v>
      </c>
      <c r="G193" s="15">
        <v>645600</v>
      </c>
      <c r="H193" s="81">
        <v>46217</v>
      </c>
      <c r="I193" s="15">
        <v>6312220</v>
      </c>
      <c r="J193" s="28" t="s">
        <v>61</v>
      </c>
      <c r="K193" s="81">
        <v>46174</v>
      </c>
      <c r="L193" s="81">
        <v>46660</v>
      </c>
      <c r="M193" s="88" t="s">
        <v>1176</v>
      </c>
      <c r="N193" s="400">
        <v>2109198</v>
      </c>
      <c r="O193" s="384">
        <f>P193*7.9</f>
        <v>1004226.8280000001</v>
      </c>
      <c r="P193" s="30">
        <v>127117.32</v>
      </c>
      <c r="Q193" s="31">
        <v>46327</v>
      </c>
      <c r="R193" s="32">
        <v>46691</v>
      </c>
      <c r="S193" s="20" t="s">
        <v>92</v>
      </c>
      <c r="T193" s="33" t="s">
        <v>1177</v>
      </c>
      <c r="U193" s="16">
        <v>46225</v>
      </c>
      <c r="V193" s="17" t="s">
        <v>1178</v>
      </c>
      <c r="W193" s="18"/>
      <c r="X193" s="19">
        <v>996777.75</v>
      </c>
      <c r="Y193" s="20" t="s">
        <v>66</v>
      </c>
      <c r="Z193" s="20" t="s">
        <v>48</v>
      </c>
      <c r="AA193" s="116"/>
      <c r="AB193" s="376">
        <v>46204</v>
      </c>
      <c r="AC193" s="27" t="s">
        <v>1179</v>
      </c>
      <c r="AD193" s="80" t="s">
        <v>213</v>
      </c>
      <c r="AE193" s="24"/>
      <c r="AG193" s="140"/>
    </row>
    <row r="194" spans="1:42" ht="27" customHeight="1">
      <c r="A194" s="15">
        <v>191</v>
      </c>
      <c r="B194" s="81">
        <v>46219</v>
      </c>
      <c r="C194" s="15" t="s">
        <v>95</v>
      </c>
      <c r="D194" s="15" t="s">
        <v>1180</v>
      </c>
      <c r="E194" s="26" t="s">
        <v>97</v>
      </c>
      <c r="F194" s="27" t="s">
        <v>109</v>
      </c>
      <c r="G194" s="27">
        <v>645602</v>
      </c>
      <c r="H194" s="81">
        <v>46218</v>
      </c>
      <c r="I194" s="27">
        <v>6312634</v>
      </c>
      <c r="J194" s="28" t="s">
        <v>1181</v>
      </c>
      <c r="K194" s="81">
        <v>46188</v>
      </c>
      <c r="L194" s="81">
        <v>46918</v>
      </c>
      <c r="M194" s="397" t="s">
        <v>1157</v>
      </c>
      <c r="N194" s="400">
        <v>1905000</v>
      </c>
      <c r="O194" s="384">
        <v>358162.8</v>
      </c>
      <c r="P194" s="30"/>
      <c r="Q194" s="31">
        <v>46188</v>
      </c>
      <c r="R194" s="32">
        <v>46918</v>
      </c>
      <c r="S194" s="20" t="s">
        <v>880</v>
      </c>
      <c r="T194" s="33" t="s">
        <v>1182</v>
      </c>
      <c r="U194" s="114">
        <v>46227</v>
      </c>
      <c r="V194" s="115" t="s">
        <v>1183</v>
      </c>
      <c r="W194" s="18"/>
      <c r="X194" s="19">
        <v>358162.8</v>
      </c>
      <c r="Y194" s="20" t="s">
        <v>1184</v>
      </c>
      <c r="Z194" s="21" t="s">
        <v>106</v>
      </c>
      <c r="AA194" s="22"/>
      <c r="AB194" s="376">
        <v>46204</v>
      </c>
      <c r="AC194" s="27" t="s">
        <v>1185</v>
      </c>
      <c r="AD194" s="80" t="s">
        <v>213</v>
      </c>
      <c r="AE194" s="24"/>
      <c r="AG194" s="140"/>
    </row>
    <row r="195" spans="1:42" ht="27" customHeight="1">
      <c r="A195" s="15">
        <v>192</v>
      </c>
      <c r="B195" s="81">
        <v>46219</v>
      </c>
      <c r="C195" s="15" t="s">
        <v>38</v>
      </c>
      <c r="D195" s="15" t="s">
        <v>1186</v>
      </c>
      <c r="E195" s="26" t="s">
        <v>40</v>
      </c>
      <c r="F195" s="27" t="s">
        <v>277</v>
      </c>
      <c r="G195" s="15">
        <v>645600</v>
      </c>
      <c r="H195" s="81">
        <v>46219</v>
      </c>
      <c r="I195" s="15">
        <v>6312669</v>
      </c>
      <c r="J195" s="28" t="s">
        <v>61</v>
      </c>
      <c r="K195" s="81">
        <v>46174</v>
      </c>
      <c r="L195" s="81">
        <v>46660</v>
      </c>
      <c r="M195" s="88" t="s">
        <v>1176</v>
      </c>
      <c r="N195" s="400">
        <v>2109198</v>
      </c>
      <c r="O195" s="384">
        <v>2667</v>
      </c>
      <c r="P195" s="30"/>
      <c r="Q195" s="31">
        <v>46174</v>
      </c>
      <c r="R195" s="32">
        <v>46660</v>
      </c>
      <c r="S195" s="20" t="s">
        <v>296</v>
      </c>
      <c r="T195" s="33" t="s">
        <v>1187</v>
      </c>
      <c r="U195" s="16">
        <v>46223</v>
      </c>
      <c r="V195" s="17" t="s">
        <v>1188</v>
      </c>
      <c r="W195" s="18"/>
      <c r="X195" s="19">
        <v>2667</v>
      </c>
      <c r="Y195" s="20" t="s">
        <v>66</v>
      </c>
      <c r="Z195" s="20" t="s">
        <v>48</v>
      </c>
      <c r="AA195" s="116"/>
      <c r="AB195" s="376">
        <v>46204</v>
      </c>
      <c r="AC195" s="27" t="s">
        <v>1179</v>
      </c>
      <c r="AD195" s="80" t="s">
        <v>213</v>
      </c>
      <c r="AE195" s="24"/>
      <c r="AG195" s="140"/>
    </row>
    <row r="196" spans="1:42" ht="27" customHeight="1">
      <c r="A196" s="15">
        <v>193</v>
      </c>
      <c r="B196" s="81">
        <v>46219</v>
      </c>
      <c r="C196" s="15" t="s">
        <v>95</v>
      </c>
      <c r="D196" s="15" t="s">
        <v>1189</v>
      </c>
      <c r="E196" s="26" t="s">
        <v>97</v>
      </c>
      <c r="F196" s="27" t="s">
        <v>98</v>
      </c>
      <c r="G196" s="15">
        <v>645602</v>
      </c>
      <c r="H196" s="81">
        <v>46223</v>
      </c>
      <c r="I196" s="15">
        <v>6313279</v>
      </c>
      <c r="J196" s="28" t="s">
        <v>1190</v>
      </c>
      <c r="K196" s="81">
        <v>46204</v>
      </c>
      <c r="L196" s="81">
        <v>46568</v>
      </c>
      <c r="M196" s="88" t="s">
        <v>1191</v>
      </c>
      <c r="N196" s="400">
        <v>490950</v>
      </c>
      <c r="O196" s="384">
        <v>4000</v>
      </c>
      <c r="P196" s="30"/>
      <c r="Q196" s="31"/>
      <c r="R196" s="32"/>
      <c r="S196" s="20" t="s">
        <v>500</v>
      </c>
      <c r="T196" s="33" t="s">
        <v>1192</v>
      </c>
      <c r="U196" s="114">
        <v>46240</v>
      </c>
      <c r="V196" s="115" t="s">
        <v>1193</v>
      </c>
      <c r="W196" s="18"/>
      <c r="X196" s="19">
        <v>4000</v>
      </c>
      <c r="Y196" s="20" t="s">
        <v>1194</v>
      </c>
      <c r="Z196" s="20" t="s">
        <v>106</v>
      </c>
      <c r="AA196" s="116"/>
      <c r="AB196" s="376">
        <v>46204</v>
      </c>
      <c r="AC196" s="27" t="s">
        <v>1195</v>
      </c>
      <c r="AD196" s="80"/>
      <c r="AE196" s="24"/>
      <c r="AG196" s="140"/>
    </row>
    <row r="197" spans="1:42" ht="31.5" customHeight="1">
      <c r="A197" s="15">
        <v>194</v>
      </c>
      <c r="B197" s="81">
        <v>46219</v>
      </c>
      <c r="C197" s="15" t="s">
        <v>95</v>
      </c>
      <c r="D197" s="15" t="s">
        <v>1196</v>
      </c>
      <c r="E197" s="26" t="s">
        <v>97</v>
      </c>
      <c r="F197" s="27" t="s">
        <v>98</v>
      </c>
      <c r="G197" s="15">
        <v>645602</v>
      </c>
      <c r="H197" s="81">
        <v>46223</v>
      </c>
      <c r="I197" s="15">
        <v>6313285</v>
      </c>
      <c r="J197" s="28" t="s">
        <v>1190</v>
      </c>
      <c r="K197" s="81">
        <v>46204</v>
      </c>
      <c r="L197" s="81">
        <v>46568</v>
      </c>
      <c r="M197" s="88" t="s">
        <v>1191</v>
      </c>
      <c r="N197" s="400">
        <v>490950</v>
      </c>
      <c r="O197" s="384">
        <v>4000</v>
      </c>
      <c r="P197" s="30"/>
      <c r="Q197" s="31"/>
      <c r="R197" s="32"/>
      <c r="S197" s="20" t="s">
        <v>586</v>
      </c>
      <c r="T197" s="33" t="s">
        <v>1197</v>
      </c>
      <c r="U197" s="114">
        <v>46247</v>
      </c>
      <c r="V197" s="115" t="s">
        <v>1198</v>
      </c>
      <c r="W197" s="18"/>
      <c r="X197" s="19">
        <v>4000</v>
      </c>
      <c r="Y197" s="20" t="s">
        <v>1194</v>
      </c>
      <c r="Z197" s="20" t="s">
        <v>106</v>
      </c>
      <c r="AA197" s="116"/>
      <c r="AB197" s="376">
        <v>46204</v>
      </c>
      <c r="AC197" s="27" t="s">
        <v>1195</v>
      </c>
      <c r="AD197" s="80"/>
      <c r="AE197" s="24"/>
      <c r="AG197" s="140"/>
      <c r="AH197" s="15"/>
      <c r="AI197" s="81"/>
      <c r="AJ197" s="15"/>
      <c r="AK197" s="15"/>
      <c r="AL197" s="26"/>
      <c r="AM197" s="27"/>
      <c r="AN197" s="15"/>
      <c r="AO197" s="81"/>
      <c r="AP197" s="15"/>
    </row>
    <row r="198" spans="1:42" ht="31.5" customHeight="1">
      <c r="A198" s="15">
        <v>195</v>
      </c>
      <c r="B198" s="81">
        <v>46225</v>
      </c>
      <c r="C198" s="15" t="s">
        <v>38</v>
      </c>
      <c r="D198" s="15" t="s">
        <v>1199</v>
      </c>
      <c r="E198" s="26" t="s">
        <v>40</v>
      </c>
      <c r="F198" s="27" t="s">
        <v>277</v>
      </c>
      <c r="G198" s="15">
        <v>645600</v>
      </c>
      <c r="H198" s="81">
        <v>46225</v>
      </c>
      <c r="I198" s="15">
        <v>6314329</v>
      </c>
      <c r="J198" s="28" t="s">
        <v>266</v>
      </c>
      <c r="K198" s="81">
        <v>43098</v>
      </c>
      <c r="L198" s="81">
        <v>46384</v>
      </c>
      <c r="M198" s="88" t="s">
        <v>1200</v>
      </c>
      <c r="N198" s="400">
        <v>9555000</v>
      </c>
      <c r="O198" s="384">
        <f>P198*7.9</f>
        <v>30470.300000000003</v>
      </c>
      <c r="P198" s="30">
        <v>3857</v>
      </c>
      <c r="Q198" s="31">
        <v>46235</v>
      </c>
      <c r="R198" s="32">
        <v>46387</v>
      </c>
      <c r="S198" s="20" t="s">
        <v>1005</v>
      </c>
      <c r="T198" s="33" t="s">
        <v>1201</v>
      </c>
      <c r="U198" s="16">
        <v>46227</v>
      </c>
      <c r="V198" s="17" t="s">
        <v>1202</v>
      </c>
      <c r="W198" s="18"/>
      <c r="X198" s="19">
        <v>30244.28</v>
      </c>
      <c r="Y198" s="20" t="s">
        <v>105</v>
      </c>
      <c r="Z198" s="20" t="s">
        <v>1203</v>
      </c>
      <c r="AA198" s="116"/>
      <c r="AB198" s="376">
        <v>46204</v>
      </c>
      <c r="AC198" s="27" t="s">
        <v>1204</v>
      </c>
      <c r="AD198" s="80" t="s">
        <v>213</v>
      </c>
      <c r="AE198" s="24" t="s">
        <v>1205</v>
      </c>
      <c r="AG198" s="140"/>
    </row>
    <row r="199" spans="1:42" ht="27.75" customHeight="1">
      <c r="A199" s="15">
        <v>196</v>
      </c>
      <c r="B199" s="81">
        <v>46225</v>
      </c>
      <c r="C199" s="15" t="s">
        <v>38</v>
      </c>
      <c r="D199" s="15" t="s">
        <v>1206</v>
      </c>
      <c r="E199" s="26" t="s">
        <v>40</v>
      </c>
      <c r="F199" s="27" t="s">
        <v>277</v>
      </c>
      <c r="G199" s="15">
        <v>645600</v>
      </c>
      <c r="H199" s="81">
        <v>46225</v>
      </c>
      <c r="I199" s="15">
        <v>6314343</v>
      </c>
      <c r="J199" s="28" t="s">
        <v>266</v>
      </c>
      <c r="K199" s="81">
        <v>43098</v>
      </c>
      <c r="L199" s="81">
        <v>46384</v>
      </c>
      <c r="M199" s="88" t="s">
        <v>1200</v>
      </c>
      <c r="N199" s="400">
        <v>9555000</v>
      </c>
      <c r="O199" s="384">
        <f>P199*7.9</f>
        <v>19102.2</v>
      </c>
      <c r="P199" s="30">
        <v>2418</v>
      </c>
      <c r="Q199" s="31">
        <v>46235</v>
      </c>
      <c r="R199" s="32">
        <v>46387</v>
      </c>
      <c r="S199" s="20" t="s">
        <v>1005</v>
      </c>
      <c r="T199" s="33" t="s">
        <v>1207</v>
      </c>
      <c r="U199" s="16">
        <v>46227</v>
      </c>
      <c r="V199" s="17" t="s">
        <v>1208</v>
      </c>
      <c r="W199" s="18"/>
      <c r="X199" s="19">
        <v>18960.509999999998</v>
      </c>
      <c r="Y199" s="20" t="s">
        <v>105</v>
      </c>
      <c r="Z199" s="20" t="s">
        <v>1203</v>
      </c>
      <c r="AA199" s="116"/>
      <c r="AB199" s="376">
        <v>46204</v>
      </c>
      <c r="AC199" s="27" t="s">
        <v>1204</v>
      </c>
      <c r="AD199" s="80" t="s">
        <v>213</v>
      </c>
      <c r="AE199" s="24" t="s">
        <v>1205</v>
      </c>
      <c r="AG199" s="140"/>
    </row>
    <row r="200" spans="1:42" ht="30" customHeight="1">
      <c r="A200" s="15">
        <v>197</v>
      </c>
      <c r="B200" s="81">
        <v>46225</v>
      </c>
      <c r="C200" s="15" t="s">
        <v>38</v>
      </c>
      <c r="D200" s="15" t="s">
        <v>1209</v>
      </c>
      <c r="E200" s="26" t="s">
        <v>70</v>
      </c>
      <c r="F200" s="27" t="s">
        <v>41</v>
      </c>
      <c r="G200" s="15">
        <v>645600</v>
      </c>
      <c r="H200" s="81">
        <v>46226</v>
      </c>
      <c r="I200" s="15">
        <v>6314860</v>
      </c>
      <c r="J200" s="28" t="s">
        <v>1210</v>
      </c>
      <c r="K200" s="81">
        <v>46207</v>
      </c>
      <c r="L200" s="81">
        <v>46937</v>
      </c>
      <c r="M200" s="88" t="s">
        <v>1211</v>
      </c>
      <c r="N200" s="400">
        <v>126063</v>
      </c>
      <c r="O200" s="384">
        <v>35174</v>
      </c>
      <c r="P200" s="30"/>
      <c r="Q200" s="31">
        <v>46113</v>
      </c>
      <c r="R200" s="32">
        <v>46843</v>
      </c>
      <c r="S200" s="20" t="s">
        <v>180</v>
      </c>
      <c r="T200" s="33" t="s">
        <v>1212</v>
      </c>
      <c r="U200" s="16">
        <v>46240</v>
      </c>
      <c r="V200" s="17" t="s">
        <v>1213</v>
      </c>
      <c r="W200" s="18"/>
      <c r="X200" s="19">
        <v>35174</v>
      </c>
      <c r="Y200" s="20" t="s">
        <v>56</v>
      </c>
      <c r="Z200" s="20" t="s">
        <v>300</v>
      </c>
      <c r="AA200" s="116"/>
      <c r="AB200" s="376">
        <v>46204</v>
      </c>
      <c r="AC200" s="27" t="s">
        <v>1214</v>
      </c>
      <c r="AD200" s="80"/>
      <c r="AE200" s="24"/>
      <c r="AG200" s="140"/>
    </row>
    <row r="201" spans="1:42" ht="27" customHeight="1">
      <c r="A201" s="15">
        <v>198</v>
      </c>
      <c r="B201" s="81">
        <v>46225</v>
      </c>
      <c r="C201" s="15" t="s">
        <v>38</v>
      </c>
      <c r="D201" s="15" t="s">
        <v>1215</v>
      </c>
      <c r="E201" s="26" t="s">
        <v>70</v>
      </c>
      <c r="F201" s="27" t="s">
        <v>41</v>
      </c>
      <c r="G201" s="15">
        <v>645600</v>
      </c>
      <c r="H201" s="81">
        <v>46226</v>
      </c>
      <c r="I201" s="15">
        <v>6314863</v>
      </c>
      <c r="J201" s="28" t="s">
        <v>1210</v>
      </c>
      <c r="K201" s="81">
        <v>46207</v>
      </c>
      <c r="L201" s="81">
        <v>46937</v>
      </c>
      <c r="M201" s="88" t="s">
        <v>1211</v>
      </c>
      <c r="N201" s="400">
        <v>126063</v>
      </c>
      <c r="O201" s="384">
        <v>8200</v>
      </c>
      <c r="P201" s="30"/>
      <c r="Q201" s="31">
        <v>46296</v>
      </c>
      <c r="R201" s="32">
        <v>47026</v>
      </c>
      <c r="S201" s="20" t="s">
        <v>296</v>
      </c>
      <c r="T201" s="33" t="s">
        <v>1216</v>
      </c>
      <c r="U201" s="16">
        <v>46240</v>
      </c>
      <c r="V201" s="17" t="s">
        <v>1217</v>
      </c>
      <c r="W201" s="18"/>
      <c r="X201" s="19">
        <v>8200</v>
      </c>
      <c r="Y201" s="20" t="s">
        <v>56</v>
      </c>
      <c r="Z201" s="20" t="s">
        <v>300</v>
      </c>
      <c r="AA201" s="116"/>
      <c r="AB201" s="376">
        <v>46204</v>
      </c>
      <c r="AC201" s="27" t="s">
        <v>1214</v>
      </c>
      <c r="AD201" s="80"/>
      <c r="AE201" s="24"/>
      <c r="AG201" s="140"/>
    </row>
    <row r="202" spans="1:42" ht="27" customHeight="1">
      <c r="A202" s="15">
        <v>199</v>
      </c>
      <c r="B202" s="81">
        <v>46225</v>
      </c>
      <c r="C202" s="15" t="s">
        <v>38</v>
      </c>
      <c r="D202" s="15" t="s">
        <v>1218</v>
      </c>
      <c r="E202" s="26" t="s">
        <v>70</v>
      </c>
      <c r="F202" s="27" t="s">
        <v>41</v>
      </c>
      <c r="G202" s="15">
        <v>645600</v>
      </c>
      <c r="H202" s="81">
        <v>46226</v>
      </c>
      <c r="I202" s="15">
        <v>6314866</v>
      </c>
      <c r="J202" s="28" t="s">
        <v>1210</v>
      </c>
      <c r="K202" s="81">
        <v>46207</v>
      </c>
      <c r="L202" s="81">
        <v>46390</v>
      </c>
      <c r="M202" s="88" t="s">
        <v>1219</v>
      </c>
      <c r="N202" s="400">
        <v>126063</v>
      </c>
      <c r="O202" s="384">
        <f>P202*7.9</f>
        <v>16969.2</v>
      </c>
      <c r="P202" s="30">
        <v>2148</v>
      </c>
      <c r="Q202" s="31">
        <v>46207</v>
      </c>
      <c r="R202" s="32">
        <v>46390</v>
      </c>
      <c r="S202" s="20" t="s">
        <v>905</v>
      </c>
      <c r="T202" s="33" t="s">
        <v>1220</v>
      </c>
      <c r="U202" s="16">
        <v>46240</v>
      </c>
      <c r="V202" s="17" t="s">
        <v>1221</v>
      </c>
      <c r="W202" s="18"/>
      <c r="X202" s="19">
        <v>16843.330000000002</v>
      </c>
      <c r="Y202" s="20" t="s">
        <v>56</v>
      </c>
      <c r="Z202" s="20" t="s">
        <v>300</v>
      </c>
      <c r="AA202" s="116"/>
      <c r="AB202" s="376">
        <v>46204</v>
      </c>
      <c r="AC202" s="27" t="s">
        <v>1214</v>
      </c>
      <c r="AD202" s="80"/>
      <c r="AE202" s="24"/>
      <c r="AG202" s="140"/>
    </row>
    <row r="203" spans="1:42" ht="27" customHeight="1">
      <c r="A203" s="15">
        <v>200</v>
      </c>
      <c r="B203" s="81">
        <v>46225</v>
      </c>
      <c r="C203" s="15" t="s">
        <v>95</v>
      </c>
      <c r="D203" s="15" t="s">
        <v>1222</v>
      </c>
      <c r="E203" s="26" t="s">
        <v>97</v>
      </c>
      <c r="F203" s="27" t="s">
        <v>109</v>
      </c>
      <c r="G203" s="15">
        <v>645602</v>
      </c>
      <c r="H203" s="81">
        <v>46226</v>
      </c>
      <c r="I203" s="15">
        <v>6314616</v>
      </c>
      <c r="J203" s="28" t="s">
        <v>1223</v>
      </c>
      <c r="K203" s="81">
        <v>46196</v>
      </c>
      <c r="L203" s="81">
        <v>46560</v>
      </c>
      <c r="M203" s="88" t="s">
        <v>1224</v>
      </c>
      <c r="N203" s="400">
        <v>23400</v>
      </c>
      <c r="O203" s="384">
        <v>18000</v>
      </c>
      <c r="P203" s="30"/>
      <c r="Q203" s="31">
        <v>46196</v>
      </c>
      <c r="R203" s="32">
        <v>46560</v>
      </c>
      <c r="S203" s="20" t="s">
        <v>586</v>
      </c>
      <c r="T203" s="33" t="s">
        <v>1225</v>
      </c>
      <c r="U203" s="114">
        <v>46233</v>
      </c>
      <c r="V203" s="115" t="s">
        <v>1226</v>
      </c>
      <c r="W203" s="18"/>
      <c r="X203" s="19">
        <v>18000</v>
      </c>
      <c r="Y203" s="20" t="s">
        <v>237</v>
      </c>
      <c r="Z203" s="20" t="s">
        <v>106</v>
      </c>
      <c r="AA203" s="116"/>
      <c r="AB203" s="376">
        <v>46204</v>
      </c>
      <c r="AC203" s="27" t="s">
        <v>1227</v>
      </c>
      <c r="AD203" s="80" t="s">
        <v>213</v>
      </c>
      <c r="AE203" s="24"/>
      <c r="AG203" s="140"/>
    </row>
    <row r="204" spans="1:42" ht="27" customHeight="1">
      <c r="A204" s="15">
        <v>201</v>
      </c>
      <c r="B204" s="81">
        <v>46227</v>
      </c>
      <c r="C204" s="15" t="s">
        <v>38</v>
      </c>
      <c r="D204" s="15" t="s">
        <v>1228</v>
      </c>
      <c r="E204" s="26" t="s">
        <v>70</v>
      </c>
      <c r="F204" s="27" t="s">
        <v>41</v>
      </c>
      <c r="G204" s="15">
        <v>645600</v>
      </c>
      <c r="H204" s="81">
        <v>46230</v>
      </c>
      <c r="I204" s="15">
        <v>6315834</v>
      </c>
      <c r="J204" s="28" t="s">
        <v>1229</v>
      </c>
      <c r="K204" s="81">
        <v>46235</v>
      </c>
      <c r="L204" s="81">
        <v>46599</v>
      </c>
      <c r="M204" s="88" t="s">
        <v>1230</v>
      </c>
      <c r="N204" s="400">
        <v>135850</v>
      </c>
      <c r="O204" s="384">
        <f>P204*7.9</f>
        <v>76985.5</v>
      </c>
      <c r="P204" s="30">
        <v>9745</v>
      </c>
      <c r="Q204" s="31">
        <v>46235</v>
      </c>
      <c r="R204" s="32">
        <v>46599</v>
      </c>
      <c r="S204" s="20" t="s">
        <v>905</v>
      </c>
      <c r="T204" s="33" t="s">
        <v>1231</v>
      </c>
      <c r="U204" s="16">
        <v>46234</v>
      </c>
      <c r="V204" s="17" t="s">
        <v>1232</v>
      </c>
      <c r="W204" s="18"/>
      <c r="X204" s="19">
        <v>76414.44</v>
      </c>
      <c r="Y204" s="20" t="s">
        <v>56</v>
      </c>
      <c r="Z204" s="20" t="s">
        <v>300</v>
      </c>
      <c r="AA204" s="116"/>
      <c r="AB204" s="376">
        <v>46204</v>
      </c>
      <c r="AC204" s="27" t="s">
        <v>1233</v>
      </c>
      <c r="AD204" s="80"/>
      <c r="AE204" s="24"/>
      <c r="AG204" s="140"/>
    </row>
    <row r="205" spans="1:42" ht="27" customHeight="1">
      <c r="A205" s="15">
        <v>202</v>
      </c>
      <c r="B205" s="81">
        <v>46227</v>
      </c>
      <c r="C205" s="15" t="s">
        <v>38</v>
      </c>
      <c r="D205" s="15" t="s">
        <v>1234</v>
      </c>
      <c r="E205" s="26" t="s">
        <v>70</v>
      </c>
      <c r="F205" s="27" t="s">
        <v>41</v>
      </c>
      <c r="G205" s="15">
        <v>645600</v>
      </c>
      <c r="H205" s="81">
        <v>46230</v>
      </c>
      <c r="I205" s="15">
        <v>6315836</v>
      </c>
      <c r="J205" s="28" t="s">
        <v>1229</v>
      </c>
      <c r="K205" s="81">
        <v>46235</v>
      </c>
      <c r="L205" s="81">
        <v>46599</v>
      </c>
      <c r="M205" s="88" t="s">
        <v>1230</v>
      </c>
      <c r="N205" s="400">
        <v>135850</v>
      </c>
      <c r="O205" s="384">
        <v>16766</v>
      </c>
      <c r="P205" s="30"/>
      <c r="Q205" s="31">
        <v>46388</v>
      </c>
      <c r="R205" s="32">
        <v>46752</v>
      </c>
      <c r="S205" s="20" t="s">
        <v>180</v>
      </c>
      <c r="T205" s="33" t="s">
        <v>1235</v>
      </c>
      <c r="U205" s="16">
        <v>46241</v>
      </c>
      <c r="V205" s="17" t="s">
        <v>1236</v>
      </c>
      <c r="W205" s="18"/>
      <c r="X205" s="19">
        <v>16766</v>
      </c>
      <c r="Y205" s="20" t="s">
        <v>56</v>
      </c>
      <c r="Z205" s="20" t="s">
        <v>300</v>
      </c>
      <c r="AA205" s="116"/>
      <c r="AB205" s="376">
        <v>46204</v>
      </c>
      <c r="AC205" s="27" t="s">
        <v>1233</v>
      </c>
      <c r="AD205" s="80"/>
      <c r="AE205" s="24"/>
      <c r="AG205" s="140"/>
    </row>
    <row r="206" spans="1:42" ht="27" customHeight="1">
      <c r="A206" s="15">
        <v>203</v>
      </c>
      <c r="B206" s="81">
        <v>46231</v>
      </c>
      <c r="C206" s="15" t="s">
        <v>38</v>
      </c>
      <c r="D206" s="15" t="s">
        <v>1237</v>
      </c>
      <c r="E206" s="26" t="s">
        <v>40</v>
      </c>
      <c r="F206" s="27" t="s">
        <v>41</v>
      </c>
      <c r="G206" s="168">
        <v>645600</v>
      </c>
      <c r="H206" s="81">
        <v>46231</v>
      </c>
      <c r="I206" s="168">
        <v>6316347</v>
      </c>
      <c r="J206" s="28" t="s">
        <v>1238</v>
      </c>
      <c r="K206" s="81">
        <v>46174</v>
      </c>
      <c r="L206" s="81">
        <v>46904</v>
      </c>
      <c r="M206" s="88" t="s">
        <v>1239</v>
      </c>
      <c r="N206" s="400">
        <v>3200000</v>
      </c>
      <c r="O206" s="384">
        <v>445908.89</v>
      </c>
      <c r="P206" s="30"/>
      <c r="Q206" s="31">
        <v>46174</v>
      </c>
      <c r="R206" s="32">
        <v>46538</v>
      </c>
      <c r="S206" s="20" t="s">
        <v>784</v>
      </c>
      <c r="T206" s="33" t="s">
        <v>1240</v>
      </c>
      <c r="U206" s="16">
        <v>46234</v>
      </c>
      <c r="V206" s="17" t="s">
        <v>1241</v>
      </c>
      <c r="W206" s="18"/>
      <c r="X206" s="19">
        <v>445908.89</v>
      </c>
      <c r="Y206" s="20" t="s">
        <v>290</v>
      </c>
      <c r="Z206" s="176" t="s">
        <v>48</v>
      </c>
      <c r="AA206" s="279"/>
      <c r="AB206" s="379">
        <v>46204</v>
      </c>
      <c r="AC206" s="27" t="s">
        <v>1242</v>
      </c>
      <c r="AD206" s="80" t="s">
        <v>213</v>
      </c>
      <c r="AE206" s="24" t="s">
        <v>1243</v>
      </c>
      <c r="AG206" s="140"/>
    </row>
    <row r="207" spans="1:42" ht="27" customHeight="1">
      <c r="A207" s="15">
        <v>204</v>
      </c>
      <c r="B207" s="81">
        <v>46231</v>
      </c>
      <c r="C207" s="15" t="s">
        <v>95</v>
      </c>
      <c r="D207" s="15" t="s">
        <v>1244</v>
      </c>
      <c r="E207" s="26" t="s">
        <v>97</v>
      </c>
      <c r="F207" s="27" t="s">
        <v>109</v>
      </c>
      <c r="G207" s="15">
        <v>645602</v>
      </c>
      <c r="H207" s="81">
        <v>46231</v>
      </c>
      <c r="I207" s="15">
        <v>6316351</v>
      </c>
      <c r="J207" s="28" t="s">
        <v>1245</v>
      </c>
      <c r="K207" s="81">
        <v>46204</v>
      </c>
      <c r="L207" s="81">
        <v>46568</v>
      </c>
      <c r="M207" s="88" t="s">
        <v>1191</v>
      </c>
      <c r="N207" s="400">
        <v>490950</v>
      </c>
      <c r="O207" s="384">
        <v>258600</v>
      </c>
      <c r="P207" s="30"/>
      <c r="Q207" s="31">
        <v>46204</v>
      </c>
      <c r="R207" s="32">
        <v>46568</v>
      </c>
      <c r="S207" s="176" t="s">
        <v>500</v>
      </c>
      <c r="T207" s="33" t="s">
        <v>1246</v>
      </c>
      <c r="U207" s="89">
        <v>46258</v>
      </c>
      <c r="V207" s="90" t="s">
        <v>1247</v>
      </c>
      <c r="W207" s="18"/>
      <c r="X207" s="19">
        <v>258600</v>
      </c>
      <c r="Y207" s="20" t="s">
        <v>1194</v>
      </c>
      <c r="Z207" s="20" t="s">
        <v>106</v>
      </c>
      <c r="AA207" s="116"/>
      <c r="AB207" s="376">
        <v>46204</v>
      </c>
      <c r="AC207" s="27" t="s">
        <v>1248</v>
      </c>
      <c r="AD207" s="80"/>
      <c r="AE207" s="24"/>
      <c r="AG207" s="140"/>
    </row>
    <row r="208" spans="1:42" ht="27" customHeight="1">
      <c r="A208" s="15">
        <v>205</v>
      </c>
      <c r="B208" s="81">
        <v>46231</v>
      </c>
      <c r="C208" s="15" t="s">
        <v>95</v>
      </c>
      <c r="D208" s="15" t="s">
        <v>1249</v>
      </c>
      <c r="E208" s="26" t="s">
        <v>97</v>
      </c>
      <c r="F208" s="27" t="s">
        <v>109</v>
      </c>
      <c r="G208" s="15">
        <v>645602</v>
      </c>
      <c r="H208" s="81">
        <v>46231</v>
      </c>
      <c r="I208" s="15">
        <v>6316352</v>
      </c>
      <c r="J208" s="28" t="s">
        <v>1245</v>
      </c>
      <c r="K208" s="81">
        <v>46204</v>
      </c>
      <c r="L208" s="81">
        <v>46568</v>
      </c>
      <c r="M208" s="88" t="s">
        <v>1191</v>
      </c>
      <c r="N208" s="400">
        <v>490950</v>
      </c>
      <c r="O208" s="384">
        <v>80000</v>
      </c>
      <c r="P208" s="30"/>
      <c r="Q208" s="31">
        <v>46204</v>
      </c>
      <c r="R208" s="32">
        <v>46568</v>
      </c>
      <c r="S208" s="20" t="s">
        <v>586</v>
      </c>
      <c r="T208" s="33" t="s">
        <v>1250</v>
      </c>
      <c r="U208" s="114">
        <v>46239</v>
      </c>
      <c r="V208" s="115" t="s">
        <v>1251</v>
      </c>
      <c r="W208" s="18"/>
      <c r="X208" s="19">
        <v>80000</v>
      </c>
      <c r="Y208" s="20" t="s">
        <v>1194</v>
      </c>
      <c r="Z208" s="20" t="s">
        <v>106</v>
      </c>
      <c r="AA208" s="116"/>
      <c r="AB208" s="376">
        <v>46204</v>
      </c>
      <c r="AC208" s="27" t="s">
        <v>1252</v>
      </c>
      <c r="AD208" s="80"/>
      <c r="AE208" s="24"/>
      <c r="AG208" s="140"/>
    </row>
    <row r="209" spans="1:33" ht="66" customHeight="1">
      <c r="A209" s="15">
        <v>206</v>
      </c>
      <c r="B209" s="81">
        <v>46231</v>
      </c>
      <c r="C209" s="15" t="s">
        <v>38</v>
      </c>
      <c r="D209" s="15" t="s">
        <v>1253</v>
      </c>
      <c r="E209" s="26" t="s">
        <v>40</v>
      </c>
      <c r="F209" s="27" t="s">
        <v>41</v>
      </c>
      <c r="G209" s="27">
        <v>645600</v>
      </c>
      <c r="H209" s="81">
        <v>46231</v>
      </c>
      <c r="I209" s="27">
        <v>6316356</v>
      </c>
      <c r="J209" s="28" t="s">
        <v>1068</v>
      </c>
      <c r="K209" s="81">
        <v>46174</v>
      </c>
      <c r="L209" s="81">
        <v>11109</v>
      </c>
      <c r="M209" s="88" t="s">
        <v>1254</v>
      </c>
      <c r="N209" s="400">
        <v>9866507.7599999998</v>
      </c>
      <c r="O209" s="384">
        <f>P209*7.9</f>
        <v>553690.06500000006</v>
      </c>
      <c r="P209" s="30">
        <v>70087.350000000006</v>
      </c>
      <c r="Q209" s="31"/>
      <c r="R209" s="32">
        <v>11109</v>
      </c>
      <c r="S209" s="20" t="s">
        <v>1255</v>
      </c>
      <c r="T209" s="33" t="s">
        <v>1256</v>
      </c>
      <c r="U209" s="352" t="s">
        <v>1257</v>
      </c>
      <c r="V209" s="165" t="s">
        <v>1258</v>
      </c>
      <c r="W209" s="18"/>
      <c r="X209" s="19" t="s">
        <v>1259</v>
      </c>
      <c r="Y209" s="20" t="s">
        <v>259</v>
      </c>
      <c r="Z209" s="20" t="s">
        <v>48</v>
      </c>
      <c r="AA209" s="116"/>
      <c r="AB209" s="376">
        <v>46204</v>
      </c>
      <c r="AC209" s="27" t="s">
        <v>1072</v>
      </c>
      <c r="AD209" s="80" t="s">
        <v>213</v>
      </c>
      <c r="AE209" s="136" t="s">
        <v>1260</v>
      </c>
      <c r="AG209" s="140"/>
    </row>
    <row r="210" spans="1:33" ht="27" customHeight="1">
      <c r="A210" s="15">
        <v>207</v>
      </c>
      <c r="B210" s="81">
        <v>46231</v>
      </c>
      <c r="C210" s="15" t="s">
        <v>38</v>
      </c>
      <c r="D210" s="15" t="s">
        <v>1261</v>
      </c>
      <c r="E210" s="26" t="s">
        <v>40</v>
      </c>
      <c r="F210" s="27" t="s">
        <v>41</v>
      </c>
      <c r="G210" s="27">
        <v>645600</v>
      </c>
      <c r="H210" s="81">
        <v>46231</v>
      </c>
      <c r="I210" s="27">
        <v>6316359</v>
      </c>
      <c r="J210" s="28" t="s">
        <v>1262</v>
      </c>
      <c r="K210" s="81">
        <v>46293</v>
      </c>
      <c r="L210" s="81">
        <v>46657</v>
      </c>
      <c r="M210" s="88" t="s">
        <v>1263</v>
      </c>
      <c r="N210" s="400">
        <v>272628</v>
      </c>
      <c r="O210" s="384">
        <f>P210*7.9</f>
        <v>120310.68000000001</v>
      </c>
      <c r="P210" s="30">
        <v>15229.2</v>
      </c>
      <c r="Q210" s="31">
        <v>46296</v>
      </c>
      <c r="R210" s="32">
        <v>46660</v>
      </c>
      <c r="S210" s="20" t="s">
        <v>92</v>
      </c>
      <c r="T210" s="33" t="s">
        <v>1264</v>
      </c>
      <c r="U210" s="16">
        <v>46234</v>
      </c>
      <c r="V210" s="17" t="s">
        <v>1265</v>
      </c>
      <c r="W210" s="18"/>
      <c r="X210" s="19">
        <v>119418.25</v>
      </c>
      <c r="Y210" s="20" t="s">
        <v>66</v>
      </c>
      <c r="Z210" s="20" t="s">
        <v>48</v>
      </c>
      <c r="AA210" s="116"/>
      <c r="AB210" s="376">
        <v>46204</v>
      </c>
      <c r="AC210" s="27" t="s">
        <v>1266</v>
      </c>
      <c r="AD210" s="80"/>
      <c r="AE210" s="24"/>
      <c r="AG210" s="140"/>
    </row>
    <row r="211" spans="1:33" ht="27" customHeight="1">
      <c r="A211" s="15">
        <v>208</v>
      </c>
      <c r="B211" s="81">
        <v>46232</v>
      </c>
      <c r="C211" s="15" t="s">
        <v>38</v>
      </c>
      <c r="D211" s="15" t="s">
        <v>1267</v>
      </c>
      <c r="E211" s="26" t="s">
        <v>40</v>
      </c>
      <c r="F211" s="27" t="s">
        <v>41</v>
      </c>
      <c r="G211" s="27">
        <v>645600</v>
      </c>
      <c r="H211" s="81">
        <v>46232</v>
      </c>
      <c r="I211" s="27">
        <v>6316763</v>
      </c>
      <c r="J211" s="28" t="s">
        <v>266</v>
      </c>
      <c r="K211" s="81">
        <v>46023</v>
      </c>
      <c r="L211" s="81">
        <v>47118</v>
      </c>
      <c r="M211" s="88" t="s">
        <v>267</v>
      </c>
      <c r="N211" s="400">
        <v>5384841.9000000004</v>
      </c>
      <c r="O211" s="384">
        <f>P211*7.9</f>
        <v>379391.49599999998</v>
      </c>
      <c r="P211" s="30">
        <v>48024.24</v>
      </c>
      <c r="Q211" s="31">
        <v>46235</v>
      </c>
      <c r="R211" s="32">
        <v>46599</v>
      </c>
      <c r="S211" s="20" t="s">
        <v>92</v>
      </c>
      <c r="T211" s="33" t="s">
        <v>1268</v>
      </c>
      <c r="U211" s="16">
        <v>46234</v>
      </c>
      <c r="V211" s="17" t="s">
        <v>1269</v>
      </c>
      <c r="W211" s="18"/>
      <c r="X211" s="19">
        <v>376577.28000000003</v>
      </c>
      <c r="Y211" s="20" t="s">
        <v>105</v>
      </c>
      <c r="Z211" s="20" t="s">
        <v>48</v>
      </c>
      <c r="AA211" s="116"/>
      <c r="AB211" s="376">
        <v>46204</v>
      </c>
      <c r="AC211" s="27" t="s">
        <v>270</v>
      </c>
      <c r="AD211" s="80" t="s">
        <v>213</v>
      </c>
      <c r="AE211" s="24" t="s">
        <v>1243</v>
      </c>
      <c r="AG211" s="140"/>
    </row>
    <row r="212" spans="1:33" ht="27" customHeight="1">
      <c r="A212" s="15">
        <v>209</v>
      </c>
      <c r="B212" s="81">
        <v>46233</v>
      </c>
      <c r="C212" s="15" t="s">
        <v>38</v>
      </c>
      <c r="D212" s="15" t="s">
        <v>1270</v>
      </c>
      <c r="E212" s="26" t="s">
        <v>70</v>
      </c>
      <c r="F212" s="27" t="s">
        <v>277</v>
      </c>
      <c r="G212" s="15">
        <v>645600</v>
      </c>
      <c r="H212" s="81">
        <v>46234</v>
      </c>
      <c r="I212" s="27">
        <v>6317613</v>
      </c>
      <c r="J212" s="28" t="s">
        <v>1271</v>
      </c>
      <c r="K212" s="81">
        <v>46155</v>
      </c>
      <c r="L212" s="81">
        <v>46519</v>
      </c>
      <c r="M212" s="88" t="s">
        <v>1272</v>
      </c>
      <c r="N212" s="400">
        <v>236545</v>
      </c>
      <c r="O212" s="384">
        <v>5300</v>
      </c>
      <c r="P212" s="30"/>
      <c r="Q212" s="31">
        <v>46155</v>
      </c>
      <c r="R212" s="32">
        <v>46519</v>
      </c>
      <c r="S212" s="20" t="s">
        <v>607</v>
      </c>
      <c r="T212" s="33" t="s">
        <v>1273</v>
      </c>
      <c r="U212" s="16">
        <v>46244</v>
      </c>
      <c r="V212" s="17" t="s">
        <v>1274</v>
      </c>
      <c r="W212" s="18"/>
      <c r="X212" s="19">
        <v>5300</v>
      </c>
      <c r="Y212" s="20" t="s">
        <v>123</v>
      </c>
      <c r="Z212" s="20" t="s">
        <v>1275</v>
      </c>
      <c r="AA212" s="116"/>
      <c r="AB212" s="376">
        <v>46204</v>
      </c>
      <c r="AC212" s="27" t="s">
        <v>761</v>
      </c>
      <c r="AD212" s="80"/>
      <c r="AE212" s="24"/>
      <c r="AG212" s="140"/>
    </row>
    <row r="213" spans="1:33" ht="27" customHeight="1">
      <c r="A213" s="15">
        <v>210</v>
      </c>
      <c r="B213" s="81">
        <v>46233</v>
      </c>
      <c r="C213" s="15" t="s">
        <v>38</v>
      </c>
      <c r="D213" s="15" t="s">
        <v>1276</v>
      </c>
      <c r="E213" s="26" t="s">
        <v>70</v>
      </c>
      <c r="F213" s="27" t="s">
        <v>277</v>
      </c>
      <c r="G213" s="15">
        <v>645600</v>
      </c>
      <c r="H213" s="81">
        <v>46234</v>
      </c>
      <c r="I213" s="27">
        <v>6317614</v>
      </c>
      <c r="J213" s="28" t="s">
        <v>1271</v>
      </c>
      <c r="K213" s="81">
        <v>46155</v>
      </c>
      <c r="L213" s="81">
        <v>46519</v>
      </c>
      <c r="M213" s="88" t="s">
        <v>1272</v>
      </c>
      <c r="N213" s="400">
        <v>236545</v>
      </c>
      <c r="O213" s="384">
        <v>52035</v>
      </c>
      <c r="P213" s="30"/>
      <c r="Q213" s="31">
        <v>46155</v>
      </c>
      <c r="R213" s="32">
        <v>46519</v>
      </c>
      <c r="S213" s="20" t="s">
        <v>120</v>
      </c>
      <c r="T213" s="33" t="s">
        <v>1277</v>
      </c>
      <c r="U213" s="16">
        <v>46244</v>
      </c>
      <c r="V213" s="17" t="s">
        <v>1278</v>
      </c>
      <c r="W213" s="18"/>
      <c r="X213" s="19">
        <v>52035</v>
      </c>
      <c r="Y213" s="20" t="s">
        <v>123</v>
      </c>
      <c r="Z213" s="20" t="s">
        <v>1275</v>
      </c>
      <c r="AA213" s="116"/>
      <c r="AB213" s="376">
        <v>46204</v>
      </c>
      <c r="AC213" s="27" t="s">
        <v>761</v>
      </c>
      <c r="AD213" s="80"/>
      <c r="AE213" s="24"/>
      <c r="AG213" s="140"/>
    </row>
    <row r="214" spans="1:33" ht="27" customHeight="1">
      <c r="A214" s="15">
        <v>211</v>
      </c>
      <c r="B214" s="81">
        <v>46237</v>
      </c>
      <c r="C214" s="15" t="s">
        <v>38</v>
      </c>
      <c r="D214" s="15" t="s">
        <v>1279</v>
      </c>
      <c r="E214" s="26" t="s">
        <v>40</v>
      </c>
      <c r="F214" s="27" t="s">
        <v>41</v>
      </c>
      <c r="G214" s="15">
        <v>645600</v>
      </c>
      <c r="H214" s="81">
        <v>46237</v>
      </c>
      <c r="I214" s="27">
        <v>6318328</v>
      </c>
      <c r="J214" s="28" t="s">
        <v>1280</v>
      </c>
      <c r="K214" s="81">
        <v>46280</v>
      </c>
      <c r="L214" s="81">
        <v>46644</v>
      </c>
      <c r="M214" s="88" t="s">
        <v>1281</v>
      </c>
      <c r="N214" s="400">
        <v>29033</v>
      </c>
      <c r="O214" s="384">
        <v>2000</v>
      </c>
      <c r="P214" s="30"/>
      <c r="Q214" s="31">
        <v>46280</v>
      </c>
      <c r="R214" s="32">
        <v>46644</v>
      </c>
      <c r="S214" s="20" t="s">
        <v>1282</v>
      </c>
      <c r="T214" s="33" t="s">
        <v>1283</v>
      </c>
      <c r="U214" s="16">
        <v>46245</v>
      </c>
      <c r="V214" s="17" t="s">
        <v>1284</v>
      </c>
      <c r="W214" s="18"/>
      <c r="X214" s="19">
        <v>2000</v>
      </c>
      <c r="Y214" s="20" t="s">
        <v>245</v>
      </c>
      <c r="Z214" s="20" t="s">
        <v>48</v>
      </c>
      <c r="AA214" s="116"/>
      <c r="AB214" s="376">
        <v>46235</v>
      </c>
      <c r="AC214" s="27" t="s">
        <v>1285</v>
      </c>
      <c r="AD214" s="80"/>
      <c r="AE214" s="24"/>
      <c r="AG214" s="140"/>
    </row>
    <row r="215" spans="1:33" ht="27" customHeight="1">
      <c r="A215" s="15">
        <v>212</v>
      </c>
      <c r="B215" s="81">
        <v>46238</v>
      </c>
      <c r="C215" s="15" t="s">
        <v>95</v>
      </c>
      <c r="D215" s="15" t="s">
        <v>1286</v>
      </c>
      <c r="E215" s="26" t="s">
        <v>97</v>
      </c>
      <c r="F215" s="27" t="s">
        <v>109</v>
      </c>
      <c r="G215" s="15">
        <v>645602</v>
      </c>
      <c r="H215" s="81">
        <v>46239</v>
      </c>
      <c r="I215" s="15">
        <v>6318833</v>
      </c>
      <c r="J215" s="28" t="s">
        <v>1287</v>
      </c>
      <c r="K215" s="81">
        <v>46150</v>
      </c>
      <c r="L215" s="81">
        <v>11085</v>
      </c>
      <c r="M215" s="88" t="s">
        <v>1288</v>
      </c>
      <c r="N215" s="400">
        <v>423000</v>
      </c>
      <c r="O215" s="384">
        <v>237600</v>
      </c>
      <c r="P215" s="30"/>
      <c r="Q215" s="31">
        <v>46150</v>
      </c>
      <c r="R215" s="32">
        <v>11085</v>
      </c>
      <c r="S215" s="20" t="s">
        <v>1289</v>
      </c>
      <c r="T215" s="33" t="s">
        <v>1290</v>
      </c>
      <c r="U215" s="89">
        <v>46262</v>
      </c>
      <c r="V215" s="90" t="s">
        <v>1291</v>
      </c>
      <c r="W215" s="18"/>
      <c r="X215" s="19">
        <v>290600</v>
      </c>
      <c r="Y215" s="20" t="s">
        <v>1292</v>
      </c>
      <c r="Z215" s="21" t="s">
        <v>106</v>
      </c>
      <c r="AA215" s="22"/>
      <c r="AB215" s="376">
        <v>46235</v>
      </c>
      <c r="AC215" s="27" t="s">
        <v>1293</v>
      </c>
      <c r="AD215" s="80"/>
      <c r="AE215" s="24"/>
      <c r="AG215" s="140"/>
    </row>
    <row r="216" spans="1:33" ht="27" customHeight="1">
      <c r="A216" s="15">
        <v>213</v>
      </c>
      <c r="B216" s="81">
        <v>46238</v>
      </c>
      <c r="C216" s="15" t="s">
        <v>95</v>
      </c>
      <c r="D216" s="15" t="s">
        <v>1294</v>
      </c>
      <c r="E216" s="26" t="s">
        <v>97</v>
      </c>
      <c r="F216" s="27" t="s">
        <v>109</v>
      </c>
      <c r="G216" s="15">
        <v>645602</v>
      </c>
      <c r="H216" s="81">
        <v>46239</v>
      </c>
      <c r="I216" s="15">
        <v>6318836</v>
      </c>
      <c r="J216" s="28" t="s">
        <v>1287</v>
      </c>
      <c r="K216" s="81">
        <v>46150</v>
      </c>
      <c r="L216" s="81">
        <v>11085</v>
      </c>
      <c r="M216" s="88" t="s">
        <v>1288</v>
      </c>
      <c r="N216" s="400">
        <v>423000</v>
      </c>
      <c r="O216" s="384">
        <f>12000*4</f>
        <v>48000</v>
      </c>
      <c r="P216" s="30"/>
      <c r="Q216" s="31">
        <v>46150</v>
      </c>
      <c r="R216" s="32">
        <v>11085</v>
      </c>
      <c r="S216" s="20" t="s">
        <v>1289</v>
      </c>
      <c r="T216" s="33" t="s">
        <v>1295</v>
      </c>
      <c r="U216" s="89">
        <v>46262</v>
      </c>
      <c r="V216" s="90" t="s">
        <v>1296</v>
      </c>
      <c r="W216" s="18"/>
      <c r="X216" s="19">
        <v>48000</v>
      </c>
      <c r="Y216" s="20" t="s">
        <v>1292</v>
      </c>
      <c r="Z216" s="21" t="s">
        <v>106</v>
      </c>
      <c r="AA216" s="22"/>
      <c r="AB216" s="376">
        <v>46235</v>
      </c>
      <c r="AC216" s="27" t="s">
        <v>1293</v>
      </c>
      <c r="AD216" s="80"/>
      <c r="AE216" s="24"/>
      <c r="AG216" s="140"/>
    </row>
    <row r="217" spans="1:33" ht="27" customHeight="1">
      <c r="A217" s="15">
        <v>214</v>
      </c>
      <c r="B217" s="81">
        <v>46241</v>
      </c>
      <c r="C217" s="15" t="s">
        <v>38</v>
      </c>
      <c r="D217" s="15" t="s">
        <v>1297</v>
      </c>
      <c r="E217" s="26" t="s">
        <v>40</v>
      </c>
      <c r="F217" s="27" t="s">
        <v>41</v>
      </c>
      <c r="G217" s="15">
        <v>645600</v>
      </c>
      <c r="H217" s="81">
        <v>46241</v>
      </c>
      <c r="I217" s="27">
        <v>6319974</v>
      </c>
      <c r="J217" s="28" t="s">
        <v>380</v>
      </c>
      <c r="K217" s="81">
        <v>46221</v>
      </c>
      <c r="L217" s="81">
        <v>46585</v>
      </c>
      <c r="M217" s="88" t="s">
        <v>1298</v>
      </c>
      <c r="N217" s="400">
        <v>768030</v>
      </c>
      <c r="O217" s="384">
        <v>9500</v>
      </c>
      <c r="P217" s="30"/>
      <c r="Q217" s="31">
        <v>46221</v>
      </c>
      <c r="R217" s="32">
        <v>46585</v>
      </c>
      <c r="S217" s="20" t="s">
        <v>1299</v>
      </c>
      <c r="T217" s="33" t="s">
        <v>1300</v>
      </c>
      <c r="U217" s="16">
        <v>46245</v>
      </c>
      <c r="V217" s="17" t="s">
        <v>1301</v>
      </c>
      <c r="W217" s="18"/>
      <c r="X217" s="19">
        <v>9500</v>
      </c>
      <c r="Y217" s="20" t="s">
        <v>1302</v>
      </c>
      <c r="Z217" s="20" t="s">
        <v>48</v>
      </c>
      <c r="AA217" s="116"/>
      <c r="AB217" s="376">
        <v>46235</v>
      </c>
      <c r="AC217" s="27" t="s">
        <v>1303</v>
      </c>
      <c r="AD217" s="80" t="s">
        <v>213</v>
      </c>
      <c r="AE217" s="24" t="s">
        <v>1304</v>
      </c>
      <c r="AG217" s="140"/>
    </row>
    <row r="218" spans="1:33" ht="27" customHeight="1">
      <c r="A218" s="15">
        <v>215</v>
      </c>
      <c r="B218" s="81">
        <v>46244</v>
      </c>
      <c r="C218" s="15" t="s">
        <v>38</v>
      </c>
      <c r="D218" s="15" t="s">
        <v>1305</v>
      </c>
      <c r="E218" s="26" t="s">
        <v>40</v>
      </c>
      <c r="F218" s="27" t="s">
        <v>41</v>
      </c>
      <c r="G218" s="15">
        <v>645600</v>
      </c>
      <c r="H218" s="81">
        <v>46244</v>
      </c>
      <c r="I218" s="27">
        <v>6320698</v>
      </c>
      <c r="J218" s="28" t="s">
        <v>1068</v>
      </c>
      <c r="K218" s="81">
        <v>46174</v>
      </c>
      <c r="L218" s="81">
        <v>11109</v>
      </c>
      <c r="M218" s="88" t="s">
        <v>1254</v>
      </c>
      <c r="N218" s="400">
        <v>9866507.7599999998</v>
      </c>
      <c r="O218" s="384">
        <v>6500</v>
      </c>
      <c r="P218" s="30"/>
      <c r="Q218" s="31" t="s">
        <v>1046</v>
      </c>
      <c r="R218" s="32"/>
      <c r="S218" s="20" t="s">
        <v>1306</v>
      </c>
      <c r="T218" s="33" t="s">
        <v>1307</v>
      </c>
      <c r="U218" s="89">
        <v>46248</v>
      </c>
      <c r="V218" s="90" t="s">
        <v>1308</v>
      </c>
      <c r="W218" s="18"/>
      <c r="X218" s="19">
        <v>6500</v>
      </c>
      <c r="Y218" s="20" t="s">
        <v>259</v>
      </c>
      <c r="Z218" s="20" t="s">
        <v>48</v>
      </c>
      <c r="AA218" s="116"/>
      <c r="AB218" s="376">
        <v>46235</v>
      </c>
      <c r="AC218" s="27" t="s">
        <v>1072</v>
      </c>
      <c r="AD218" s="80" t="s">
        <v>213</v>
      </c>
      <c r="AE218" s="24" t="s">
        <v>1304</v>
      </c>
      <c r="AG218" s="140"/>
    </row>
    <row r="219" spans="1:33" ht="27" customHeight="1">
      <c r="A219" s="15">
        <v>216</v>
      </c>
      <c r="B219" s="81">
        <v>46245</v>
      </c>
      <c r="C219" s="15" t="s">
        <v>38</v>
      </c>
      <c r="D219" s="15" t="s">
        <v>1309</v>
      </c>
      <c r="E219" s="26" t="s">
        <v>40</v>
      </c>
      <c r="F219" s="27" t="s">
        <v>41</v>
      </c>
      <c r="G219" s="15">
        <v>645600</v>
      </c>
      <c r="H219" s="81">
        <v>46245</v>
      </c>
      <c r="I219" s="27">
        <v>6321025</v>
      </c>
      <c r="J219" s="28" t="s">
        <v>1310</v>
      </c>
      <c r="K219" s="81">
        <v>46247</v>
      </c>
      <c r="L219" s="81">
        <v>46611</v>
      </c>
      <c r="M219" s="88" t="s">
        <v>1311</v>
      </c>
      <c r="N219" s="400">
        <v>4678000</v>
      </c>
      <c r="O219" s="384">
        <f>P219*7.9</f>
        <v>3186811.02</v>
      </c>
      <c r="P219" s="30">
        <v>403393.8</v>
      </c>
      <c r="Q219" s="31">
        <v>46247</v>
      </c>
      <c r="R219" s="32">
        <v>46611</v>
      </c>
      <c r="S219" s="20" t="s">
        <v>1312</v>
      </c>
      <c r="T219" s="33" t="s">
        <v>1313</v>
      </c>
      <c r="U219" s="16">
        <v>46247</v>
      </c>
      <c r="V219" s="17" t="s">
        <v>1314</v>
      </c>
      <c r="W219" s="18"/>
      <c r="X219" s="19">
        <v>3163494.86</v>
      </c>
      <c r="Y219" s="20" t="s">
        <v>299</v>
      </c>
      <c r="Z219" s="20" t="s">
        <v>48</v>
      </c>
      <c r="AA219" s="116"/>
      <c r="AB219" s="376">
        <v>46235</v>
      </c>
      <c r="AC219" s="27" t="s">
        <v>1315</v>
      </c>
      <c r="AD219" s="80" t="s">
        <v>213</v>
      </c>
      <c r="AE219" s="24" t="s">
        <v>1316</v>
      </c>
      <c r="AG219" s="140"/>
    </row>
    <row r="220" spans="1:33" ht="27" customHeight="1">
      <c r="A220" s="15">
        <v>217</v>
      </c>
      <c r="B220" s="81">
        <v>46248</v>
      </c>
      <c r="C220" s="15" t="s">
        <v>95</v>
      </c>
      <c r="D220" s="15" t="s">
        <v>1317</v>
      </c>
      <c r="E220" s="26" t="s">
        <v>97</v>
      </c>
      <c r="F220" s="27" t="s">
        <v>109</v>
      </c>
      <c r="G220" s="27">
        <v>645602</v>
      </c>
      <c r="H220" s="81">
        <v>46248</v>
      </c>
      <c r="I220" s="27">
        <v>6322424</v>
      </c>
      <c r="J220" s="28" t="s">
        <v>1318</v>
      </c>
      <c r="K220" s="81">
        <v>46219</v>
      </c>
      <c r="L220" s="81">
        <v>46249</v>
      </c>
      <c r="M220" s="88" t="s">
        <v>1319</v>
      </c>
      <c r="N220" s="400">
        <v>7620</v>
      </c>
      <c r="O220" s="384">
        <v>6000</v>
      </c>
      <c r="P220" s="30"/>
      <c r="Q220" s="31" t="s">
        <v>1046</v>
      </c>
      <c r="R220" s="32"/>
      <c r="S220" s="20" t="s">
        <v>586</v>
      </c>
      <c r="T220" s="33" t="s">
        <v>1320</v>
      </c>
      <c r="U220" s="89"/>
      <c r="V220" s="90"/>
      <c r="W220" s="18"/>
      <c r="X220" s="19">
        <v>6000</v>
      </c>
      <c r="Y220" s="20" t="s">
        <v>634</v>
      </c>
      <c r="Z220" s="21" t="s">
        <v>1321</v>
      </c>
      <c r="AA220" s="22"/>
      <c r="AB220" s="23">
        <v>46260</v>
      </c>
      <c r="AC220" s="27" t="s">
        <v>1322</v>
      </c>
      <c r="AD220" s="80" t="s">
        <v>213</v>
      </c>
      <c r="AE220" s="24"/>
      <c r="AG220" s="140"/>
    </row>
    <row r="221" spans="1:33" ht="27" customHeight="1">
      <c r="A221" s="15">
        <v>218</v>
      </c>
      <c r="B221" s="81">
        <v>46248</v>
      </c>
      <c r="C221" s="15" t="s">
        <v>95</v>
      </c>
      <c r="D221" s="15" t="s">
        <v>1323</v>
      </c>
      <c r="E221" s="26" t="s">
        <v>97</v>
      </c>
      <c r="F221" s="27" t="s">
        <v>109</v>
      </c>
      <c r="G221" s="15">
        <v>645602</v>
      </c>
      <c r="H221" s="81">
        <v>46248</v>
      </c>
      <c r="I221" s="27">
        <v>6322442</v>
      </c>
      <c r="J221" s="28" t="s">
        <v>1318</v>
      </c>
      <c r="K221" s="81">
        <v>46060</v>
      </c>
      <c r="L221" s="81">
        <v>46030</v>
      </c>
      <c r="M221" s="88" t="s">
        <v>1324</v>
      </c>
      <c r="N221" s="400">
        <v>16190</v>
      </c>
      <c r="O221" s="384">
        <v>13500</v>
      </c>
      <c r="P221" s="30"/>
      <c r="Q221" s="31" t="s">
        <v>1046</v>
      </c>
      <c r="R221" s="32"/>
      <c r="S221" s="20" t="s">
        <v>1325</v>
      </c>
      <c r="T221" s="33" t="s">
        <v>1326</v>
      </c>
      <c r="U221" s="89"/>
      <c r="V221" s="90"/>
      <c r="W221" s="18"/>
      <c r="X221" s="19">
        <v>13500</v>
      </c>
      <c r="Y221" s="20" t="s">
        <v>634</v>
      </c>
      <c r="Z221" s="21" t="s">
        <v>1321</v>
      </c>
      <c r="AA221" s="22"/>
      <c r="AB221" s="23">
        <v>46260</v>
      </c>
      <c r="AC221" s="27" t="s">
        <v>1327</v>
      </c>
      <c r="AD221" s="80" t="s">
        <v>213</v>
      </c>
      <c r="AE221" s="24"/>
      <c r="AG221" s="140"/>
    </row>
    <row r="222" spans="1:33" ht="27" customHeight="1">
      <c r="A222" s="15">
        <v>219</v>
      </c>
      <c r="B222" s="81">
        <v>46248</v>
      </c>
      <c r="C222" s="15" t="s">
        <v>38</v>
      </c>
      <c r="D222" s="15" t="s">
        <v>1328</v>
      </c>
      <c r="E222" s="26" t="s">
        <v>70</v>
      </c>
      <c r="F222" s="27" t="s">
        <v>41</v>
      </c>
      <c r="G222" s="27">
        <v>645600</v>
      </c>
      <c r="H222" s="81">
        <v>46251</v>
      </c>
      <c r="I222" s="27">
        <v>6323150</v>
      </c>
      <c r="J222" s="28" t="s">
        <v>1329</v>
      </c>
      <c r="K222" s="81">
        <v>46269</v>
      </c>
      <c r="L222" s="81">
        <v>46633</v>
      </c>
      <c r="M222" s="88" t="s">
        <v>1330</v>
      </c>
      <c r="N222" s="400">
        <v>46944</v>
      </c>
      <c r="O222" s="384">
        <f>P222*7.9</f>
        <v>5746.1440000000002</v>
      </c>
      <c r="P222" s="30">
        <v>727.36</v>
      </c>
      <c r="Q222" s="31">
        <v>46235</v>
      </c>
      <c r="R222" s="32">
        <v>46630</v>
      </c>
      <c r="S222" s="20" t="s">
        <v>525</v>
      </c>
      <c r="T222" s="177" t="s">
        <v>1331</v>
      </c>
      <c r="U222" s="89">
        <v>46259</v>
      </c>
      <c r="V222" s="90" t="s">
        <v>1332</v>
      </c>
      <c r="W222" s="18"/>
      <c r="X222" s="19">
        <v>5704.1</v>
      </c>
      <c r="Y222" s="20" t="s">
        <v>123</v>
      </c>
      <c r="Z222" s="20" t="s">
        <v>920</v>
      </c>
      <c r="AA222" s="116"/>
      <c r="AB222" s="376">
        <v>46235</v>
      </c>
      <c r="AC222" s="27" t="s">
        <v>1333</v>
      </c>
      <c r="AD222" s="80"/>
      <c r="AE222" s="24"/>
      <c r="AG222" s="140"/>
    </row>
    <row r="223" spans="1:33" ht="27" customHeight="1">
      <c r="A223" s="15">
        <v>220</v>
      </c>
      <c r="B223" s="81">
        <v>46252</v>
      </c>
      <c r="C223" s="15" t="s">
        <v>38</v>
      </c>
      <c r="D223" s="15" t="s">
        <v>1334</v>
      </c>
      <c r="E223" s="26" t="s">
        <v>70</v>
      </c>
      <c r="F223" s="27" t="s">
        <v>41</v>
      </c>
      <c r="G223" s="27">
        <v>645600</v>
      </c>
      <c r="H223" s="81">
        <v>46254</v>
      </c>
      <c r="I223" s="27">
        <v>6324367</v>
      </c>
      <c r="J223" s="28" t="s">
        <v>1335</v>
      </c>
      <c r="K223" s="81">
        <v>46283</v>
      </c>
      <c r="L223" s="81">
        <v>46647</v>
      </c>
      <c r="M223" s="88" t="s">
        <v>1336</v>
      </c>
      <c r="N223" s="400">
        <v>125276</v>
      </c>
      <c r="O223" s="384">
        <v>18150</v>
      </c>
      <c r="P223" s="30"/>
      <c r="Q223" s="31">
        <v>46285</v>
      </c>
      <c r="R223" s="32">
        <v>46649</v>
      </c>
      <c r="S223" s="20" t="s">
        <v>120</v>
      </c>
      <c r="T223" s="177" t="s">
        <v>1337</v>
      </c>
      <c r="U223" s="89">
        <v>46265</v>
      </c>
      <c r="V223" s="90" t="s">
        <v>1338</v>
      </c>
      <c r="W223" s="18"/>
      <c r="X223" s="19">
        <v>18150</v>
      </c>
      <c r="Y223" s="20" t="s">
        <v>123</v>
      </c>
      <c r="Z223" s="20" t="s">
        <v>920</v>
      </c>
      <c r="AA223" s="116"/>
      <c r="AB223" s="376">
        <v>46235</v>
      </c>
      <c r="AC223" s="27" t="s">
        <v>1339</v>
      </c>
      <c r="AD223" s="80"/>
      <c r="AE223" s="24"/>
      <c r="AG223" s="140"/>
    </row>
    <row r="224" spans="1:33" ht="27" customHeight="1">
      <c r="A224" s="15">
        <v>221</v>
      </c>
      <c r="B224" s="81">
        <v>46252</v>
      </c>
      <c r="C224" s="15" t="s">
        <v>38</v>
      </c>
      <c r="D224" s="15" t="s">
        <v>1340</v>
      </c>
      <c r="E224" s="26" t="s">
        <v>70</v>
      </c>
      <c r="F224" s="27" t="s">
        <v>41</v>
      </c>
      <c r="G224" s="27">
        <v>645600</v>
      </c>
      <c r="H224" s="81">
        <v>46254</v>
      </c>
      <c r="I224" s="27">
        <v>6324368</v>
      </c>
      <c r="J224" s="28" t="s">
        <v>1335</v>
      </c>
      <c r="K224" s="81">
        <v>46283</v>
      </c>
      <c r="L224" s="81">
        <v>46647</v>
      </c>
      <c r="M224" s="88" t="s">
        <v>1336</v>
      </c>
      <c r="N224" s="400">
        <v>125276</v>
      </c>
      <c r="O224" s="384">
        <v>7504</v>
      </c>
      <c r="P224" s="30"/>
      <c r="Q224" s="31">
        <v>46285</v>
      </c>
      <c r="R224" s="32">
        <v>46649</v>
      </c>
      <c r="S224" s="20" t="s">
        <v>1341</v>
      </c>
      <c r="T224" s="177" t="s">
        <v>1342</v>
      </c>
      <c r="U224" s="89">
        <v>46262</v>
      </c>
      <c r="V224" s="90" t="s">
        <v>1343</v>
      </c>
      <c r="W224" s="18"/>
      <c r="X224" s="19">
        <v>7504</v>
      </c>
      <c r="Y224" s="20" t="s">
        <v>123</v>
      </c>
      <c r="Z224" s="20" t="s">
        <v>920</v>
      </c>
      <c r="AA224" s="116"/>
      <c r="AB224" s="376">
        <v>46235</v>
      </c>
      <c r="AC224" s="27" t="s">
        <v>1339</v>
      </c>
      <c r="AD224" s="80"/>
      <c r="AE224" s="24"/>
      <c r="AG224" s="140"/>
    </row>
    <row r="225" spans="1:33" ht="27" customHeight="1">
      <c r="A225" s="15">
        <v>222</v>
      </c>
      <c r="B225" s="81">
        <v>46252</v>
      </c>
      <c r="C225" s="15" t="s">
        <v>38</v>
      </c>
      <c r="D225" s="15" t="s">
        <v>1344</v>
      </c>
      <c r="E225" s="26" t="s">
        <v>70</v>
      </c>
      <c r="F225" s="27" t="s">
        <v>41</v>
      </c>
      <c r="G225" s="27">
        <v>645600</v>
      </c>
      <c r="H225" s="81">
        <v>46254</v>
      </c>
      <c r="I225" s="27">
        <v>6324369</v>
      </c>
      <c r="J225" s="28" t="s">
        <v>1335</v>
      </c>
      <c r="K225" s="81">
        <v>46283</v>
      </c>
      <c r="L225" s="81">
        <v>46647</v>
      </c>
      <c r="M225" s="88" t="s">
        <v>1336</v>
      </c>
      <c r="N225" s="400">
        <v>125276</v>
      </c>
      <c r="O225" s="384">
        <v>8300</v>
      </c>
      <c r="P225" s="30"/>
      <c r="Q225" s="31">
        <v>46283</v>
      </c>
      <c r="R225" s="32">
        <v>46647</v>
      </c>
      <c r="S225" s="20" t="s">
        <v>599</v>
      </c>
      <c r="T225" s="177" t="s">
        <v>1345</v>
      </c>
      <c r="U225" s="89">
        <v>46262</v>
      </c>
      <c r="V225" s="90" t="s">
        <v>1346</v>
      </c>
      <c r="W225" s="18"/>
      <c r="X225" s="19">
        <v>8300</v>
      </c>
      <c r="Y225" s="20" t="s">
        <v>123</v>
      </c>
      <c r="Z225" s="20" t="s">
        <v>920</v>
      </c>
      <c r="AA225" s="116"/>
      <c r="AB225" s="376">
        <v>46235</v>
      </c>
      <c r="AC225" s="27" t="s">
        <v>1339</v>
      </c>
      <c r="AD225" s="80"/>
      <c r="AE225" s="24"/>
      <c r="AG225" s="140"/>
    </row>
    <row r="226" spans="1:33" ht="27" customHeight="1">
      <c r="A226" s="15">
        <v>223</v>
      </c>
      <c r="B226" s="81">
        <v>46252</v>
      </c>
      <c r="C226" s="15" t="s">
        <v>38</v>
      </c>
      <c r="D226" s="15" t="s">
        <v>1347</v>
      </c>
      <c r="E226" s="26" t="s">
        <v>70</v>
      </c>
      <c r="F226" s="27" t="s">
        <v>41</v>
      </c>
      <c r="G226" s="27">
        <v>645600</v>
      </c>
      <c r="H226" s="81">
        <v>46254</v>
      </c>
      <c r="I226" s="27">
        <v>6324371</v>
      </c>
      <c r="J226" s="28" t="s">
        <v>1335</v>
      </c>
      <c r="K226" s="81">
        <v>46283</v>
      </c>
      <c r="L226" s="81">
        <v>46647</v>
      </c>
      <c r="M226" s="88" t="s">
        <v>1336</v>
      </c>
      <c r="N226" s="400">
        <v>125276</v>
      </c>
      <c r="O226" s="384">
        <v>4000</v>
      </c>
      <c r="P226" s="30"/>
      <c r="Q226" s="31">
        <v>46283</v>
      </c>
      <c r="R226" s="32">
        <v>46647</v>
      </c>
      <c r="S226" s="20" t="s">
        <v>599</v>
      </c>
      <c r="T226" s="177" t="s">
        <v>1348</v>
      </c>
      <c r="U226" s="89">
        <v>46262</v>
      </c>
      <c r="V226" s="90" t="s">
        <v>1349</v>
      </c>
      <c r="W226" s="18"/>
      <c r="X226" s="19">
        <v>4000</v>
      </c>
      <c r="Y226" s="20" t="s">
        <v>123</v>
      </c>
      <c r="Z226" s="20" t="s">
        <v>920</v>
      </c>
      <c r="AA226" s="116"/>
      <c r="AB226" s="376">
        <v>46235</v>
      </c>
      <c r="AC226" s="27" t="s">
        <v>1339</v>
      </c>
      <c r="AD226" s="80"/>
      <c r="AE226" s="24"/>
      <c r="AG226" s="140"/>
    </row>
    <row r="227" spans="1:33" ht="27" customHeight="1">
      <c r="A227" s="15">
        <v>224</v>
      </c>
      <c r="B227" s="81">
        <v>46255</v>
      </c>
      <c r="C227" s="15" t="s">
        <v>38</v>
      </c>
      <c r="D227" s="15" t="s">
        <v>1350</v>
      </c>
      <c r="E227" s="26" t="s">
        <v>40</v>
      </c>
      <c r="F227" s="27" t="s">
        <v>277</v>
      </c>
      <c r="G227" s="27">
        <v>645600</v>
      </c>
      <c r="H227" s="81">
        <v>46255</v>
      </c>
      <c r="I227" s="27">
        <v>6324905</v>
      </c>
      <c r="J227" s="28" t="s">
        <v>1351</v>
      </c>
      <c r="K227" s="81">
        <v>46204</v>
      </c>
      <c r="L227" s="81">
        <v>46568</v>
      </c>
      <c r="M227" s="88" t="s">
        <v>1352</v>
      </c>
      <c r="N227" s="400">
        <v>198650</v>
      </c>
      <c r="O227" s="384">
        <v>28000</v>
      </c>
      <c r="P227" s="30"/>
      <c r="Q227" s="31">
        <v>46204</v>
      </c>
      <c r="R227" s="32">
        <v>46568</v>
      </c>
      <c r="S227" s="20" t="s">
        <v>505</v>
      </c>
      <c r="T227" s="177" t="s">
        <v>1353</v>
      </c>
      <c r="U227" s="89">
        <v>46261</v>
      </c>
      <c r="V227" s="90" t="s">
        <v>1354</v>
      </c>
      <c r="W227" s="18"/>
      <c r="X227" s="19">
        <v>28000</v>
      </c>
      <c r="Y227" s="20" t="s">
        <v>541</v>
      </c>
      <c r="Z227" s="20" t="s">
        <v>48</v>
      </c>
      <c r="AA227" s="116"/>
      <c r="AB227" s="376">
        <v>46235</v>
      </c>
      <c r="AC227" s="27" t="s">
        <v>1355</v>
      </c>
      <c r="AD227" s="80" t="s">
        <v>213</v>
      </c>
      <c r="AE227" s="24" t="s">
        <v>1356</v>
      </c>
      <c r="AG227" s="140"/>
    </row>
    <row r="228" spans="1:33" ht="27" customHeight="1">
      <c r="A228" s="15">
        <v>225</v>
      </c>
      <c r="B228" s="81">
        <v>46258</v>
      </c>
      <c r="C228" s="15" t="s">
        <v>38</v>
      </c>
      <c r="D228" s="15" t="s">
        <v>1357</v>
      </c>
      <c r="E228" s="26" t="s">
        <v>70</v>
      </c>
      <c r="F228" s="27" t="s">
        <v>277</v>
      </c>
      <c r="G228" s="27">
        <v>645600</v>
      </c>
      <c r="H228" s="81">
        <v>46258</v>
      </c>
      <c r="I228" s="27">
        <v>6325501</v>
      </c>
      <c r="J228" s="28" t="s">
        <v>1358</v>
      </c>
      <c r="K228" s="81">
        <v>45889</v>
      </c>
      <c r="L228" s="81">
        <v>46253</v>
      </c>
      <c r="M228" s="28" t="s">
        <v>1359</v>
      </c>
      <c r="N228" s="400">
        <v>459200</v>
      </c>
      <c r="O228" s="29">
        <v>8850</v>
      </c>
      <c r="P228" s="30"/>
      <c r="Q228" s="31">
        <v>46254</v>
      </c>
      <c r="R228" s="32">
        <v>46618</v>
      </c>
      <c r="S228" s="20" t="s">
        <v>120</v>
      </c>
      <c r="T228" s="33" t="s">
        <v>1360</v>
      </c>
      <c r="U228" s="89">
        <v>46262</v>
      </c>
      <c r="V228" s="90" t="s">
        <v>1361</v>
      </c>
      <c r="W228" s="18"/>
      <c r="X228" s="19">
        <v>8850</v>
      </c>
      <c r="Y228" s="20" t="s">
        <v>1362</v>
      </c>
      <c r="Z228" s="20" t="s">
        <v>920</v>
      </c>
      <c r="AA228" s="116"/>
      <c r="AB228" s="376">
        <v>46235</v>
      </c>
      <c r="AC228" s="27" t="s">
        <v>1363</v>
      </c>
      <c r="AD228" s="80" t="s">
        <v>213</v>
      </c>
      <c r="AE228" s="24"/>
      <c r="AG228" s="140"/>
    </row>
    <row r="229" spans="1:33" ht="27" customHeight="1">
      <c r="A229" s="15">
        <v>226</v>
      </c>
      <c r="B229" s="81">
        <v>46258</v>
      </c>
      <c r="C229" s="15" t="s">
        <v>38</v>
      </c>
      <c r="D229" s="15" t="s">
        <v>1364</v>
      </c>
      <c r="E229" s="26" t="s">
        <v>70</v>
      </c>
      <c r="F229" s="27" t="s">
        <v>277</v>
      </c>
      <c r="G229" s="27">
        <v>645600</v>
      </c>
      <c r="H229" s="81">
        <v>46258</v>
      </c>
      <c r="I229" s="27">
        <v>6325502</v>
      </c>
      <c r="J229" s="28" t="s">
        <v>1358</v>
      </c>
      <c r="K229" s="81">
        <v>45889</v>
      </c>
      <c r="L229" s="81">
        <v>46253</v>
      </c>
      <c r="M229" s="28" t="s">
        <v>1359</v>
      </c>
      <c r="N229" s="400">
        <v>459200</v>
      </c>
      <c r="O229" s="29">
        <v>8190</v>
      </c>
      <c r="P229" s="30"/>
      <c r="Q229" s="31">
        <v>46254</v>
      </c>
      <c r="R229" s="32">
        <v>46618</v>
      </c>
      <c r="S229" s="20" t="s">
        <v>1299</v>
      </c>
      <c r="T229" s="33" t="s">
        <v>1365</v>
      </c>
      <c r="U229" s="89">
        <v>46262</v>
      </c>
      <c r="V229" s="90" t="s">
        <v>1366</v>
      </c>
      <c r="W229" s="18"/>
      <c r="X229" s="19">
        <v>8190</v>
      </c>
      <c r="Y229" s="20" t="s">
        <v>1362</v>
      </c>
      <c r="Z229" s="20" t="s">
        <v>920</v>
      </c>
      <c r="AA229" s="116"/>
      <c r="AB229" s="376">
        <v>46235</v>
      </c>
      <c r="AC229" s="27" t="s">
        <v>1363</v>
      </c>
      <c r="AD229" s="80" t="s">
        <v>213</v>
      </c>
      <c r="AE229" s="24"/>
      <c r="AG229" s="140"/>
    </row>
    <row r="230" spans="1:33" ht="27" customHeight="1">
      <c r="A230" s="15">
        <v>227</v>
      </c>
      <c r="B230" s="81">
        <v>46258</v>
      </c>
      <c r="C230" s="15" t="s">
        <v>38</v>
      </c>
      <c r="D230" s="15" t="s">
        <v>1367</v>
      </c>
      <c r="E230" s="26" t="s">
        <v>70</v>
      </c>
      <c r="F230" s="27" t="s">
        <v>41</v>
      </c>
      <c r="G230" s="27">
        <v>645600</v>
      </c>
      <c r="H230" s="81">
        <v>46258</v>
      </c>
      <c r="I230" s="27">
        <v>6325504</v>
      </c>
      <c r="J230" s="28" t="s">
        <v>1358</v>
      </c>
      <c r="K230" s="81">
        <v>45889</v>
      </c>
      <c r="L230" s="81">
        <v>46253</v>
      </c>
      <c r="M230" s="28" t="s">
        <v>1359</v>
      </c>
      <c r="N230" s="400">
        <v>459200</v>
      </c>
      <c r="O230" s="29">
        <f t="shared" ref="O230" si="1">P230*7.89</f>
        <v>27666.758399999999</v>
      </c>
      <c r="P230" s="30">
        <v>3506.56</v>
      </c>
      <c r="Q230" s="31">
        <v>46296</v>
      </c>
      <c r="R230" s="32">
        <v>46660</v>
      </c>
      <c r="S230" s="20" t="s">
        <v>473</v>
      </c>
      <c r="T230" s="33" t="s">
        <v>1368</v>
      </c>
      <c r="U230" s="89"/>
      <c r="V230" s="90"/>
      <c r="W230" s="18"/>
      <c r="X230" s="19">
        <v>27499.14</v>
      </c>
      <c r="Y230" s="20" t="s">
        <v>1362</v>
      </c>
      <c r="Z230" s="20" t="s">
        <v>920</v>
      </c>
      <c r="AA230" s="116"/>
      <c r="AB230" s="376">
        <v>46235</v>
      </c>
      <c r="AC230" s="27" t="s">
        <v>1363</v>
      </c>
      <c r="AD230" s="80" t="s">
        <v>213</v>
      </c>
      <c r="AE230" s="24"/>
      <c r="AG230" s="140"/>
    </row>
    <row r="231" spans="1:33" ht="27" customHeight="1">
      <c r="A231" s="15">
        <v>228</v>
      </c>
      <c r="B231" s="81">
        <v>46258</v>
      </c>
      <c r="C231" s="15" t="s">
        <v>95</v>
      </c>
      <c r="D231" s="15" t="s">
        <v>1369</v>
      </c>
      <c r="E231" s="26" t="s">
        <v>97</v>
      </c>
      <c r="F231" s="27" t="s">
        <v>98</v>
      </c>
      <c r="G231" s="27">
        <v>645602</v>
      </c>
      <c r="H231" s="81">
        <v>46258</v>
      </c>
      <c r="I231" s="15">
        <v>6325470</v>
      </c>
      <c r="J231" s="171" t="s">
        <v>1020</v>
      </c>
      <c r="K231" s="81">
        <v>45597</v>
      </c>
      <c r="L231" s="81">
        <v>46690</v>
      </c>
      <c r="M231" s="88" t="s">
        <v>885</v>
      </c>
      <c r="N231" s="400">
        <v>962640</v>
      </c>
      <c r="O231" s="384">
        <v>110080</v>
      </c>
      <c r="P231" s="30"/>
      <c r="Q231" s="31" t="s">
        <v>1370</v>
      </c>
      <c r="R231" s="32"/>
      <c r="S231" s="20" t="s">
        <v>500</v>
      </c>
      <c r="T231" s="33" t="s">
        <v>1371</v>
      </c>
      <c r="U231" s="89"/>
      <c r="V231" s="90"/>
      <c r="W231" s="18"/>
      <c r="X231" s="19">
        <v>110080</v>
      </c>
      <c r="Y231" s="20" t="s">
        <v>1362</v>
      </c>
      <c r="Z231" s="21" t="s">
        <v>1321</v>
      </c>
      <c r="AA231" s="22"/>
      <c r="AB231" s="23">
        <v>46260</v>
      </c>
      <c r="AC231" s="27" t="s">
        <v>888</v>
      </c>
      <c r="AD231" s="80" t="s">
        <v>213</v>
      </c>
      <c r="AE231" s="24"/>
      <c r="AG231" s="140"/>
    </row>
    <row r="232" spans="1:33" ht="27" customHeight="1">
      <c r="A232" s="15">
        <v>229</v>
      </c>
      <c r="B232" s="81">
        <v>46255</v>
      </c>
      <c r="C232" s="15" t="s">
        <v>95</v>
      </c>
      <c r="D232" s="15" t="s">
        <v>1372</v>
      </c>
      <c r="E232" s="26" t="s">
        <v>97</v>
      </c>
      <c r="F232" s="27" t="s">
        <v>98</v>
      </c>
      <c r="G232" s="27">
        <v>645602</v>
      </c>
      <c r="H232" s="81">
        <v>46259</v>
      </c>
      <c r="I232" s="27">
        <v>6325898</v>
      </c>
      <c r="J232" s="171" t="s">
        <v>1318</v>
      </c>
      <c r="K232" s="81" t="s">
        <v>1370</v>
      </c>
      <c r="L232" s="81"/>
      <c r="M232" s="88" t="s">
        <v>1373</v>
      </c>
      <c r="N232" s="400">
        <v>22860</v>
      </c>
      <c r="O232" s="384">
        <v>18000</v>
      </c>
      <c r="P232" s="30"/>
      <c r="Q232" s="31" t="s">
        <v>1370</v>
      </c>
      <c r="R232" s="32"/>
      <c r="S232" s="20" t="s">
        <v>586</v>
      </c>
      <c r="T232" s="33" t="s">
        <v>1374</v>
      </c>
      <c r="U232" s="89"/>
      <c r="V232" s="90"/>
      <c r="W232" s="18"/>
      <c r="X232" s="19">
        <v>18000</v>
      </c>
      <c r="Y232" s="20" t="s">
        <v>1375</v>
      </c>
      <c r="Z232" s="21" t="s">
        <v>1321</v>
      </c>
      <c r="AA232" s="22"/>
      <c r="AB232" s="23">
        <v>46260</v>
      </c>
      <c r="AC232" s="27" t="s">
        <v>1376</v>
      </c>
      <c r="AD232" s="80"/>
      <c r="AE232" s="24"/>
      <c r="AG232" s="140"/>
    </row>
    <row r="233" spans="1:33" ht="27" customHeight="1">
      <c r="A233" s="15">
        <v>230</v>
      </c>
      <c r="B233" s="81">
        <v>46259</v>
      </c>
      <c r="C233" s="15" t="s">
        <v>38</v>
      </c>
      <c r="D233" s="15" t="s">
        <v>1377</v>
      </c>
      <c r="E233" s="26" t="s">
        <v>70</v>
      </c>
      <c r="F233" s="27" t="s">
        <v>41</v>
      </c>
      <c r="G233" s="27">
        <v>645600</v>
      </c>
      <c r="H233" s="81">
        <v>46259</v>
      </c>
      <c r="I233" s="27">
        <v>6325957</v>
      </c>
      <c r="J233" s="28" t="s">
        <v>1378</v>
      </c>
      <c r="K233" s="81">
        <v>46264</v>
      </c>
      <c r="L233" s="81">
        <v>46628</v>
      </c>
      <c r="M233" s="28" t="s">
        <v>1379</v>
      </c>
      <c r="N233" s="400">
        <v>250128</v>
      </c>
      <c r="O233" s="29">
        <v>48500</v>
      </c>
      <c r="P233" s="30"/>
      <c r="Q233" s="31">
        <v>46235</v>
      </c>
      <c r="R233" s="32">
        <v>46599</v>
      </c>
      <c r="S233" s="20" t="s">
        <v>557</v>
      </c>
      <c r="T233" s="33" t="s">
        <v>1380</v>
      </c>
      <c r="U233" s="89">
        <v>46262</v>
      </c>
      <c r="V233" s="90" t="s">
        <v>1381</v>
      </c>
      <c r="W233" s="18"/>
      <c r="X233" s="19">
        <v>48500</v>
      </c>
      <c r="Y233" s="20" t="s">
        <v>47</v>
      </c>
      <c r="Z233" s="20" t="s">
        <v>1382</v>
      </c>
      <c r="AA233" s="116"/>
      <c r="AB233" s="376">
        <v>46235</v>
      </c>
      <c r="AC233" s="27" t="s">
        <v>1383</v>
      </c>
      <c r="AD233" s="80" t="s">
        <v>213</v>
      </c>
      <c r="AE233" s="24" t="s">
        <v>1384</v>
      </c>
      <c r="AG233" s="140"/>
    </row>
    <row r="234" spans="1:33" ht="27" customHeight="1">
      <c r="A234" s="15">
        <v>231</v>
      </c>
      <c r="B234" s="81">
        <v>46259</v>
      </c>
      <c r="C234" s="15" t="s">
        <v>38</v>
      </c>
      <c r="D234" s="15" t="s">
        <v>1385</v>
      </c>
      <c r="E234" s="26" t="s">
        <v>70</v>
      </c>
      <c r="F234" s="27" t="s">
        <v>41</v>
      </c>
      <c r="G234" s="27">
        <v>645600</v>
      </c>
      <c r="H234" s="81">
        <v>46259</v>
      </c>
      <c r="I234" s="27">
        <v>6325958</v>
      </c>
      <c r="J234" s="28" t="s">
        <v>1378</v>
      </c>
      <c r="K234" s="81">
        <v>46264</v>
      </c>
      <c r="L234" s="81">
        <v>46628</v>
      </c>
      <c r="M234" s="28" t="s">
        <v>1379</v>
      </c>
      <c r="N234" s="400">
        <v>250128</v>
      </c>
      <c r="O234" s="29">
        <v>100000</v>
      </c>
      <c r="P234" s="30"/>
      <c r="Q234" s="31">
        <v>46235</v>
      </c>
      <c r="R234" s="32">
        <v>46599</v>
      </c>
      <c r="S234" s="20" t="s">
        <v>557</v>
      </c>
      <c r="T234" s="33" t="s">
        <v>1386</v>
      </c>
      <c r="U234" s="89">
        <v>46262</v>
      </c>
      <c r="V234" s="90" t="s">
        <v>1387</v>
      </c>
      <c r="W234" s="18"/>
      <c r="X234" s="19">
        <v>100000</v>
      </c>
      <c r="Y234" s="20" t="s">
        <v>47</v>
      </c>
      <c r="Z234" s="20" t="s">
        <v>1382</v>
      </c>
      <c r="AA234" s="116"/>
      <c r="AB234" s="376">
        <v>46235</v>
      </c>
      <c r="AC234" s="27" t="s">
        <v>1383</v>
      </c>
      <c r="AD234" s="80" t="s">
        <v>213</v>
      </c>
      <c r="AE234" s="24" t="s">
        <v>1384</v>
      </c>
      <c r="AG234" s="140"/>
    </row>
    <row r="235" spans="1:33" ht="27" customHeight="1">
      <c r="A235" s="15">
        <v>232</v>
      </c>
      <c r="B235" s="81">
        <v>46259</v>
      </c>
      <c r="C235" s="15" t="s">
        <v>38</v>
      </c>
      <c r="D235" s="15" t="s">
        <v>1388</v>
      </c>
      <c r="E235" s="26" t="s">
        <v>40</v>
      </c>
      <c r="F235" s="27" t="s">
        <v>277</v>
      </c>
      <c r="G235" s="27">
        <v>645600</v>
      </c>
      <c r="H235" s="81">
        <v>46260</v>
      </c>
      <c r="I235" s="27">
        <v>6326312</v>
      </c>
      <c r="J235" s="28" t="s">
        <v>1389</v>
      </c>
      <c r="K235" s="81">
        <v>46249</v>
      </c>
      <c r="L235" s="81">
        <v>46613</v>
      </c>
      <c r="M235" s="28" t="s">
        <v>1390</v>
      </c>
      <c r="N235" s="400">
        <v>299384</v>
      </c>
      <c r="O235" s="29">
        <v>4000</v>
      </c>
      <c r="P235" s="30"/>
      <c r="Q235" s="31">
        <v>46249</v>
      </c>
      <c r="R235" s="32">
        <v>46613</v>
      </c>
      <c r="S235" s="20" t="s">
        <v>599</v>
      </c>
      <c r="T235" s="33" t="s">
        <v>1391</v>
      </c>
      <c r="U235" s="89">
        <v>46265</v>
      </c>
      <c r="V235" s="90" t="s">
        <v>1392</v>
      </c>
      <c r="W235" s="18"/>
      <c r="X235" s="19">
        <v>4000</v>
      </c>
      <c r="Y235" s="20" t="s">
        <v>1362</v>
      </c>
      <c r="Z235" s="20" t="s">
        <v>920</v>
      </c>
      <c r="AA235" s="116"/>
      <c r="AB235" s="376">
        <v>46235</v>
      </c>
      <c r="AC235" s="27" t="s">
        <v>1393</v>
      </c>
      <c r="AD235" s="80" t="s">
        <v>213</v>
      </c>
      <c r="AE235" s="24"/>
      <c r="AG235" s="140"/>
    </row>
    <row r="236" spans="1:33" ht="27" customHeight="1">
      <c r="A236" s="15">
        <v>233</v>
      </c>
      <c r="B236" s="81">
        <v>46259</v>
      </c>
      <c r="C236" s="15" t="s">
        <v>38</v>
      </c>
      <c r="D236" s="15" t="s">
        <v>1394</v>
      </c>
      <c r="E236" s="26" t="s">
        <v>40</v>
      </c>
      <c r="F236" s="27" t="s">
        <v>277</v>
      </c>
      <c r="G236" s="27">
        <v>645600</v>
      </c>
      <c r="H236" s="81">
        <v>46260</v>
      </c>
      <c r="I236" s="27">
        <v>6326319</v>
      </c>
      <c r="J236" s="28" t="s">
        <v>1389</v>
      </c>
      <c r="K236" s="81">
        <v>46249</v>
      </c>
      <c r="L236" s="81">
        <v>46613</v>
      </c>
      <c r="M236" s="28" t="s">
        <v>1390</v>
      </c>
      <c r="N236" s="400">
        <v>299384</v>
      </c>
      <c r="O236" s="29">
        <v>8300</v>
      </c>
      <c r="P236" s="30"/>
      <c r="Q236" s="31">
        <v>46249</v>
      </c>
      <c r="R236" s="32">
        <v>46613</v>
      </c>
      <c r="S236" s="20" t="s">
        <v>599</v>
      </c>
      <c r="T236" s="33" t="s">
        <v>1395</v>
      </c>
      <c r="U236" s="89">
        <v>46265</v>
      </c>
      <c r="V236" s="90" t="s">
        <v>1396</v>
      </c>
      <c r="W236" s="18"/>
      <c r="X236" s="19">
        <v>8300</v>
      </c>
      <c r="Y236" s="20" t="s">
        <v>1362</v>
      </c>
      <c r="Z236" s="20" t="s">
        <v>920</v>
      </c>
      <c r="AA236" s="116"/>
      <c r="AB236" s="376">
        <v>46235</v>
      </c>
      <c r="AC236" s="27" t="s">
        <v>1393</v>
      </c>
      <c r="AD236" s="80" t="s">
        <v>213</v>
      </c>
      <c r="AE236" s="24"/>
      <c r="AG236" s="140"/>
    </row>
    <row r="237" spans="1:33" ht="27" customHeight="1">
      <c r="A237" s="15">
        <v>234</v>
      </c>
      <c r="B237" s="81">
        <v>46259</v>
      </c>
      <c r="C237" s="15" t="s">
        <v>38</v>
      </c>
      <c r="D237" s="15" t="s">
        <v>1397</v>
      </c>
      <c r="E237" s="26" t="s">
        <v>40</v>
      </c>
      <c r="F237" s="27" t="s">
        <v>277</v>
      </c>
      <c r="G237" s="27">
        <v>645600</v>
      </c>
      <c r="H237" s="81">
        <v>46260</v>
      </c>
      <c r="I237" s="27">
        <v>6326320</v>
      </c>
      <c r="J237" s="28" t="s">
        <v>1389</v>
      </c>
      <c r="K237" s="81">
        <v>46249</v>
      </c>
      <c r="L237" s="81">
        <v>46613</v>
      </c>
      <c r="M237" s="28" t="s">
        <v>1390</v>
      </c>
      <c r="N237" s="400">
        <v>299384</v>
      </c>
      <c r="O237" s="29">
        <v>42656</v>
      </c>
      <c r="P237" s="30"/>
      <c r="Q237" s="31">
        <v>46250</v>
      </c>
      <c r="R237" s="32">
        <v>46614</v>
      </c>
      <c r="S237" s="20" t="s">
        <v>120</v>
      </c>
      <c r="T237" s="33" t="s">
        <v>1398</v>
      </c>
      <c r="U237" s="89">
        <v>46265</v>
      </c>
      <c r="V237" s="90" t="s">
        <v>1399</v>
      </c>
      <c r="W237" s="18"/>
      <c r="X237" s="19">
        <v>42656</v>
      </c>
      <c r="Y237" s="20" t="s">
        <v>1362</v>
      </c>
      <c r="Z237" s="20" t="s">
        <v>920</v>
      </c>
      <c r="AA237" s="116"/>
      <c r="AB237" s="376">
        <v>46235</v>
      </c>
      <c r="AC237" s="27" t="s">
        <v>1393</v>
      </c>
      <c r="AD237" s="80" t="s">
        <v>213</v>
      </c>
      <c r="AE237" s="24"/>
      <c r="AG237" s="140"/>
    </row>
    <row r="238" spans="1:33" ht="27" customHeight="1">
      <c r="A238" s="15">
        <v>235</v>
      </c>
      <c r="B238" s="81">
        <v>46254</v>
      </c>
      <c r="C238" s="15" t="s">
        <v>1400</v>
      </c>
      <c r="D238" s="15" t="s">
        <v>1401</v>
      </c>
      <c r="E238" s="26" t="s">
        <v>97</v>
      </c>
      <c r="F238" s="27" t="s">
        <v>109</v>
      </c>
      <c r="G238" s="27">
        <v>645602</v>
      </c>
      <c r="H238" s="81">
        <v>46261</v>
      </c>
      <c r="I238" s="27">
        <v>6326372</v>
      </c>
      <c r="J238" s="171" t="s">
        <v>1402</v>
      </c>
      <c r="K238" s="81" t="s">
        <v>1370</v>
      </c>
      <c r="L238" s="81"/>
      <c r="M238" s="88" t="s">
        <v>1403</v>
      </c>
      <c r="N238" s="400">
        <v>33400</v>
      </c>
      <c r="O238" s="384">
        <v>29000</v>
      </c>
      <c r="P238" s="30"/>
      <c r="Q238" s="31" t="s">
        <v>1370</v>
      </c>
      <c r="R238" s="32"/>
      <c r="S238" s="20" t="s">
        <v>586</v>
      </c>
      <c r="T238" s="33" t="s">
        <v>1404</v>
      </c>
      <c r="U238" s="89"/>
      <c r="V238" s="90"/>
      <c r="W238" s="18"/>
      <c r="X238" s="19">
        <v>29000</v>
      </c>
      <c r="Y238" s="20" t="s">
        <v>336</v>
      </c>
      <c r="Z238" s="21" t="s">
        <v>1321</v>
      </c>
      <c r="AA238" s="22"/>
      <c r="AB238" s="376">
        <v>46235</v>
      </c>
      <c r="AC238" s="27" t="s">
        <v>1405</v>
      </c>
      <c r="AD238" s="80"/>
      <c r="AE238" s="24"/>
      <c r="AG238" s="140"/>
    </row>
    <row r="239" spans="1:33" ht="27" customHeight="1">
      <c r="A239" s="15">
        <v>236</v>
      </c>
      <c r="B239" s="81">
        <v>46261</v>
      </c>
      <c r="C239" s="15" t="s">
        <v>95</v>
      </c>
      <c r="D239" s="15" t="s">
        <v>1406</v>
      </c>
      <c r="E239" s="26" t="s">
        <v>97</v>
      </c>
      <c r="F239" s="27" t="s">
        <v>98</v>
      </c>
      <c r="G239" s="27">
        <v>645602</v>
      </c>
      <c r="H239" s="81">
        <v>46261</v>
      </c>
      <c r="I239" s="27">
        <v>6326551</v>
      </c>
      <c r="J239" s="171" t="s">
        <v>1407</v>
      </c>
      <c r="K239" s="81">
        <v>46266</v>
      </c>
      <c r="L239" s="81">
        <v>46630</v>
      </c>
      <c r="M239" s="88" t="s">
        <v>1408</v>
      </c>
      <c r="N239" s="400">
        <v>5000</v>
      </c>
      <c r="O239" s="29">
        <v>2400</v>
      </c>
      <c r="P239" s="30"/>
      <c r="Q239" s="31">
        <v>46266</v>
      </c>
      <c r="R239" s="32">
        <v>46630</v>
      </c>
      <c r="S239" s="20" t="s">
        <v>573</v>
      </c>
      <c r="T239" s="33" t="s">
        <v>1409</v>
      </c>
      <c r="U239" s="89"/>
      <c r="V239" s="90"/>
      <c r="W239" s="18"/>
      <c r="X239" s="19">
        <v>2400</v>
      </c>
      <c r="Y239" s="20" t="s">
        <v>1410</v>
      </c>
      <c r="Z239" s="21" t="s">
        <v>1321</v>
      </c>
      <c r="AA239" s="22"/>
      <c r="AB239" s="376">
        <v>46235</v>
      </c>
      <c r="AC239" s="27" t="s">
        <v>1411</v>
      </c>
      <c r="AD239" s="80" t="s">
        <v>1412</v>
      </c>
      <c r="AE239" s="24"/>
      <c r="AG239" s="140"/>
    </row>
    <row r="240" spans="1:33" ht="27" customHeight="1">
      <c r="A240" s="15">
        <v>237</v>
      </c>
      <c r="B240" s="81">
        <v>46262</v>
      </c>
      <c r="C240" s="15" t="s">
        <v>38</v>
      </c>
      <c r="D240" s="15" t="s">
        <v>1413</v>
      </c>
      <c r="E240" s="26" t="s">
        <v>40</v>
      </c>
      <c r="F240" s="27" t="s">
        <v>41</v>
      </c>
      <c r="G240" s="27">
        <v>645600</v>
      </c>
      <c r="H240" s="81">
        <v>46265</v>
      </c>
      <c r="I240" s="27">
        <v>6327637</v>
      </c>
      <c r="J240" s="28" t="s">
        <v>1414</v>
      </c>
      <c r="K240" s="81">
        <v>46266</v>
      </c>
      <c r="L240" s="81">
        <v>46630</v>
      </c>
      <c r="M240" s="28" t="s">
        <v>1415</v>
      </c>
      <c r="N240" s="400">
        <v>40760</v>
      </c>
      <c r="O240" s="29">
        <v>2500</v>
      </c>
      <c r="P240" s="30"/>
      <c r="Q240" s="31">
        <v>46266</v>
      </c>
      <c r="R240" s="32">
        <v>46630</v>
      </c>
      <c r="S240" s="20" t="s">
        <v>666</v>
      </c>
      <c r="T240" s="33" t="s">
        <v>1416</v>
      </c>
      <c r="U240" s="89">
        <v>46268</v>
      </c>
      <c r="V240" s="90" t="s">
        <v>1417</v>
      </c>
      <c r="W240" s="18"/>
      <c r="X240" s="19">
        <v>2500</v>
      </c>
      <c r="Y240" s="20" t="s">
        <v>56</v>
      </c>
      <c r="Z240" s="20" t="s">
        <v>48</v>
      </c>
      <c r="AA240" s="116"/>
      <c r="AB240" s="376">
        <v>46235</v>
      </c>
      <c r="AC240" s="27" t="s">
        <v>1393</v>
      </c>
      <c r="AD240" s="80"/>
      <c r="AE240" s="24"/>
      <c r="AG240" s="140"/>
    </row>
    <row r="241" spans="1:33" ht="27" customHeight="1">
      <c r="A241" s="15">
        <v>238</v>
      </c>
      <c r="B241" s="81">
        <v>46265</v>
      </c>
      <c r="C241" s="15" t="s">
        <v>38</v>
      </c>
      <c r="D241" s="15" t="s">
        <v>1418</v>
      </c>
      <c r="E241" s="26" t="s">
        <v>70</v>
      </c>
      <c r="F241" s="27" t="s">
        <v>41</v>
      </c>
      <c r="G241" s="27">
        <v>645600</v>
      </c>
      <c r="H241" s="81">
        <v>46267</v>
      </c>
      <c r="I241" s="27">
        <v>6328156</v>
      </c>
      <c r="J241" s="28" t="s">
        <v>1419</v>
      </c>
      <c r="K241" s="81">
        <v>46113</v>
      </c>
      <c r="L241" s="81">
        <v>46621</v>
      </c>
      <c r="M241" s="28" t="s">
        <v>1420</v>
      </c>
      <c r="N241" s="400">
        <v>230448</v>
      </c>
      <c r="O241" s="29">
        <v>4884.3999999999996</v>
      </c>
      <c r="P241" s="30"/>
      <c r="Q241" s="31" t="s">
        <v>1034</v>
      </c>
      <c r="R241" s="32"/>
      <c r="S241" s="20" t="s">
        <v>1421</v>
      </c>
      <c r="T241" s="33" t="s">
        <v>1422</v>
      </c>
      <c r="U241" s="89"/>
      <c r="V241" s="90"/>
      <c r="W241" s="18"/>
      <c r="X241" s="19">
        <v>4884.3999999999996</v>
      </c>
      <c r="Y241" s="20" t="s">
        <v>1362</v>
      </c>
      <c r="Z241" s="20" t="s">
        <v>920</v>
      </c>
      <c r="AA241" s="116"/>
      <c r="AB241" s="376">
        <v>46266</v>
      </c>
      <c r="AC241" s="27" t="s">
        <v>1423</v>
      </c>
      <c r="AD241" s="80"/>
      <c r="AE241" s="24"/>
      <c r="AG241" s="140"/>
    </row>
    <row r="242" spans="1:33" ht="27" customHeight="1">
      <c r="A242" s="15">
        <v>239</v>
      </c>
      <c r="B242" s="81">
        <v>46265</v>
      </c>
      <c r="C242" s="15" t="s">
        <v>95</v>
      </c>
      <c r="D242" s="15" t="s">
        <v>1424</v>
      </c>
      <c r="E242" s="26" t="s">
        <v>97</v>
      </c>
      <c r="F242" s="27" t="s">
        <v>98</v>
      </c>
      <c r="G242" s="27">
        <v>645602</v>
      </c>
      <c r="H242" s="81">
        <v>46266</v>
      </c>
      <c r="I242" s="27">
        <v>6328025</v>
      </c>
      <c r="J242" s="171" t="s">
        <v>1425</v>
      </c>
      <c r="K242" s="81">
        <v>46082</v>
      </c>
      <c r="L242" s="81">
        <v>46446</v>
      </c>
      <c r="M242" s="88" t="s">
        <v>1426</v>
      </c>
      <c r="N242" s="400">
        <v>3534000</v>
      </c>
      <c r="O242" s="29">
        <v>3153900</v>
      </c>
      <c r="P242" s="30"/>
      <c r="Q242" s="31">
        <v>46082</v>
      </c>
      <c r="R242" s="32">
        <v>47542</v>
      </c>
      <c r="S242" s="20" t="s">
        <v>586</v>
      </c>
      <c r="T242" s="33" t="s">
        <v>1427</v>
      </c>
      <c r="U242" s="89"/>
      <c r="V242" s="90"/>
      <c r="W242" s="18"/>
      <c r="X242" s="19">
        <v>3153900</v>
      </c>
      <c r="Y242" s="20" t="s">
        <v>1428</v>
      </c>
      <c r="Z242" s="21" t="s">
        <v>1321</v>
      </c>
      <c r="AA242" s="22"/>
      <c r="AB242" s="376">
        <v>46266</v>
      </c>
      <c r="AC242" s="27" t="s">
        <v>1429</v>
      </c>
      <c r="AD242" s="80" t="s">
        <v>213</v>
      </c>
      <c r="AE242" s="24"/>
      <c r="AG242" s="140"/>
    </row>
    <row r="243" spans="1:33" ht="27" customHeight="1">
      <c r="A243" s="15">
        <v>240</v>
      </c>
      <c r="B243" s="81">
        <v>46265</v>
      </c>
      <c r="C243" s="15" t="s">
        <v>95</v>
      </c>
      <c r="D243" s="15" t="s">
        <v>1430</v>
      </c>
      <c r="E243" s="26" t="s">
        <v>97</v>
      </c>
      <c r="F243" s="27" t="s">
        <v>98</v>
      </c>
      <c r="G243" s="27">
        <v>645602</v>
      </c>
      <c r="H243" s="81">
        <v>46266</v>
      </c>
      <c r="I243" s="27">
        <v>6328026</v>
      </c>
      <c r="J243" s="171" t="s">
        <v>1425</v>
      </c>
      <c r="K243" s="81">
        <v>46082</v>
      </c>
      <c r="L243" s="81">
        <v>46446</v>
      </c>
      <c r="M243" s="88" t="s">
        <v>1426</v>
      </c>
      <c r="N243" s="400">
        <v>3534000</v>
      </c>
      <c r="O243" s="29">
        <v>180000</v>
      </c>
      <c r="P243" s="30"/>
      <c r="Q243" s="31">
        <v>46082</v>
      </c>
      <c r="R243" s="32">
        <v>47542</v>
      </c>
      <c r="S243" s="20" t="s">
        <v>1431</v>
      </c>
      <c r="T243" s="33" t="s">
        <v>1432</v>
      </c>
      <c r="U243" s="89"/>
      <c r="V243" s="90"/>
      <c r="W243" s="18"/>
      <c r="X243" s="19">
        <v>180000</v>
      </c>
      <c r="Y243" s="20" t="s">
        <v>1428</v>
      </c>
      <c r="Z243" s="21" t="s">
        <v>1321</v>
      </c>
      <c r="AA243" s="22"/>
      <c r="AB243" s="376">
        <v>46266</v>
      </c>
      <c r="AC243" s="27" t="s">
        <v>1433</v>
      </c>
      <c r="AD243" s="80" t="s">
        <v>1412</v>
      </c>
      <c r="AE243" s="24"/>
      <c r="AG243" s="140"/>
    </row>
    <row r="244" spans="1:33" ht="27" customHeight="1">
      <c r="A244" s="15">
        <v>241</v>
      </c>
      <c r="B244" s="81">
        <v>46267</v>
      </c>
      <c r="C244" s="15" t="s">
        <v>38</v>
      </c>
      <c r="D244" s="15" t="s">
        <v>1434</v>
      </c>
      <c r="E244" s="26" t="s">
        <v>70</v>
      </c>
      <c r="F244" s="27" t="s">
        <v>41</v>
      </c>
      <c r="G244" s="27">
        <v>645600</v>
      </c>
      <c r="H244" s="81">
        <v>46267</v>
      </c>
      <c r="I244" s="27">
        <v>6328357</v>
      </c>
      <c r="J244" s="28" t="s">
        <v>1435</v>
      </c>
      <c r="K244" s="81">
        <v>46271</v>
      </c>
      <c r="L244" s="81">
        <v>46635</v>
      </c>
      <c r="M244" s="28" t="s">
        <v>1436</v>
      </c>
      <c r="N244" s="400">
        <v>855516</v>
      </c>
      <c r="O244" s="29">
        <v>240781</v>
      </c>
      <c r="P244" s="30"/>
      <c r="Q244" s="31">
        <v>46361</v>
      </c>
      <c r="R244" s="32">
        <v>46725</v>
      </c>
      <c r="S244" s="20" t="s">
        <v>1437</v>
      </c>
      <c r="T244" s="33" t="s">
        <v>1438</v>
      </c>
      <c r="U244" s="89"/>
      <c r="V244" s="90"/>
      <c r="W244" s="18"/>
      <c r="X244" s="19">
        <v>240781</v>
      </c>
      <c r="Y244" s="20" t="s">
        <v>1362</v>
      </c>
      <c r="Z244" s="20" t="s">
        <v>920</v>
      </c>
      <c r="AA244" s="116"/>
      <c r="AB244" s="376">
        <v>46266</v>
      </c>
      <c r="AC244" s="27" t="s">
        <v>1439</v>
      </c>
      <c r="AD244" s="80"/>
      <c r="AE244" s="24"/>
      <c r="AG244" s="140"/>
    </row>
    <row r="245" spans="1:33" ht="27" customHeight="1">
      <c r="A245" s="15">
        <v>242</v>
      </c>
      <c r="B245" s="81">
        <v>46267</v>
      </c>
      <c r="C245" s="15" t="s">
        <v>38</v>
      </c>
      <c r="D245" s="15" t="s">
        <v>1440</v>
      </c>
      <c r="E245" s="26" t="s">
        <v>70</v>
      </c>
      <c r="F245" s="27" t="s">
        <v>41</v>
      </c>
      <c r="G245" s="27">
        <v>645600</v>
      </c>
      <c r="H245" s="81">
        <v>46267</v>
      </c>
      <c r="I245" s="27">
        <v>6328358</v>
      </c>
      <c r="J245" s="28" t="s">
        <v>1435</v>
      </c>
      <c r="K245" s="81">
        <v>46271</v>
      </c>
      <c r="L245" s="81">
        <v>46635</v>
      </c>
      <c r="M245" s="28" t="s">
        <v>1436</v>
      </c>
      <c r="N245" s="400">
        <v>855516</v>
      </c>
      <c r="O245" s="29">
        <v>86000</v>
      </c>
      <c r="P245" s="30"/>
      <c r="Q245" s="31">
        <v>46271</v>
      </c>
      <c r="R245" s="32">
        <v>46635</v>
      </c>
      <c r="S245" s="20" t="s">
        <v>1437</v>
      </c>
      <c r="T245" s="33" t="s">
        <v>1441</v>
      </c>
      <c r="U245" s="89"/>
      <c r="V245" s="90"/>
      <c r="W245" s="18"/>
      <c r="X245" s="19">
        <v>86000</v>
      </c>
      <c r="Y245" s="20" t="s">
        <v>1362</v>
      </c>
      <c r="Z245" s="20" t="s">
        <v>920</v>
      </c>
      <c r="AA245" s="116"/>
      <c r="AB245" s="376">
        <v>46266</v>
      </c>
      <c r="AC245" s="27" t="s">
        <v>1439</v>
      </c>
      <c r="AD245" s="80"/>
      <c r="AE245" s="24"/>
      <c r="AG245" s="140"/>
    </row>
    <row r="246" spans="1:33" s="34" customFormat="1" ht="27" customHeight="1">
      <c r="A246" s="15">
        <v>243</v>
      </c>
      <c r="B246" s="81">
        <v>46267</v>
      </c>
      <c r="C246" s="15" t="s">
        <v>38</v>
      </c>
      <c r="D246" s="15" t="s">
        <v>1442</v>
      </c>
      <c r="E246" s="26" t="s">
        <v>70</v>
      </c>
      <c r="F246" s="27" t="s">
        <v>41</v>
      </c>
      <c r="G246" s="27">
        <v>645600</v>
      </c>
      <c r="H246" s="81">
        <v>46267</v>
      </c>
      <c r="I246" s="27">
        <v>6328360</v>
      </c>
      <c r="J246" s="28" t="s">
        <v>1435</v>
      </c>
      <c r="K246" s="81">
        <v>46271</v>
      </c>
      <c r="L246" s="81">
        <v>46635</v>
      </c>
      <c r="M246" s="28" t="s">
        <v>1436</v>
      </c>
      <c r="N246" s="400">
        <v>855516</v>
      </c>
      <c r="O246" s="29">
        <v>43798</v>
      </c>
      <c r="P246" s="30"/>
      <c r="Q246" s="31">
        <v>46271</v>
      </c>
      <c r="R246" s="32">
        <v>46635</v>
      </c>
      <c r="S246" s="20" t="s">
        <v>399</v>
      </c>
      <c r="T246" s="33" t="s">
        <v>1443</v>
      </c>
      <c r="U246" s="89"/>
      <c r="V246" s="90"/>
      <c r="W246" s="18"/>
      <c r="X246" s="19">
        <v>43798</v>
      </c>
      <c r="Y246" s="20" t="s">
        <v>1362</v>
      </c>
      <c r="Z246" s="20" t="s">
        <v>920</v>
      </c>
      <c r="AA246" s="116"/>
      <c r="AB246" s="376">
        <v>46266</v>
      </c>
      <c r="AC246" s="27" t="s">
        <v>1439</v>
      </c>
      <c r="AD246" s="80"/>
      <c r="AE246" s="24"/>
      <c r="AF246" s="80"/>
      <c r="AG246" s="140"/>
    </row>
    <row r="247" spans="1:33" s="34" customFormat="1" ht="27" customHeight="1">
      <c r="A247" s="15">
        <v>244</v>
      </c>
      <c r="B247" s="81">
        <v>46267</v>
      </c>
      <c r="C247" s="15" t="s">
        <v>38</v>
      </c>
      <c r="D247" s="15" t="s">
        <v>1444</v>
      </c>
      <c r="E247" s="26" t="s">
        <v>70</v>
      </c>
      <c r="F247" s="27" t="s">
        <v>41</v>
      </c>
      <c r="G247" s="27">
        <v>645600</v>
      </c>
      <c r="H247" s="81">
        <v>46267</v>
      </c>
      <c r="I247" s="27">
        <v>6328361</v>
      </c>
      <c r="J247" s="28" t="s">
        <v>1435</v>
      </c>
      <c r="K247" s="81">
        <v>46271</v>
      </c>
      <c r="L247" s="81">
        <v>46635</v>
      </c>
      <c r="M247" s="28" t="s">
        <v>1436</v>
      </c>
      <c r="N247" s="400">
        <v>855516</v>
      </c>
      <c r="O247" s="384">
        <f>P247*7.9</f>
        <v>98345.83600000001</v>
      </c>
      <c r="P247" s="30">
        <v>12448.84</v>
      </c>
      <c r="Q247" s="31">
        <v>46296</v>
      </c>
      <c r="R247" s="32">
        <v>46660</v>
      </c>
      <c r="S247" s="20" t="s">
        <v>473</v>
      </c>
      <c r="T247" s="33" t="s">
        <v>1445</v>
      </c>
      <c r="U247" s="89"/>
      <c r="V247" s="90"/>
      <c r="W247" s="18"/>
      <c r="X247" s="19">
        <v>97576.5</v>
      </c>
      <c r="Y247" s="20" t="s">
        <v>1362</v>
      </c>
      <c r="Z247" s="20" t="s">
        <v>920</v>
      </c>
      <c r="AA247" s="116"/>
      <c r="AB247" s="376">
        <v>46266</v>
      </c>
      <c r="AC247" s="27" t="s">
        <v>1439</v>
      </c>
      <c r="AD247" s="80"/>
      <c r="AE247" s="24"/>
      <c r="AF247" s="80"/>
      <c r="AG247" s="140"/>
    </row>
    <row r="248" spans="1:33" s="34" customFormat="1" ht="27" customHeight="1">
      <c r="A248" s="15">
        <v>245</v>
      </c>
      <c r="B248" s="81">
        <v>46267</v>
      </c>
      <c r="C248" s="15" t="s">
        <v>38</v>
      </c>
      <c r="D248" s="15" t="s">
        <v>1446</v>
      </c>
      <c r="E248" s="26" t="s">
        <v>70</v>
      </c>
      <c r="F248" s="27" t="s">
        <v>41</v>
      </c>
      <c r="G248" s="27">
        <v>645600</v>
      </c>
      <c r="H248" s="81">
        <v>46267</v>
      </c>
      <c r="I248" s="27">
        <v>6328363</v>
      </c>
      <c r="J248" s="28" t="s">
        <v>1447</v>
      </c>
      <c r="K248" s="81">
        <v>46360</v>
      </c>
      <c r="L248" s="81">
        <v>46724</v>
      </c>
      <c r="M248" s="28" t="s">
        <v>1448</v>
      </c>
      <c r="N248" s="400">
        <v>162126</v>
      </c>
      <c r="O248" s="384">
        <f>P248*7.9</f>
        <v>10665</v>
      </c>
      <c r="P248" s="30">
        <v>1350</v>
      </c>
      <c r="Q248" s="31">
        <v>46360</v>
      </c>
      <c r="R248" s="32">
        <v>46724</v>
      </c>
      <c r="S248" s="20" t="s">
        <v>905</v>
      </c>
      <c r="T248" s="33" t="s">
        <v>1449</v>
      </c>
      <c r="U248" s="89"/>
      <c r="V248" s="90"/>
      <c r="W248" s="18"/>
      <c r="X248" s="19">
        <v>10581.57</v>
      </c>
      <c r="Y248" s="20" t="s">
        <v>47</v>
      </c>
      <c r="Z248" s="20" t="s">
        <v>920</v>
      </c>
      <c r="AA248" s="116"/>
      <c r="AB248" s="376">
        <v>46266</v>
      </c>
      <c r="AC248" s="27" t="s">
        <v>1450</v>
      </c>
      <c r="AD248" s="80"/>
      <c r="AE248" s="24"/>
      <c r="AF248" s="80"/>
      <c r="AG248" s="140"/>
    </row>
    <row r="249" spans="1:33" s="34" customFormat="1" ht="27" customHeight="1">
      <c r="A249" s="15">
        <v>246</v>
      </c>
      <c r="B249" s="81">
        <v>46266</v>
      </c>
      <c r="C249" s="15" t="s">
        <v>95</v>
      </c>
      <c r="D249" s="15" t="s">
        <v>1451</v>
      </c>
      <c r="E249" s="26" t="s">
        <v>97</v>
      </c>
      <c r="F249" s="27" t="s">
        <v>98</v>
      </c>
      <c r="G249" s="27">
        <v>645602</v>
      </c>
      <c r="H249" s="81">
        <v>46266</v>
      </c>
      <c r="I249" s="27">
        <v>6328724</v>
      </c>
      <c r="J249" s="171" t="s">
        <v>1452</v>
      </c>
      <c r="K249" s="81">
        <v>45992</v>
      </c>
      <c r="L249" s="81">
        <v>48182</v>
      </c>
      <c r="M249" s="88" t="s">
        <v>1453</v>
      </c>
      <c r="N249" s="400">
        <v>26532000</v>
      </c>
      <c r="O249" s="29">
        <v>263280</v>
      </c>
      <c r="P249" s="30"/>
      <c r="Q249" s="31">
        <v>45992</v>
      </c>
      <c r="R249" s="32">
        <v>46356</v>
      </c>
      <c r="S249" s="20" t="s">
        <v>586</v>
      </c>
      <c r="T249" s="33" t="s">
        <v>1454</v>
      </c>
      <c r="U249" s="89"/>
      <c r="V249" s="90"/>
      <c r="W249" s="18"/>
      <c r="X249" s="19">
        <v>263280</v>
      </c>
      <c r="Y249" s="20" t="s">
        <v>634</v>
      </c>
      <c r="Z249" s="21" t="s">
        <v>1321</v>
      </c>
      <c r="AA249" s="22"/>
      <c r="AB249" s="376">
        <v>46266</v>
      </c>
      <c r="AC249" s="27" t="s">
        <v>1455</v>
      </c>
      <c r="AD249" s="80" t="s">
        <v>1412</v>
      </c>
      <c r="AE249" s="24"/>
      <c r="AF249" s="80"/>
      <c r="AG249" s="140"/>
    </row>
    <row r="250" spans="1:33" s="34" customFormat="1" ht="27" customHeight="1">
      <c r="A250" s="15">
        <v>247</v>
      </c>
      <c r="B250" s="81">
        <v>46266</v>
      </c>
      <c r="C250" s="15" t="s">
        <v>95</v>
      </c>
      <c r="D250" s="15" t="s">
        <v>1456</v>
      </c>
      <c r="E250" s="26" t="s">
        <v>97</v>
      </c>
      <c r="F250" s="27" t="s">
        <v>98</v>
      </c>
      <c r="G250" s="27">
        <v>645602</v>
      </c>
      <c r="H250" s="81">
        <v>46266</v>
      </c>
      <c r="I250" s="27">
        <v>6328731</v>
      </c>
      <c r="J250" s="171" t="s">
        <v>1452</v>
      </c>
      <c r="K250" s="81">
        <v>45992</v>
      </c>
      <c r="L250" s="81">
        <v>48182</v>
      </c>
      <c r="M250" s="88" t="s">
        <v>1453</v>
      </c>
      <c r="N250" s="400">
        <v>26532000</v>
      </c>
      <c r="O250" s="29">
        <v>309610</v>
      </c>
      <c r="P250" s="30"/>
      <c r="Q250" s="31">
        <v>46357</v>
      </c>
      <c r="R250" s="32">
        <v>46721</v>
      </c>
      <c r="S250" s="20" t="s">
        <v>586</v>
      </c>
      <c r="T250" s="33" t="s">
        <v>1457</v>
      </c>
      <c r="U250" s="89"/>
      <c r="V250" s="90"/>
      <c r="W250" s="18"/>
      <c r="X250" s="19">
        <v>309610</v>
      </c>
      <c r="Y250" s="20" t="s">
        <v>634</v>
      </c>
      <c r="Z250" s="21" t="s">
        <v>1321</v>
      </c>
      <c r="AA250" s="22"/>
      <c r="AB250" s="376">
        <v>46266</v>
      </c>
      <c r="AC250" s="27" t="s">
        <v>1455</v>
      </c>
      <c r="AD250" s="80" t="s">
        <v>1412</v>
      </c>
      <c r="AE250" s="24"/>
      <c r="AF250" s="80"/>
      <c r="AG250" s="140"/>
    </row>
    <row r="251" spans="1:33" s="34" customFormat="1" ht="27" customHeight="1">
      <c r="A251" s="15">
        <v>248</v>
      </c>
      <c r="B251" s="81">
        <v>46267</v>
      </c>
      <c r="C251" s="15" t="s">
        <v>95</v>
      </c>
      <c r="D251" s="15" t="s">
        <v>1458</v>
      </c>
      <c r="E251" s="26" t="s">
        <v>97</v>
      </c>
      <c r="F251" s="27" t="s">
        <v>109</v>
      </c>
      <c r="G251" s="27">
        <v>645602</v>
      </c>
      <c r="H251" s="81">
        <v>46268</v>
      </c>
      <c r="I251" s="27">
        <v>6328798</v>
      </c>
      <c r="J251" s="171" t="s">
        <v>1459</v>
      </c>
      <c r="K251" s="81">
        <v>46296</v>
      </c>
      <c r="L251" s="81">
        <v>46660</v>
      </c>
      <c r="M251" s="88" t="s">
        <v>1460</v>
      </c>
      <c r="N251" s="400">
        <v>10604</v>
      </c>
      <c r="O251" s="29">
        <v>10540</v>
      </c>
      <c r="P251" s="30"/>
      <c r="Q251" s="31">
        <v>46296</v>
      </c>
      <c r="R251" s="32">
        <v>46660</v>
      </c>
      <c r="S251" s="20" t="s">
        <v>492</v>
      </c>
      <c r="T251" s="33" t="s">
        <v>1461</v>
      </c>
      <c r="U251" s="89"/>
      <c r="V251" s="90"/>
      <c r="W251" s="18"/>
      <c r="X251" s="19">
        <v>10540</v>
      </c>
      <c r="Y251" s="20" t="s">
        <v>1462</v>
      </c>
      <c r="Z251" s="21" t="s">
        <v>1321</v>
      </c>
      <c r="AA251" s="22"/>
      <c r="AB251" s="376">
        <v>46266</v>
      </c>
      <c r="AC251" s="27" t="s">
        <v>1463</v>
      </c>
      <c r="AD251" s="80" t="s">
        <v>1412</v>
      </c>
      <c r="AE251" s="24"/>
      <c r="AF251" s="80"/>
      <c r="AG251" s="140"/>
    </row>
    <row r="252" spans="1:33" s="34" customFormat="1" ht="27" customHeight="1">
      <c r="A252" s="15">
        <v>249</v>
      </c>
      <c r="B252" s="81">
        <v>46272</v>
      </c>
      <c r="C252" s="15" t="s">
        <v>38</v>
      </c>
      <c r="D252" s="15" t="s">
        <v>1464</v>
      </c>
      <c r="E252" s="26" t="s">
        <v>70</v>
      </c>
      <c r="F252" s="27" t="s">
        <v>41</v>
      </c>
      <c r="G252" s="27">
        <v>645600</v>
      </c>
      <c r="H252" s="81">
        <v>46272</v>
      </c>
      <c r="I252" s="27">
        <v>6329852</v>
      </c>
      <c r="J252" s="28" t="s">
        <v>1465</v>
      </c>
      <c r="K252" s="81">
        <v>46266</v>
      </c>
      <c r="L252" s="81">
        <v>46996</v>
      </c>
      <c r="M252" s="28" t="s">
        <v>1466</v>
      </c>
      <c r="N252" s="400">
        <v>131700</v>
      </c>
      <c r="O252" s="384">
        <v>27334</v>
      </c>
      <c r="P252" s="30"/>
      <c r="Q252" s="31">
        <v>46266</v>
      </c>
      <c r="R252" s="32">
        <v>46843</v>
      </c>
      <c r="S252" s="20" t="s">
        <v>180</v>
      </c>
      <c r="T252" s="33" t="s">
        <v>1467</v>
      </c>
      <c r="U252" s="89"/>
      <c r="V252" s="90"/>
      <c r="W252" s="18"/>
      <c r="X252" s="19">
        <v>27334</v>
      </c>
      <c r="Y252" s="20" t="s">
        <v>56</v>
      </c>
      <c r="Z252" s="20" t="s">
        <v>1382</v>
      </c>
      <c r="AA252" s="116"/>
      <c r="AB252" s="376">
        <v>46266</v>
      </c>
      <c r="AC252" s="27" t="s">
        <v>1468</v>
      </c>
      <c r="AD252" s="80"/>
      <c r="AE252" s="24" t="s">
        <v>1469</v>
      </c>
      <c r="AF252" s="80"/>
      <c r="AG252" s="140"/>
    </row>
    <row r="253" spans="1:33" s="34" customFormat="1" ht="51">
      <c r="A253" s="15">
        <v>250</v>
      </c>
      <c r="B253" s="81">
        <v>46269</v>
      </c>
      <c r="C253" s="15" t="s">
        <v>38</v>
      </c>
      <c r="D253" s="15" t="s">
        <v>1470</v>
      </c>
      <c r="E253" s="26" t="s">
        <v>70</v>
      </c>
      <c r="F253" s="27" t="s">
        <v>41</v>
      </c>
      <c r="G253" s="27">
        <v>645600</v>
      </c>
      <c r="H253" s="81">
        <v>46273</v>
      </c>
      <c r="I253" s="27">
        <v>6330003</v>
      </c>
      <c r="J253" s="28" t="s">
        <v>1471</v>
      </c>
      <c r="K253" s="81" t="s">
        <v>1046</v>
      </c>
      <c r="L253" s="81"/>
      <c r="M253" s="28" t="s">
        <v>1472</v>
      </c>
      <c r="N253" s="400">
        <v>30397</v>
      </c>
      <c r="O253" s="384">
        <f>2370+2470+2310+4410</f>
        <v>11560</v>
      </c>
      <c r="P253" s="30"/>
      <c r="Q253" s="31" t="s">
        <v>1473</v>
      </c>
      <c r="R253" s="32"/>
      <c r="S253" s="20" t="s">
        <v>505</v>
      </c>
      <c r="T253" s="33" t="s">
        <v>1474</v>
      </c>
      <c r="U253" s="89"/>
      <c r="V253" s="90"/>
      <c r="W253" s="18"/>
      <c r="X253" s="19">
        <v>27334</v>
      </c>
      <c r="Y253" s="20" t="s">
        <v>336</v>
      </c>
      <c r="Z253" s="20" t="s">
        <v>920</v>
      </c>
      <c r="AA253" s="116"/>
      <c r="AB253" s="376">
        <v>46266</v>
      </c>
      <c r="AC253" s="27" t="s">
        <v>1475</v>
      </c>
      <c r="AD253" s="80"/>
      <c r="AE253" s="24"/>
      <c r="AF253" s="80"/>
      <c r="AG253" s="140"/>
    </row>
    <row r="254" spans="1:33" s="34" customFormat="1" ht="27" customHeight="1">
      <c r="A254" s="15">
        <v>251</v>
      </c>
      <c r="B254" s="81">
        <v>46269</v>
      </c>
      <c r="C254" s="15" t="s">
        <v>38</v>
      </c>
      <c r="D254" s="15" t="s">
        <v>1476</v>
      </c>
      <c r="E254" s="26" t="s">
        <v>40</v>
      </c>
      <c r="F254" s="27" t="s">
        <v>41</v>
      </c>
      <c r="G254" s="27">
        <v>645600</v>
      </c>
      <c r="H254" s="81">
        <v>46273</v>
      </c>
      <c r="I254" s="27">
        <v>6330252</v>
      </c>
      <c r="J254" s="28" t="s">
        <v>1477</v>
      </c>
      <c r="K254" s="81">
        <v>46339</v>
      </c>
      <c r="L254" s="81">
        <v>47434</v>
      </c>
      <c r="M254" s="28" t="s">
        <v>1478</v>
      </c>
      <c r="N254" s="400">
        <v>105000</v>
      </c>
      <c r="O254" s="384">
        <f>P254*7.9</f>
        <v>26287.092000000001</v>
      </c>
      <c r="P254" s="30">
        <v>3327.48</v>
      </c>
      <c r="Q254" s="31">
        <v>46357</v>
      </c>
      <c r="R254" s="32">
        <v>47452</v>
      </c>
      <c r="S254" s="20" t="s">
        <v>394</v>
      </c>
      <c r="T254" s="33" t="s">
        <v>1479</v>
      </c>
      <c r="U254" s="89"/>
      <c r="V254" s="90"/>
      <c r="W254" s="18"/>
      <c r="X254" s="19">
        <v>26081.45</v>
      </c>
      <c r="Y254" s="20" t="s">
        <v>259</v>
      </c>
      <c r="Z254" s="20" t="s">
        <v>48</v>
      </c>
      <c r="AA254" s="116"/>
      <c r="AB254" s="376">
        <v>46266</v>
      </c>
      <c r="AC254" s="27" t="s">
        <v>1480</v>
      </c>
      <c r="AD254" s="80"/>
      <c r="AE254" s="24"/>
      <c r="AF254" s="80"/>
      <c r="AG254" s="140"/>
    </row>
    <row r="255" spans="1:33" s="34" customFormat="1" ht="27" customHeight="1">
      <c r="A255" s="15"/>
      <c r="B255" s="81"/>
      <c r="C255" s="15"/>
      <c r="D255" s="15"/>
      <c r="E255" s="26"/>
      <c r="F255" s="27"/>
      <c r="G255" s="27"/>
      <c r="H255" s="81"/>
      <c r="I255" s="27"/>
      <c r="J255" s="28"/>
      <c r="K255" s="81"/>
      <c r="L255" s="81"/>
      <c r="M255" s="88"/>
      <c r="N255" s="88"/>
      <c r="O255" s="29"/>
      <c r="P255" s="30"/>
      <c r="Q255" s="31"/>
      <c r="R255" s="32"/>
      <c r="S255" s="20"/>
      <c r="T255" s="33"/>
      <c r="U255" s="89"/>
      <c r="V255" s="90"/>
      <c r="W255" s="18"/>
      <c r="X255" s="19"/>
      <c r="Y255" s="20"/>
      <c r="Z255" s="21"/>
      <c r="AA255" s="22"/>
      <c r="AB255" s="23"/>
      <c r="AC255" s="27"/>
      <c r="AD255" s="80"/>
      <c r="AE255" s="24"/>
      <c r="AF255" s="80"/>
      <c r="AG255" s="140"/>
    </row>
    <row r="256" spans="1:33" s="34" customFormat="1" ht="27" customHeight="1">
      <c r="A256" s="15"/>
      <c r="B256" s="81"/>
      <c r="C256" s="15"/>
      <c r="D256" s="15"/>
      <c r="E256" s="26"/>
      <c r="F256" s="27"/>
      <c r="G256" s="27"/>
      <c r="H256" s="81"/>
      <c r="I256" s="27"/>
      <c r="J256" s="28"/>
      <c r="K256" s="81"/>
      <c r="L256" s="81"/>
      <c r="M256" s="88"/>
      <c r="N256" s="88"/>
      <c r="O256" s="29"/>
      <c r="P256" s="30"/>
      <c r="Q256" s="31"/>
      <c r="R256" s="32"/>
      <c r="S256" s="20"/>
      <c r="T256" s="33"/>
      <c r="U256" s="89"/>
      <c r="V256" s="90"/>
      <c r="W256" s="18"/>
      <c r="X256" s="19"/>
      <c r="Y256" s="20"/>
      <c r="Z256" s="21"/>
      <c r="AA256" s="22"/>
      <c r="AB256" s="23"/>
      <c r="AC256" s="27"/>
      <c r="AD256" s="80"/>
      <c r="AE256" s="24"/>
      <c r="AF256" s="80"/>
      <c r="AG256" s="140"/>
    </row>
    <row r="257" spans="1:33" s="34" customFormat="1" ht="27" customHeight="1">
      <c r="A257" s="15"/>
      <c r="B257" s="81"/>
      <c r="C257" s="15"/>
      <c r="D257" s="15"/>
      <c r="E257" s="26"/>
      <c r="F257" s="27"/>
      <c r="G257" s="27"/>
      <c r="H257" s="81"/>
      <c r="I257" s="27"/>
      <c r="J257" s="28"/>
      <c r="K257" s="81"/>
      <c r="L257" s="81"/>
      <c r="M257" s="88"/>
      <c r="N257" s="88"/>
      <c r="O257" s="29"/>
      <c r="P257" s="30"/>
      <c r="Q257" s="31"/>
      <c r="R257" s="32"/>
      <c r="S257" s="20"/>
      <c r="T257" s="33"/>
      <c r="U257" s="89"/>
      <c r="V257" s="90"/>
      <c r="W257" s="18"/>
      <c r="X257" s="19"/>
      <c r="Y257" s="20"/>
      <c r="Z257" s="21"/>
      <c r="AA257" s="22"/>
      <c r="AB257" s="23"/>
      <c r="AC257" s="27"/>
      <c r="AD257" s="80"/>
      <c r="AE257" s="24"/>
      <c r="AF257" s="80"/>
      <c r="AG257" s="140"/>
    </row>
    <row r="258" spans="1:33" s="34" customFormat="1" ht="27" customHeight="1">
      <c r="A258" s="15"/>
      <c r="B258" s="81"/>
      <c r="C258" s="15"/>
      <c r="D258" s="15"/>
      <c r="E258" s="26"/>
      <c r="F258" s="27"/>
      <c r="G258" s="27"/>
      <c r="H258" s="81"/>
      <c r="I258" s="27"/>
      <c r="J258" s="28"/>
      <c r="K258" s="81"/>
      <c r="L258" s="81"/>
      <c r="M258" s="88"/>
      <c r="N258" s="88"/>
      <c r="O258" s="29"/>
      <c r="P258" s="30"/>
      <c r="Q258" s="31"/>
      <c r="R258" s="32"/>
      <c r="S258" s="20"/>
      <c r="T258" s="33"/>
      <c r="U258" s="89"/>
      <c r="V258" s="90"/>
      <c r="W258" s="18"/>
      <c r="X258" s="19"/>
      <c r="Y258" s="20"/>
      <c r="Z258" s="21"/>
      <c r="AA258" s="22"/>
      <c r="AB258" s="23"/>
      <c r="AC258" s="27"/>
      <c r="AD258" s="80"/>
      <c r="AE258" s="24"/>
      <c r="AF258" s="80"/>
      <c r="AG258" s="140"/>
    </row>
    <row r="259" spans="1:33" s="34" customFormat="1" ht="27" customHeight="1">
      <c r="A259" s="15"/>
      <c r="B259" s="81"/>
      <c r="C259" s="15"/>
      <c r="D259" s="15"/>
      <c r="E259" s="26"/>
      <c r="F259" s="27"/>
      <c r="G259" s="27"/>
      <c r="H259" s="81"/>
      <c r="I259" s="27"/>
      <c r="J259" s="28"/>
      <c r="K259" s="81"/>
      <c r="L259" s="81"/>
      <c r="M259" s="88"/>
      <c r="N259" s="88"/>
      <c r="O259" s="29"/>
      <c r="P259" s="30"/>
      <c r="Q259" s="31"/>
      <c r="R259" s="32"/>
      <c r="S259" s="20"/>
      <c r="T259" s="33"/>
      <c r="U259" s="89"/>
      <c r="V259" s="90"/>
      <c r="W259" s="18"/>
      <c r="X259" s="19"/>
      <c r="Y259" s="20"/>
      <c r="Z259" s="21"/>
      <c r="AA259" s="22"/>
      <c r="AB259" s="23"/>
      <c r="AC259" s="27"/>
      <c r="AD259" s="80"/>
      <c r="AE259" s="24"/>
      <c r="AF259" s="80"/>
      <c r="AG259" s="140"/>
    </row>
    <row r="260" spans="1:33" s="34" customFormat="1" ht="27" customHeight="1">
      <c r="A260" s="15"/>
      <c r="B260" s="81"/>
      <c r="C260" s="15"/>
      <c r="D260" s="15"/>
      <c r="E260" s="26"/>
      <c r="F260" s="27"/>
      <c r="G260" s="27"/>
      <c r="H260" s="81"/>
      <c r="I260" s="27"/>
      <c r="J260" s="28"/>
      <c r="K260" s="81"/>
      <c r="L260" s="81"/>
      <c r="M260" s="88"/>
      <c r="N260" s="88"/>
      <c r="O260" s="29"/>
      <c r="P260" s="30"/>
      <c r="Q260" s="31"/>
      <c r="R260" s="32"/>
      <c r="S260" s="20"/>
      <c r="T260" s="33"/>
      <c r="U260" s="89"/>
      <c r="V260" s="90"/>
      <c r="W260" s="18"/>
      <c r="X260" s="19"/>
      <c r="Y260" s="20"/>
      <c r="Z260" s="21"/>
      <c r="AA260" s="22"/>
      <c r="AB260" s="23"/>
      <c r="AC260" s="27"/>
      <c r="AD260" s="80"/>
      <c r="AE260" s="24"/>
      <c r="AF260" s="80"/>
      <c r="AG260" s="140"/>
    </row>
    <row r="261" spans="1:33" s="34" customFormat="1" ht="27" customHeight="1">
      <c r="A261" s="15"/>
      <c r="B261" s="81"/>
      <c r="C261" s="15"/>
      <c r="D261" s="15"/>
      <c r="E261" s="26"/>
      <c r="F261" s="27"/>
      <c r="G261" s="27"/>
      <c r="H261" s="81"/>
      <c r="I261" s="27"/>
      <c r="J261" s="28"/>
      <c r="K261" s="81"/>
      <c r="L261" s="81"/>
      <c r="M261" s="88"/>
      <c r="N261" s="88"/>
      <c r="O261" s="29"/>
      <c r="P261" s="30"/>
      <c r="Q261" s="31"/>
      <c r="R261" s="32"/>
      <c r="S261" s="20"/>
      <c r="T261" s="33"/>
      <c r="U261" s="89"/>
      <c r="V261" s="90"/>
      <c r="W261" s="18"/>
      <c r="X261" s="19"/>
      <c r="Y261" s="20"/>
      <c r="Z261" s="21"/>
      <c r="AA261" s="22"/>
      <c r="AB261" s="23"/>
      <c r="AC261" s="27"/>
      <c r="AD261" s="80"/>
      <c r="AE261" s="24"/>
      <c r="AF261" s="80"/>
      <c r="AG261" s="140"/>
    </row>
    <row r="262" spans="1:33" s="34" customFormat="1" ht="27" customHeight="1">
      <c r="A262" s="15"/>
      <c r="B262" s="81"/>
      <c r="C262" s="15"/>
      <c r="D262" s="15"/>
      <c r="E262" s="26"/>
      <c r="F262" s="27"/>
      <c r="G262" s="27"/>
      <c r="H262" s="81"/>
      <c r="I262" s="27"/>
      <c r="J262" s="28"/>
      <c r="K262" s="81"/>
      <c r="L262" s="81"/>
      <c r="M262" s="88"/>
      <c r="N262" s="88"/>
      <c r="O262" s="29"/>
      <c r="P262" s="30"/>
      <c r="Q262" s="31"/>
      <c r="R262" s="32"/>
      <c r="S262" s="20"/>
      <c r="T262" s="33"/>
      <c r="U262" s="89"/>
      <c r="V262" s="90"/>
      <c r="W262" s="18"/>
      <c r="X262" s="19"/>
      <c r="Y262" s="20"/>
      <c r="Z262" s="21"/>
      <c r="AA262" s="22"/>
      <c r="AB262" s="23"/>
      <c r="AC262" s="27"/>
      <c r="AD262" s="80"/>
      <c r="AE262" s="24"/>
      <c r="AF262" s="80"/>
      <c r="AG262" s="140"/>
    </row>
    <row r="263" spans="1:33" s="34" customFormat="1" ht="27" customHeight="1">
      <c r="A263" s="15"/>
      <c r="B263" s="81"/>
      <c r="C263" s="15"/>
      <c r="D263" s="15"/>
      <c r="E263" s="26"/>
      <c r="F263" s="27"/>
      <c r="G263" s="27"/>
      <c r="H263" s="81"/>
      <c r="I263" s="27"/>
      <c r="J263" s="28"/>
      <c r="K263" s="81"/>
      <c r="L263" s="81"/>
      <c r="M263" s="88"/>
      <c r="N263" s="88"/>
      <c r="O263" s="29"/>
      <c r="P263" s="30"/>
      <c r="Q263" s="31"/>
      <c r="R263" s="32"/>
      <c r="S263" s="20"/>
      <c r="T263" s="33"/>
      <c r="U263" s="89"/>
      <c r="V263" s="90"/>
      <c r="W263" s="18"/>
      <c r="X263" s="19"/>
      <c r="Y263" s="20"/>
      <c r="Z263" s="21"/>
      <c r="AA263" s="22"/>
      <c r="AB263" s="23"/>
      <c r="AC263" s="27"/>
      <c r="AD263" s="80"/>
      <c r="AE263" s="24"/>
      <c r="AF263" s="80"/>
      <c r="AG263" s="140"/>
    </row>
    <row r="264" spans="1:33" s="34" customFormat="1" ht="27" customHeight="1">
      <c r="A264" s="15"/>
      <c r="B264" s="81"/>
      <c r="C264" s="15"/>
      <c r="D264" s="15"/>
      <c r="E264" s="26"/>
      <c r="F264" s="27"/>
      <c r="G264" s="27"/>
      <c r="H264" s="81"/>
      <c r="I264" s="27"/>
      <c r="J264" s="28"/>
      <c r="K264" s="81"/>
      <c r="L264" s="81"/>
      <c r="M264" s="88"/>
      <c r="N264" s="88"/>
      <c r="O264" s="29"/>
      <c r="P264" s="30"/>
      <c r="Q264" s="31"/>
      <c r="R264" s="32"/>
      <c r="S264" s="20"/>
      <c r="T264" s="33"/>
      <c r="U264" s="89"/>
      <c r="V264" s="90"/>
      <c r="W264" s="18"/>
      <c r="X264" s="19"/>
      <c r="Y264" s="20"/>
      <c r="Z264" s="21"/>
      <c r="AA264" s="22"/>
      <c r="AB264" s="23"/>
      <c r="AC264" s="27"/>
      <c r="AD264" s="80"/>
      <c r="AE264" s="24"/>
      <c r="AF264" s="80"/>
      <c r="AG264" s="140"/>
    </row>
    <row r="265" spans="1:33" s="34" customFormat="1" ht="27" customHeight="1">
      <c r="A265" s="15"/>
      <c r="B265" s="81"/>
      <c r="C265" s="15"/>
      <c r="D265" s="15"/>
      <c r="E265" s="26"/>
      <c r="F265" s="27"/>
      <c r="G265" s="27"/>
      <c r="H265" s="81"/>
      <c r="I265" s="27"/>
      <c r="J265" s="28"/>
      <c r="K265" s="81"/>
      <c r="L265" s="81"/>
      <c r="M265" s="88"/>
      <c r="N265" s="88"/>
      <c r="O265" s="29"/>
      <c r="P265" s="30"/>
      <c r="Q265" s="31"/>
      <c r="R265" s="32"/>
      <c r="S265" s="20"/>
      <c r="T265" s="33"/>
      <c r="U265" s="89"/>
      <c r="V265" s="90"/>
      <c r="W265" s="18"/>
      <c r="X265" s="19"/>
      <c r="Y265" s="20"/>
      <c r="Z265" s="21"/>
      <c r="AA265" s="22"/>
      <c r="AB265" s="23"/>
      <c r="AC265" s="27"/>
      <c r="AD265" s="80"/>
      <c r="AE265" s="24"/>
      <c r="AF265" s="80"/>
      <c r="AG265" s="140"/>
    </row>
    <row r="266" spans="1:33" s="34" customFormat="1" ht="27" customHeight="1">
      <c r="A266" s="15"/>
      <c r="B266" s="81"/>
      <c r="C266" s="15"/>
      <c r="D266" s="15"/>
      <c r="E266" s="26"/>
      <c r="F266" s="27"/>
      <c r="G266" s="27"/>
      <c r="H266" s="81"/>
      <c r="I266" s="27"/>
      <c r="J266" s="28"/>
      <c r="K266" s="81"/>
      <c r="L266" s="81"/>
      <c r="M266" s="88"/>
      <c r="N266" s="88"/>
      <c r="O266" s="29"/>
      <c r="P266" s="30"/>
      <c r="Q266" s="31"/>
      <c r="R266" s="32"/>
      <c r="S266" s="20"/>
      <c r="T266" s="33"/>
      <c r="U266" s="89"/>
      <c r="V266" s="90"/>
      <c r="W266" s="18"/>
      <c r="X266" s="19"/>
      <c r="Y266" s="20"/>
      <c r="Z266" s="21"/>
      <c r="AA266" s="22"/>
      <c r="AB266" s="23"/>
      <c r="AC266" s="27"/>
      <c r="AD266" s="80"/>
      <c r="AE266" s="24"/>
      <c r="AF266" s="80"/>
      <c r="AG266" s="140"/>
    </row>
    <row r="267" spans="1:33" s="34" customFormat="1" ht="27" customHeight="1">
      <c r="A267" s="15"/>
      <c r="B267" s="81"/>
      <c r="C267" s="15"/>
      <c r="D267" s="15"/>
      <c r="E267" s="26"/>
      <c r="F267" s="27"/>
      <c r="G267" s="27"/>
      <c r="H267" s="81"/>
      <c r="I267" s="27"/>
      <c r="J267" s="28"/>
      <c r="K267" s="81"/>
      <c r="L267" s="81"/>
      <c r="M267" s="88"/>
      <c r="N267" s="88"/>
      <c r="O267" s="29"/>
      <c r="P267" s="30"/>
      <c r="Q267" s="31"/>
      <c r="R267" s="32"/>
      <c r="S267" s="20"/>
      <c r="T267" s="33"/>
      <c r="U267" s="89"/>
      <c r="V267" s="90"/>
      <c r="W267" s="18"/>
      <c r="X267" s="19"/>
      <c r="Y267" s="20"/>
      <c r="Z267" s="21"/>
      <c r="AA267" s="22"/>
      <c r="AB267" s="23"/>
      <c r="AC267" s="27"/>
      <c r="AD267" s="80"/>
      <c r="AE267" s="24"/>
      <c r="AF267" s="80"/>
      <c r="AG267" s="140"/>
    </row>
    <row r="268" spans="1:33" s="34" customFormat="1" ht="27" customHeight="1">
      <c r="A268" s="15"/>
      <c r="B268" s="81"/>
      <c r="C268" s="15"/>
      <c r="D268" s="15"/>
      <c r="E268" s="26"/>
      <c r="F268" s="27"/>
      <c r="G268" s="27"/>
      <c r="H268" s="81"/>
      <c r="I268" s="27"/>
      <c r="J268" s="28"/>
      <c r="K268" s="81"/>
      <c r="L268" s="81"/>
      <c r="M268" s="88"/>
      <c r="N268" s="88"/>
      <c r="O268" s="29"/>
      <c r="P268" s="30"/>
      <c r="Q268" s="31"/>
      <c r="R268" s="32"/>
      <c r="S268" s="20"/>
      <c r="T268" s="33"/>
      <c r="U268" s="89"/>
      <c r="V268" s="90"/>
      <c r="W268" s="18"/>
      <c r="X268" s="19"/>
      <c r="Y268" s="20"/>
      <c r="Z268" s="21"/>
      <c r="AA268" s="22"/>
      <c r="AB268" s="23"/>
      <c r="AC268" s="27"/>
      <c r="AD268" s="80"/>
      <c r="AE268" s="24"/>
      <c r="AF268" s="80"/>
      <c r="AG268" s="140"/>
    </row>
    <row r="269" spans="1:33" s="34" customFormat="1" ht="27" customHeight="1">
      <c r="A269" s="15"/>
      <c r="B269" s="81"/>
      <c r="C269" s="15"/>
      <c r="D269" s="15"/>
      <c r="E269" s="26"/>
      <c r="F269" s="27"/>
      <c r="G269" s="27"/>
      <c r="H269" s="81"/>
      <c r="I269" s="27"/>
      <c r="J269" s="28"/>
      <c r="K269" s="81"/>
      <c r="L269" s="81"/>
      <c r="M269" s="88"/>
      <c r="N269" s="88"/>
      <c r="O269" s="29"/>
      <c r="P269" s="30"/>
      <c r="Q269" s="31"/>
      <c r="R269" s="32"/>
      <c r="S269" s="20"/>
      <c r="T269" s="33"/>
      <c r="U269" s="89"/>
      <c r="V269" s="90"/>
      <c r="W269" s="18"/>
      <c r="X269" s="19"/>
      <c r="Y269" s="20"/>
      <c r="Z269" s="21"/>
      <c r="AA269" s="22"/>
      <c r="AB269" s="23"/>
      <c r="AC269" s="27"/>
      <c r="AD269" s="80"/>
      <c r="AE269" s="24"/>
      <c r="AF269" s="80"/>
      <c r="AG269" s="140"/>
    </row>
    <row r="270" spans="1:33" s="34" customFormat="1" ht="27" customHeight="1">
      <c r="A270" s="15"/>
      <c r="B270" s="81"/>
      <c r="C270" s="15"/>
      <c r="D270" s="15"/>
      <c r="E270" s="26"/>
      <c r="F270" s="27"/>
      <c r="G270" s="27"/>
      <c r="H270" s="81"/>
      <c r="I270" s="27"/>
      <c r="J270" s="28"/>
      <c r="K270" s="81"/>
      <c r="L270" s="81"/>
      <c r="M270" s="88"/>
      <c r="N270" s="88"/>
      <c r="O270" s="29"/>
      <c r="P270" s="30"/>
      <c r="Q270" s="31"/>
      <c r="R270" s="32"/>
      <c r="S270" s="20"/>
      <c r="T270" s="33"/>
      <c r="U270" s="89"/>
      <c r="V270" s="90"/>
      <c r="W270" s="18"/>
      <c r="X270" s="19"/>
      <c r="Y270" s="20"/>
      <c r="Z270" s="21"/>
      <c r="AA270" s="22"/>
      <c r="AB270" s="23"/>
      <c r="AC270" s="27"/>
      <c r="AD270" s="80"/>
      <c r="AE270" s="24"/>
      <c r="AF270" s="80"/>
      <c r="AG270" s="140"/>
    </row>
    <row r="271" spans="1:33" s="34" customFormat="1" ht="27" customHeight="1">
      <c r="A271" s="15"/>
      <c r="B271" s="81"/>
      <c r="C271" s="15"/>
      <c r="D271" s="15"/>
      <c r="E271" s="26"/>
      <c r="F271" s="27"/>
      <c r="G271" s="27"/>
      <c r="H271" s="81"/>
      <c r="I271" s="27"/>
      <c r="J271" s="28"/>
      <c r="K271" s="81"/>
      <c r="L271" s="81"/>
      <c r="M271" s="88"/>
      <c r="N271" s="88"/>
      <c r="O271" s="29"/>
      <c r="P271" s="30"/>
      <c r="Q271" s="31"/>
      <c r="R271" s="32"/>
      <c r="S271" s="20"/>
      <c r="T271" s="33"/>
      <c r="U271" s="89"/>
      <c r="V271" s="90"/>
      <c r="W271" s="18"/>
      <c r="X271" s="19"/>
      <c r="Y271" s="20"/>
      <c r="Z271" s="21"/>
      <c r="AA271" s="22"/>
      <c r="AB271" s="23"/>
      <c r="AC271" s="27"/>
      <c r="AD271" s="80"/>
      <c r="AE271" s="24"/>
      <c r="AF271" s="80"/>
      <c r="AG271" s="140"/>
    </row>
    <row r="272" spans="1:33" s="34" customFormat="1" ht="27" customHeight="1">
      <c r="A272" s="15"/>
      <c r="B272" s="81"/>
      <c r="C272" s="15"/>
      <c r="D272" s="15"/>
      <c r="E272" s="26"/>
      <c r="F272" s="27"/>
      <c r="G272" s="27"/>
      <c r="H272" s="81"/>
      <c r="I272" s="27"/>
      <c r="J272" s="28"/>
      <c r="K272" s="81"/>
      <c r="L272" s="81"/>
      <c r="M272" s="88"/>
      <c r="N272" s="88"/>
      <c r="O272" s="29"/>
      <c r="P272" s="30"/>
      <c r="Q272" s="31"/>
      <c r="R272" s="32"/>
      <c r="S272" s="20"/>
      <c r="T272" s="33"/>
      <c r="U272" s="89"/>
      <c r="V272" s="90"/>
      <c r="W272" s="18"/>
      <c r="X272" s="19"/>
      <c r="Y272" s="20"/>
      <c r="Z272" s="21"/>
      <c r="AA272" s="22"/>
      <c r="AB272" s="23"/>
      <c r="AC272" s="27"/>
      <c r="AD272" s="80"/>
      <c r="AE272" s="24"/>
      <c r="AF272" s="80"/>
      <c r="AG272" s="140"/>
    </row>
    <row r="273" spans="1:33" s="34" customFormat="1" ht="27" customHeight="1">
      <c r="A273" s="15"/>
      <c r="B273" s="81"/>
      <c r="C273" s="15"/>
      <c r="D273" s="15"/>
      <c r="E273" s="26"/>
      <c r="F273" s="27"/>
      <c r="G273" s="27"/>
      <c r="H273" s="81"/>
      <c r="I273" s="27"/>
      <c r="J273" s="28"/>
      <c r="K273" s="81"/>
      <c r="L273" s="81"/>
      <c r="M273" s="88"/>
      <c r="N273" s="88"/>
      <c r="O273" s="29"/>
      <c r="P273" s="30"/>
      <c r="Q273" s="31"/>
      <c r="R273" s="32"/>
      <c r="S273" s="20"/>
      <c r="T273" s="33"/>
      <c r="U273" s="89"/>
      <c r="V273" s="90"/>
      <c r="W273" s="18"/>
      <c r="X273" s="19"/>
      <c r="Y273" s="20"/>
      <c r="Z273" s="21"/>
      <c r="AA273" s="22"/>
      <c r="AB273" s="23"/>
      <c r="AC273" s="27"/>
      <c r="AD273" s="80"/>
      <c r="AE273" s="24"/>
      <c r="AF273" s="80"/>
      <c r="AG273" s="140"/>
    </row>
    <row r="274" spans="1:33" s="34" customFormat="1" ht="27" customHeight="1">
      <c r="A274" s="15"/>
      <c r="B274" s="81"/>
      <c r="C274" s="15"/>
      <c r="D274" s="15"/>
      <c r="E274" s="26"/>
      <c r="F274" s="27"/>
      <c r="G274" s="27"/>
      <c r="H274" s="81"/>
      <c r="I274" s="27"/>
      <c r="J274" s="28"/>
      <c r="K274" s="81"/>
      <c r="L274" s="81"/>
      <c r="M274" s="88"/>
      <c r="N274" s="88"/>
      <c r="O274" s="29"/>
      <c r="P274" s="30"/>
      <c r="Q274" s="31"/>
      <c r="R274" s="32"/>
      <c r="S274" s="20"/>
      <c r="T274" s="33"/>
      <c r="U274" s="89"/>
      <c r="V274" s="90"/>
      <c r="W274" s="18"/>
      <c r="X274" s="19"/>
      <c r="Y274" s="20"/>
      <c r="Z274" s="21"/>
      <c r="AA274" s="22"/>
      <c r="AB274" s="23"/>
      <c r="AC274" s="27"/>
      <c r="AD274" s="80"/>
      <c r="AE274" s="24"/>
      <c r="AF274" s="80"/>
      <c r="AG274" s="140"/>
    </row>
    <row r="275" spans="1:33" s="34" customFormat="1" ht="27" customHeight="1">
      <c r="A275" s="15"/>
      <c r="B275" s="81"/>
      <c r="C275" s="15"/>
      <c r="D275" s="15"/>
      <c r="E275" s="26"/>
      <c r="F275" s="27"/>
      <c r="G275" s="27"/>
      <c r="H275" s="81"/>
      <c r="I275" s="27"/>
      <c r="J275" s="28"/>
      <c r="K275" s="81"/>
      <c r="L275" s="81"/>
      <c r="M275" s="88"/>
      <c r="N275" s="88"/>
      <c r="O275" s="29"/>
      <c r="P275" s="30"/>
      <c r="Q275" s="31"/>
      <c r="R275" s="32"/>
      <c r="S275" s="20"/>
      <c r="T275" s="33"/>
      <c r="U275" s="89"/>
      <c r="V275" s="90"/>
      <c r="W275" s="18"/>
      <c r="X275" s="19"/>
      <c r="Y275" s="20"/>
      <c r="Z275" s="21"/>
      <c r="AA275" s="22"/>
      <c r="AB275" s="23"/>
      <c r="AC275" s="27"/>
      <c r="AD275" s="80"/>
      <c r="AE275" s="24"/>
      <c r="AF275" s="80"/>
      <c r="AG275" s="140"/>
    </row>
    <row r="276" spans="1:33" s="34" customFormat="1" ht="27" customHeight="1">
      <c r="A276" s="15"/>
      <c r="B276" s="81"/>
      <c r="C276" s="15"/>
      <c r="D276" s="15"/>
      <c r="E276" s="26"/>
      <c r="F276" s="27"/>
      <c r="G276" s="27"/>
      <c r="H276" s="81"/>
      <c r="I276" s="27"/>
      <c r="J276" s="28"/>
      <c r="K276" s="81"/>
      <c r="L276" s="81"/>
      <c r="M276" s="88"/>
      <c r="N276" s="88"/>
      <c r="O276" s="29"/>
      <c r="P276" s="30"/>
      <c r="Q276" s="31"/>
      <c r="R276" s="32"/>
      <c r="S276" s="20"/>
      <c r="T276" s="33"/>
      <c r="U276" s="89"/>
      <c r="V276" s="90"/>
      <c r="W276" s="18"/>
      <c r="X276" s="19"/>
      <c r="Y276" s="20"/>
      <c r="Z276" s="21"/>
      <c r="AA276" s="22"/>
      <c r="AB276" s="23"/>
      <c r="AC276" s="27"/>
      <c r="AD276" s="80"/>
      <c r="AE276" s="24"/>
      <c r="AF276" s="80"/>
      <c r="AG276" s="140"/>
    </row>
    <row r="277" spans="1:33" s="34" customFormat="1" ht="27" customHeight="1">
      <c r="A277" s="15"/>
      <c r="B277" s="81"/>
      <c r="C277" s="15"/>
      <c r="D277" s="15"/>
      <c r="E277" s="26"/>
      <c r="F277" s="27"/>
      <c r="G277" s="27"/>
      <c r="H277" s="81"/>
      <c r="I277" s="27"/>
      <c r="J277" s="28"/>
      <c r="K277" s="81"/>
      <c r="L277" s="81"/>
      <c r="M277" s="88"/>
      <c r="N277" s="88"/>
      <c r="O277" s="29"/>
      <c r="P277" s="30"/>
      <c r="Q277" s="31"/>
      <c r="R277" s="32"/>
      <c r="S277" s="20"/>
      <c r="T277" s="33"/>
      <c r="U277" s="89"/>
      <c r="V277" s="90"/>
      <c r="W277" s="18"/>
      <c r="X277" s="19"/>
      <c r="Y277" s="20"/>
      <c r="Z277" s="21"/>
      <c r="AA277" s="22"/>
      <c r="AB277" s="23"/>
      <c r="AC277" s="27"/>
      <c r="AD277" s="80"/>
      <c r="AE277" s="24"/>
      <c r="AF277" s="80"/>
      <c r="AG277" s="140"/>
    </row>
    <row r="278" spans="1:33" s="34" customFormat="1" ht="27" customHeight="1">
      <c r="A278" s="15"/>
      <c r="B278" s="81"/>
      <c r="C278" s="15"/>
      <c r="D278" s="15"/>
      <c r="E278" s="26"/>
      <c r="F278" s="27"/>
      <c r="G278" s="27"/>
      <c r="H278" s="81"/>
      <c r="I278" s="27"/>
      <c r="J278" s="28"/>
      <c r="K278" s="81"/>
      <c r="L278" s="81"/>
      <c r="M278" s="88"/>
      <c r="N278" s="88"/>
      <c r="O278" s="29"/>
      <c r="P278" s="30"/>
      <c r="Q278" s="31"/>
      <c r="R278" s="32"/>
      <c r="S278" s="20"/>
      <c r="T278" s="33"/>
      <c r="U278" s="89"/>
      <c r="V278" s="90"/>
      <c r="W278" s="18"/>
      <c r="X278" s="19"/>
      <c r="Y278" s="20"/>
      <c r="Z278" s="21"/>
      <c r="AA278" s="22"/>
      <c r="AB278" s="23"/>
      <c r="AC278" s="27"/>
      <c r="AD278" s="80"/>
      <c r="AE278" s="24"/>
      <c r="AF278" s="80"/>
      <c r="AG278" s="140"/>
    </row>
    <row r="279" spans="1:33" s="34" customFormat="1" ht="27" customHeight="1">
      <c r="A279" s="15"/>
      <c r="B279" s="81"/>
      <c r="C279" s="15"/>
      <c r="D279" s="15"/>
      <c r="E279" s="26"/>
      <c r="F279" s="27"/>
      <c r="G279" s="27"/>
      <c r="H279" s="81"/>
      <c r="I279" s="27"/>
      <c r="J279" s="28"/>
      <c r="K279" s="81"/>
      <c r="L279" s="81"/>
      <c r="M279" s="88"/>
      <c r="N279" s="88"/>
      <c r="O279" s="29"/>
      <c r="P279" s="30"/>
      <c r="Q279" s="31"/>
      <c r="R279" s="32"/>
      <c r="S279" s="20"/>
      <c r="T279" s="33"/>
      <c r="U279" s="89"/>
      <c r="V279" s="90"/>
      <c r="W279" s="18"/>
      <c r="X279" s="19"/>
      <c r="Y279" s="20"/>
      <c r="Z279" s="21"/>
      <c r="AA279" s="22"/>
      <c r="AB279" s="23"/>
      <c r="AC279" s="27"/>
      <c r="AD279" s="80"/>
      <c r="AE279" s="24"/>
      <c r="AF279" s="80"/>
      <c r="AG279" s="140"/>
    </row>
    <row r="280" spans="1:33" s="34" customFormat="1" ht="27" customHeight="1">
      <c r="A280" s="15"/>
      <c r="B280" s="81"/>
      <c r="C280" s="15"/>
      <c r="D280" s="15"/>
      <c r="E280" s="26"/>
      <c r="F280" s="27"/>
      <c r="G280" s="27"/>
      <c r="H280" s="81"/>
      <c r="I280" s="27"/>
      <c r="J280" s="28"/>
      <c r="K280" s="81"/>
      <c r="L280" s="81"/>
      <c r="M280" s="88"/>
      <c r="N280" s="88"/>
      <c r="O280" s="29"/>
      <c r="P280" s="30"/>
      <c r="Q280" s="31"/>
      <c r="R280" s="32"/>
      <c r="S280" s="20"/>
      <c r="T280" s="33"/>
      <c r="U280" s="89"/>
      <c r="V280" s="90"/>
      <c r="W280" s="18"/>
      <c r="X280" s="19"/>
      <c r="Y280" s="20"/>
      <c r="Z280" s="21"/>
      <c r="AA280" s="22"/>
      <c r="AB280" s="23"/>
      <c r="AC280" s="27"/>
      <c r="AD280" s="80"/>
      <c r="AE280" s="24"/>
      <c r="AF280" s="80"/>
      <c r="AG280" s="140"/>
    </row>
    <row r="281" spans="1:33" s="34" customFormat="1" ht="27" customHeight="1">
      <c r="A281" s="15"/>
      <c r="B281" s="81"/>
      <c r="C281" s="15"/>
      <c r="D281" s="15"/>
      <c r="E281" s="26"/>
      <c r="F281" s="27"/>
      <c r="G281" s="27"/>
      <c r="H281" s="81"/>
      <c r="I281" s="27"/>
      <c r="J281" s="28"/>
      <c r="K281" s="81"/>
      <c r="L281" s="81"/>
      <c r="M281" s="88"/>
      <c r="N281" s="88"/>
      <c r="O281" s="29"/>
      <c r="P281" s="30"/>
      <c r="Q281" s="31"/>
      <c r="R281" s="32"/>
      <c r="S281" s="20"/>
      <c r="T281" s="33"/>
      <c r="U281" s="89"/>
      <c r="V281" s="90"/>
      <c r="W281" s="18"/>
      <c r="X281" s="19"/>
      <c r="Y281" s="20"/>
      <c r="Z281" s="21"/>
      <c r="AA281" s="22"/>
      <c r="AB281" s="23"/>
      <c r="AC281" s="27"/>
      <c r="AD281" s="80"/>
      <c r="AE281" s="24"/>
      <c r="AF281" s="80"/>
      <c r="AG281" s="140"/>
    </row>
    <row r="282" spans="1:33" s="34" customFormat="1" ht="27" customHeight="1">
      <c r="A282" s="15"/>
      <c r="B282" s="81"/>
      <c r="C282" s="15"/>
      <c r="D282" s="15"/>
      <c r="E282" s="26"/>
      <c r="F282" s="27"/>
      <c r="G282" s="27"/>
      <c r="H282" s="81"/>
      <c r="I282" s="27"/>
      <c r="J282" s="28"/>
      <c r="K282" s="81"/>
      <c r="L282" s="81"/>
      <c r="M282" s="88"/>
      <c r="N282" s="88"/>
      <c r="O282" s="29"/>
      <c r="P282" s="30"/>
      <c r="Q282" s="31"/>
      <c r="R282" s="32"/>
      <c r="S282" s="20"/>
      <c r="T282" s="33"/>
      <c r="U282" s="89"/>
      <c r="V282" s="90"/>
      <c r="W282" s="18"/>
      <c r="X282" s="19"/>
      <c r="Y282" s="20"/>
      <c r="Z282" s="21"/>
      <c r="AA282" s="22"/>
      <c r="AB282" s="23"/>
      <c r="AC282" s="27"/>
      <c r="AD282" s="80"/>
      <c r="AE282" s="24"/>
      <c r="AF282" s="80"/>
      <c r="AG282" s="140"/>
    </row>
    <row r="283" spans="1:33" s="34" customFormat="1" ht="27" customHeight="1">
      <c r="A283" s="15"/>
      <c r="B283" s="81"/>
      <c r="C283" s="15"/>
      <c r="D283" s="15"/>
      <c r="E283" s="26"/>
      <c r="F283" s="27"/>
      <c r="G283" s="27"/>
      <c r="H283" s="81"/>
      <c r="I283" s="27"/>
      <c r="J283" s="28"/>
      <c r="K283" s="81"/>
      <c r="L283" s="81"/>
      <c r="M283" s="88"/>
      <c r="N283" s="88"/>
      <c r="O283" s="29"/>
      <c r="P283" s="30"/>
      <c r="Q283" s="31"/>
      <c r="R283" s="32"/>
      <c r="S283" s="20"/>
      <c r="T283" s="33"/>
      <c r="U283" s="89"/>
      <c r="V283" s="90"/>
      <c r="W283" s="18"/>
      <c r="X283" s="19"/>
      <c r="Y283" s="20"/>
      <c r="Z283" s="21"/>
      <c r="AA283" s="22"/>
      <c r="AB283" s="23"/>
      <c r="AC283" s="27"/>
      <c r="AD283" s="80"/>
      <c r="AE283" s="24"/>
      <c r="AF283" s="80"/>
      <c r="AG283" s="140"/>
    </row>
    <row r="284" spans="1:33" s="34" customFormat="1" ht="27" customHeight="1">
      <c r="A284" s="15"/>
      <c r="B284" s="81"/>
      <c r="C284" s="15"/>
      <c r="D284" s="15"/>
      <c r="E284" s="26"/>
      <c r="F284" s="27"/>
      <c r="G284" s="27"/>
      <c r="H284" s="81"/>
      <c r="I284" s="27"/>
      <c r="J284" s="28"/>
      <c r="K284" s="81"/>
      <c r="L284" s="81"/>
      <c r="M284" s="88"/>
      <c r="N284" s="88"/>
      <c r="O284" s="29"/>
      <c r="P284" s="30"/>
      <c r="Q284" s="31"/>
      <c r="R284" s="32"/>
      <c r="S284" s="20"/>
      <c r="T284" s="33"/>
      <c r="U284" s="89"/>
      <c r="V284" s="90"/>
      <c r="W284" s="18"/>
      <c r="X284" s="19"/>
      <c r="Y284" s="20"/>
      <c r="Z284" s="21"/>
      <c r="AA284" s="22"/>
      <c r="AB284" s="23"/>
      <c r="AC284" s="27"/>
      <c r="AD284" s="80"/>
      <c r="AE284" s="24"/>
      <c r="AF284" s="80"/>
      <c r="AG284" s="140"/>
    </row>
    <row r="285" spans="1:33" s="34" customFormat="1" ht="27" customHeight="1">
      <c r="A285" s="15"/>
      <c r="B285" s="81"/>
      <c r="C285" s="15"/>
      <c r="D285" s="15"/>
      <c r="E285" s="26"/>
      <c r="F285" s="27"/>
      <c r="G285" s="27"/>
      <c r="H285" s="81"/>
      <c r="I285" s="27"/>
      <c r="J285" s="28"/>
      <c r="K285" s="81"/>
      <c r="L285" s="81"/>
      <c r="M285" s="88"/>
      <c r="N285" s="88"/>
      <c r="O285" s="29"/>
      <c r="P285" s="30"/>
      <c r="Q285" s="31"/>
      <c r="R285" s="32"/>
      <c r="S285" s="20"/>
      <c r="T285" s="33"/>
      <c r="U285" s="89"/>
      <c r="V285" s="90"/>
      <c r="W285" s="18"/>
      <c r="X285" s="19"/>
      <c r="Y285" s="20"/>
      <c r="Z285" s="21"/>
      <c r="AA285" s="22"/>
      <c r="AB285" s="23"/>
      <c r="AC285" s="27"/>
      <c r="AD285" s="80"/>
      <c r="AE285" s="24"/>
      <c r="AF285" s="80"/>
      <c r="AG285" s="140"/>
    </row>
    <row r="286" spans="1:33" s="34" customFormat="1" ht="27" customHeight="1">
      <c r="A286" s="15"/>
      <c r="B286" s="81"/>
      <c r="C286" s="15"/>
      <c r="D286" s="15"/>
      <c r="E286" s="26"/>
      <c r="F286" s="27"/>
      <c r="G286" s="27"/>
      <c r="H286" s="81"/>
      <c r="I286" s="27"/>
      <c r="J286" s="28"/>
      <c r="K286" s="81"/>
      <c r="L286" s="81"/>
      <c r="M286" s="88"/>
      <c r="N286" s="88"/>
      <c r="O286" s="29"/>
      <c r="P286" s="30"/>
      <c r="Q286" s="31"/>
      <c r="R286" s="32"/>
      <c r="S286" s="20"/>
      <c r="T286" s="33"/>
      <c r="U286" s="89"/>
      <c r="V286" s="90"/>
      <c r="W286" s="18"/>
      <c r="X286" s="19"/>
      <c r="Y286" s="20"/>
      <c r="Z286" s="21"/>
      <c r="AA286" s="22"/>
      <c r="AB286" s="23"/>
      <c r="AC286" s="27"/>
      <c r="AD286" s="80"/>
      <c r="AE286" s="24"/>
      <c r="AF286" s="80"/>
      <c r="AG286" s="140"/>
    </row>
    <row r="287" spans="1:33" s="34" customFormat="1" ht="27" customHeight="1">
      <c r="A287" s="15"/>
      <c r="B287" s="81"/>
      <c r="C287" s="15"/>
      <c r="D287" s="15"/>
      <c r="E287" s="26"/>
      <c r="F287" s="27"/>
      <c r="G287" s="27"/>
      <c r="H287" s="81"/>
      <c r="I287" s="27"/>
      <c r="J287" s="28"/>
      <c r="K287" s="81"/>
      <c r="L287" s="81"/>
      <c r="M287" s="88"/>
      <c r="N287" s="88"/>
      <c r="O287" s="29"/>
      <c r="P287" s="30"/>
      <c r="Q287" s="31"/>
      <c r="R287" s="32"/>
      <c r="S287" s="20"/>
      <c r="T287" s="33"/>
      <c r="U287" s="89"/>
      <c r="V287" s="90"/>
      <c r="W287" s="18"/>
      <c r="X287" s="19"/>
      <c r="Y287" s="20"/>
      <c r="Z287" s="21"/>
      <c r="AA287" s="22"/>
      <c r="AB287" s="23"/>
      <c r="AC287" s="27"/>
      <c r="AD287" s="80"/>
      <c r="AE287" s="24"/>
      <c r="AF287" s="80"/>
      <c r="AG287" s="140"/>
    </row>
    <row r="288" spans="1:33" s="34" customFormat="1" ht="27" customHeight="1">
      <c r="A288" s="15"/>
      <c r="B288" s="81"/>
      <c r="C288" s="15"/>
      <c r="D288" s="15"/>
      <c r="E288" s="26"/>
      <c r="F288" s="27"/>
      <c r="G288" s="27"/>
      <c r="H288" s="81"/>
      <c r="I288" s="27"/>
      <c r="J288" s="28"/>
      <c r="K288" s="81"/>
      <c r="L288" s="81"/>
      <c r="M288" s="88"/>
      <c r="N288" s="88"/>
      <c r="O288" s="29"/>
      <c r="P288" s="30"/>
      <c r="Q288" s="31"/>
      <c r="R288" s="32"/>
      <c r="S288" s="20"/>
      <c r="T288" s="33"/>
      <c r="U288" s="89"/>
      <c r="V288" s="90"/>
      <c r="W288" s="18"/>
      <c r="X288" s="19"/>
      <c r="Y288" s="20"/>
      <c r="Z288" s="21"/>
      <c r="AA288" s="22"/>
      <c r="AB288" s="23"/>
      <c r="AC288" s="27"/>
      <c r="AD288" s="80"/>
      <c r="AE288" s="24"/>
      <c r="AF288" s="80"/>
      <c r="AG288" s="140"/>
    </row>
    <row r="289" spans="1:33" s="34" customFormat="1" ht="27" customHeight="1">
      <c r="A289" s="15"/>
      <c r="B289" s="81"/>
      <c r="C289" s="15"/>
      <c r="D289" s="15"/>
      <c r="E289" s="26"/>
      <c r="F289" s="27"/>
      <c r="G289" s="27"/>
      <c r="H289" s="81"/>
      <c r="I289" s="27"/>
      <c r="J289" s="28"/>
      <c r="K289" s="81"/>
      <c r="L289" s="81"/>
      <c r="M289" s="88"/>
      <c r="N289" s="88"/>
      <c r="O289" s="29"/>
      <c r="P289" s="30"/>
      <c r="Q289" s="31"/>
      <c r="R289" s="32"/>
      <c r="S289" s="20"/>
      <c r="T289" s="33"/>
      <c r="U289" s="89"/>
      <c r="V289" s="90"/>
      <c r="W289" s="18"/>
      <c r="X289" s="19"/>
      <c r="Y289" s="20"/>
      <c r="Z289" s="21"/>
      <c r="AA289" s="22"/>
      <c r="AB289" s="23"/>
      <c r="AC289" s="27"/>
      <c r="AD289" s="80"/>
      <c r="AE289" s="24"/>
      <c r="AF289" s="80"/>
      <c r="AG289" s="140"/>
    </row>
    <row r="290" spans="1:33" s="34" customFormat="1" ht="27" customHeight="1">
      <c r="A290" s="15"/>
      <c r="B290" s="81"/>
      <c r="C290" s="15"/>
      <c r="D290" s="15"/>
      <c r="E290" s="26"/>
      <c r="F290" s="27"/>
      <c r="G290" s="27"/>
      <c r="H290" s="81"/>
      <c r="I290" s="27"/>
      <c r="J290" s="28"/>
      <c r="K290" s="81"/>
      <c r="L290" s="81"/>
      <c r="M290" s="88"/>
      <c r="N290" s="88"/>
      <c r="O290" s="29"/>
      <c r="P290" s="30"/>
      <c r="Q290" s="31"/>
      <c r="R290" s="32"/>
      <c r="S290" s="20"/>
      <c r="T290" s="33"/>
      <c r="U290" s="89"/>
      <c r="V290" s="90"/>
      <c r="W290" s="18"/>
      <c r="X290" s="19"/>
      <c r="Y290" s="20"/>
      <c r="Z290" s="21"/>
      <c r="AA290" s="22"/>
      <c r="AB290" s="23"/>
      <c r="AC290" s="27"/>
      <c r="AD290" s="80"/>
      <c r="AE290" s="24"/>
      <c r="AF290" s="80"/>
      <c r="AG290" s="140"/>
    </row>
    <row r="291" spans="1:33" s="34" customFormat="1" ht="27" customHeight="1">
      <c r="A291" s="15"/>
      <c r="B291" s="81"/>
      <c r="C291" s="15"/>
      <c r="D291" s="15"/>
      <c r="E291" s="26"/>
      <c r="F291" s="27"/>
      <c r="G291" s="27"/>
      <c r="H291" s="81"/>
      <c r="I291" s="27"/>
      <c r="J291" s="28"/>
      <c r="K291" s="81"/>
      <c r="L291" s="81"/>
      <c r="M291" s="88"/>
      <c r="N291" s="88"/>
      <c r="O291" s="29"/>
      <c r="P291" s="30"/>
      <c r="Q291" s="31"/>
      <c r="R291" s="32"/>
      <c r="S291" s="20"/>
      <c r="T291" s="33"/>
      <c r="U291" s="89"/>
      <c r="V291" s="90"/>
      <c r="W291" s="18"/>
      <c r="X291" s="19"/>
      <c r="Y291" s="20"/>
      <c r="Z291" s="21"/>
      <c r="AA291" s="22"/>
      <c r="AB291" s="23"/>
      <c r="AC291" s="27"/>
      <c r="AD291" s="80"/>
      <c r="AE291" s="24"/>
      <c r="AF291" s="80"/>
      <c r="AG291" s="140"/>
    </row>
    <row r="292" spans="1:33" s="34" customFormat="1" ht="27" customHeight="1">
      <c r="A292" s="15"/>
      <c r="B292" s="81"/>
      <c r="C292" s="15"/>
      <c r="D292" s="15"/>
      <c r="E292" s="26"/>
      <c r="F292" s="27"/>
      <c r="G292" s="27"/>
      <c r="H292" s="81"/>
      <c r="I292" s="27"/>
      <c r="J292" s="28"/>
      <c r="K292" s="81"/>
      <c r="L292" s="81"/>
      <c r="M292" s="88"/>
      <c r="N292" s="88"/>
      <c r="O292" s="29"/>
      <c r="P292" s="30"/>
      <c r="Q292" s="31"/>
      <c r="R292" s="32"/>
      <c r="S292" s="20"/>
      <c r="T292" s="33"/>
      <c r="U292" s="89"/>
      <c r="V292" s="90"/>
      <c r="W292" s="18"/>
      <c r="X292" s="19"/>
      <c r="Y292" s="20"/>
      <c r="Z292" s="21"/>
      <c r="AA292" s="22"/>
      <c r="AB292" s="23"/>
      <c r="AC292" s="27"/>
      <c r="AD292" s="80"/>
      <c r="AE292" s="24"/>
      <c r="AF292" s="80"/>
      <c r="AG292" s="140"/>
    </row>
    <row r="293" spans="1:33" s="34" customFormat="1" ht="27" customHeight="1">
      <c r="A293" s="15"/>
      <c r="B293" s="81"/>
      <c r="C293" s="15"/>
      <c r="D293" s="15"/>
      <c r="E293" s="26"/>
      <c r="F293" s="27"/>
      <c r="G293" s="27"/>
      <c r="H293" s="81"/>
      <c r="I293" s="27"/>
      <c r="J293" s="28"/>
      <c r="K293" s="81"/>
      <c r="L293" s="81"/>
      <c r="M293" s="88"/>
      <c r="N293" s="88"/>
      <c r="O293" s="29"/>
      <c r="P293" s="30"/>
      <c r="Q293" s="31"/>
      <c r="R293" s="32"/>
      <c r="S293" s="20"/>
      <c r="T293" s="33"/>
      <c r="U293" s="89"/>
      <c r="V293" s="90"/>
      <c r="W293" s="18"/>
      <c r="X293" s="19"/>
      <c r="Y293" s="20"/>
      <c r="Z293" s="21"/>
      <c r="AA293" s="22"/>
      <c r="AB293" s="23"/>
      <c r="AC293" s="27"/>
      <c r="AD293" s="80"/>
      <c r="AE293" s="24"/>
      <c r="AF293" s="80"/>
      <c r="AG293" s="140"/>
    </row>
    <row r="294" spans="1:33" s="34" customFormat="1" ht="27" customHeight="1">
      <c r="A294" s="15"/>
      <c r="B294" s="81"/>
      <c r="C294" s="15"/>
      <c r="D294" s="15"/>
      <c r="E294" s="26"/>
      <c r="F294" s="27"/>
      <c r="G294" s="27"/>
      <c r="H294" s="81"/>
      <c r="I294" s="27"/>
      <c r="J294" s="28"/>
      <c r="K294" s="81"/>
      <c r="L294" s="81"/>
      <c r="M294" s="88"/>
      <c r="N294" s="88"/>
      <c r="O294" s="29"/>
      <c r="P294" s="30"/>
      <c r="Q294" s="31"/>
      <c r="R294" s="32"/>
      <c r="S294" s="20"/>
      <c r="T294" s="33"/>
      <c r="U294" s="89"/>
      <c r="V294" s="90"/>
      <c r="W294" s="18"/>
      <c r="X294" s="19"/>
      <c r="Y294" s="20"/>
      <c r="Z294" s="21"/>
      <c r="AA294" s="22"/>
      <c r="AB294" s="23"/>
      <c r="AC294" s="27"/>
      <c r="AD294" s="80"/>
      <c r="AE294" s="24"/>
      <c r="AF294" s="80"/>
      <c r="AG294" s="140"/>
    </row>
    <row r="295" spans="1:33" s="34" customFormat="1" ht="27" customHeight="1">
      <c r="A295" s="15"/>
      <c r="B295" s="81"/>
      <c r="C295" s="15"/>
      <c r="D295" s="15"/>
      <c r="E295" s="26"/>
      <c r="F295" s="27"/>
      <c r="G295" s="27"/>
      <c r="H295" s="81"/>
      <c r="I295" s="27"/>
      <c r="J295" s="28"/>
      <c r="K295" s="81"/>
      <c r="L295" s="81"/>
      <c r="M295" s="88"/>
      <c r="N295" s="88"/>
      <c r="O295" s="29"/>
      <c r="P295" s="30"/>
      <c r="Q295" s="31"/>
      <c r="R295" s="32"/>
      <c r="S295" s="20"/>
      <c r="T295" s="33"/>
      <c r="U295" s="89"/>
      <c r="V295" s="90"/>
      <c r="W295" s="18"/>
      <c r="X295" s="19"/>
      <c r="Y295" s="20"/>
      <c r="Z295" s="21"/>
      <c r="AA295" s="22"/>
      <c r="AB295" s="23"/>
      <c r="AC295" s="27"/>
      <c r="AD295" s="80"/>
      <c r="AE295" s="24"/>
      <c r="AF295" s="80"/>
      <c r="AG295" s="140"/>
    </row>
    <row r="296" spans="1:33" s="34" customFormat="1" ht="27" customHeight="1">
      <c r="A296" s="15"/>
      <c r="B296" s="81"/>
      <c r="C296" s="15"/>
      <c r="D296" s="15"/>
      <c r="E296" s="26"/>
      <c r="F296" s="27"/>
      <c r="G296" s="27"/>
      <c r="H296" s="81"/>
      <c r="I296" s="27"/>
      <c r="J296" s="28"/>
      <c r="K296" s="81"/>
      <c r="L296" s="81"/>
      <c r="M296" s="88"/>
      <c r="N296" s="88"/>
      <c r="O296" s="29"/>
      <c r="P296" s="30"/>
      <c r="Q296" s="31"/>
      <c r="R296" s="32"/>
      <c r="S296" s="20"/>
      <c r="T296" s="33"/>
      <c r="U296" s="89"/>
      <c r="V296" s="90"/>
      <c r="W296" s="18"/>
      <c r="X296" s="19"/>
      <c r="Y296" s="20"/>
      <c r="Z296" s="21"/>
      <c r="AA296" s="22"/>
      <c r="AB296" s="23"/>
      <c r="AC296" s="27"/>
      <c r="AD296" s="80"/>
      <c r="AE296" s="24"/>
      <c r="AF296" s="80"/>
      <c r="AG296" s="140"/>
    </row>
    <row r="297" spans="1:33" s="34" customFormat="1" ht="27" customHeight="1">
      <c r="A297" s="15"/>
      <c r="B297" s="81"/>
      <c r="C297" s="15"/>
      <c r="D297" s="15"/>
      <c r="E297" s="26"/>
      <c r="F297" s="27"/>
      <c r="G297" s="27"/>
      <c r="H297" s="81"/>
      <c r="I297" s="27"/>
      <c r="J297" s="28"/>
      <c r="K297" s="81"/>
      <c r="L297" s="81"/>
      <c r="M297" s="88"/>
      <c r="N297" s="88"/>
      <c r="O297" s="29"/>
      <c r="P297" s="30"/>
      <c r="Q297" s="31"/>
      <c r="R297" s="32"/>
      <c r="S297" s="20"/>
      <c r="T297" s="33"/>
      <c r="U297" s="89"/>
      <c r="V297" s="90"/>
      <c r="W297" s="18"/>
      <c r="X297" s="19"/>
      <c r="Y297" s="20"/>
      <c r="Z297" s="21"/>
      <c r="AA297" s="22"/>
      <c r="AB297" s="23"/>
      <c r="AC297" s="27"/>
      <c r="AD297" s="80"/>
      <c r="AE297" s="24"/>
      <c r="AF297" s="80"/>
      <c r="AG297" s="140"/>
    </row>
    <row r="298" spans="1:33" s="34" customFormat="1" ht="27" customHeight="1">
      <c r="A298" s="15"/>
      <c r="B298" s="81"/>
      <c r="C298" s="15"/>
      <c r="D298" s="15"/>
      <c r="E298" s="26"/>
      <c r="F298" s="27"/>
      <c r="G298" s="27"/>
      <c r="H298" s="81"/>
      <c r="I298" s="27"/>
      <c r="J298" s="28"/>
      <c r="K298" s="81"/>
      <c r="L298" s="81"/>
      <c r="M298" s="88"/>
      <c r="N298" s="88"/>
      <c r="O298" s="29"/>
      <c r="P298" s="30"/>
      <c r="Q298" s="31"/>
      <c r="R298" s="32"/>
      <c r="S298" s="20"/>
      <c r="T298" s="33"/>
      <c r="U298" s="89"/>
      <c r="V298" s="90"/>
      <c r="W298" s="18"/>
      <c r="X298" s="19"/>
      <c r="Y298" s="20"/>
      <c r="Z298" s="21"/>
      <c r="AA298" s="22"/>
      <c r="AB298" s="23"/>
      <c r="AC298" s="27"/>
      <c r="AD298" s="80"/>
      <c r="AE298" s="24"/>
      <c r="AF298" s="80"/>
      <c r="AG298" s="140"/>
    </row>
    <row r="299" spans="1:33" s="34" customFormat="1" ht="27" customHeight="1">
      <c r="A299" s="15"/>
      <c r="B299" s="81"/>
      <c r="C299" s="15"/>
      <c r="D299" s="15"/>
      <c r="E299" s="26"/>
      <c r="F299" s="27"/>
      <c r="G299" s="27"/>
      <c r="H299" s="81"/>
      <c r="I299" s="27"/>
      <c r="J299" s="28"/>
      <c r="K299" s="81"/>
      <c r="L299" s="81"/>
      <c r="M299" s="88"/>
      <c r="N299" s="88"/>
      <c r="O299" s="29"/>
      <c r="P299" s="30"/>
      <c r="Q299" s="31"/>
      <c r="R299" s="32"/>
      <c r="S299" s="20"/>
      <c r="T299" s="33"/>
      <c r="U299" s="89"/>
      <c r="V299" s="90"/>
      <c r="W299" s="18"/>
      <c r="X299" s="19"/>
      <c r="Y299" s="20"/>
      <c r="Z299" s="21"/>
      <c r="AA299" s="22"/>
      <c r="AB299" s="23"/>
      <c r="AC299" s="27"/>
      <c r="AD299" s="80"/>
      <c r="AE299" s="24"/>
      <c r="AF299" s="80"/>
      <c r="AG299" s="140"/>
    </row>
    <row r="300" spans="1:33" s="34" customFormat="1" ht="27" customHeight="1">
      <c r="A300" s="15"/>
      <c r="B300" s="81"/>
      <c r="C300" s="15"/>
      <c r="D300" s="15"/>
      <c r="E300" s="26"/>
      <c r="F300" s="27"/>
      <c r="G300" s="27"/>
      <c r="H300" s="81"/>
      <c r="I300" s="27"/>
      <c r="J300" s="28"/>
      <c r="K300" s="81"/>
      <c r="L300" s="81"/>
      <c r="M300" s="88"/>
      <c r="N300" s="88"/>
      <c r="O300" s="29"/>
      <c r="P300" s="30"/>
      <c r="Q300" s="31"/>
      <c r="R300" s="32"/>
      <c r="S300" s="20"/>
      <c r="T300" s="33"/>
      <c r="U300" s="89"/>
      <c r="V300" s="90"/>
      <c r="W300" s="18"/>
      <c r="X300" s="19"/>
      <c r="Y300" s="20"/>
      <c r="Z300" s="21"/>
      <c r="AA300" s="22"/>
      <c r="AB300" s="23"/>
      <c r="AC300" s="27"/>
      <c r="AD300" s="80"/>
      <c r="AE300" s="24"/>
      <c r="AF300" s="80"/>
      <c r="AG300" s="140"/>
    </row>
    <row r="301" spans="1:33" s="34" customFormat="1" ht="27" customHeight="1">
      <c r="A301" s="15"/>
      <c r="B301" s="81"/>
      <c r="C301" s="15"/>
      <c r="D301" s="15"/>
      <c r="E301" s="26"/>
      <c r="F301" s="27"/>
      <c r="G301" s="27"/>
      <c r="H301" s="81"/>
      <c r="I301" s="27"/>
      <c r="J301" s="28"/>
      <c r="K301" s="81"/>
      <c r="L301" s="81"/>
      <c r="M301" s="88"/>
      <c r="N301" s="88"/>
      <c r="O301" s="29"/>
      <c r="P301" s="30"/>
      <c r="Q301" s="31"/>
      <c r="R301" s="32"/>
      <c r="S301" s="20"/>
      <c r="T301" s="33"/>
      <c r="U301" s="89"/>
      <c r="V301" s="90"/>
      <c r="W301" s="18"/>
      <c r="X301" s="19"/>
      <c r="Y301" s="20"/>
      <c r="Z301" s="21"/>
      <c r="AA301" s="22"/>
      <c r="AB301" s="23"/>
      <c r="AC301" s="27"/>
      <c r="AD301" s="80"/>
      <c r="AE301" s="24"/>
      <c r="AF301" s="80"/>
      <c r="AG301" s="140"/>
    </row>
    <row r="302" spans="1:33" s="34" customFormat="1" ht="27" customHeight="1">
      <c r="A302" s="15"/>
      <c r="B302" s="81"/>
      <c r="C302" s="15"/>
      <c r="D302" s="15"/>
      <c r="E302" s="26"/>
      <c r="F302" s="27"/>
      <c r="G302" s="27"/>
      <c r="H302" s="81"/>
      <c r="I302" s="27"/>
      <c r="J302" s="28"/>
      <c r="K302" s="81"/>
      <c r="L302" s="81"/>
      <c r="M302" s="88"/>
      <c r="N302" s="88"/>
      <c r="O302" s="29"/>
      <c r="P302" s="30"/>
      <c r="Q302" s="31"/>
      <c r="R302" s="32"/>
      <c r="S302" s="20"/>
      <c r="T302" s="33"/>
      <c r="U302" s="89"/>
      <c r="V302" s="90"/>
      <c r="W302" s="18"/>
      <c r="X302" s="19"/>
      <c r="Y302" s="20"/>
      <c r="Z302" s="21"/>
      <c r="AA302" s="22"/>
      <c r="AB302" s="23"/>
      <c r="AC302" s="27"/>
      <c r="AD302" s="80"/>
      <c r="AE302" s="24"/>
      <c r="AF302" s="80"/>
      <c r="AG302" s="140"/>
    </row>
    <row r="303" spans="1:33" s="34" customFormat="1" ht="27" customHeight="1">
      <c r="A303" s="15"/>
      <c r="B303" s="81"/>
      <c r="C303" s="15"/>
      <c r="D303" s="15"/>
      <c r="E303" s="26"/>
      <c r="F303" s="27"/>
      <c r="G303" s="27"/>
      <c r="H303" s="81"/>
      <c r="I303" s="27"/>
      <c r="J303" s="28"/>
      <c r="K303" s="81"/>
      <c r="L303" s="81"/>
      <c r="M303" s="88"/>
      <c r="N303" s="88"/>
      <c r="O303" s="29"/>
      <c r="P303" s="30"/>
      <c r="Q303" s="31"/>
      <c r="R303" s="32"/>
      <c r="S303" s="20"/>
      <c r="T303" s="33"/>
      <c r="U303" s="89"/>
      <c r="V303" s="90"/>
      <c r="W303" s="18"/>
      <c r="X303" s="19"/>
      <c r="Y303" s="20"/>
      <c r="Z303" s="21"/>
      <c r="AA303" s="22"/>
      <c r="AB303" s="23"/>
      <c r="AC303" s="27"/>
      <c r="AD303" s="80"/>
      <c r="AE303" s="24"/>
      <c r="AF303" s="80"/>
      <c r="AG303" s="140"/>
    </row>
    <row r="304" spans="1:33" s="34" customFormat="1" ht="27" customHeight="1">
      <c r="A304" s="15"/>
      <c r="B304" s="81"/>
      <c r="C304" s="15"/>
      <c r="D304" s="15"/>
      <c r="E304" s="26"/>
      <c r="F304" s="27"/>
      <c r="G304" s="27"/>
      <c r="H304" s="81"/>
      <c r="I304" s="27"/>
      <c r="J304" s="28"/>
      <c r="K304" s="81"/>
      <c r="L304" s="81"/>
      <c r="M304" s="88"/>
      <c r="N304" s="88"/>
      <c r="O304" s="29"/>
      <c r="P304" s="30"/>
      <c r="Q304" s="31"/>
      <c r="R304" s="32"/>
      <c r="S304" s="20"/>
      <c r="T304" s="33"/>
      <c r="U304" s="89"/>
      <c r="V304" s="90"/>
      <c r="W304" s="18"/>
      <c r="X304" s="19"/>
      <c r="Y304" s="20"/>
      <c r="Z304" s="21"/>
      <c r="AA304" s="22"/>
      <c r="AB304" s="23"/>
      <c r="AC304" s="27"/>
      <c r="AD304" s="80"/>
      <c r="AE304" s="24"/>
      <c r="AF304" s="80"/>
      <c r="AG304" s="140"/>
    </row>
    <row r="305" spans="1:33" s="34" customFormat="1" ht="27" customHeight="1">
      <c r="A305" s="15"/>
      <c r="B305" s="81"/>
      <c r="C305" s="15"/>
      <c r="D305" s="15"/>
      <c r="E305" s="26"/>
      <c r="F305" s="27"/>
      <c r="G305" s="27"/>
      <c r="H305" s="81"/>
      <c r="I305" s="27"/>
      <c r="J305" s="28"/>
      <c r="K305" s="81"/>
      <c r="L305" s="81"/>
      <c r="M305" s="88"/>
      <c r="N305" s="88"/>
      <c r="O305" s="29"/>
      <c r="P305" s="30"/>
      <c r="Q305" s="31"/>
      <c r="R305" s="32"/>
      <c r="S305" s="20"/>
      <c r="T305" s="33"/>
      <c r="U305" s="89"/>
      <c r="V305" s="90"/>
      <c r="W305" s="18"/>
      <c r="X305" s="19"/>
      <c r="Y305" s="20"/>
      <c r="Z305" s="21"/>
      <c r="AA305" s="22"/>
      <c r="AB305" s="23"/>
      <c r="AC305" s="27"/>
      <c r="AD305" s="80"/>
      <c r="AE305" s="24"/>
      <c r="AF305" s="80"/>
      <c r="AG305" s="140"/>
    </row>
    <row r="306" spans="1:33" s="34" customFormat="1" ht="27" customHeight="1">
      <c r="A306" s="15"/>
      <c r="B306" s="81"/>
      <c r="C306" s="15"/>
      <c r="D306" s="15"/>
      <c r="E306" s="26"/>
      <c r="F306" s="27"/>
      <c r="G306" s="27"/>
      <c r="H306" s="81"/>
      <c r="I306" s="27"/>
      <c r="J306" s="28"/>
      <c r="K306" s="81"/>
      <c r="L306" s="81"/>
      <c r="M306" s="88"/>
      <c r="N306" s="88"/>
      <c r="O306" s="29"/>
      <c r="P306" s="30"/>
      <c r="Q306" s="31"/>
      <c r="R306" s="32"/>
      <c r="S306" s="20"/>
      <c r="T306" s="33"/>
      <c r="U306" s="89"/>
      <c r="V306" s="90"/>
      <c r="W306" s="18"/>
      <c r="X306" s="19"/>
      <c r="Y306" s="20"/>
      <c r="Z306" s="21"/>
      <c r="AA306" s="22"/>
      <c r="AB306" s="23"/>
      <c r="AC306" s="27"/>
      <c r="AD306" s="80"/>
      <c r="AE306" s="24"/>
      <c r="AF306" s="80"/>
      <c r="AG306" s="140"/>
    </row>
    <row r="307" spans="1:33" s="34" customFormat="1" ht="27" customHeight="1">
      <c r="A307" s="15"/>
      <c r="B307" s="81"/>
      <c r="C307" s="15"/>
      <c r="D307" s="15"/>
      <c r="E307" s="26"/>
      <c r="F307" s="27"/>
      <c r="G307" s="27"/>
      <c r="H307" s="81"/>
      <c r="I307" s="27"/>
      <c r="J307" s="28"/>
      <c r="K307" s="81"/>
      <c r="L307" s="81"/>
      <c r="M307" s="88"/>
      <c r="N307" s="88"/>
      <c r="O307" s="29"/>
      <c r="P307" s="30"/>
      <c r="Q307" s="31"/>
      <c r="R307" s="32"/>
      <c r="S307" s="20"/>
      <c r="T307" s="33"/>
      <c r="U307" s="89"/>
      <c r="V307" s="90"/>
      <c r="W307" s="18"/>
      <c r="X307" s="19"/>
      <c r="Y307" s="20"/>
      <c r="Z307" s="21"/>
      <c r="AA307" s="22"/>
      <c r="AB307" s="23"/>
      <c r="AC307" s="27"/>
      <c r="AD307" s="80"/>
      <c r="AE307" s="24"/>
      <c r="AF307" s="80"/>
      <c r="AG307" s="140"/>
    </row>
    <row r="308" spans="1:33" s="34" customFormat="1" ht="27" customHeight="1">
      <c r="A308" s="15"/>
      <c r="B308" s="81"/>
      <c r="C308" s="15"/>
      <c r="D308" s="15"/>
      <c r="E308" s="26"/>
      <c r="F308" s="27"/>
      <c r="G308" s="27"/>
      <c r="H308" s="81"/>
      <c r="I308" s="27"/>
      <c r="J308" s="28"/>
      <c r="K308" s="81"/>
      <c r="L308" s="81"/>
      <c r="M308" s="88"/>
      <c r="N308" s="88"/>
      <c r="O308" s="29"/>
      <c r="P308" s="30"/>
      <c r="Q308" s="31"/>
      <c r="R308" s="32"/>
      <c r="S308" s="20"/>
      <c r="T308" s="33"/>
      <c r="U308" s="89"/>
      <c r="V308" s="90"/>
      <c r="W308" s="18"/>
      <c r="X308" s="19"/>
      <c r="Y308" s="20"/>
      <c r="Z308" s="21"/>
      <c r="AA308" s="22"/>
      <c r="AB308" s="23"/>
      <c r="AC308" s="27"/>
      <c r="AD308" s="80"/>
      <c r="AE308" s="24"/>
      <c r="AF308" s="80"/>
      <c r="AG308" s="140"/>
    </row>
    <row r="309" spans="1:33" s="34" customFormat="1" ht="27" customHeight="1">
      <c r="A309" s="15"/>
      <c r="B309" s="81"/>
      <c r="C309" s="15"/>
      <c r="D309" s="15"/>
      <c r="E309" s="26"/>
      <c r="F309" s="27"/>
      <c r="G309" s="27"/>
      <c r="H309" s="81"/>
      <c r="I309" s="27"/>
      <c r="J309" s="28"/>
      <c r="K309" s="81"/>
      <c r="L309" s="81"/>
      <c r="M309" s="88"/>
      <c r="N309" s="88"/>
      <c r="O309" s="29"/>
      <c r="P309" s="30"/>
      <c r="Q309" s="31"/>
      <c r="R309" s="32"/>
      <c r="S309" s="20"/>
      <c r="T309" s="33"/>
      <c r="U309" s="89"/>
      <c r="V309" s="90"/>
      <c r="W309" s="18"/>
      <c r="X309" s="19"/>
      <c r="Y309" s="20"/>
      <c r="Z309" s="21"/>
      <c r="AA309" s="22"/>
      <c r="AB309" s="23"/>
      <c r="AC309" s="27"/>
      <c r="AD309" s="80"/>
      <c r="AE309" s="24"/>
      <c r="AF309" s="80"/>
      <c r="AG309" s="140"/>
    </row>
    <row r="310" spans="1:33" s="34" customFormat="1" ht="27" customHeight="1">
      <c r="A310" s="15"/>
      <c r="B310" s="81"/>
      <c r="C310" s="15"/>
      <c r="D310" s="15"/>
      <c r="E310" s="26"/>
      <c r="F310" s="27"/>
      <c r="G310" s="27"/>
      <c r="H310" s="81"/>
      <c r="I310" s="27"/>
      <c r="J310" s="28"/>
      <c r="K310" s="81"/>
      <c r="L310" s="81"/>
      <c r="M310" s="88"/>
      <c r="N310" s="88"/>
      <c r="O310" s="29"/>
      <c r="P310" s="30"/>
      <c r="Q310" s="31"/>
      <c r="R310" s="32"/>
      <c r="S310" s="20"/>
      <c r="T310" s="33"/>
      <c r="U310" s="89"/>
      <c r="V310" s="90"/>
      <c r="W310" s="18"/>
      <c r="X310" s="19"/>
      <c r="Y310" s="20"/>
      <c r="Z310" s="21"/>
      <c r="AA310" s="22"/>
      <c r="AB310" s="23"/>
      <c r="AC310" s="27"/>
      <c r="AD310" s="80"/>
      <c r="AE310" s="24"/>
      <c r="AF310" s="80"/>
      <c r="AG310" s="140"/>
    </row>
    <row r="311" spans="1:33" s="34" customFormat="1" ht="27" customHeight="1">
      <c r="A311" s="15"/>
      <c r="B311" s="81"/>
      <c r="C311" s="15"/>
      <c r="D311" s="15"/>
      <c r="E311" s="26"/>
      <c r="F311" s="27"/>
      <c r="G311" s="27"/>
      <c r="H311" s="81"/>
      <c r="I311" s="27"/>
      <c r="J311" s="28"/>
      <c r="K311" s="81"/>
      <c r="L311" s="81"/>
      <c r="M311" s="88"/>
      <c r="N311" s="88"/>
      <c r="O311" s="29"/>
      <c r="P311" s="30"/>
      <c r="Q311" s="31"/>
      <c r="R311" s="32"/>
      <c r="S311" s="20"/>
      <c r="T311" s="33"/>
      <c r="U311" s="89"/>
      <c r="V311" s="90"/>
      <c r="W311" s="18"/>
      <c r="X311" s="19"/>
      <c r="Y311" s="20"/>
      <c r="Z311" s="21"/>
      <c r="AA311" s="22"/>
      <c r="AB311" s="23"/>
      <c r="AC311" s="27"/>
      <c r="AD311" s="80"/>
      <c r="AE311" s="24"/>
      <c r="AF311" s="80"/>
      <c r="AG311" s="140"/>
    </row>
    <row r="312" spans="1:33" s="34" customFormat="1" ht="27" customHeight="1">
      <c r="A312" s="15"/>
      <c r="B312" s="81"/>
      <c r="C312" s="15"/>
      <c r="D312" s="15"/>
      <c r="E312" s="26"/>
      <c r="F312" s="27"/>
      <c r="G312" s="27"/>
      <c r="H312" s="81"/>
      <c r="I312" s="27"/>
      <c r="J312" s="28"/>
      <c r="K312" s="81"/>
      <c r="L312" s="81"/>
      <c r="M312" s="28"/>
      <c r="N312" s="28"/>
      <c r="O312" s="29"/>
      <c r="P312" s="30"/>
      <c r="Q312" s="31"/>
      <c r="R312" s="32"/>
      <c r="S312" s="20"/>
      <c r="T312" s="33"/>
      <c r="U312" s="89"/>
      <c r="V312" s="90"/>
      <c r="W312" s="18"/>
      <c r="X312" s="19"/>
      <c r="Y312" s="20"/>
      <c r="Z312" s="20"/>
      <c r="AA312" s="22"/>
      <c r="AB312" s="23"/>
      <c r="AC312" s="27"/>
      <c r="AD312" s="80"/>
      <c r="AE312" s="24"/>
      <c r="AF312" s="81"/>
      <c r="AG312" s="142"/>
    </row>
    <row r="313" spans="1:33" s="34" customFormat="1" ht="27" customHeight="1">
      <c r="A313" s="15"/>
      <c r="B313" s="81"/>
      <c r="C313" s="15"/>
      <c r="D313" s="15"/>
      <c r="E313" s="26"/>
      <c r="F313" s="27"/>
      <c r="G313" s="27"/>
      <c r="H313" s="81"/>
      <c r="I313" s="27"/>
      <c r="J313" s="28"/>
      <c r="K313" s="81"/>
      <c r="L313" s="81"/>
      <c r="M313" s="28"/>
      <c r="N313" s="28"/>
      <c r="O313" s="29"/>
      <c r="P313" s="30"/>
      <c r="Q313" s="31"/>
      <c r="R313" s="32"/>
      <c r="S313" s="20"/>
      <c r="T313" s="33"/>
      <c r="U313" s="89"/>
      <c r="V313" s="90"/>
      <c r="W313" s="18"/>
      <c r="X313" s="19"/>
      <c r="Y313" s="20"/>
      <c r="Z313" s="20"/>
      <c r="AA313" s="22"/>
      <c r="AB313" s="23"/>
      <c r="AC313" s="27"/>
      <c r="AD313" s="80"/>
      <c r="AE313" s="24"/>
      <c r="AF313" s="81"/>
      <c r="AG313" s="142"/>
    </row>
    <row r="314" spans="1:33" s="34" customFormat="1" ht="27" customHeight="1">
      <c r="A314" s="15"/>
      <c r="B314" s="81"/>
      <c r="C314" s="15"/>
      <c r="D314" s="15"/>
      <c r="E314" s="26"/>
      <c r="F314" s="27"/>
      <c r="G314" s="27"/>
      <c r="H314" s="81"/>
      <c r="I314" s="27"/>
      <c r="J314" s="28"/>
      <c r="K314" s="81"/>
      <c r="L314" s="81"/>
      <c r="M314" s="28"/>
      <c r="N314" s="28"/>
      <c r="O314" s="29"/>
      <c r="P314" s="30"/>
      <c r="Q314" s="31"/>
      <c r="R314" s="32"/>
      <c r="S314" s="20"/>
      <c r="T314" s="33"/>
      <c r="U314" s="89"/>
      <c r="V314" s="90"/>
      <c r="W314" s="18"/>
      <c r="X314" s="19"/>
      <c r="Y314" s="20"/>
      <c r="Z314" s="20"/>
      <c r="AA314" s="22"/>
      <c r="AB314" s="23"/>
      <c r="AC314" s="27"/>
      <c r="AD314" s="80"/>
      <c r="AE314" s="24"/>
      <c r="AF314" s="81"/>
      <c r="AG314" s="142"/>
    </row>
    <row r="315" spans="1:33" s="34" customFormat="1" ht="27" customHeight="1">
      <c r="A315" s="15"/>
      <c r="B315" s="81"/>
      <c r="C315" s="15"/>
      <c r="D315" s="15"/>
      <c r="E315" s="26"/>
      <c r="F315" s="27"/>
      <c r="G315" s="27"/>
      <c r="H315" s="81"/>
      <c r="I315" s="27"/>
      <c r="J315" s="28"/>
      <c r="K315" s="81"/>
      <c r="L315" s="81"/>
      <c r="M315" s="28"/>
      <c r="N315" s="28"/>
      <c r="O315" s="29"/>
      <c r="P315" s="30"/>
      <c r="Q315" s="31"/>
      <c r="R315" s="32"/>
      <c r="S315" s="20"/>
      <c r="T315" s="33"/>
      <c r="U315" s="89"/>
      <c r="V315" s="90"/>
      <c r="W315" s="18"/>
      <c r="X315" s="19"/>
      <c r="Y315" s="20"/>
      <c r="Z315" s="20"/>
      <c r="AA315" s="22"/>
      <c r="AB315" s="23"/>
      <c r="AC315" s="27"/>
      <c r="AD315" s="80"/>
      <c r="AE315" s="24"/>
      <c r="AF315" s="81"/>
      <c r="AG315" s="142"/>
    </row>
    <row r="316" spans="1:33" s="34" customFormat="1" ht="27" customHeight="1">
      <c r="A316" s="15"/>
      <c r="B316" s="81"/>
      <c r="C316" s="15"/>
      <c r="D316" s="15"/>
      <c r="E316" s="26"/>
      <c r="F316" s="27"/>
      <c r="G316" s="27"/>
      <c r="H316" s="81"/>
      <c r="I316" s="27"/>
      <c r="J316" s="28"/>
      <c r="K316" s="81"/>
      <c r="L316" s="81"/>
      <c r="M316" s="28"/>
      <c r="N316" s="28"/>
      <c r="O316" s="29"/>
      <c r="P316" s="30"/>
      <c r="Q316" s="31"/>
      <c r="R316" s="32"/>
      <c r="S316" s="20"/>
      <c r="T316" s="33"/>
      <c r="U316" s="89"/>
      <c r="V316" s="90"/>
      <c r="W316" s="18"/>
      <c r="X316" s="19"/>
      <c r="Y316" s="20"/>
      <c r="Z316" s="20"/>
      <c r="AA316" s="22"/>
      <c r="AB316" s="23"/>
      <c r="AC316" s="27"/>
      <c r="AD316" s="80"/>
      <c r="AE316" s="24"/>
      <c r="AF316" s="81"/>
      <c r="AG316" s="142"/>
    </row>
    <row r="317" spans="1:33" s="34" customFormat="1" ht="27" customHeight="1">
      <c r="A317" s="15"/>
      <c r="B317" s="81"/>
      <c r="C317" s="15"/>
      <c r="D317" s="15"/>
      <c r="E317" s="26"/>
      <c r="F317" s="27"/>
      <c r="G317" s="27"/>
      <c r="H317" s="81"/>
      <c r="I317" s="27"/>
      <c r="J317" s="28"/>
      <c r="K317" s="81"/>
      <c r="L317" s="81"/>
      <c r="M317" s="28"/>
      <c r="N317" s="28"/>
      <c r="O317" s="29"/>
      <c r="P317" s="30"/>
      <c r="Q317" s="31"/>
      <c r="R317" s="32"/>
      <c r="S317" s="20"/>
      <c r="T317" s="33"/>
      <c r="U317" s="89"/>
      <c r="V317" s="90"/>
      <c r="W317" s="18"/>
      <c r="X317" s="19"/>
      <c r="Y317" s="20"/>
      <c r="Z317" s="20"/>
      <c r="AA317" s="22"/>
      <c r="AB317" s="23"/>
      <c r="AC317" s="27"/>
      <c r="AD317" s="80"/>
      <c r="AE317" s="24"/>
      <c r="AF317" s="81"/>
      <c r="AG317" s="142"/>
    </row>
    <row r="318" spans="1:33" s="34" customFormat="1" ht="27" customHeight="1">
      <c r="A318" s="15"/>
      <c r="B318" s="81"/>
      <c r="C318" s="15"/>
      <c r="D318" s="15"/>
      <c r="E318" s="26"/>
      <c r="F318" s="27"/>
      <c r="G318" s="27"/>
      <c r="H318" s="81"/>
      <c r="I318" s="27"/>
      <c r="J318" s="28"/>
      <c r="K318" s="81"/>
      <c r="L318" s="81"/>
      <c r="M318" s="28"/>
      <c r="N318" s="28"/>
      <c r="O318" s="29"/>
      <c r="P318" s="30"/>
      <c r="Q318" s="31"/>
      <c r="R318" s="32"/>
      <c r="S318" s="20"/>
      <c r="T318" s="33"/>
      <c r="U318" s="89"/>
      <c r="V318" s="90"/>
      <c r="W318" s="18"/>
      <c r="X318" s="19"/>
      <c r="Y318" s="20"/>
      <c r="Z318" s="20"/>
      <c r="AA318" s="22"/>
      <c r="AB318" s="23"/>
      <c r="AC318" s="27"/>
      <c r="AD318" s="80"/>
      <c r="AE318" s="24"/>
      <c r="AF318" s="81"/>
      <c r="AG318" s="142"/>
    </row>
    <row r="319" spans="1:33" s="34" customFormat="1" ht="27" customHeight="1">
      <c r="A319" s="202"/>
      <c r="B319" s="203"/>
      <c r="C319" s="202"/>
      <c r="D319" s="202"/>
      <c r="E319" s="204"/>
      <c r="F319" s="202"/>
      <c r="G319" s="202"/>
      <c r="H319" s="203"/>
      <c r="I319" s="202"/>
      <c r="J319" s="202"/>
      <c r="K319" s="203"/>
      <c r="L319" s="203"/>
      <c r="M319" s="213"/>
      <c r="N319" s="213"/>
      <c r="O319" s="205"/>
      <c r="P319" s="206"/>
      <c r="Q319" s="207"/>
      <c r="R319" s="208"/>
      <c r="S319" s="202"/>
      <c r="T319" s="202"/>
      <c r="U319" s="89"/>
      <c r="V319" s="90"/>
      <c r="W319" s="209"/>
      <c r="X319" s="210"/>
      <c r="Y319" s="202"/>
      <c r="Z319" s="202"/>
      <c r="AA319" s="211"/>
      <c r="AB319" s="212"/>
      <c r="AC319" s="202"/>
      <c r="AD319" s="190"/>
      <c r="AE319" s="190"/>
      <c r="AF319" s="202"/>
      <c r="AG319" s="202"/>
    </row>
    <row r="320" spans="1:33" s="34" customFormat="1" ht="27" customHeight="1">
      <c r="A320" s="202"/>
      <c r="B320" s="203"/>
      <c r="C320" s="202"/>
      <c r="D320" s="202"/>
      <c r="E320" s="204"/>
      <c r="F320" s="202"/>
      <c r="G320" s="202"/>
      <c r="H320" s="203"/>
      <c r="I320" s="202"/>
      <c r="J320" s="202"/>
      <c r="K320" s="203"/>
      <c r="L320" s="203"/>
      <c r="M320" s="214"/>
      <c r="N320" s="214"/>
      <c r="O320" s="205"/>
      <c r="P320" s="206"/>
      <c r="Q320" s="207"/>
      <c r="R320" s="208"/>
      <c r="S320" s="202"/>
      <c r="T320" s="202"/>
      <c r="U320" s="89"/>
      <c r="V320" s="90"/>
      <c r="W320" s="209"/>
      <c r="X320" s="210"/>
      <c r="Y320" s="202"/>
      <c r="Z320" s="202"/>
      <c r="AA320" s="211"/>
      <c r="AB320" s="212"/>
      <c r="AC320" s="202"/>
      <c r="AD320" s="190"/>
      <c r="AE320" s="190"/>
      <c r="AF320" s="202"/>
      <c r="AG320" s="202"/>
    </row>
    <row r="321" spans="1:33" s="34" customFormat="1" ht="27" customHeight="1">
      <c r="A321" s="15"/>
      <c r="B321" s="81"/>
      <c r="C321" s="15"/>
      <c r="D321" s="15"/>
      <c r="E321" s="26"/>
      <c r="F321" s="27"/>
      <c r="G321" s="27"/>
      <c r="H321" s="81"/>
      <c r="I321" s="27"/>
      <c r="J321" s="28"/>
      <c r="K321" s="81"/>
      <c r="L321" s="81"/>
      <c r="M321" s="28"/>
      <c r="N321" s="28"/>
      <c r="O321" s="29"/>
      <c r="P321" s="30"/>
      <c r="Q321" s="31"/>
      <c r="R321" s="32"/>
      <c r="S321" s="20"/>
      <c r="T321" s="33"/>
      <c r="U321" s="89"/>
      <c r="V321" s="90"/>
      <c r="W321" s="18"/>
      <c r="X321" s="19"/>
      <c r="Y321" s="20"/>
      <c r="Z321" s="20"/>
      <c r="AA321" s="22"/>
      <c r="AB321" s="23"/>
      <c r="AC321" s="27"/>
      <c r="AD321" s="80"/>
      <c r="AE321" s="24"/>
      <c r="AF321" s="81"/>
      <c r="AG321" s="142"/>
    </row>
    <row r="322" spans="1:33" s="34" customFormat="1" ht="27" customHeight="1">
      <c r="A322" s="15"/>
      <c r="B322" s="81"/>
      <c r="C322" s="15"/>
      <c r="D322" s="15"/>
      <c r="E322" s="26"/>
      <c r="F322" s="27"/>
      <c r="G322" s="27"/>
      <c r="H322" s="81"/>
      <c r="I322" s="27"/>
      <c r="J322" s="28"/>
      <c r="K322" s="81"/>
      <c r="L322" s="81"/>
      <c r="M322" s="28"/>
      <c r="N322" s="28"/>
      <c r="O322" s="29"/>
      <c r="P322" s="30"/>
      <c r="Q322" s="31"/>
      <c r="R322" s="32"/>
      <c r="S322" s="20"/>
      <c r="T322" s="33"/>
      <c r="U322" s="89"/>
      <c r="V322" s="90"/>
      <c r="W322" s="18"/>
      <c r="X322" s="19"/>
      <c r="Y322" s="20"/>
      <c r="Z322" s="20"/>
      <c r="AA322" s="22"/>
      <c r="AB322" s="23"/>
      <c r="AC322" s="27"/>
      <c r="AD322" s="80"/>
      <c r="AE322" s="24"/>
      <c r="AF322" s="81"/>
      <c r="AG322" s="142"/>
    </row>
    <row r="323" spans="1:33" s="34" customFormat="1" ht="27" customHeight="1">
      <c r="A323" s="15"/>
      <c r="B323" s="81"/>
      <c r="C323" s="15"/>
      <c r="D323" s="15"/>
      <c r="E323" s="26"/>
      <c r="F323" s="27"/>
      <c r="G323" s="27"/>
      <c r="H323" s="81"/>
      <c r="I323" s="27"/>
      <c r="J323" s="28"/>
      <c r="K323" s="81"/>
      <c r="L323" s="81"/>
      <c r="M323" s="28"/>
      <c r="N323" s="28"/>
      <c r="O323" s="29"/>
      <c r="P323" s="30"/>
      <c r="Q323" s="31"/>
      <c r="R323" s="32"/>
      <c r="S323" s="20"/>
      <c r="T323" s="33"/>
      <c r="U323" s="89"/>
      <c r="V323" s="90"/>
      <c r="W323" s="18"/>
      <c r="X323" s="19"/>
      <c r="Y323" s="20"/>
      <c r="Z323" s="20"/>
      <c r="AA323" s="22"/>
      <c r="AB323" s="23"/>
      <c r="AC323" s="27"/>
      <c r="AD323" s="80"/>
      <c r="AE323" s="24"/>
      <c r="AF323" s="81"/>
      <c r="AG323" s="142"/>
    </row>
    <row r="324" spans="1:33" s="34" customFormat="1" ht="27" customHeight="1">
      <c r="A324" s="15"/>
      <c r="B324" s="81"/>
      <c r="C324" s="15"/>
      <c r="D324" s="15"/>
      <c r="E324" s="26"/>
      <c r="F324" s="27"/>
      <c r="G324" s="27"/>
      <c r="H324" s="81"/>
      <c r="I324" s="27"/>
      <c r="J324" s="28"/>
      <c r="K324" s="81"/>
      <c r="L324" s="81"/>
      <c r="M324" s="28"/>
      <c r="N324" s="28"/>
      <c r="O324" s="29"/>
      <c r="P324" s="30"/>
      <c r="Q324" s="31"/>
      <c r="R324" s="32"/>
      <c r="S324" s="20"/>
      <c r="T324" s="33"/>
      <c r="U324" s="89"/>
      <c r="V324" s="90"/>
      <c r="W324" s="18"/>
      <c r="X324" s="19"/>
      <c r="Y324" s="20"/>
      <c r="Z324" s="20"/>
      <c r="AA324" s="22"/>
      <c r="AB324" s="23"/>
      <c r="AC324" s="27"/>
      <c r="AD324" s="80"/>
      <c r="AE324" s="24"/>
      <c r="AF324" s="81"/>
      <c r="AG324" s="142"/>
    </row>
    <row r="325" spans="1:33" s="34" customFormat="1" ht="27" customHeight="1">
      <c r="A325" s="15"/>
      <c r="B325" s="81"/>
      <c r="C325" s="15"/>
      <c r="D325" s="15"/>
      <c r="E325" s="26"/>
      <c r="F325" s="27"/>
      <c r="G325" s="27"/>
      <c r="H325" s="81"/>
      <c r="I325" s="27"/>
      <c r="J325" s="28"/>
      <c r="K325" s="81"/>
      <c r="L325" s="81"/>
      <c r="M325" s="28"/>
      <c r="N325" s="28"/>
      <c r="O325" s="29"/>
      <c r="P325" s="30"/>
      <c r="Q325" s="31"/>
      <c r="R325" s="32"/>
      <c r="S325" s="20"/>
      <c r="T325" s="33"/>
      <c r="U325" s="89"/>
      <c r="V325" s="90"/>
      <c r="W325" s="18"/>
      <c r="X325" s="19"/>
      <c r="Y325" s="20"/>
      <c r="Z325" s="20"/>
      <c r="AA325" s="22"/>
      <c r="AB325" s="23"/>
      <c r="AC325" s="27"/>
      <c r="AD325" s="80"/>
      <c r="AE325" s="24"/>
      <c r="AF325" s="81"/>
      <c r="AG325" s="142"/>
    </row>
    <row r="326" spans="1:33" s="34" customFormat="1" ht="27" customHeight="1">
      <c r="A326" s="15"/>
      <c r="B326" s="81"/>
      <c r="C326" s="15"/>
      <c r="D326" s="15"/>
      <c r="E326" s="26"/>
      <c r="F326" s="27"/>
      <c r="G326" s="27"/>
      <c r="H326" s="81"/>
      <c r="I326" s="27"/>
      <c r="J326" s="28"/>
      <c r="K326" s="81"/>
      <c r="L326" s="81"/>
      <c r="M326" s="28"/>
      <c r="N326" s="28"/>
      <c r="O326" s="29"/>
      <c r="P326" s="30"/>
      <c r="Q326" s="31"/>
      <c r="R326" s="32"/>
      <c r="S326" s="20"/>
      <c r="T326" s="33"/>
      <c r="U326" s="89"/>
      <c r="V326" s="90"/>
      <c r="W326" s="18"/>
      <c r="X326" s="19"/>
      <c r="Y326" s="20"/>
      <c r="Z326" s="20"/>
      <c r="AA326" s="22"/>
      <c r="AB326" s="23"/>
      <c r="AC326" s="27"/>
      <c r="AD326" s="80"/>
      <c r="AE326" s="24"/>
      <c r="AF326" s="81"/>
      <c r="AG326" s="142"/>
    </row>
    <row r="327" spans="1:33" s="34" customFormat="1" ht="27" customHeight="1">
      <c r="A327" s="15"/>
      <c r="B327" s="81"/>
      <c r="C327" s="15"/>
      <c r="D327" s="15"/>
      <c r="E327" s="26"/>
      <c r="F327" s="27"/>
      <c r="G327" s="27"/>
      <c r="H327" s="81"/>
      <c r="I327" s="27"/>
      <c r="J327" s="28"/>
      <c r="K327" s="81"/>
      <c r="L327" s="81"/>
      <c r="M327" s="28"/>
      <c r="N327" s="28"/>
      <c r="O327" s="29"/>
      <c r="P327" s="30"/>
      <c r="Q327" s="31"/>
      <c r="R327" s="32"/>
      <c r="S327" s="20"/>
      <c r="T327" s="33"/>
      <c r="U327" s="89"/>
      <c r="V327" s="90"/>
      <c r="W327" s="18"/>
      <c r="X327" s="19"/>
      <c r="Y327" s="20"/>
      <c r="Z327" s="20"/>
      <c r="AA327" s="22"/>
      <c r="AB327" s="23"/>
      <c r="AC327" s="27"/>
      <c r="AD327" s="80"/>
      <c r="AE327" s="24"/>
      <c r="AF327" s="81"/>
      <c r="AG327" s="142"/>
    </row>
    <row r="328" spans="1:33" s="34" customFormat="1" ht="27" customHeight="1">
      <c r="A328" s="15"/>
      <c r="B328" s="81"/>
      <c r="C328" s="15"/>
      <c r="D328" s="15"/>
      <c r="E328" s="26"/>
      <c r="F328" s="27"/>
      <c r="G328" s="27"/>
      <c r="H328" s="81"/>
      <c r="I328" s="27"/>
      <c r="J328" s="28"/>
      <c r="K328" s="81"/>
      <c r="L328" s="81"/>
      <c r="M328" s="28"/>
      <c r="N328" s="28"/>
      <c r="O328" s="29"/>
      <c r="P328" s="30"/>
      <c r="Q328" s="31"/>
      <c r="R328" s="32"/>
      <c r="S328" s="20"/>
      <c r="T328" s="33"/>
      <c r="U328" s="89"/>
      <c r="V328" s="90"/>
      <c r="W328" s="18"/>
      <c r="X328" s="19"/>
      <c r="Y328" s="20"/>
      <c r="Z328" s="20"/>
      <c r="AA328" s="22"/>
      <c r="AB328" s="23"/>
      <c r="AC328" s="27"/>
      <c r="AD328" s="80"/>
      <c r="AE328" s="24"/>
      <c r="AF328" s="81"/>
      <c r="AG328" s="142"/>
    </row>
    <row r="329" spans="1:33" s="34" customFormat="1" ht="27" customHeight="1">
      <c r="A329" s="15"/>
      <c r="B329" s="81"/>
      <c r="C329" s="15"/>
      <c r="D329" s="15"/>
      <c r="E329" s="26"/>
      <c r="F329" s="27"/>
      <c r="G329" s="27"/>
      <c r="H329" s="81"/>
      <c r="I329" s="27"/>
      <c r="J329" s="28"/>
      <c r="K329" s="81"/>
      <c r="L329" s="81"/>
      <c r="M329" s="28"/>
      <c r="N329" s="28"/>
      <c r="O329" s="29"/>
      <c r="P329" s="30"/>
      <c r="Q329" s="31"/>
      <c r="R329" s="32"/>
      <c r="S329" s="20"/>
      <c r="T329" s="33"/>
      <c r="U329" s="89"/>
      <c r="V329" s="90"/>
      <c r="W329" s="18"/>
      <c r="X329" s="19"/>
      <c r="Y329" s="20"/>
      <c r="Z329" s="20"/>
      <c r="AA329" s="22"/>
      <c r="AB329" s="23"/>
      <c r="AC329" s="27"/>
      <c r="AD329" s="80"/>
      <c r="AE329" s="24"/>
      <c r="AF329" s="81"/>
      <c r="AG329" s="142"/>
    </row>
    <row r="330" spans="1:33" s="34" customFormat="1" ht="27" customHeight="1">
      <c r="A330" s="15"/>
      <c r="B330" s="81"/>
      <c r="C330" s="15"/>
      <c r="D330" s="15"/>
      <c r="E330" s="26"/>
      <c r="F330" s="27"/>
      <c r="G330" s="27"/>
      <c r="H330" s="81"/>
      <c r="I330" s="27"/>
      <c r="J330" s="28"/>
      <c r="K330" s="81"/>
      <c r="L330" s="81"/>
      <c r="M330" s="28"/>
      <c r="N330" s="28"/>
      <c r="O330" s="29"/>
      <c r="P330" s="30"/>
      <c r="Q330" s="31"/>
      <c r="R330" s="32"/>
      <c r="S330" s="20"/>
      <c r="T330" s="33"/>
      <c r="U330" s="89"/>
      <c r="V330" s="90"/>
      <c r="W330" s="18"/>
      <c r="X330" s="19"/>
      <c r="Y330" s="20"/>
      <c r="Z330" s="20"/>
      <c r="AA330" s="22"/>
      <c r="AB330" s="23"/>
      <c r="AC330" s="27"/>
      <c r="AD330" s="80"/>
      <c r="AE330" s="24"/>
      <c r="AF330" s="81"/>
      <c r="AG330" s="142"/>
    </row>
    <row r="331" spans="1:33" s="34" customFormat="1" ht="27" customHeight="1">
      <c r="A331" s="15"/>
      <c r="B331" s="81"/>
      <c r="C331" s="15"/>
      <c r="D331" s="15"/>
      <c r="E331" s="26"/>
      <c r="F331" s="27"/>
      <c r="G331" s="27"/>
      <c r="H331" s="81"/>
      <c r="I331" s="27"/>
      <c r="J331" s="28"/>
      <c r="K331" s="81"/>
      <c r="L331" s="81"/>
      <c r="M331" s="28"/>
      <c r="N331" s="28"/>
      <c r="O331" s="29"/>
      <c r="P331" s="30"/>
      <c r="Q331" s="31"/>
      <c r="R331" s="32"/>
      <c r="S331" s="20"/>
      <c r="T331" s="33"/>
      <c r="U331" s="89"/>
      <c r="V331" s="90"/>
      <c r="W331" s="18"/>
      <c r="X331" s="19"/>
      <c r="Y331" s="20"/>
      <c r="Z331" s="20"/>
      <c r="AA331" s="22"/>
      <c r="AB331" s="23"/>
      <c r="AC331" s="27"/>
      <c r="AD331" s="80"/>
      <c r="AE331" s="24"/>
      <c r="AF331" s="81"/>
      <c r="AG331" s="142"/>
    </row>
    <row r="332" spans="1:33" s="34" customFormat="1" ht="27" customHeight="1">
      <c r="A332" s="15"/>
      <c r="B332" s="81"/>
      <c r="C332" s="15"/>
      <c r="D332" s="15"/>
      <c r="E332" s="26"/>
      <c r="F332" s="27"/>
      <c r="G332" s="27"/>
      <c r="H332" s="81"/>
      <c r="I332" s="27"/>
      <c r="J332" s="28"/>
      <c r="K332" s="81"/>
      <c r="L332" s="81"/>
      <c r="M332" s="28"/>
      <c r="N332" s="28"/>
      <c r="O332" s="29"/>
      <c r="P332" s="30"/>
      <c r="Q332" s="31"/>
      <c r="R332" s="32"/>
      <c r="S332" s="20"/>
      <c r="T332" s="33"/>
      <c r="U332" s="89"/>
      <c r="V332" s="90"/>
      <c r="W332" s="18"/>
      <c r="X332" s="19"/>
      <c r="Y332" s="20"/>
      <c r="Z332" s="20"/>
      <c r="AA332" s="22"/>
      <c r="AB332" s="23"/>
      <c r="AC332" s="27"/>
      <c r="AD332" s="80"/>
      <c r="AE332" s="24"/>
      <c r="AF332" s="81"/>
      <c r="AG332" s="142"/>
    </row>
    <row r="333" spans="1:33" s="34" customFormat="1" ht="27" customHeight="1">
      <c r="A333" s="15"/>
      <c r="B333" s="81"/>
      <c r="C333" s="15"/>
      <c r="D333" s="15"/>
      <c r="E333" s="26"/>
      <c r="F333" s="27"/>
      <c r="G333" s="27"/>
      <c r="H333" s="81"/>
      <c r="I333" s="27"/>
      <c r="J333" s="28"/>
      <c r="K333" s="81"/>
      <c r="L333" s="81"/>
      <c r="M333" s="28"/>
      <c r="N333" s="28"/>
      <c r="O333" s="29"/>
      <c r="P333" s="30"/>
      <c r="Q333" s="31"/>
      <c r="R333" s="32"/>
      <c r="S333" s="20"/>
      <c r="T333" s="33"/>
      <c r="U333" s="89"/>
      <c r="V333" s="90"/>
      <c r="W333" s="18"/>
      <c r="X333" s="19"/>
      <c r="Y333" s="20"/>
      <c r="Z333" s="20"/>
      <c r="AA333" s="22"/>
      <c r="AB333" s="23"/>
      <c r="AC333" s="27"/>
      <c r="AD333" s="80"/>
      <c r="AE333" s="24"/>
      <c r="AF333" s="81"/>
      <c r="AG333" s="142"/>
    </row>
    <row r="334" spans="1:33" s="34" customFormat="1" ht="27" customHeight="1">
      <c r="A334" s="15"/>
      <c r="B334" s="81"/>
      <c r="C334" s="15"/>
      <c r="D334" s="15"/>
      <c r="E334" s="26"/>
      <c r="F334" s="27"/>
      <c r="G334" s="27"/>
      <c r="H334" s="81"/>
      <c r="I334" s="27"/>
      <c r="J334" s="28"/>
      <c r="K334" s="81"/>
      <c r="L334" s="81"/>
      <c r="M334" s="28"/>
      <c r="N334" s="28"/>
      <c r="O334" s="29"/>
      <c r="P334" s="30"/>
      <c r="Q334" s="31"/>
      <c r="R334" s="32"/>
      <c r="S334" s="20"/>
      <c r="T334" s="33"/>
      <c r="U334" s="89"/>
      <c r="V334" s="90"/>
      <c r="W334" s="18"/>
      <c r="X334" s="19"/>
      <c r="Y334" s="20"/>
      <c r="Z334" s="20"/>
      <c r="AA334" s="22"/>
      <c r="AB334" s="23"/>
      <c r="AC334" s="27"/>
      <c r="AD334" s="80"/>
      <c r="AE334" s="24"/>
      <c r="AF334" s="81"/>
      <c r="AG334" s="142"/>
    </row>
    <row r="335" spans="1:33" s="34" customFormat="1" ht="27" customHeight="1">
      <c r="AD335" s="26"/>
      <c r="AF335" s="26"/>
      <c r="AG335" s="26"/>
    </row>
    <row r="336" spans="1:33" s="34" customFormat="1" ht="27" customHeight="1">
      <c r="AD336" s="26"/>
      <c r="AF336" s="26"/>
      <c r="AG336" s="26"/>
    </row>
    <row r="337" spans="30:33" s="34" customFormat="1" ht="27" customHeight="1">
      <c r="AD337" s="26"/>
      <c r="AF337" s="26"/>
      <c r="AG337" s="26"/>
    </row>
    <row r="338" spans="30:33" s="34" customFormat="1" ht="27" customHeight="1">
      <c r="AD338" s="26"/>
      <c r="AF338" s="26"/>
      <c r="AG338" s="26"/>
    </row>
    <row r="339" spans="30:33" s="34" customFormat="1" ht="27" customHeight="1">
      <c r="AD339" s="26"/>
      <c r="AF339" s="26"/>
      <c r="AG339" s="26"/>
    </row>
    <row r="340" spans="30:33" s="34" customFormat="1" ht="27" customHeight="1">
      <c r="AD340" s="26"/>
      <c r="AF340" s="26"/>
      <c r="AG340" s="26"/>
    </row>
    <row r="341" spans="30:33" s="34" customFormat="1" ht="27" customHeight="1">
      <c r="AD341" s="26"/>
      <c r="AF341" s="26"/>
      <c r="AG341" s="26"/>
    </row>
    <row r="342" spans="30:33" s="34" customFormat="1" ht="27" customHeight="1">
      <c r="AD342" s="26"/>
      <c r="AF342" s="26"/>
      <c r="AG342" s="26"/>
    </row>
    <row r="343" spans="30:33" s="34" customFormat="1" ht="27" customHeight="1">
      <c r="AD343" s="26"/>
      <c r="AF343" s="26"/>
      <c r="AG343" s="26"/>
    </row>
    <row r="344" spans="30:33" s="34" customFormat="1" ht="27" customHeight="1">
      <c r="AD344" s="26"/>
      <c r="AF344" s="26"/>
      <c r="AG344" s="26"/>
    </row>
    <row r="345" spans="30:33" s="34" customFormat="1" ht="27" customHeight="1">
      <c r="AD345" s="26"/>
      <c r="AF345" s="26"/>
      <c r="AG345" s="26"/>
    </row>
    <row r="346" spans="30:33" s="34" customFormat="1" ht="27" customHeight="1">
      <c r="AD346" s="26"/>
      <c r="AF346" s="26"/>
      <c r="AG346" s="26"/>
    </row>
    <row r="347" spans="30:33" s="34" customFormat="1" ht="27" customHeight="1">
      <c r="AD347" s="26"/>
      <c r="AF347" s="26"/>
      <c r="AG347" s="26"/>
    </row>
    <row r="348" spans="30:33" s="34" customFormat="1" ht="27" customHeight="1">
      <c r="AD348" s="26"/>
      <c r="AF348" s="26"/>
      <c r="AG348" s="26"/>
    </row>
    <row r="349" spans="30:33" s="34" customFormat="1" ht="27" customHeight="1">
      <c r="AD349" s="26"/>
      <c r="AF349" s="26"/>
      <c r="AG349" s="26"/>
    </row>
    <row r="350" spans="30:33" s="34" customFormat="1" ht="27" customHeight="1">
      <c r="AD350" s="26"/>
      <c r="AF350" s="26"/>
      <c r="AG350" s="26"/>
    </row>
    <row r="351" spans="30:33" s="34" customFormat="1" ht="27" customHeight="1">
      <c r="AD351" s="26"/>
      <c r="AF351" s="26"/>
      <c r="AG351" s="26"/>
    </row>
    <row r="352" spans="30:33" s="34" customFormat="1" ht="27" customHeight="1">
      <c r="AD352" s="26"/>
      <c r="AF352" s="26"/>
      <c r="AG352" s="26"/>
    </row>
    <row r="353" spans="30:33" s="34" customFormat="1" ht="27" customHeight="1">
      <c r="AD353" s="26"/>
      <c r="AF353" s="26"/>
      <c r="AG353" s="26"/>
    </row>
    <row r="354" spans="30:33" s="34" customFormat="1" ht="27" customHeight="1">
      <c r="AD354" s="26"/>
      <c r="AF354" s="26"/>
      <c r="AG354" s="26"/>
    </row>
    <row r="355" spans="30:33" s="34" customFormat="1" ht="27" customHeight="1">
      <c r="AD355" s="26"/>
      <c r="AF355" s="26"/>
      <c r="AG355" s="26"/>
    </row>
    <row r="356" spans="30:33" s="34" customFormat="1" ht="27" customHeight="1">
      <c r="AD356" s="26"/>
      <c r="AF356" s="26"/>
      <c r="AG356" s="26"/>
    </row>
    <row r="357" spans="30:33" s="34" customFormat="1" ht="27" customHeight="1">
      <c r="AD357" s="26"/>
      <c r="AF357" s="26"/>
      <c r="AG357" s="26"/>
    </row>
    <row r="358" spans="30:33" s="34" customFormat="1" ht="27" customHeight="1">
      <c r="AD358" s="26"/>
      <c r="AF358" s="26"/>
      <c r="AG358" s="26"/>
    </row>
    <row r="359" spans="30:33" s="34" customFormat="1" ht="27" customHeight="1">
      <c r="AD359" s="26"/>
      <c r="AF359" s="26"/>
      <c r="AG359" s="26"/>
    </row>
    <row r="360" spans="30:33" s="34" customFormat="1" ht="27" customHeight="1">
      <c r="AD360" s="26"/>
      <c r="AF360" s="26"/>
      <c r="AG360" s="26"/>
    </row>
    <row r="361" spans="30:33" s="34" customFormat="1" ht="27" customHeight="1">
      <c r="AD361" s="26"/>
      <c r="AF361" s="26"/>
      <c r="AG361" s="26"/>
    </row>
    <row r="362" spans="30:33" s="34" customFormat="1" ht="27" customHeight="1">
      <c r="AD362" s="26"/>
      <c r="AF362" s="26"/>
      <c r="AG362" s="26"/>
    </row>
    <row r="363" spans="30:33" s="34" customFormat="1" ht="27" customHeight="1">
      <c r="AD363" s="26"/>
      <c r="AF363" s="26"/>
      <c r="AG363" s="26"/>
    </row>
    <row r="364" spans="30:33" s="34" customFormat="1" ht="27" customHeight="1">
      <c r="AD364" s="26"/>
      <c r="AF364" s="26"/>
      <c r="AG364" s="26"/>
    </row>
    <row r="365" spans="30:33" s="34" customFormat="1" ht="27" customHeight="1">
      <c r="AD365" s="26"/>
      <c r="AF365" s="26"/>
      <c r="AG365" s="26"/>
    </row>
    <row r="366" spans="30:33" s="34" customFormat="1" ht="27" customHeight="1">
      <c r="AD366" s="26"/>
      <c r="AF366" s="26"/>
      <c r="AG366" s="26"/>
    </row>
    <row r="367" spans="30:33" s="34" customFormat="1" ht="27" customHeight="1">
      <c r="AD367" s="26"/>
      <c r="AF367" s="26"/>
      <c r="AG367" s="26"/>
    </row>
    <row r="368" spans="30:33" s="34" customFormat="1" ht="27" customHeight="1">
      <c r="AD368" s="26"/>
      <c r="AF368" s="26"/>
      <c r="AG368" s="26"/>
    </row>
    <row r="369" spans="30:33" s="34" customFormat="1" ht="27" customHeight="1">
      <c r="AD369" s="26"/>
      <c r="AF369" s="26"/>
      <c r="AG369" s="26"/>
    </row>
    <row r="370" spans="30:33" s="34" customFormat="1" ht="27" customHeight="1">
      <c r="AD370" s="26"/>
      <c r="AF370" s="26"/>
      <c r="AG370" s="26"/>
    </row>
    <row r="371" spans="30:33" s="34" customFormat="1" ht="27" customHeight="1">
      <c r="AD371" s="26"/>
      <c r="AF371" s="26"/>
      <c r="AG371" s="26"/>
    </row>
    <row r="372" spans="30:33" s="34" customFormat="1" ht="27" customHeight="1">
      <c r="AD372" s="26"/>
      <c r="AF372" s="26"/>
      <c r="AG372" s="26"/>
    </row>
    <row r="373" spans="30:33" s="34" customFormat="1" ht="27" customHeight="1">
      <c r="AD373" s="26"/>
      <c r="AF373" s="26"/>
      <c r="AG373" s="26"/>
    </row>
    <row r="374" spans="30:33" s="34" customFormat="1" ht="27" customHeight="1">
      <c r="AD374" s="26"/>
      <c r="AF374" s="26"/>
      <c r="AG374" s="26"/>
    </row>
  </sheetData>
  <autoFilter ref="A3:AG254" xr:uid="{EE750F76-ABA5-474C-9B45-52EDEE61818B}">
    <sortState xmlns:xlrd2="http://schemas.microsoft.com/office/spreadsheetml/2017/richdata2" ref="A4:AG226">
      <sortCondition ref="A4:A226"/>
    </sortState>
  </autoFilter>
  <sortState xmlns:xlrd2="http://schemas.microsoft.com/office/spreadsheetml/2017/richdata2" ref="A4:AG219">
    <sortCondition ref="A4:A219"/>
  </sortState>
  <mergeCells count="3">
    <mergeCell ref="K2:N2"/>
    <mergeCell ref="O2:P2"/>
    <mergeCell ref="Q2:R2"/>
  </mergeCells>
  <phoneticPr fontId="24" type="noConversion"/>
  <conditionalFormatting sqref="W4:W318">
    <cfRule type="notContainsBlanks" dxfId="3" priority="2">
      <formula>LEN(TRIM(W4))&gt;0</formula>
    </cfRule>
  </conditionalFormatting>
  <conditionalFormatting sqref="W321:W334">
    <cfRule type="notContainsBlanks" dxfId="2" priority="1">
      <formula>LEN(TRIM(W321))&gt;0</formula>
    </cfRule>
  </conditionalFormatting>
  <pageMargins left="0.7" right="0.7" top="0.75" bottom="0.75" header="0.3" footer="0.3"/>
  <pageSetup paperSize="9" scale="24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7882-36F9-4ED5-A2C0-E26CA77D848F}">
  <dimension ref="A1:R2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2" sqref="M12"/>
    </sheetView>
  </sheetViews>
  <sheetFormatPr defaultColWidth="9.140625" defaultRowHeight="11.25" customHeight="1"/>
  <cols>
    <col min="1" max="1" width="7.42578125" style="79" customWidth="1"/>
    <col min="2" max="2" width="24.28515625" style="79" customWidth="1"/>
    <col min="3" max="3" width="2.7109375" style="79" customWidth="1"/>
    <col min="4" max="4" width="15.7109375" style="79" customWidth="1"/>
    <col min="5" max="5" width="2.7109375" style="79" customWidth="1"/>
    <col min="6" max="6" width="9.140625" style="79"/>
    <col min="7" max="7" width="2.140625" style="79" customWidth="1"/>
    <col min="8" max="8" width="22.28515625" style="79" customWidth="1"/>
    <col min="9" max="9" width="2.7109375" style="79" customWidth="1"/>
    <col min="10" max="10" width="15.7109375" style="79" customWidth="1"/>
    <col min="11" max="11" width="2.7109375" style="79" customWidth="1"/>
    <col min="12" max="12" width="9.140625" style="79"/>
    <col min="13" max="13" width="2.140625" style="79" customWidth="1"/>
    <col min="14" max="14" width="22.28515625" style="79" customWidth="1"/>
    <col min="15" max="15" width="2.7109375" style="79" customWidth="1"/>
    <col min="16" max="16" width="15.7109375" style="79" customWidth="1"/>
    <col min="17" max="17" width="2.7109375" style="79" customWidth="1"/>
    <col min="18" max="16384" width="9.140625" style="79"/>
  </cols>
  <sheetData>
    <row r="1" spans="1:18" s="87" customFormat="1" ht="28.5" customHeight="1">
      <c r="A1" s="82"/>
      <c r="B1" s="82" t="s">
        <v>1481</v>
      </c>
      <c r="C1" s="84"/>
      <c r="D1" s="84"/>
      <c r="E1" s="84"/>
      <c r="F1" s="85"/>
      <c r="G1" s="86"/>
      <c r="H1" s="83"/>
      <c r="I1" s="84"/>
      <c r="J1" s="84"/>
      <c r="K1" s="84"/>
      <c r="L1" s="85"/>
      <c r="M1" s="86"/>
      <c r="N1" s="83"/>
      <c r="O1" s="84"/>
      <c r="P1" s="84"/>
      <c r="Q1" s="84"/>
      <c r="R1" s="85"/>
    </row>
    <row r="2" spans="1:18" s="43" customFormat="1">
      <c r="A2" s="40"/>
      <c r="B2" s="40"/>
      <c r="C2" s="41"/>
      <c r="D2" s="41"/>
      <c r="E2" s="41"/>
      <c r="F2" s="42"/>
      <c r="G2" s="40"/>
      <c r="H2" s="40"/>
      <c r="I2" s="41"/>
      <c r="J2" s="41"/>
      <c r="K2" s="41"/>
      <c r="L2" s="42"/>
      <c r="M2" s="40"/>
      <c r="N2" s="40"/>
      <c r="O2" s="41"/>
      <c r="P2" s="41"/>
      <c r="Q2" s="41"/>
      <c r="R2" s="42"/>
    </row>
    <row r="3" spans="1:18" s="256" customFormat="1" ht="20.100000000000001" customHeight="1">
      <c r="A3" s="254"/>
      <c r="B3" s="414" t="s">
        <v>1482</v>
      </c>
      <c r="C3" s="414"/>
      <c r="D3" s="414"/>
      <c r="E3" s="414"/>
      <c r="F3" s="414"/>
      <c r="G3" s="255"/>
      <c r="H3" s="414" t="s">
        <v>1483</v>
      </c>
      <c r="I3" s="414"/>
      <c r="J3" s="414"/>
      <c r="K3" s="414"/>
      <c r="L3" s="414"/>
      <c r="M3" s="255"/>
      <c r="N3" s="415" t="s">
        <v>1484</v>
      </c>
      <c r="O3" s="415"/>
      <c r="P3" s="415"/>
      <c r="Q3" s="415"/>
      <c r="R3" s="415"/>
    </row>
    <row r="4" spans="1:18" s="44" customFormat="1" ht="45">
      <c r="A4" s="44" t="s">
        <v>1485</v>
      </c>
      <c r="B4" s="46" t="s">
        <v>1486</v>
      </c>
      <c r="C4" s="47"/>
      <c r="D4" s="48" t="s">
        <v>1487</v>
      </c>
      <c r="E4" s="47"/>
      <c r="F4" s="48" t="s">
        <v>1488</v>
      </c>
      <c r="G4" s="45"/>
      <c r="H4" s="46" t="s">
        <v>1486</v>
      </c>
      <c r="I4" s="47"/>
      <c r="J4" s="48" t="s">
        <v>1487</v>
      </c>
      <c r="K4" s="47"/>
      <c r="L4" s="48" t="s">
        <v>1488</v>
      </c>
      <c r="M4" s="45"/>
      <c r="N4" s="49" t="s">
        <v>1486</v>
      </c>
      <c r="O4" s="50"/>
      <c r="P4" s="51" t="s">
        <v>1487</v>
      </c>
      <c r="Q4" s="50"/>
      <c r="R4" s="51" t="s">
        <v>1488</v>
      </c>
    </row>
    <row r="5" spans="1:18" s="256" customFormat="1" ht="24.95" customHeight="1">
      <c r="A5" s="357">
        <v>46023</v>
      </c>
      <c r="B5" s="358">
        <v>2243816.5499999998</v>
      </c>
      <c r="C5" s="359"/>
      <c r="D5" s="360">
        <v>23</v>
      </c>
      <c r="E5" s="359"/>
      <c r="F5" s="360">
        <v>0</v>
      </c>
      <c r="G5" s="361"/>
      <c r="H5" s="358">
        <v>1597614.96</v>
      </c>
      <c r="I5" s="359"/>
      <c r="J5" s="360">
        <v>12</v>
      </c>
      <c r="K5" s="359"/>
      <c r="L5" s="360">
        <v>0</v>
      </c>
      <c r="M5" s="361"/>
      <c r="N5" s="362">
        <f>B5+H5</f>
        <v>3841431.51</v>
      </c>
      <c r="O5" s="363"/>
      <c r="P5" s="364">
        <f>D5+J5</f>
        <v>35</v>
      </c>
      <c r="Q5" s="363"/>
      <c r="R5" s="364">
        <f>F5+L5</f>
        <v>0</v>
      </c>
    </row>
    <row r="6" spans="1:18" s="256" customFormat="1" ht="24.95" customHeight="1">
      <c r="A6" s="357">
        <v>46054</v>
      </c>
      <c r="B6" s="358">
        <v>2166916.62</v>
      </c>
      <c r="C6" s="359"/>
      <c r="D6" s="360">
        <v>20</v>
      </c>
      <c r="E6" s="359"/>
      <c r="F6" s="360">
        <v>0</v>
      </c>
      <c r="G6" s="361"/>
      <c r="H6" s="358">
        <v>1599531.21</v>
      </c>
      <c r="I6" s="359"/>
      <c r="J6" s="360">
        <v>6</v>
      </c>
      <c r="K6" s="359"/>
      <c r="L6" s="360">
        <v>0</v>
      </c>
      <c r="M6" s="361"/>
      <c r="N6" s="362">
        <f t="shared" ref="N6:N16" si="0">B6+H6</f>
        <v>3766447.83</v>
      </c>
      <c r="O6" s="363"/>
      <c r="P6" s="364">
        <f t="shared" ref="P6:P16" si="1">D6+J6</f>
        <v>26</v>
      </c>
      <c r="Q6" s="363"/>
      <c r="R6" s="364">
        <f t="shared" ref="R6:R16" si="2">F6+L6</f>
        <v>0</v>
      </c>
    </row>
    <row r="7" spans="1:18" s="256" customFormat="1" ht="24.95" customHeight="1">
      <c r="A7" s="357">
        <v>46082</v>
      </c>
      <c r="B7" s="358">
        <v>1668881.59</v>
      </c>
      <c r="C7" s="359"/>
      <c r="D7" s="360">
        <v>25</v>
      </c>
      <c r="E7" s="359"/>
      <c r="F7" s="360">
        <v>1</v>
      </c>
      <c r="G7" s="361"/>
      <c r="H7" s="358">
        <v>1093798.8999999999</v>
      </c>
      <c r="I7" s="359"/>
      <c r="J7" s="360">
        <v>9</v>
      </c>
      <c r="K7" s="359"/>
      <c r="L7" s="360">
        <v>0</v>
      </c>
      <c r="M7" s="361"/>
      <c r="N7" s="362">
        <f t="shared" si="0"/>
        <v>2762680.49</v>
      </c>
      <c r="O7" s="363"/>
      <c r="P7" s="364">
        <f t="shared" si="1"/>
        <v>34</v>
      </c>
      <c r="Q7" s="363"/>
      <c r="R7" s="364">
        <f t="shared" si="2"/>
        <v>1</v>
      </c>
    </row>
    <row r="8" spans="1:18" s="256" customFormat="1" ht="24.95" customHeight="1">
      <c r="A8" s="357">
        <v>46113</v>
      </c>
      <c r="B8" s="358">
        <v>794850.99</v>
      </c>
      <c r="C8" s="359"/>
      <c r="D8" s="360">
        <v>19</v>
      </c>
      <c r="E8" s="359"/>
      <c r="F8" s="360">
        <v>0</v>
      </c>
      <c r="G8" s="361"/>
      <c r="H8" s="358">
        <v>53000</v>
      </c>
      <c r="I8" s="359"/>
      <c r="J8" s="360">
        <v>5</v>
      </c>
      <c r="K8" s="359"/>
      <c r="L8" s="360">
        <v>2</v>
      </c>
      <c r="M8" s="361"/>
      <c r="N8" s="362">
        <f t="shared" si="0"/>
        <v>847850.99</v>
      </c>
      <c r="O8" s="363"/>
      <c r="P8" s="364">
        <f t="shared" si="1"/>
        <v>24</v>
      </c>
      <c r="Q8" s="363"/>
      <c r="R8" s="364">
        <f t="shared" si="2"/>
        <v>2</v>
      </c>
    </row>
    <row r="9" spans="1:18" s="256" customFormat="1" ht="24.95" customHeight="1">
      <c r="A9" s="357">
        <v>46143</v>
      </c>
      <c r="B9" s="358">
        <v>1940229.95</v>
      </c>
      <c r="C9" s="359"/>
      <c r="D9" s="360">
        <v>18</v>
      </c>
      <c r="E9" s="359"/>
      <c r="F9" s="360">
        <v>0</v>
      </c>
      <c r="G9" s="361"/>
      <c r="H9" s="358">
        <v>2354767.1</v>
      </c>
      <c r="I9" s="359"/>
      <c r="J9" s="360">
        <v>10</v>
      </c>
      <c r="K9" s="359"/>
      <c r="L9" s="360">
        <v>0</v>
      </c>
      <c r="M9" s="361"/>
      <c r="N9" s="362">
        <f t="shared" si="0"/>
        <v>4294997.05</v>
      </c>
      <c r="O9" s="363"/>
      <c r="P9" s="364">
        <f t="shared" si="1"/>
        <v>28</v>
      </c>
      <c r="Q9" s="363"/>
      <c r="R9" s="364">
        <f t="shared" si="2"/>
        <v>0</v>
      </c>
    </row>
    <row r="10" spans="1:18" s="256" customFormat="1" ht="24.95" customHeight="1">
      <c r="A10" s="357">
        <v>46174</v>
      </c>
      <c r="B10" s="358">
        <v>8132083.54</v>
      </c>
      <c r="C10" s="359"/>
      <c r="D10" s="360">
        <v>27</v>
      </c>
      <c r="E10" s="359"/>
      <c r="F10" s="360">
        <v>0</v>
      </c>
      <c r="G10" s="361"/>
      <c r="H10" s="358">
        <v>773055.88</v>
      </c>
      <c r="I10" s="359"/>
      <c r="J10" s="360">
        <v>8</v>
      </c>
      <c r="K10" s="359"/>
      <c r="L10" s="360">
        <v>0</v>
      </c>
      <c r="M10" s="361"/>
      <c r="N10" s="362">
        <f t="shared" si="0"/>
        <v>8905139.4199999999</v>
      </c>
      <c r="O10" s="363"/>
      <c r="P10" s="364">
        <f t="shared" si="1"/>
        <v>35</v>
      </c>
      <c r="Q10" s="363"/>
      <c r="R10" s="364">
        <f t="shared" si="2"/>
        <v>0</v>
      </c>
    </row>
    <row r="11" spans="1:18" s="256" customFormat="1" ht="24.95" customHeight="1">
      <c r="A11" s="357">
        <v>46204</v>
      </c>
      <c r="B11" s="358">
        <v>3054756.39</v>
      </c>
      <c r="C11" s="359"/>
      <c r="D11" s="360">
        <v>20</v>
      </c>
      <c r="E11" s="359"/>
      <c r="F11" s="360">
        <v>0</v>
      </c>
      <c r="G11" s="361"/>
      <c r="H11" s="358">
        <v>1130762.8</v>
      </c>
      <c r="I11" s="359"/>
      <c r="J11" s="360">
        <v>8</v>
      </c>
      <c r="K11" s="359"/>
      <c r="L11" s="360">
        <v>0</v>
      </c>
      <c r="M11" s="361"/>
      <c r="N11" s="362">
        <f t="shared" si="0"/>
        <v>4185519.1900000004</v>
      </c>
      <c r="O11" s="363"/>
      <c r="P11" s="364">
        <f t="shared" si="1"/>
        <v>28</v>
      </c>
      <c r="Q11" s="363"/>
      <c r="R11" s="364">
        <f t="shared" si="2"/>
        <v>0</v>
      </c>
    </row>
    <row r="12" spans="1:18" s="256" customFormat="1" ht="24.95" customHeight="1">
      <c r="A12" s="357">
        <v>46235</v>
      </c>
      <c r="B12" s="358">
        <v>3503648.1</v>
      </c>
      <c r="C12" s="359"/>
      <c r="D12" s="360">
        <v>19</v>
      </c>
      <c r="E12" s="359"/>
      <c r="F12" s="360">
        <v>0</v>
      </c>
      <c r="G12" s="361"/>
      <c r="H12" s="358">
        <v>517580</v>
      </c>
      <c r="I12" s="359"/>
      <c r="J12" s="360">
        <v>8</v>
      </c>
      <c r="K12" s="359"/>
      <c r="L12" s="360">
        <v>0</v>
      </c>
      <c r="M12" s="361"/>
      <c r="N12" s="362">
        <f t="shared" si="0"/>
        <v>4021228.1</v>
      </c>
      <c r="O12" s="363"/>
      <c r="P12" s="364">
        <f t="shared" si="1"/>
        <v>27</v>
      </c>
      <c r="Q12" s="363"/>
      <c r="R12" s="364">
        <f t="shared" si="2"/>
        <v>0</v>
      </c>
    </row>
    <row r="13" spans="1:18" s="256" customFormat="1" ht="24.95" customHeight="1">
      <c r="A13" s="357">
        <v>46266</v>
      </c>
      <c r="B13" s="358"/>
      <c r="C13" s="359"/>
      <c r="D13" s="360"/>
      <c r="E13" s="359"/>
      <c r="F13" s="360"/>
      <c r="G13" s="361"/>
      <c r="H13" s="358"/>
      <c r="I13" s="359"/>
      <c r="J13" s="360"/>
      <c r="K13" s="359"/>
      <c r="L13" s="360"/>
      <c r="M13" s="361"/>
      <c r="N13" s="362">
        <f t="shared" si="0"/>
        <v>0</v>
      </c>
      <c r="O13" s="363"/>
      <c r="P13" s="364">
        <f t="shared" si="1"/>
        <v>0</v>
      </c>
      <c r="Q13" s="363"/>
      <c r="R13" s="364">
        <f t="shared" si="2"/>
        <v>0</v>
      </c>
    </row>
    <row r="14" spans="1:18" s="256" customFormat="1" ht="24.95" customHeight="1">
      <c r="A14" s="357">
        <v>46296</v>
      </c>
      <c r="B14" s="358"/>
      <c r="C14" s="359"/>
      <c r="D14" s="360"/>
      <c r="E14" s="359"/>
      <c r="F14" s="360"/>
      <c r="G14" s="361"/>
      <c r="H14" s="358"/>
      <c r="I14" s="359"/>
      <c r="J14" s="360"/>
      <c r="K14" s="359"/>
      <c r="L14" s="360"/>
      <c r="M14" s="361"/>
      <c r="N14" s="362">
        <f t="shared" si="0"/>
        <v>0</v>
      </c>
      <c r="O14" s="363"/>
      <c r="P14" s="364">
        <f t="shared" si="1"/>
        <v>0</v>
      </c>
      <c r="Q14" s="363"/>
      <c r="R14" s="364">
        <f t="shared" si="2"/>
        <v>0</v>
      </c>
    </row>
    <row r="15" spans="1:18" s="256" customFormat="1" ht="24.95" customHeight="1">
      <c r="A15" s="357">
        <v>46327</v>
      </c>
      <c r="B15" s="358"/>
      <c r="C15" s="359"/>
      <c r="D15" s="360"/>
      <c r="E15" s="359"/>
      <c r="F15" s="360"/>
      <c r="G15" s="361"/>
      <c r="H15" s="358"/>
      <c r="I15" s="359"/>
      <c r="J15" s="360"/>
      <c r="K15" s="359"/>
      <c r="L15" s="360"/>
      <c r="M15" s="361"/>
      <c r="N15" s="362">
        <f t="shared" si="0"/>
        <v>0</v>
      </c>
      <c r="O15" s="363"/>
      <c r="P15" s="364">
        <f t="shared" si="1"/>
        <v>0</v>
      </c>
      <c r="Q15" s="363"/>
      <c r="R15" s="364">
        <f t="shared" si="2"/>
        <v>0</v>
      </c>
    </row>
    <row r="16" spans="1:18" s="256" customFormat="1" ht="24.95" customHeight="1">
      <c r="A16" s="357">
        <v>46357</v>
      </c>
      <c r="B16" s="365"/>
      <c r="C16" s="360"/>
      <c r="D16" s="366"/>
      <c r="E16" s="360"/>
      <c r="F16" s="366"/>
      <c r="G16" s="361"/>
      <c r="H16" s="365"/>
      <c r="I16" s="360"/>
      <c r="J16" s="366"/>
      <c r="K16" s="360"/>
      <c r="L16" s="366"/>
      <c r="M16" s="361"/>
      <c r="N16" s="367">
        <f t="shared" si="0"/>
        <v>0</v>
      </c>
      <c r="O16" s="364"/>
      <c r="P16" s="368">
        <f t="shared" si="1"/>
        <v>0</v>
      </c>
      <c r="Q16" s="364"/>
      <c r="R16" s="368">
        <f t="shared" si="2"/>
        <v>0</v>
      </c>
    </row>
    <row r="17" spans="1:18" s="256" customFormat="1" ht="24.95" customHeight="1">
      <c r="A17" s="369" t="s">
        <v>1489</v>
      </c>
      <c r="B17" s="370">
        <f>SUM(B5:B16)</f>
        <v>23505183.73</v>
      </c>
      <c r="C17" s="371"/>
      <c r="D17" s="372">
        <f>SUM(D5:D16)</f>
        <v>171</v>
      </c>
      <c r="E17" s="371"/>
      <c r="F17" s="372">
        <f>SUM(F5:F16)</f>
        <v>1</v>
      </c>
      <c r="G17" s="373"/>
      <c r="H17" s="370">
        <f>SUM(H5:H16)</f>
        <v>9120110.8499999996</v>
      </c>
      <c r="I17" s="371"/>
      <c r="J17" s="372">
        <f>SUM(J5:J16)</f>
        <v>66</v>
      </c>
      <c r="K17" s="371"/>
      <c r="L17" s="372">
        <f>SUM(L5:L16)</f>
        <v>2</v>
      </c>
      <c r="M17" s="373"/>
      <c r="N17" s="374">
        <f>SUM(N5:N16)</f>
        <v>32625294.580000002</v>
      </c>
      <c r="O17" s="364"/>
      <c r="P17" s="375">
        <f>SUM(P5:P16)</f>
        <v>237</v>
      </c>
      <c r="Q17" s="364"/>
      <c r="R17" s="375">
        <f>SUM(R5:R16)</f>
        <v>3</v>
      </c>
    </row>
    <row r="18" spans="1:18" s="43" customFormat="1" ht="15" customHeight="1">
      <c r="A18" s="40"/>
      <c r="B18" s="71"/>
      <c r="C18" s="41"/>
      <c r="D18" s="41"/>
      <c r="E18" s="41"/>
      <c r="F18" s="42"/>
      <c r="G18" s="40"/>
      <c r="H18" s="71"/>
      <c r="I18" s="41"/>
      <c r="J18" s="41"/>
      <c r="K18" s="41"/>
      <c r="L18" s="42"/>
      <c r="M18" s="40"/>
      <c r="N18" s="71"/>
      <c r="O18" s="41"/>
      <c r="P18" s="41"/>
      <c r="Q18" s="41"/>
      <c r="R18" s="42"/>
    </row>
    <row r="19" spans="1:18" s="74" customFormat="1" ht="21" customHeight="1">
      <c r="A19" s="72" t="s">
        <v>1490</v>
      </c>
      <c r="B19" s="73" t="e">
        <f>B17+H17+#REF!</f>
        <v>#REF!</v>
      </c>
      <c r="D19" s="43"/>
      <c r="H19" s="43"/>
      <c r="J19" s="43"/>
      <c r="N19" s="43"/>
      <c r="P19" s="43"/>
    </row>
    <row r="20" spans="1:18" s="74" customFormat="1" ht="33.75">
      <c r="A20" s="72" t="s">
        <v>1491</v>
      </c>
      <c r="B20" s="77" t="e">
        <f>D17+J17+#REF!</f>
        <v>#REF!</v>
      </c>
      <c r="D20" s="43"/>
      <c r="H20" s="43"/>
      <c r="J20" s="43"/>
      <c r="N20" s="43"/>
      <c r="P20" s="43"/>
    </row>
  </sheetData>
  <mergeCells count="3">
    <mergeCell ref="B3:F3"/>
    <mergeCell ref="H3:L3"/>
    <mergeCell ref="N3:R3"/>
  </mergeCells>
  <phoneticPr fontId="2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88"/>
  <sheetViews>
    <sheetView zoomScale="85" zoomScaleNormal="85" workbookViewId="0">
      <pane xSplit="9" ySplit="3" topLeftCell="J361" activePane="bottomRight" state="frozen"/>
      <selection pane="topRight" activeCell="C259" sqref="C259"/>
      <selection pane="bottomLeft" activeCell="C259" sqref="C259"/>
      <selection pane="bottomRight" activeCell="M368" sqref="M368"/>
    </sheetView>
  </sheetViews>
  <sheetFormatPr defaultColWidth="9.140625" defaultRowHeight="12.75"/>
  <cols>
    <col min="1" max="1" width="5.28515625" style="1" bestFit="1" customWidth="1"/>
    <col min="2" max="2" width="11.28515625" style="1" customWidth="1"/>
    <col min="3" max="3" width="13.42578125" style="1" customWidth="1"/>
    <col min="4" max="4" width="18.42578125" style="1" customWidth="1"/>
    <col min="5" max="5" width="8.42578125" style="1" hidden="1" customWidth="1"/>
    <col min="6" max="6" width="14.5703125" style="1" hidden="1" customWidth="1"/>
    <col min="7" max="7" width="14" style="1" hidden="1" customWidth="1"/>
    <col min="8" max="8" width="11.85546875" style="1" hidden="1" customWidth="1"/>
    <col min="9" max="9" width="11.42578125" style="1" customWidth="1"/>
    <col min="10" max="10" width="43.7109375" style="1" bestFit="1" customWidth="1"/>
    <col min="11" max="12" width="12.5703125" style="1" customWidth="1"/>
    <col min="13" max="13" width="21.5703125" style="1" bestFit="1" customWidth="1"/>
    <col min="14" max="14" width="13.7109375" style="1" bestFit="1" customWidth="1"/>
    <col min="15" max="15" width="16.140625" style="1" customWidth="1"/>
    <col min="16" max="16" width="12.85546875" style="1" customWidth="1"/>
    <col min="17" max="17" width="13.85546875" style="1" customWidth="1"/>
    <col min="18" max="18" width="12.28515625" style="1" customWidth="1"/>
    <col min="19" max="19" width="31.42578125" style="1" customWidth="1"/>
    <col min="20" max="20" width="79" style="1" customWidth="1"/>
    <col min="21" max="21" width="11.28515625" style="1" customWidth="1"/>
    <col min="22" max="22" width="13" style="1" customWidth="1"/>
    <col min="23" max="23" width="13.140625" style="1" customWidth="1"/>
    <col min="24" max="24" width="17.42578125" style="1" customWidth="1"/>
    <col min="25" max="25" width="12.85546875" style="1" customWidth="1"/>
    <col min="26" max="26" width="13.42578125" style="1" customWidth="1"/>
    <col min="27" max="27" width="12.140625" style="1" customWidth="1"/>
    <col min="28" max="28" width="11" style="1" customWidth="1"/>
    <col min="29" max="29" width="22.42578125" style="1" customWidth="1"/>
    <col min="30" max="30" width="18.140625" style="36" customWidth="1"/>
    <col min="31" max="31" width="85.5703125" style="1" customWidth="1"/>
    <col min="32" max="32" width="20.85546875" style="80" customWidth="1"/>
    <col min="33" max="33" width="14.7109375" style="80" customWidth="1"/>
    <col min="34" max="16384" width="9.140625" style="1"/>
  </cols>
  <sheetData>
    <row r="1" spans="1:33" ht="32.25" customHeight="1">
      <c r="I1" s="2">
        <f>SUBTOTAL(2,I4:I509)</f>
        <v>372</v>
      </c>
      <c r="N1" s="188"/>
      <c r="O1" s="188">
        <f>SUBTOTAL(9,O4:O9129)</f>
        <v>46690233.161600024</v>
      </c>
      <c r="X1" s="189">
        <f>SUBTOTAL(9,X4:X9129)</f>
        <v>46323862.636999995</v>
      </c>
    </row>
    <row r="2" spans="1:33" ht="24.95" customHeight="1">
      <c r="A2" s="423" t="s">
        <v>0</v>
      </c>
      <c r="B2" s="424" t="s">
        <v>1</v>
      </c>
      <c r="C2" s="424" t="s">
        <v>2</v>
      </c>
      <c r="D2" s="423" t="s">
        <v>3</v>
      </c>
      <c r="E2" s="423" t="s">
        <v>4</v>
      </c>
      <c r="F2" s="423" t="s">
        <v>5</v>
      </c>
      <c r="G2" s="423" t="s">
        <v>6</v>
      </c>
      <c r="H2" s="423" t="s">
        <v>7</v>
      </c>
      <c r="I2" s="423" t="s">
        <v>8</v>
      </c>
      <c r="J2" s="423" t="s">
        <v>9</v>
      </c>
      <c r="K2" s="409" t="s">
        <v>10</v>
      </c>
      <c r="L2" s="409"/>
      <c r="M2" s="409"/>
      <c r="N2" s="409"/>
      <c r="O2" s="410" t="s">
        <v>11</v>
      </c>
      <c r="P2" s="411"/>
      <c r="Q2" s="412" t="s">
        <v>12</v>
      </c>
      <c r="R2" s="413"/>
      <c r="S2" s="420" t="s">
        <v>13</v>
      </c>
      <c r="T2" s="5" t="s">
        <v>1492</v>
      </c>
      <c r="U2" s="421" t="s">
        <v>15</v>
      </c>
      <c r="V2" s="422" t="s">
        <v>16</v>
      </c>
      <c r="W2" s="422" t="s">
        <v>17</v>
      </c>
      <c r="X2" s="418" t="s">
        <v>18</v>
      </c>
      <c r="Y2" s="416" t="s">
        <v>1493</v>
      </c>
      <c r="Z2" s="416" t="s">
        <v>33</v>
      </c>
      <c r="AA2" s="7"/>
      <c r="AB2" s="6"/>
      <c r="AC2" s="423" t="s">
        <v>21</v>
      </c>
      <c r="AD2" s="416" t="s">
        <v>22</v>
      </c>
      <c r="AE2" s="8"/>
      <c r="AF2" s="416" t="s">
        <v>1494</v>
      </c>
      <c r="AG2" s="416" t="s">
        <v>1495</v>
      </c>
    </row>
    <row r="3" spans="1:33" ht="27" customHeight="1">
      <c r="A3" s="423"/>
      <c r="B3" s="424"/>
      <c r="C3" s="424"/>
      <c r="D3" s="423"/>
      <c r="E3" s="423"/>
      <c r="F3" s="423"/>
      <c r="G3" s="423"/>
      <c r="H3" s="423"/>
      <c r="I3" s="423"/>
      <c r="J3" s="423"/>
      <c r="K3" s="9" t="s">
        <v>26</v>
      </c>
      <c r="L3" s="4" t="s">
        <v>27</v>
      </c>
      <c r="M3" s="10" t="s">
        <v>28</v>
      </c>
      <c r="N3" s="399" t="s">
        <v>37</v>
      </c>
      <c r="O3" s="11" t="s">
        <v>29</v>
      </c>
      <c r="P3" s="11" t="s">
        <v>30</v>
      </c>
      <c r="Q3" s="12" t="s">
        <v>26</v>
      </c>
      <c r="R3" s="13" t="s">
        <v>27</v>
      </c>
      <c r="S3" s="420"/>
      <c r="T3" s="14" t="s">
        <v>1496</v>
      </c>
      <c r="U3" s="421"/>
      <c r="V3" s="422"/>
      <c r="W3" s="422"/>
      <c r="X3" s="419"/>
      <c r="Y3" s="417"/>
      <c r="Z3" s="417"/>
      <c r="AA3" s="7" t="s">
        <v>1497</v>
      </c>
      <c r="AB3" s="6" t="s">
        <v>35</v>
      </c>
      <c r="AC3" s="423"/>
      <c r="AD3" s="417"/>
      <c r="AE3" s="6" t="s">
        <v>23</v>
      </c>
      <c r="AF3" s="417"/>
      <c r="AG3" s="417"/>
    </row>
    <row r="4" spans="1:33" ht="27" customHeight="1">
      <c r="A4" s="15">
        <v>1</v>
      </c>
      <c r="B4" s="81">
        <v>45659</v>
      </c>
      <c r="C4" s="15" t="s">
        <v>1498</v>
      </c>
      <c r="D4" s="15" t="s">
        <v>1499</v>
      </c>
      <c r="E4" s="26" t="s">
        <v>1500</v>
      </c>
      <c r="F4" s="27" t="s">
        <v>109</v>
      </c>
      <c r="G4" s="27">
        <v>645602</v>
      </c>
      <c r="H4" s="81">
        <v>45660</v>
      </c>
      <c r="I4" s="27">
        <v>6144445</v>
      </c>
      <c r="J4" s="28" t="s">
        <v>1150</v>
      </c>
      <c r="K4" s="81">
        <v>45231</v>
      </c>
      <c r="L4" s="81">
        <v>45596</v>
      </c>
      <c r="M4" s="88" t="s">
        <v>1501</v>
      </c>
      <c r="N4" s="400"/>
      <c r="O4" s="29">
        <v>81585</v>
      </c>
      <c r="P4" s="30"/>
      <c r="Q4" s="31">
        <v>45633</v>
      </c>
      <c r="R4" s="32">
        <v>45997</v>
      </c>
      <c r="S4" s="20" t="s">
        <v>1502</v>
      </c>
      <c r="T4" s="33" t="s">
        <v>1503</v>
      </c>
      <c r="U4" s="16">
        <v>45664</v>
      </c>
      <c r="V4" s="17">
        <v>1515268</v>
      </c>
      <c r="W4" s="18">
        <v>45719</v>
      </c>
      <c r="X4" s="19">
        <v>81585</v>
      </c>
      <c r="Y4" s="20" t="s">
        <v>1504</v>
      </c>
      <c r="Z4" s="21" t="s">
        <v>1505</v>
      </c>
      <c r="AA4" s="22"/>
      <c r="AB4" s="23">
        <v>45292</v>
      </c>
      <c r="AC4" s="27" t="s">
        <v>1506</v>
      </c>
      <c r="AD4" s="80"/>
      <c r="AE4" s="24"/>
      <c r="AG4" s="140"/>
    </row>
    <row r="5" spans="1:33" ht="27" customHeight="1">
      <c r="A5" s="15">
        <f t="shared" ref="A5:A36" si="0">A4+1</f>
        <v>2</v>
      </c>
      <c r="B5" s="81">
        <v>45659</v>
      </c>
      <c r="C5" s="15" t="s">
        <v>1498</v>
      </c>
      <c r="D5" s="15" t="s">
        <v>1507</v>
      </c>
      <c r="E5" s="26" t="s">
        <v>1500</v>
      </c>
      <c r="F5" s="27" t="s">
        <v>944</v>
      </c>
      <c r="G5" s="27">
        <v>645602</v>
      </c>
      <c r="H5" s="81">
        <v>45660</v>
      </c>
      <c r="I5" s="27">
        <v>6144665</v>
      </c>
      <c r="J5" s="28" t="s">
        <v>1508</v>
      </c>
      <c r="K5" s="81">
        <v>45628</v>
      </c>
      <c r="L5" s="81">
        <v>47088</v>
      </c>
      <c r="M5" s="88" t="s">
        <v>1509</v>
      </c>
      <c r="N5" s="400"/>
      <c r="O5" s="29">
        <v>26728</v>
      </c>
      <c r="P5" s="30"/>
      <c r="Q5" s="31" t="s">
        <v>1510</v>
      </c>
      <c r="R5" s="32"/>
      <c r="S5" s="20" t="s">
        <v>1511</v>
      </c>
      <c r="T5" s="33" t="s">
        <v>1512</v>
      </c>
      <c r="U5" s="16">
        <v>45663</v>
      </c>
      <c r="V5" s="17">
        <v>1515049</v>
      </c>
      <c r="W5" s="18"/>
      <c r="X5" s="19">
        <v>26728</v>
      </c>
      <c r="Y5" s="20" t="s">
        <v>1513</v>
      </c>
      <c r="Z5" s="21" t="s">
        <v>1505</v>
      </c>
      <c r="AA5" s="22"/>
      <c r="AB5" s="23">
        <v>45292</v>
      </c>
      <c r="AC5" s="27" t="s">
        <v>158</v>
      </c>
      <c r="AD5" s="80"/>
      <c r="AE5" s="24"/>
      <c r="AG5" s="140"/>
    </row>
    <row r="6" spans="1:33" ht="27" customHeight="1">
      <c r="A6" s="15">
        <f t="shared" si="0"/>
        <v>3</v>
      </c>
      <c r="B6" s="81">
        <v>45659</v>
      </c>
      <c r="C6" s="15" t="s">
        <v>1498</v>
      </c>
      <c r="D6" s="15" t="s">
        <v>1514</v>
      </c>
      <c r="E6" s="26" t="s">
        <v>1500</v>
      </c>
      <c r="F6" s="27" t="s">
        <v>944</v>
      </c>
      <c r="G6" s="27">
        <v>645602</v>
      </c>
      <c r="H6" s="81">
        <v>45660</v>
      </c>
      <c r="I6" s="27">
        <v>6144697</v>
      </c>
      <c r="J6" s="28" t="s">
        <v>1508</v>
      </c>
      <c r="K6" s="81">
        <v>45628</v>
      </c>
      <c r="L6" s="81">
        <v>47088</v>
      </c>
      <c r="M6" s="88" t="s">
        <v>1509</v>
      </c>
      <c r="N6" s="400"/>
      <c r="O6" s="29">
        <v>13262</v>
      </c>
      <c r="P6" s="30"/>
      <c r="Q6" s="31" t="s">
        <v>1510</v>
      </c>
      <c r="R6" s="32"/>
      <c r="S6" s="20" t="s">
        <v>1515</v>
      </c>
      <c r="T6" s="33" t="s">
        <v>1516</v>
      </c>
      <c r="U6" s="16">
        <v>45663</v>
      </c>
      <c r="V6" s="17">
        <v>1515054</v>
      </c>
      <c r="W6" s="18"/>
      <c r="X6" s="19">
        <v>26728</v>
      </c>
      <c r="Y6" s="20" t="s">
        <v>1513</v>
      </c>
      <c r="Z6" s="21" t="s">
        <v>1505</v>
      </c>
      <c r="AA6" s="22"/>
      <c r="AB6" s="23">
        <v>45292</v>
      </c>
      <c r="AC6" s="27" t="s">
        <v>158</v>
      </c>
      <c r="AD6" s="80"/>
      <c r="AE6" s="24"/>
      <c r="AG6" s="140"/>
    </row>
    <row r="7" spans="1:33" ht="27" customHeight="1">
      <c r="A7" s="15">
        <f t="shared" si="0"/>
        <v>4</v>
      </c>
      <c r="B7" s="81">
        <v>45659</v>
      </c>
      <c r="C7" s="15" t="s">
        <v>38</v>
      </c>
      <c r="D7" s="15" t="s">
        <v>1517</v>
      </c>
      <c r="E7" s="26" t="s">
        <v>1518</v>
      </c>
      <c r="F7" s="27" t="s">
        <v>41</v>
      </c>
      <c r="G7" s="27">
        <v>645600</v>
      </c>
      <c r="H7" s="81">
        <v>45660</v>
      </c>
      <c r="I7" s="27">
        <v>6144757</v>
      </c>
      <c r="J7" s="28" t="s">
        <v>1519</v>
      </c>
      <c r="K7" s="81">
        <v>45658</v>
      </c>
      <c r="L7" s="81">
        <v>46022</v>
      </c>
      <c r="M7" s="34" t="s">
        <v>1520</v>
      </c>
      <c r="N7" s="400"/>
      <c r="O7" s="29">
        <f>P7*7.89</f>
        <v>76533</v>
      </c>
      <c r="P7" s="30">
        <v>9700</v>
      </c>
      <c r="Q7" s="31">
        <v>45658</v>
      </c>
      <c r="R7" s="32">
        <v>46022</v>
      </c>
      <c r="S7" s="7" t="s">
        <v>784</v>
      </c>
      <c r="T7" s="33" t="s">
        <v>1521</v>
      </c>
      <c r="U7" s="16">
        <v>45663</v>
      </c>
      <c r="V7" s="17">
        <v>1515118</v>
      </c>
      <c r="W7" s="18">
        <v>45706</v>
      </c>
      <c r="X7" s="19">
        <v>75326.320000000007</v>
      </c>
      <c r="Y7" s="20" t="s">
        <v>191</v>
      </c>
      <c r="Z7" s="21" t="s">
        <v>1058</v>
      </c>
      <c r="AA7" s="22"/>
      <c r="AB7" s="23">
        <v>45658</v>
      </c>
      <c r="AC7" s="27" t="s">
        <v>1522</v>
      </c>
      <c r="AD7" s="80"/>
      <c r="AE7" s="24"/>
      <c r="AF7" s="80" t="s">
        <v>1523</v>
      </c>
      <c r="AG7" s="140"/>
    </row>
    <row r="8" spans="1:33" ht="27" customHeight="1">
      <c r="A8" s="15">
        <f t="shared" si="0"/>
        <v>5</v>
      </c>
      <c r="B8" s="81">
        <v>45659</v>
      </c>
      <c r="C8" s="15" t="s">
        <v>38</v>
      </c>
      <c r="D8" s="15" t="s">
        <v>1524</v>
      </c>
      <c r="E8" s="26" t="s">
        <v>59</v>
      </c>
      <c r="F8" s="27" t="s">
        <v>41</v>
      </c>
      <c r="G8" s="27">
        <v>645600</v>
      </c>
      <c r="H8" s="81">
        <v>45660</v>
      </c>
      <c r="I8" s="27">
        <v>6144762</v>
      </c>
      <c r="J8" s="28" t="s">
        <v>1525</v>
      </c>
      <c r="K8" s="81">
        <v>45658</v>
      </c>
      <c r="L8" s="81">
        <v>46022</v>
      </c>
      <c r="M8" s="34" t="s">
        <v>1526</v>
      </c>
      <c r="N8" s="400"/>
      <c r="O8" s="29">
        <f>P8*7.89</f>
        <v>25090.2</v>
      </c>
      <c r="P8" s="30">
        <v>3180</v>
      </c>
      <c r="Q8" s="31">
        <v>45658</v>
      </c>
      <c r="R8" s="32">
        <v>46022</v>
      </c>
      <c r="S8" s="20" t="s">
        <v>905</v>
      </c>
      <c r="T8" s="33" t="s">
        <v>1527</v>
      </c>
      <c r="U8" s="16">
        <v>45674</v>
      </c>
      <c r="V8" s="17">
        <v>1517085</v>
      </c>
      <c r="W8" s="18">
        <v>45680</v>
      </c>
      <c r="X8" s="19">
        <v>24694.61</v>
      </c>
      <c r="Y8" s="20" t="s">
        <v>832</v>
      </c>
      <c r="Z8" s="21" t="s">
        <v>899</v>
      </c>
      <c r="AA8" s="22"/>
      <c r="AB8" s="23">
        <v>45658</v>
      </c>
      <c r="AC8" s="27" t="s">
        <v>1528</v>
      </c>
      <c r="AD8" s="80"/>
      <c r="AE8" s="24"/>
      <c r="AF8" s="80" t="s">
        <v>1529</v>
      </c>
      <c r="AG8" s="140"/>
    </row>
    <row r="9" spans="1:33" ht="27" customHeight="1">
      <c r="A9" s="15">
        <f t="shared" si="0"/>
        <v>6</v>
      </c>
      <c r="B9" s="81">
        <v>45663</v>
      </c>
      <c r="C9" s="15" t="s">
        <v>1498</v>
      </c>
      <c r="D9" s="15" t="s">
        <v>1530</v>
      </c>
      <c r="E9" s="26" t="s">
        <v>1500</v>
      </c>
      <c r="F9" s="27" t="s">
        <v>944</v>
      </c>
      <c r="G9" s="27">
        <v>645602</v>
      </c>
      <c r="H9" s="81">
        <v>45664</v>
      </c>
      <c r="I9" s="27">
        <v>6145941</v>
      </c>
      <c r="J9" s="28" t="s">
        <v>1508</v>
      </c>
      <c r="K9" s="81">
        <v>45628</v>
      </c>
      <c r="L9" s="81">
        <v>47088</v>
      </c>
      <c r="M9" s="88" t="s">
        <v>1509</v>
      </c>
      <c r="N9" s="400"/>
      <c r="O9" s="29">
        <v>23700</v>
      </c>
      <c r="P9" s="30"/>
      <c r="Q9" s="31" t="s">
        <v>1510</v>
      </c>
      <c r="R9" s="32"/>
      <c r="S9" s="20" t="s">
        <v>1531</v>
      </c>
      <c r="T9" s="33" t="s">
        <v>1532</v>
      </c>
      <c r="U9" s="16">
        <v>45671</v>
      </c>
      <c r="V9" s="17">
        <v>1516236</v>
      </c>
      <c r="W9" s="18"/>
      <c r="X9" s="19">
        <v>23700</v>
      </c>
      <c r="Y9" s="20" t="s">
        <v>634</v>
      </c>
      <c r="Z9" s="21" t="s">
        <v>1505</v>
      </c>
      <c r="AA9" s="22"/>
      <c r="AB9" s="23">
        <v>45658</v>
      </c>
      <c r="AC9" s="27" t="s">
        <v>158</v>
      </c>
      <c r="AD9" s="80"/>
      <c r="AE9" s="24"/>
      <c r="AG9" s="140"/>
    </row>
    <row r="10" spans="1:33" ht="27" customHeight="1">
      <c r="A10" s="15">
        <f t="shared" si="0"/>
        <v>7</v>
      </c>
      <c r="B10" s="81">
        <v>45663</v>
      </c>
      <c r="C10" s="15" t="s">
        <v>1498</v>
      </c>
      <c r="D10" s="15" t="s">
        <v>1533</v>
      </c>
      <c r="E10" s="26" t="s">
        <v>1500</v>
      </c>
      <c r="F10" s="27" t="s">
        <v>944</v>
      </c>
      <c r="G10" s="27">
        <v>645602</v>
      </c>
      <c r="H10" s="81">
        <v>45664</v>
      </c>
      <c r="I10" s="27">
        <v>6145946</v>
      </c>
      <c r="J10" s="28" t="s">
        <v>1508</v>
      </c>
      <c r="K10" s="81">
        <v>45628</v>
      </c>
      <c r="L10" s="81">
        <v>47088</v>
      </c>
      <c r="M10" s="88" t="s">
        <v>1509</v>
      </c>
      <c r="N10" s="400"/>
      <c r="O10" s="29">
        <v>20400</v>
      </c>
      <c r="P10" s="30"/>
      <c r="Q10" s="31" t="s">
        <v>1510</v>
      </c>
      <c r="R10" s="32"/>
      <c r="S10" s="20" t="s">
        <v>1534</v>
      </c>
      <c r="T10" s="33" t="s">
        <v>1535</v>
      </c>
      <c r="U10" s="16">
        <v>45671</v>
      </c>
      <c r="V10" s="17">
        <v>1516246</v>
      </c>
      <c r="W10" s="18"/>
      <c r="X10" s="19">
        <v>20400</v>
      </c>
      <c r="Y10" s="20" t="s">
        <v>634</v>
      </c>
      <c r="Z10" s="21" t="s">
        <v>1505</v>
      </c>
      <c r="AA10" s="22"/>
      <c r="AB10" s="23">
        <v>45658</v>
      </c>
      <c r="AC10" s="27" t="s">
        <v>158</v>
      </c>
      <c r="AD10" s="80"/>
      <c r="AE10" s="24"/>
      <c r="AG10" s="140"/>
    </row>
    <row r="11" spans="1:33" ht="27" customHeight="1">
      <c r="A11" s="15">
        <f t="shared" si="0"/>
        <v>8</v>
      </c>
      <c r="B11" s="81">
        <v>45664</v>
      </c>
      <c r="C11" s="15" t="s">
        <v>1498</v>
      </c>
      <c r="D11" s="15" t="s">
        <v>1536</v>
      </c>
      <c r="E11" s="26" t="s">
        <v>1500</v>
      </c>
      <c r="F11" s="27" t="s">
        <v>1537</v>
      </c>
      <c r="G11" s="27">
        <v>645602</v>
      </c>
      <c r="H11" s="81">
        <v>45664</v>
      </c>
      <c r="I11" s="27">
        <v>6145957</v>
      </c>
      <c r="J11" s="28" t="s">
        <v>1538</v>
      </c>
      <c r="K11" s="81">
        <v>45614</v>
      </c>
      <c r="L11" s="81">
        <v>45978</v>
      </c>
      <c r="M11" s="88" t="s">
        <v>1539</v>
      </c>
      <c r="N11" s="400"/>
      <c r="O11" s="29">
        <v>18000</v>
      </c>
      <c r="P11" s="30"/>
      <c r="Q11" s="31">
        <v>45614</v>
      </c>
      <c r="R11" s="32">
        <v>45613</v>
      </c>
      <c r="S11" s="20" t="s">
        <v>586</v>
      </c>
      <c r="T11" s="33" t="s">
        <v>1540</v>
      </c>
      <c r="U11" s="16">
        <v>45674</v>
      </c>
      <c r="V11" s="17">
        <v>1517201</v>
      </c>
      <c r="W11" s="18">
        <v>45777</v>
      </c>
      <c r="X11" s="19">
        <v>18000</v>
      </c>
      <c r="Y11" s="20" t="s">
        <v>1541</v>
      </c>
      <c r="Z11" s="21" t="s">
        <v>1505</v>
      </c>
      <c r="AA11" s="22"/>
      <c r="AB11" s="23">
        <v>45658</v>
      </c>
      <c r="AC11" s="27" t="s">
        <v>1542</v>
      </c>
      <c r="AD11" s="80"/>
      <c r="AE11" s="24"/>
      <c r="AG11" s="140"/>
    </row>
    <row r="12" spans="1:33" ht="27" customHeight="1">
      <c r="A12" s="15">
        <f t="shared" si="0"/>
        <v>9</v>
      </c>
      <c r="B12" s="81">
        <v>45663</v>
      </c>
      <c r="C12" s="15" t="s">
        <v>38</v>
      </c>
      <c r="D12" s="15" t="s">
        <v>1543</v>
      </c>
      <c r="E12" s="26" t="s">
        <v>1518</v>
      </c>
      <c r="F12" s="27" t="s">
        <v>41</v>
      </c>
      <c r="G12" s="27">
        <v>645600</v>
      </c>
      <c r="H12" s="81">
        <v>45665</v>
      </c>
      <c r="I12" s="27">
        <v>6146425</v>
      </c>
      <c r="J12" s="28" t="s">
        <v>411</v>
      </c>
      <c r="K12" s="81">
        <v>45658</v>
      </c>
      <c r="L12" s="81">
        <v>46022</v>
      </c>
      <c r="M12" s="34" t="s">
        <v>1544</v>
      </c>
      <c r="N12" s="400"/>
      <c r="O12" s="29">
        <f t="shared" ref="O12:O17" si="1">P12*7.89</f>
        <v>1133183.1030000001</v>
      </c>
      <c r="P12" s="30">
        <v>143622.70000000001</v>
      </c>
      <c r="Q12" s="31">
        <v>45658</v>
      </c>
      <c r="R12" s="32">
        <v>46022</v>
      </c>
      <c r="S12" s="20" t="s">
        <v>784</v>
      </c>
      <c r="T12" s="33" t="s">
        <v>1545</v>
      </c>
      <c r="U12" s="16">
        <v>45671</v>
      </c>
      <c r="V12" s="17">
        <v>1516296</v>
      </c>
      <c r="W12" s="18">
        <v>45735</v>
      </c>
      <c r="X12" s="19">
        <v>1115316.44</v>
      </c>
      <c r="Y12" s="20" t="s">
        <v>245</v>
      </c>
      <c r="Z12" s="21" t="s">
        <v>1546</v>
      </c>
      <c r="AA12" s="22"/>
      <c r="AB12" s="23">
        <v>45658</v>
      </c>
      <c r="AC12" s="27" t="s">
        <v>1547</v>
      </c>
      <c r="AD12" s="80"/>
      <c r="AE12" s="24"/>
      <c r="AF12" s="80" t="s">
        <v>1548</v>
      </c>
      <c r="AG12" s="140"/>
    </row>
    <row r="13" spans="1:33" ht="27" customHeight="1">
      <c r="A13" s="15">
        <f t="shared" si="0"/>
        <v>10</v>
      </c>
      <c r="B13" s="81">
        <v>45666</v>
      </c>
      <c r="C13" s="15" t="s">
        <v>38</v>
      </c>
      <c r="D13" s="15" t="s">
        <v>1549</v>
      </c>
      <c r="E13" s="26" t="s">
        <v>70</v>
      </c>
      <c r="F13" s="27" t="s">
        <v>41</v>
      </c>
      <c r="G13" s="27">
        <v>645600</v>
      </c>
      <c r="H13" s="81">
        <v>45666</v>
      </c>
      <c r="I13" s="27">
        <v>6146844</v>
      </c>
      <c r="J13" s="28" t="s">
        <v>1550</v>
      </c>
      <c r="K13" s="81">
        <v>45229</v>
      </c>
      <c r="L13" s="81">
        <v>45959</v>
      </c>
      <c r="M13" s="34" t="s">
        <v>1551</v>
      </c>
      <c r="N13" s="400"/>
      <c r="O13" s="29">
        <f t="shared" si="1"/>
        <v>30313.616699999999</v>
      </c>
      <c r="P13" s="30">
        <v>3842.03</v>
      </c>
      <c r="Q13" s="31">
        <v>45748</v>
      </c>
      <c r="R13" s="32">
        <v>46112</v>
      </c>
      <c r="S13" s="20" t="s">
        <v>473</v>
      </c>
      <c r="T13" s="33" t="s">
        <v>1552</v>
      </c>
      <c r="U13" s="16">
        <v>45673</v>
      </c>
      <c r="V13" s="17">
        <v>1516793</v>
      </c>
      <c r="W13" s="18">
        <v>45772</v>
      </c>
      <c r="X13" s="19">
        <v>29835.67</v>
      </c>
      <c r="Y13" s="20" t="s">
        <v>1553</v>
      </c>
      <c r="Z13" s="21" t="s">
        <v>1554</v>
      </c>
      <c r="AA13" s="22"/>
      <c r="AB13" s="23">
        <v>45658</v>
      </c>
      <c r="AC13" s="27" t="s">
        <v>1555</v>
      </c>
      <c r="AD13" s="80"/>
      <c r="AE13" s="24"/>
      <c r="AG13" s="140"/>
    </row>
    <row r="14" spans="1:33" ht="27" customHeight="1">
      <c r="A14" s="15">
        <f t="shared" si="0"/>
        <v>11</v>
      </c>
      <c r="B14" s="81">
        <v>45665</v>
      </c>
      <c r="C14" s="15" t="s">
        <v>38</v>
      </c>
      <c r="D14" s="15" t="s">
        <v>1556</v>
      </c>
      <c r="E14" s="26" t="s">
        <v>59</v>
      </c>
      <c r="F14" s="27" t="s">
        <v>277</v>
      </c>
      <c r="G14" s="27">
        <v>645600</v>
      </c>
      <c r="H14" s="81">
        <v>45666</v>
      </c>
      <c r="I14" s="27">
        <v>6146852</v>
      </c>
      <c r="J14" s="28" t="s">
        <v>1557</v>
      </c>
      <c r="K14" s="81">
        <v>45623</v>
      </c>
      <c r="L14" s="81">
        <v>45988</v>
      </c>
      <c r="M14" s="34" t="s">
        <v>1558</v>
      </c>
      <c r="N14" s="400"/>
      <c r="O14" s="29">
        <f t="shared" si="1"/>
        <v>66276</v>
      </c>
      <c r="P14" s="30">
        <v>8400</v>
      </c>
      <c r="Q14" s="31">
        <v>45624</v>
      </c>
      <c r="R14" s="32">
        <v>45988</v>
      </c>
      <c r="S14" s="20" t="s">
        <v>905</v>
      </c>
      <c r="T14" s="33" t="s">
        <v>1559</v>
      </c>
      <c r="U14" s="16">
        <v>45674</v>
      </c>
      <c r="V14" s="17">
        <v>1517083</v>
      </c>
      <c r="W14" s="18">
        <v>45680</v>
      </c>
      <c r="X14" s="19">
        <v>65231.040000000001</v>
      </c>
      <c r="Y14" s="20" t="s">
        <v>1560</v>
      </c>
      <c r="Z14" s="21" t="s">
        <v>899</v>
      </c>
      <c r="AA14" s="22"/>
      <c r="AB14" s="23">
        <v>45658</v>
      </c>
      <c r="AC14" s="27" t="s">
        <v>1561</v>
      </c>
      <c r="AD14" s="80"/>
      <c r="AE14" s="24"/>
      <c r="AF14" s="80" t="s">
        <v>1562</v>
      </c>
      <c r="AG14" s="140"/>
    </row>
    <row r="15" spans="1:33" ht="27" customHeight="1">
      <c r="A15" s="15">
        <f t="shared" si="0"/>
        <v>12</v>
      </c>
      <c r="B15" s="81">
        <v>45666</v>
      </c>
      <c r="C15" s="15" t="s">
        <v>38</v>
      </c>
      <c r="D15" s="15" t="s">
        <v>1563</v>
      </c>
      <c r="E15" s="26" t="s">
        <v>1518</v>
      </c>
      <c r="F15" s="27" t="s">
        <v>41</v>
      </c>
      <c r="G15" s="27">
        <v>645600</v>
      </c>
      <c r="H15" s="81">
        <v>45670</v>
      </c>
      <c r="I15" s="27">
        <v>6147684</v>
      </c>
      <c r="J15" s="28" t="s">
        <v>1564</v>
      </c>
      <c r="K15" s="81">
        <v>45658</v>
      </c>
      <c r="L15" s="81">
        <v>46022</v>
      </c>
      <c r="M15" s="34" t="s">
        <v>1565</v>
      </c>
      <c r="N15" s="400"/>
      <c r="O15" s="29">
        <f t="shared" si="1"/>
        <v>481062.21569999994</v>
      </c>
      <c r="P15" s="30">
        <v>60971.13</v>
      </c>
      <c r="Q15" s="31">
        <v>45658</v>
      </c>
      <c r="R15" s="32">
        <v>46022</v>
      </c>
      <c r="S15" s="20" t="s">
        <v>784</v>
      </c>
      <c r="T15" s="33" t="s">
        <v>1566</v>
      </c>
      <c r="U15" s="16">
        <v>45672</v>
      </c>
      <c r="V15" s="17">
        <v>1516641</v>
      </c>
      <c r="W15" s="18">
        <v>45735</v>
      </c>
      <c r="X15" s="19">
        <v>473477.41</v>
      </c>
      <c r="Y15" s="20" t="s">
        <v>191</v>
      </c>
      <c r="Z15" s="21" t="s">
        <v>1058</v>
      </c>
      <c r="AA15" s="22"/>
      <c r="AB15" s="23">
        <v>45658</v>
      </c>
      <c r="AC15" s="27" t="s">
        <v>1567</v>
      </c>
      <c r="AD15" s="80"/>
      <c r="AE15" s="24"/>
      <c r="AF15" s="80" t="s">
        <v>1568</v>
      </c>
      <c r="AG15" s="140"/>
    </row>
    <row r="16" spans="1:33" ht="27" customHeight="1">
      <c r="A16" s="15">
        <f t="shared" si="0"/>
        <v>13</v>
      </c>
      <c r="B16" s="81">
        <v>45666</v>
      </c>
      <c r="C16" s="15" t="s">
        <v>38</v>
      </c>
      <c r="D16" s="15" t="s">
        <v>1569</v>
      </c>
      <c r="E16" s="26" t="s">
        <v>1518</v>
      </c>
      <c r="F16" s="27" t="s">
        <v>41</v>
      </c>
      <c r="G16" s="27">
        <v>645600</v>
      </c>
      <c r="H16" s="81">
        <v>45670</v>
      </c>
      <c r="I16" s="27">
        <v>6147693</v>
      </c>
      <c r="J16" s="28" t="s">
        <v>1564</v>
      </c>
      <c r="K16" s="81">
        <v>45658</v>
      </c>
      <c r="L16" s="81">
        <v>46022</v>
      </c>
      <c r="M16" s="34" t="s">
        <v>1565</v>
      </c>
      <c r="N16" s="400"/>
      <c r="O16" s="29">
        <f t="shared" si="1"/>
        <v>38342.559600000001</v>
      </c>
      <c r="P16" s="30">
        <v>4859.6400000000003</v>
      </c>
      <c r="Q16" s="31">
        <v>45658</v>
      </c>
      <c r="R16" s="32">
        <v>46022</v>
      </c>
      <c r="S16" s="20" t="s">
        <v>1570</v>
      </c>
      <c r="T16" s="33" t="s">
        <v>1571</v>
      </c>
      <c r="U16" s="16">
        <v>45672</v>
      </c>
      <c r="V16" s="17">
        <v>1516642</v>
      </c>
      <c r="W16" s="18">
        <v>45681</v>
      </c>
      <c r="X16" s="19">
        <v>37738.019999999997</v>
      </c>
      <c r="Y16" s="20" t="s">
        <v>191</v>
      </c>
      <c r="Z16" s="21" t="s">
        <v>1058</v>
      </c>
      <c r="AA16" s="22"/>
      <c r="AB16" s="23">
        <v>45658</v>
      </c>
      <c r="AC16" s="27" t="s">
        <v>1567</v>
      </c>
      <c r="AD16" s="80"/>
      <c r="AE16" s="24"/>
      <c r="AG16" s="140"/>
    </row>
    <row r="17" spans="1:33" ht="27" customHeight="1">
      <c r="A17" s="15">
        <f t="shared" si="0"/>
        <v>14</v>
      </c>
      <c r="B17" s="81">
        <v>45666</v>
      </c>
      <c r="C17" s="15" t="s">
        <v>38</v>
      </c>
      <c r="D17" s="15" t="s">
        <v>1572</v>
      </c>
      <c r="E17" s="26" t="s">
        <v>1518</v>
      </c>
      <c r="F17" s="27" t="s">
        <v>41</v>
      </c>
      <c r="G17" s="27">
        <v>645600</v>
      </c>
      <c r="H17" s="81">
        <v>45670</v>
      </c>
      <c r="I17" s="27">
        <v>6147696</v>
      </c>
      <c r="J17" s="28" t="s">
        <v>1564</v>
      </c>
      <c r="K17" s="81">
        <v>45658</v>
      </c>
      <c r="L17" s="81">
        <v>46022</v>
      </c>
      <c r="M17" s="34" t="s">
        <v>1565</v>
      </c>
      <c r="N17" s="400"/>
      <c r="O17" s="29">
        <f t="shared" si="1"/>
        <v>31433.759999999998</v>
      </c>
      <c r="P17" s="30">
        <v>3984</v>
      </c>
      <c r="Q17" s="31">
        <v>45658</v>
      </c>
      <c r="R17" s="32">
        <v>46022</v>
      </c>
      <c r="S17" s="20" t="s">
        <v>1570</v>
      </c>
      <c r="T17" s="33" t="s">
        <v>1573</v>
      </c>
      <c r="U17" s="16">
        <v>45672</v>
      </c>
      <c r="V17" s="17">
        <v>1516643</v>
      </c>
      <c r="W17" s="18">
        <v>45681</v>
      </c>
      <c r="X17" s="19">
        <v>30938.15</v>
      </c>
      <c r="Y17" s="20" t="s">
        <v>191</v>
      </c>
      <c r="Z17" s="21" t="s">
        <v>1058</v>
      </c>
      <c r="AA17" s="22"/>
      <c r="AB17" s="23">
        <v>45658</v>
      </c>
      <c r="AC17" s="27" t="s">
        <v>1567</v>
      </c>
      <c r="AD17" s="80"/>
      <c r="AE17" s="24"/>
      <c r="AG17" s="140"/>
    </row>
    <row r="18" spans="1:33" ht="27" customHeight="1">
      <c r="A18" s="15">
        <f t="shared" si="0"/>
        <v>15</v>
      </c>
      <c r="B18" s="81">
        <v>45667</v>
      </c>
      <c r="C18" s="15" t="s">
        <v>38</v>
      </c>
      <c r="D18" s="15" t="s">
        <v>1574</v>
      </c>
      <c r="E18" s="26" t="s">
        <v>1518</v>
      </c>
      <c r="F18" s="27" t="s">
        <v>41</v>
      </c>
      <c r="G18" s="27">
        <v>645600</v>
      </c>
      <c r="H18" s="81">
        <v>45670</v>
      </c>
      <c r="I18" s="27">
        <v>6147712</v>
      </c>
      <c r="J18" s="28" t="s">
        <v>670</v>
      </c>
      <c r="K18" s="81">
        <v>45651</v>
      </c>
      <c r="L18" s="81">
        <v>46015</v>
      </c>
      <c r="M18" s="34" t="s">
        <v>1575</v>
      </c>
      <c r="N18" s="400"/>
      <c r="O18" s="29">
        <v>264000</v>
      </c>
      <c r="P18" s="30"/>
      <c r="Q18" s="31">
        <v>45651</v>
      </c>
      <c r="R18" s="32">
        <v>46015</v>
      </c>
      <c r="S18" s="20" t="s">
        <v>1576</v>
      </c>
      <c r="T18" s="33" t="s">
        <v>1577</v>
      </c>
      <c r="U18" s="16">
        <v>45673</v>
      </c>
      <c r="V18" s="17">
        <v>1516860</v>
      </c>
      <c r="W18" s="18">
        <v>45678</v>
      </c>
      <c r="X18" s="19">
        <v>264000</v>
      </c>
      <c r="Y18" s="20" t="s">
        <v>1167</v>
      </c>
      <c r="Z18" s="21" t="s">
        <v>1546</v>
      </c>
      <c r="AA18" s="22"/>
      <c r="AB18" s="23">
        <v>45658</v>
      </c>
      <c r="AC18" s="27" t="s">
        <v>1578</v>
      </c>
      <c r="AD18" s="80" t="s">
        <v>22</v>
      </c>
      <c r="AE18" s="24"/>
      <c r="AG18" s="140"/>
    </row>
    <row r="19" spans="1:33" ht="27" customHeight="1">
      <c r="A19" s="15">
        <f t="shared" si="0"/>
        <v>16</v>
      </c>
      <c r="B19" s="81">
        <v>45667</v>
      </c>
      <c r="C19" s="15" t="s">
        <v>38</v>
      </c>
      <c r="D19" s="15" t="s">
        <v>1579</v>
      </c>
      <c r="E19" s="26" t="s">
        <v>1518</v>
      </c>
      <c r="F19" s="27" t="s">
        <v>41</v>
      </c>
      <c r="G19" s="27">
        <v>645600</v>
      </c>
      <c r="H19" s="81">
        <v>45670</v>
      </c>
      <c r="I19" s="27">
        <v>6147713</v>
      </c>
      <c r="J19" s="28" t="s">
        <v>1580</v>
      </c>
      <c r="K19" s="81">
        <v>45614</v>
      </c>
      <c r="L19" s="81">
        <v>45978</v>
      </c>
      <c r="M19" s="34" t="s">
        <v>1581</v>
      </c>
      <c r="N19" s="400"/>
      <c r="O19" s="29">
        <f>P19*7.89</f>
        <v>2951.5700999999995</v>
      </c>
      <c r="P19" s="30">
        <v>374.09</v>
      </c>
      <c r="Q19" s="31">
        <v>45627</v>
      </c>
      <c r="R19" s="32">
        <v>45991</v>
      </c>
      <c r="S19" s="20" t="s">
        <v>784</v>
      </c>
      <c r="T19" s="33" t="s">
        <v>1582</v>
      </c>
      <c r="U19" s="16">
        <v>45673</v>
      </c>
      <c r="V19" s="17">
        <v>1516971</v>
      </c>
      <c r="W19" s="18">
        <v>45772</v>
      </c>
      <c r="X19" s="19">
        <v>2905.03</v>
      </c>
      <c r="Y19" s="20" t="s">
        <v>1560</v>
      </c>
      <c r="Z19" s="21" t="s">
        <v>1546</v>
      </c>
      <c r="AA19" s="22"/>
      <c r="AB19" s="23">
        <v>45658</v>
      </c>
      <c r="AC19" s="27" t="s">
        <v>1583</v>
      </c>
      <c r="AD19" s="80"/>
      <c r="AE19" s="24"/>
      <c r="AF19" s="80" t="s">
        <v>1584</v>
      </c>
      <c r="AG19" s="140"/>
    </row>
    <row r="20" spans="1:33" ht="27" customHeight="1">
      <c r="A20" s="15">
        <f t="shared" si="0"/>
        <v>17</v>
      </c>
      <c r="B20" s="81">
        <v>45672</v>
      </c>
      <c r="C20" s="15" t="s">
        <v>38</v>
      </c>
      <c r="D20" s="15" t="s">
        <v>1585</v>
      </c>
      <c r="E20" s="26" t="s">
        <v>1518</v>
      </c>
      <c r="F20" s="27" t="s">
        <v>41</v>
      </c>
      <c r="G20" s="27">
        <v>645600</v>
      </c>
      <c r="H20" s="81">
        <v>45673</v>
      </c>
      <c r="I20" s="27">
        <v>6148950</v>
      </c>
      <c r="J20" s="28" t="s">
        <v>1310</v>
      </c>
      <c r="K20" s="81">
        <v>45295</v>
      </c>
      <c r="L20" s="81">
        <v>46025</v>
      </c>
      <c r="M20" s="34" t="s">
        <v>1586</v>
      </c>
      <c r="N20" s="400"/>
      <c r="O20" s="29">
        <f>P20*7.89</f>
        <v>987603.29279999994</v>
      </c>
      <c r="P20" s="30">
        <v>125171.52</v>
      </c>
      <c r="Q20" s="31">
        <v>45658</v>
      </c>
      <c r="R20" s="32">
        <v>46022</v>
      </c>
      <c r="S20" s="20" t="s">
        <v>394</v>
      </c>
      <c r="T20" s="33" t="s">
        <v>1587</v>
      </c>
      <c r="U20" s="16">
        <v>45677</v>
      </c>
      <c r="V20" s="17">
        <v>1517306</v>
      </c>
      <c r="W20" s="18">
        <v>45734</v>
      </c>
      <c r="X20" s="19">
        <v>972031.96</v>
      </c>
      <c r="Y20" s="20" t="s">
        <v>1588</v>
      </c>
      <c r="Z20" s="21" t="s">
        <v>1058</v>
      </c>
      <c r="AA20" s="22"/>
      <c r="AB20" s="23">
        <v>45658</v>
      </c>
      <c r="AC20" s="27" t="s">
        <v>1589</v>
      </c>
      <c r="AD20" s="80" t="s">
        <v>22</v>
      </c>
      <c r="AE20" s="24"/>
      <c r="AG20" s="140"/>
    </row>
    <row r="21" spans="1:33" ht="27" customHeight="1">
      <c r="A21" s="15">
        <f t="shared" si="0"/>
        <v>18</v>
      </c>
      <c r="B21" s="81">
        <v>45672</v>
      </c>
      <c r="C21" s="15" t="s">
        <v>38</v>
      </c>
      <c r="D21" s="15" t="s">
        <v>1590</v>
      </c>
      <c r="E21" s="26" t="s">
        <v>1518</v>
      </c>
      <c r="F21" s="27" t="s">
        <v>41</v>
      </c>
      <c r="G21" s="27">
        <v>645600</v>
      </c>
      <c r="H21" s="81">
        <v>45673</v>
      </c>
      <c r="I21" s="27">
        <v>6148951</v>
      </c>
      <c r="J21" s="28" t="s">
        <v>1310</v>
      </c>
      <c r="K21" s="81">
        <v>45295</v>
      </c>
      <c r="L21" s="81">
        <v>46025</v>
      </c>
      <c r="M21" s="34" t="s">
        <v>1586</v>
      </c>
      <c r="N21" s="400"/>
      <c r="O21" s="29">
        <f>P21*7.89</f>
        <v>248031.30239999999</v>
      </c>
      <c r="P21" s="30">
        <v>31436.16</v>
      </c>
      <c r="Q21" s="31">
        <v>45658</v>
      </c>
      <c r="R21" s="32">
        <v>46022</v>
      </c>
      <c r="S21" s="20" t="s">
        <v>394</v>
      </c>
      <c r="T21" s="33" t="s">
        <v>1591</v>
      </c>
      <c r="U21" s="16">
        <v>45677</v>
      </c>
      <c r="V21" s="17">
        <v>1517315</v>
      </c>
      <c r="W21" s="18">
        <v>45734</v>
      </c>
      <c r="X21" s="19">
        <v>244120.64</v>
      </c>
      <c r="Y21" s="20" t="s">
        <v>1588</v>
      </c>
      <c r="Z21" s="21" t="s">
        <v>1058</v>
      </c>
      <c r="AA21" s="22"/>
      <c r="AB21" s="23">
        <v>45658</v>
      </c>
      <c r="AC21" s="27" t="s">
        <v>1589</v>
      </c>
      <c r="AD21" s="80" t="s">
        <v>22</v>
      </c>
      <c r="AE21" s="24"/>
      <c r="AG21" s="140"/>
    </row>
    <row r="22" spans="1:33" ht="27" customHeight="1">
      <c r="A22" s="15">
        <f t="shared" si="0"/>
        <v>19</v>
      </c>
      <c r="B22" s="81">
        <v>45672</v>
      </c>
      <c r="C22" s="15" t="s">
        <v>38</v>
      </c>
      <c r="D22" s="15" t="s">
        <v>1592</v>
      </c>
      <c r="E22" s="26" t="s">
        <v>1518</v>
      </c>
      <c r="F22" s="27" t="s">
        <v>41</v>
      </c>
      <c r="G22" s="27">
        <v>645600</v>
      </c>
      <c r="H22" s="81">
        <v>45673</v>
      </c>
      <c r="I22" s="27">
        <v>6148952</v>
      </c>
      <c r="J22" s="28" t="s">
        <v>1310</v>
      </c>
      <c r="K22" s="81">
        <v>45295</v>
      </c>
      <c r="L22" s="81">
        <v>46025</v>
      </c>
      <c r="M22" s="34" t="s">
        <v>1586</v>
      </c>
      <c r="N22" s="400"/>
      <c r="O22" s="29">
        <f>P22*7.89</f>
        <v>78899.684399999984</v>
      </c>
      <c r="P22" s="30">
        <v>9999.9599999999991</v>
      </c>
      <c r="Q22" s="31">
        <v>45658</v>
      </c>
      <c r="R22" s="32">
        <v>46022</v>
      </c>
      <c r="S22" s="20" t="s">
        <v>394</v>
      </c>
      <c r="T22" s="33" t="s">
        <v>1593</v>
      </c>
      <c r="U22" s="16">
        <v>45677</v>
      </c>
      <c r="V22" s="17">
        <v>1517316</v>
      </c>
      <c r="W22" s="18">
        <v>45734</v>
      </c>
      <c r="X22" s="19">
        <v>77655.69</v>
      </c>
      <c r="Y22" s="20" t="s">
        <v>1588</v>
      </c>
      <c r="Z22" s="21" t="s">
        <v>1058</v>
      </c>
      <c r="AA22" s="22"/>
      <c r="AB22" s="23">
        <v>45658</v>
      </c>
      <c r="AC22" s="27" t="s">
        <v>1589</v>
      </c>
      <c r="AD22" s="80" t="s">
        <v>22</v>
      </c>
      <c r="AE22" s="24"/>
      <c r="AG22" s="140"/>
    </row>
    <row r="23" spans="1:33" ht="27" customHeight="1">
      <c r="A23" s="15">
        <f t="shared" si="0"/>
        <v>20</v>
      </c>
      <c r="B23" s="81">
        <v>45673</v>
      </c>
      <c r="C23" s="15" t="s">
        <v>1498</v>
      </c>
      <c r="D23" s="15" t="s">
        <v>1594</v>
      </c>
      <c r="E23" s="26" t="s">
        <v>1500</v>
      </c>
      <c r="F23" s="27" t="s">
        <v>1537</v>
      </c>
      <c r="G23" s="27">
        <v>645602</v>
      </c>
      <c r="H23" s="81">
        <v>45674</v>
      </c>
      <c r="I23" s="27">
        <v>6149148</v>
      </c>
      <c r="J23" s="28" t="s">
        <v>1595</v>
      </c>
      <c r="K23" s="81">
        <v>45689</v>
      </c>
      <c r="L23" s="81">
        <v>46053</v>
      </c>
      <c r="M23" s="34" t="s">
        <v>1596</v>
      </c>
      <c r="N23" s="400"/>
      <c r="O23" s="29">
        <v>18000</v>
      </c>
      <c r="P23" s="30"/>
      <c r="Q23" s="31">
        <v>45606</v>
      </c>
      <c r="R23" s="32">
        <v>45970</v>
      </c>
      <c r="S23" s="20" t="s">
        <v>1597</v>
      </c>
      <c r="T23" s="33" t="s">
        <v>1598</v>
      </c>
      <c r="U23" s="16">
        <v>45678</v>
      </c>
      <c r="V23" s="17">
        <v>1517649</v>
      </c>
      <c r="W23" s="18">
        <v>45734</v>
      </c>
      <c r="X23" s="19">
        <v>18000</v>
      </c>
      <c r="Y23" s="20" t="s">
        <v>1541</v>
      </c>
      <c r="Z23" s="21" t="s">
        <v>1505</v>
      </c>
      <c r="AA23" s="22"/>
      <c r="AB23" s="23">
        <v>45658</v>
      </c>
      <c r="AC23" s="27" t="s">
        <v>1589</v>
      </c>
      <c r="AD23" s="80" t="s">
        <v>22</v>
      </c>
      <c r="AE23" s="24"/>
      <c r="AG23" s="140"/>
    </row>
    <row r="24" spans="1:33" ht="27" customHeight="1">
      <c r="A24" s="15">
        <f t="shared" si="0"/>
        <v>21</v>
      </c>
      <c r="B24" s="81">
        <v>45677</v>
      </c>
      <c r="C24" s="15" t="s">
        <v>38</v>
      </c>
      <c r="D24" s="15" t="s">
        <v>1599</v>
      </c>
      <c r="E24" s="26" t="s">
        <v>1518</v>
      </c>
      <c r="F24" s="27" t="s">
        <v>41</v>
      </c>
      <c r="G24" s="27">
        <v>645600</v>
      </c>
      <c r="H24" s="81">
        <v>45677</v>
      </c>
      <c r="I24" s="27">
        <v>6149974</v>
      </c>
      <c r="J24" s="28" t="s">
        <v>85</v>
      </c>
      <c r="K24" s="81">
        <v>45658</v>
      </c>
      <c r="L24" s="81">
        <v>46022</v>
      </c>
      <c r="M24" s="34" t="s">
        <v>1600</v>
      </c>
      <c r="N24" s="400"/>
      <c r="O24" s="29">
        <f>P24*7.89</f>
        <v>57685.525800000003</v>
      </c>
      <c r="P24" s="30">
        <v>7311.22</v>
      </c>
      <c r="Q24" s="31">
        <v>45658</v>
      </c>
      <c r="R24" s="32">
        <v>46022</v>
      </c>
      <c r="S24" s="20" t="s">
        <v>784</v>
      </c>
      <c r="T24" s="33" t="s">
        <v>1601</v>
      </c>
      <c r="U24" s="16">
        <v>45679</v>
      </c>
      <c r="V24" s="17">
        <v>1517853</v>
      </c>
      <c r="W24" s="18">
        <v>45772</v>
      </c>
      <c r="X24" s="19">
        <v>56776.01</v>
      </c>
      <c r="Y24" s="20" t="s">
        <v>47</v>
      </c>
      <c r="Z24" s="21" t="s">
        <v>1058</v>
      </c>
      <c r="AA24" s="22"/>
      <c r="AB24" s="23">
        <v>45658</v>
      </c>
      <c r="AC24" s="27" t="s">
        <v>1602</v>
      </c>
      <c r="AD24" s="80" t="s">
        <v>22</v>
      </c>
      <c r="AE24" s="24"/>
      <c r="AF24" s="80" t="s">
        <v>1603</v>
      </c>
      <c r="AG24" s="140"/>
    </row>
    <row r="25" spans="1:33" ht="27" customHeight="1">
      <c r="A25" s="15">
        <f t="shared" si="0"/>
        <v>22</v>
      </c>
      <c r="B25" s="81">
        <v>45677</v>
      </c>
      <c r="C25" s="15" t="s">
        <v>38</v>
      </c>
      <c r="D25" s="15" t="s">
        <v>1604</v>
      </c>
      <c r="E25" s="26" t="s">
        <v>1518</v>
      </c>
      <c r="F25" s="27" t="s">
        <v>41</v>
      </c>
      <c r="G25" s="27">
        <v>645600</v>
      </c>
      <c r="H25" s="81">
        <v>45677</v>
      </c>
      <c r="I25" s="27">
        <v>6149983</v>
      </c>
      <c r="J25" s="28" t="s">
        <v>85</v>
      </c>
      <c r="K25" s="81">
        <v>45658</v>
      </c>
      <c r="L25" s="81">
        <v>46022</v>
      </c>
      <c r="M25" s="34" t="s">
        <v>1600</v>
      </c>
      <c r="N25" s="400"/>
      <c r="O25" s="29">
        <f>P25*7.89</f>
        <v>6179.7636000000002</v>
      </c>
      <c r="P25" s="30">
        <v>783.24</v>
      </c>
      <c r="Q25" s="31">
        <v>45658</v>
      </c>
      <c r="R25" s="32">
        <v>46022</v>
      </c>
      <c r="S25" s="20" t="s">
        <v>394</v>
      </c>
      <c r="T25" s="33" t="s">
        <v>1605</v>
      </c>
      <c r="U25" s="16">
        <v>45679</v>
      </c>
      <c r="V25" s="17">
        <v>1517854</v>
      </c>
      <c r="W25" s="18">
        <v>45743</v>
      </c>
      <c r="X25" s="19">
        <v>6082.33</v>
      </c>
      <c r="Y25" s="20" t="s">
        <v>47</v>
      </c>
      <c r="Z25" s="21" t="s">
        <v>1058</v>
      </c>
      <c r="AA25" s="22"/>
      <c r="AB25" s="23">
        <v>45658</v>
      </c>
      <c r="AC25" s="27" t="s">
        <v>1602</v>
      </c>
      <c r="AD25" s="80" t="s">
        <v>22</v>
      </c>
      <c r="AE25" s="24"/>
      <c r="AG25" s="140"/>
    </row>
    <row r="26" spans="1:33" ht="27" customHeight="1">
      <c r="A26" s="15">
        <f t="shared" si="0"/>
        <v>23</v>
      </c>
      <c r="B26" s="81">
        <v>45666</v>
      </c>
      <c r="C26" s="15" t="s">
        <v>38</v>
      </c>
      <c r="D26" s="15" t="s">
        <v>1606</v>
      </c>
      <c r="E26" s="26" t="s">
        <v>70</v>
      </c>
      <c r="F26" s="27" t="s">
        <v>41</v>
      </c>
      <c r="G26" s="27">
        <v>645600</v>
      </c>
      <c r="H26" s="81">
        <v>45677</v>
      </c>
      <c r="I26" s="27">
        <v>6150015</v>
      </c>
      <c r="J26" s="28" t="s">
        <v>1607</v>
      </c>
      <c r="K26" s="81">
        <v>42475</v>
      </c>
      <c r="L26" s="81">
        <v>46126</v>
      </c>
      <c r="M26" s="34" t="s">
        <v>1608</v>
      </c>
      <c r="N26" s="400"/>
      <c r="O26" s="29">
        <f>P26*7.89</f>
        <v>58877.546999999999</v>
      </c>
      <c r="P26" s="30">
        <v>7462.3</v>
      </c>
      <c r="Q26" s="31">
        <v>45748</v>
      </c>
      <c r="R26" s="32">
        <v>46112</v>
      </c>
      <c r="S26" s="20" t="s">
        <v>473</v>
      </c>
      <c r="T26" s="33" t="s">
        <v>1609</v>
      </c>
      <c r="U26" s="16">
        <v>45684</v>
      </c>
      <c r="V26" s="17">
        <v>1518685</v>
      </c>
      <c r="W26" s="18">
        <v>45772</v>
      </c>
      <c r="X26" s="19">
        <v>57949.24</v>
      </c>
      <c r="Y26" s="20" t="s">
        <v>1553</v>
      </c>
      <c r="Z26" s="21" t="s">
        <v>1554</v>
      </c>
      <c r="AA26" s="22"/>
      <c r="AB26" s="23">
        <v>45658</v>
      </c>
      <c r="AC26" s="27" t="s">
        <v>1610</v>
      </c>
      <c r="AD26" s="80"/>
      <c r="AE26" s="24"/>
      <c r="AG26" s="140"/>
    </row>
    <row r="27" spans="1:33" ht="27" customHeight="1">
      <c r="A27" s="15">
        <f t="shared" si="0"/>
        <v>24</v>
      </c>
      <c r="B27" s="81">
        <v>45678</v>
      </c>
      <c r="C27" s="15" t="s">
        <v>38</v>
      </c>
      <c r="D27" s="15" t="s">
        <v>1611</v>
      </c>
      <c r="E27" s="26" t="s">
        <v>1518</v>
      </c>
      <c r="F27" s="27" t="s">
        <v>41</v>
      </c>
      <c r="G27" s="27">
        <v>645600</v>
      </c>
      <c r="H27" s="81">
        <v>45679</v>
      </c>
      <c r="I27" s="27">
        <v>6150843</v>
      </c>
      <c r="J27" s="28" t="s">
        <v>1310</v>
      </c>
      <c r="K27" s="81">
        <v>45295</v>
      </c>
      <c r="L27" s="81">
        <v>46025</v>
      </c>
      <c r="M27" s="34" t="s">
        <v>1586</v>
      </c>
      <c r="N27" s="400"/>
      <c r="O27" s="29">
        <v>17119</v>
      </c>
      <c r="P27" s="30"/>
      <c r="Q27" s="31">
        <v>45658</v>
      </c>
      <c r="R27" s="32">
        <v>46025</v>
      </c>
      <c r="S27" s="20" t="s">
        <v>1612</v>
      </c>
      <c r="T27" s="33" t="s">
        <v>1613</v>
      </c>
      <c r="U27" s="16">
        <v>45681</v>
      </c>
      <c r="V27" s="17">
        <v>1518337</v>
      </c>
      <c r="W27" s="18">
        <v>45772</v>
      </c>
      <c r="X27" s="19">
        <v>17119</v>
      </c>
      <c r="Y27" s="20" t="s">
        <v>1588</v>
      </c>
      <c r="Z27" s="21" t="s">
        <v>1058</v>
      </c>
      <c r="AA27" s="22"/>
      <c r="AB27" s="23">
        <v>45658</v>
      </c>
      <c r="AC27" s="27" t="s">
        <v>1589</v>
      </c>
      <c r="AD27" s="80" t="s">
        <v>22</v>
      </c>
      <c r="AE27" s="24"/>
      <c r="AG27" s="140"/>
    </row>
    <row r="28" spans="1:33" ht="27" customHeight="1">
      <c r="A28" s="15">
        <f t="shared" si="0"/>
        <v>25</v>
      </c>
      <c r="B28" s="81">
        <v>45678</v>
      </c>
      <c r="C28" s="15" t="s">
        <v>38</v>
      </c>
      <c r="D28" s="15" t="s">
        <v>1614</v>
      </c>
      <c r="E28" s="26" t="s">
        <v>1518</v>
      </c>
      <c r="F28" s="27" t="s">
        <v>277</v>
      </c>
      <c r="G28" s="27">
        <v>645600</v>
      </c>
      <c r="H28" s="81">
        <v>45679</v>
      </c>
      <c r="I28" s="27">
        <v>6150849</v>
      </c>
      <c r="J28" s="28" t="s">
        <v>1310</v>
      </c>
      <c r="K28" s="81">
        <v>45295</v>
      </c>
      <c r="L28" s="81">
        <v>46025</v>
      </c>
      <c r="M28" s="34" t="s">
        <v>1586</v>
      </c>
      <c r="N28" s="400"/>
      <c r="O28" s="29">
        <v>30000</v>
      </c>
      <c r="P28" s="30"/>
      <c r="Q28" s="31">
        <v>45661</v>
      </c>
      <c r="R28" s="32">
        <v>46025</v>
      </c>
      <c r="S28" s="20" t="s">
        <v>1615</v>
      </c>
      <c r="T28" s="33" t="s">
        <v>1616</v>
      </c>
      <c r="U28" s="16">
        <v>45693</v>
      </c>
      <c r="V28" s="17">
        <v>1519653</v>
      </c>
      <c r="W28" s="18">
        <v>45747</v>
      </c>
      <c r="X28" s="19">
        <v>30000</v>
      </c>
      <c r="Y28" s="20" t="s">
        <v>1588</v>
      </c>
      <c r="Z28" s="21" t="s">
        <v>1058</v>
      </c>
      <c r="AA28" s="22"/>
      <c r="AB28" s="23">
        <v>45658</v>
      </c>
      <c r="AC28" s="27" t="s">
        <v>1589</v>
      </c>
      <c r="AD28" s="80" t="s">
        <v>22</v>
      </c>
      <c r="AE28" s="24"/>
      <c r="AG28" s="140"/>
    </row>
    <row r="29" spans="1:33" ht="27" customHeight="1">
      <c r="A29" s="15">
        <f t="shared" si="0"/>
        <v>26</v>
      </c>
      <c r="B29" s="81">
        <v>45679</v>
      </c>
      <c r="C29" s="15" t="s">
        <v>38</v>
      </c>
      <c r="D29" s="15" t="s">
        <v>1617</v>
      </c>
      <c r="E29" s="26" t="s">
        <v>70</v>
      </c>
      <c r="F29" s="27" t="s">
        <v>41</v>
      </c>
      <c r="G29" s="27">
        <v>645600</v>
      </c>
      <c r="H29" s="81">
        <v>45679</v>
      </c>
      <c r="I29" s="27">
        <v>6150895</v>
      </c>
      <c r="J29" s="28" t="s">
        <v>835</v>
      </c>
      <c r="K29" s="81">
        <v>45533</v>
      </c>
      <c r="L29" s="81">
        <v>45897</v>
      </c>
      <c r="M29" s="34" t="s">
        <v>1618</v>
      </c>
      <c r="N29" s="400"/>
      <c r="O29" s="29">
        <f>1400+1400+1800+5000</f>
        <v>9600</v>
      </c>
      <c r="P29" s="30"/>
      <c r="Q29" s="31" t="s">
        <v>927</v>
      </c>
      <c r="R29" s="32"/>
      <c r="S29" s="20" t="s">
        <v>1619</v>
      </c>
      <c r="T29" s="33" t="s">
        <v>1620</v>
      </c>
      <c r="U29" s="16">
        <v>45684</v>
      </c>
      <c r="V29" s="17">
        <v>1518697</v>
      </c>
      <c r="W29" s="18"/>
      <c r="X29" s="19">
        <v>9600</v>
      </c>
      <c r="Y29" s="20" t="s">
        <v>1553</v>
      </c>
      <c r="Z29" s="21" t="s">
        <v>1554</v>
      </c>
      <c r="AA29" s="22"/>
      <c r="AB29" s="23">
        <v>45658</v>
      </c>
      <c r="AC29" s="27" t="s">
        <v>1621</v>
      </c>
      <c r="AD29" s="80"/>
      <c r="AE29" s="281" t="s">
        <v>1622</v>
      </c>
      <c r="AG29" s="140"/>
    </row>
    <row r="30" spans="1:33" ht="27" customHeight="1">
      <c r="A30" s="91">
        <f t="shared" si="0"/>
        <v>27</v>
      </c>
      <c r="B30" s="92">
        <v>45680</v>
      </c>
      <c r="C30" s="91" t="s">
        <v>38</v>
      </c>
      <c r="D30" s="91" t="s">
        <v>1623</v>
      </c>
      <c r="E30" s="93" t="s">
        <v>59</v>
      </c>
      <c r="F30" s="94" t="s">
        <v>277</v>
      </c>
      <c r="G30" s="94">
        <v>645600</v>
      </c>
      <c r="H30" s="92">
        <v>45680</v>
      </c>
      <c r="I30" s="94">
        <v>6151443</v>
      </c>
      <c r="J30" s="95" t="s">
        <v>1624</v>
      </c>
      <c r="K30" s="92">
        <v>45524</v>
      </c>
      <c r="L30" s="92">
        <v>46618</v>
      </c>
      <c r="M30" s="96" t="s">
        <v>1625</v>
      </c>
      <c r="N30" s="400"/>
      <c r="O30" s="97">
        <v>1500</v>
      </c>
      <c r="P30" s="98"/>
      <c r="Q30" s="99" t="s">
        <v>927</v>
      </c>
      <c r="R30" s="100"/>
      <c r="S30" s="101" t="s">
        <v>666</v>
      </c>
      <c r="T30" s="102" t="s">
        <v>1626</v>
      </c>
      <c r="U30" s="103" t="s">
        <v>609</v>
      </c>
      <c r="V30" s="104"/>
      <c r="W30" s="105"/>
      <c r="X30" s="106"/>
      <c r="Y30" s="101" t="s">
        <v>832</v>
      </c>
      <c r="Z30" s="107" t="s">
        <v>899</v>
      </c>
      <c r="AA30" s="108"/>
      <c r="AB30" s="109">
        <v>45658</v>
      </c>
      <c r="AC30" s="94" t="s">
        <v>1627</v>
      </c>
      <c r="AD30" s="138"/>
      <c r="AE30" s="110" t="s">
        <v>1628</v>
      </c>
      <c r="AG30" s="140"/>
    </row>
    <row r="31" spans="1:33" ht="27" customHeight="1">
      <c r="A31" s="15">
        <f t="shared" si="0"/>
        <v>28</v>
      </c>
      <c r="B31" s="81">
        <v>45681</v>
      </c>
      <c r="C31" s="15" t="s">
        <v>1498</v>
      </c>
      <c r="D31" s="15" t="s">
        <v>1629</v>
      </c>
      <c r="E31" s="26" t="s">
        <v>1500</v>
      </c>
      <c r="F31" s="27" t="s">
        <v>944</v>
      </c>
      <c r="G31" s="27">
        <v>645602</v>
      </c>
      <c r="H31" s="81">
        <v>45681</v>
      </c>
      <c r="I31" s="27">
        <v>6151654</v>
      </c>
      <c r="J31" s="28" t="s">
        <v>1630</v>
      </c>
      <c r="K31" s="81">
        <v>45658</v>
      </c>
      <c r="L31" s="81">
        <v>46022</v>
      </c>
      <c r="M31" s="88" t="s">
        <v>1631</v>
      </c>
      <c r="N31" s="400"/>
      <c r="O31" s="29">
        <v>45663</v>
      </c>
      <c r="P31" s="30"/>
      <c r="Q31" s="31">
        <v>45658</v>
      </c>
      <c r="R31" s="32">
        <v>46022</v>
      </c>
      <c r="S31" s="20" t="s">
        <v>1502</v>
      </c>
      <c r="T31" s="33" t="s">
        <v>1632</v>
      </c>
      <c r="U31" s="16">
        <v>45692</v>
      </c>
      <c r="V31" s="17">
        <v>1519299</v>
      </c>
      <c r="W31" s="18">
        <v>45747</v>
      </c>
      <c r="X31" s="19">
        <v>45663</v>
      </c>
      <c r="Y31" s="20" t="s">
        <v>1560</v>
      </c>
      <c r="Z31" s="21" t="s">
        <v>1505</v>
      </c>
      <c r="AA31" s="22"/>
      <c r="AB31" s="23">
        <v>45658</v>
      </c>
      <c r="AC31" s="27" t="s">
        <v>1633</v>
      </c>
      <c r="AD31" s="80"/>
      <c r="AE31" s="24" t="s">
        <v>1634</v>
      </c>
      <c r="AG31" s="140"/>
    </row>
    <row r="32" spans="1:33" ht="27" customHeight="1">
      <c r="A32" s="91">
        <f t="shared" si="0"/>
        <v>29</v>
      </c>
      <c r="B32" s="92">
        <v>45681</v>
      </c>
      <c r="C32" s="91" t="s">
        <v>38</v>
      </c>
      <c r="D32" s="91" t="s">
        <v>1635</v>
      </c>
      <c r="E32" s="93" t="s">
        <v>59</v>
      </c>
      <c r="F32" s="94" t="s">
        <v>277</v>
      </c>
      <c r="G32" s="94">
        <v>645600</v>
      </c>
      <c r="H32" s="92">
        <v>45681</v>
      </c>
      <c r="I32" s="94">
        <v>6151862</v>
      </c>
      <c r="J32" s="95" t="s">
        <v>1624</v>
      </c>
      <c r="K32" s="92">
        <v>45524</v>
      </c>
      <c r="L32" s="92">
        <v>46618</v>
      </c>
      <c r="M32" s="96" t="s">
        <v>1625</v>
      </c>
      <c r="N32" s="400"/>
      <c r="O32" s="97">
        <f>1720*3</f>
        <v>5160</v>
      </c>
      <c r="P32" s="98"/>
      <c r="Q32" s="99">
        <v>45566</v>
      </c>
      <c r="R32" s="100">
        <v>46660</v>
      </c>
      <c r="S32" s="101" t="s">
        <v>180</v>
      </c>
      <c r="T32" s="102" t="s">
        <v>1636</v>
      </c>
      <c r="U32" s="103" t="s">
        <v>609</v>
      </c>
      <c r="V32" s="104"/>
      <c r="W32" s="105"/>
      <c r="X32" s="106">
        <f>1720*3</f>
        <v>5160</v>
      </c>
      <c r="Y32" s="101" t="s">
        <v>832</v>
      </c>
      <c r="Z32" s="107" t="s">
        <v>899</v>
      </c>
      <c r="AA32" s="108"/>
      <c r="AB32" s="109">
        <v>45658</v>
      </c>
      <c r="AC32" s="94" t="s">
        <v>1627</v>
      </c>
      <c r="AD32" s="138"/>
      <c r="AE32" s="110" t="s">
        <v>1628</v>
      </c>
      <c r="AG32" s="140"/>
    </row>
    <row r="33" spans="1:33" ht="27" customHeight="1">
      <c r="A33" s="15">
        <f t="shared" si="0"/>
        <v>30</v>
      </c>
      <c r="B33" s="81">
        <v>45681</v>
      </c>
      <c r="C33" s="15" t="s">
        <v>1498</v>
      </c>
      <c r="D33" s="15" t="s">
        <v>1637</v>
      </c>
      <c r="E33" s="26" t="s">
        <v>1500</v>
      </c>
      <c r="F33" s="27" t="s">
        <v>1537</v>
      </c>
      <c r="G33" s="27">
        <v>645602</v>
      </c>
      <c r="H33" s="81">
        <v>45681</v>
      </c>
      <c r="I33" s="27">
        <v>6151893</v>
      </c>
      <c r="J33" s="28" t="s">
        <v>584</v>
      </c>
      <c r="K33" s="81">
        <v>45684</v>
      </c>
      <c r="L33" s="81">
        <v>46050</v>
      </c>
      <c r="M33" s="34" t="s">
        <v>1638</v>
      </c>
      <c r="N33" s="400"/>
      <c r="O33" s="29">
        <v>18000</v>
      </c>
      <c r="P33" s="30"/>
      <c r="Q33" s="31">
        <v>45684</v>
      </c>
      <c r="R33" s="32">
        <v>46048</v>
      </c>
      <c r="S33" s="20" t="s">
        <v>1597</v>
      </c>
      <c r="T33" s="33" t="s">
        <v>1639</v>
      </c>
      <c r="U33" s="16">
        <v>45699</v>
      </c>
      <c r="V33" s="17">
        <v>1520318</v>
      </c>
      <c r="W33" s="18">
        <v>45744</v>
      </c>
      <c r="X33" s="19">
        <v>18000</v>
      </c>
      <c r="Y33" s="20" t="s">
        <v>1640</v>
      </c>
      <c r="Z33" s="21" t="s">
        <v>1505</v>
      </c>
      <c r="AA33" s="22"/>
      <c r="AB33" s="23">
        <v>45658</v>
      </c>
      <c r="AC33" s="27" t="s">
        <v>1641</v>
      </c>
      <c r="AD33" s="80" t="s">
        <v>1642</v>
      </c>
      <c r="AE33" s="24" t="s">
        <v>1643</v>
      </c>
      <c r="AG33" s="140"/>
    </row>
    <row r="34" spans="1:33" ht="27" customHeight="1">
      <c r="A34" s="15">
        <f t="shared" si="0"/>
        <v>31</v>
      </c>
      <c r="B34" s="81">
        <v>45681</v>
      </c>
      <c r="C34" s="15" t="s">
        <v>38</v>
      </c>
      <c r="D34" s="15" t="s">
        <v>1644</v>
      </c>
      <c r="E34" s="26" t="s">
        <v>1518</v>
      </c>
      <c r="F34" s="27" t="s">
        <v>41</v>
      </c>
      <c r="G34" s="27">
        <v>645600</v>
      </c>
      <c r="H34" s="81">
        <v>45681</v>
      </c>
      <c r="I34" s="27">
        <v>6151900</v>
      </c>
      <c r="J34" s="28" t="s">
        <v>1645</v>
      </c>
      <c r="K34" s="81">
        <v>45536</v>
      </c>
      <c r="L34" s="81">
        <v>45900</v>
      </c>
      <c r="M34" s="34" t="s">
        <v>1646</v>
      </c>
      <c r="N34" s="400"/>
      <c r="O34" s="29">
        <f t="shared" ref="O34:O41" si="2">P34*7.89</f>
        <v>19127.805899999999</v>
      </c>
      <c r="P34" s="30">
        <f>354.41+2069.9</f>
        <v>2424.31</v>
      </c>
      <c r="Q34" s="31">
        <v>45689</v>
      </c>
      <c r="R34" s="32">
        <v>45900</v>
      </c>
      <c r="S34" s="20" t="s">
        <v>394</v>
      </c>
      <c r="T34" s="33" t="s">
        <v>1647</v>
      </c>
      <c r="U34" s="16">
        <v>45685</v>
      </c>
      <c r="V34" s="17">
        <v>1518969</v>
      </c>
      <c r="W34" s="18">
        <v>45706</v>
      </c>
      <c r="X34" s="19">
        <f>2752.21+16074.02</f>
        <v>18826.23</v>
      </c>
      <c r="Y34" s="20" t="s">
        <v>299</v>
      </c>
      <c r="Z34" s="21" t="s">
        <v>1546</v>
      </c>
      <c r="AA34" s="22"/>
      <c r="AB34" s="23">
        <v>45658</v>
      </c>
      <c r="AC34" s="27" t="s">
        <v>1648</v>
      </c>
      <c r="AD34" s="80" t="s">
        <v>22</v>
      </c>
      <c r="AE34" s="24" t="s">
        <v>1649</v>
      </c>
      <c r="AG34" s="140"/>
    </row>
    <row r="35" spans="1:33" ht="27" customHeight="1">
      <c r="A35" s="15">
        <f t="shared" si="0"/>
        <v>32</v>
      </c>
      <c r="B35" s="81">
        <v>45681</v>
      </c>
      <c r="C35" s="15" t="s">
        <v>38</v>
      </c>
      <c r="D35" s="15" t="s">
        <v>1650</v>
      </c>
      <c r="E35" s="26" t="s">
        <v>1518</v>
      </c>
      <c r="F35" s="27" t="s">
        <v>41</v>
      </c>
      <c r="G35" s="27">
        <v>645600</v>
      </c>
      <c r="H35" s="81">
        <v>45681</v>
      </c>
      <c r="I35" s="27">
        <v>6151901</v>
      </c>
      <c r="J35" s="28" t="s">
        <v>1645</v>
      </c>
      <c r="K35" s="81">
        <v>45536</v>
      </c>
      <c r="L35" s="81">
        <v>45900</v>
      </c>
      <c r="M35" s="34" t="s">
        <v>1646</v>
      </c>
      <c r="N35" s="400"/>
      <c r="O35" s="29">
        <f t="shared" si="2"/>
        <v>285.93360000000001</v>
      </c>
      <c r="P35" s="30">
        <v>36.24</v>
      </c>
      <c r="Q35" s="31">
        <v>45717</v>
      </c>
      <c r="R35" s="32">
        <v>45900</v>
      </c>
      <c r="S35" s="20" t="s">
        <v>394</v>
      </c>
      <c r="T35" s="33" t="s">
        <v>1651</v>
      </c>
      <c r="U35" s="16">
        <v>45691</v>
      </c>
      <c r="V35" s="17">
        <v>1519035</v>
      </c>
      <c r="W35" s="18">
        <v>45716</v>
      </c>
      <c r="X35" s="19">
        <v>281.43</v>
      </c>
      <c r="Y35" s="20" t="s">
        <v>299</v>
      </c>
      <c r="Z35" s="21" t="s">
        <v>1546</v>
      </c>
      <c r="AA35" s="22"/>
      <c r="AB35" s="23">
        <v>45658</v>
      </c>
      <c r="AC35" s="27" t="s">
        <v>1648</v>
      </c>
      <c r="AD35" s="80" t="s">
        <v>22</v>
      </c>
      <c r="AE35" s="24" t="s">
        <v>1649</v>
      </c>
      <c r="AG35" s="140"/>
    </row>
    <row r="36" spans="1:33" ht="27" customHeight="1">
      <c r="A36" s="15">
        <f t="shared" si="0"/>
        <v>33</v>
      </c>
      <c r="B36" s="81">
        <v>45681</v>
      </c>
      <c r="C36" s="15" t="s">
        <v>38</v>
      </c>
      <c r="D36" s="15" t="s">
        <v>1652</v>
      </c>
      <c r="E36" s="26" t="s">
        <v>1518</v>
      </c>
      <c r="F36" s="27" t="s">
        <v>41</v>
      </c>
      <c r="G36" s="27">
        <v>645600</v>
      </c>
      <c r="H36" s="81">
        <v>45681</v>
      </c>
      <c r="I36" s="27">
        <v>6151902</v>
      </c>
      <c r="J36" s="28" t="s">
        <v>1645</v>
      </c>
      <c r="K36" s="81">
        <v>45536</v>
      </c>
      <c r="L36" s="81">
        <v>45900</v>
      </c>
      <c r="M36" s="34" t="s">
        <v>1646</v>
      </c>
      <c r="N36" s="400"/>
      <c r="O36" s="29">
        <f t="shared" si="2"/>
        <v>7146.3674999999994</v>
      </c>
      <c r="P36" s="30">
        <v>905.75</v>
      </c>
      <c r="Q36" s="31">
        <v>45748</v>
      </c>
      <c r="R36" s="32">
        <v>45900</v>
      </c>
      <c r="S36" s="20" t="s">
        <v>394</v>
      </c>
      <c r="T36" s="33" t="s">
        <v>1653</v>
      </c>
      <c r="U36" s="16">
        <v>45691</v>
      </c>
      <c r="V36" s="17">
        <v>1519031</v>
      </c>
      <c r="W36" s="18">
        <v>45716</v>
      </c>
      <c r="X36" s="19">
        <v>7033.69</v>
      </c>
      <c r="Y36" s="20" t="s">
        <v>299</v>
      </c>
      <c r="Z36" s="21" t="s">
        <v>1546</v>
      </c>
      <c r="AA36" s="22"/>
      <c r="AB36" s="23">
        <v>45658</v>
      </c>
      <c r="AC36" s="27" t="s">
        <v>1648</v>
      </c>
      <c r="AD36" s="80" t="s">
        <v>22</v>
      </c>
      <c r="AE36" s="24" t="s">
        <v>1649</v>
      </c>
      <c r="AG36" s="140"/>
    </row>
    <row r="37" spans="1:33" ht="27" customHeight="1">
      <c r="A37" s="15">
        <f t="shared" ref="A37:A68" si="3">A36+1</f>
        <v>34</v>
      </c>
      <c r="B37" s="81">
        <v>45681</v>
      </c>
      <c r="C37" s="15" t="s">
        <v>38</v>
      </c>
      <c r="D37" s="15" t="s">
        <v>1654</v>
      </c>
      <c r="E37" s="26" t="s">
        <v>1518</v>
      </c>
      <c r="F37" s="27" t="s">
        <v>41</v>
      </c>
      <c r="G37" s="27">
        <v>645600</v>
      </c>
      <c r="H37" s="81">
        <v>45681</v>
      </c>
      <c r="I37" s="27">
        <v>6151904</v>
      </c>
      <c r="J37" s="28" t="s">
        <v>1655</v>
      </c>
      <c r="K37" s="81">
        <v>45658</v>
      </c>
      <c r="L37" s="81">
        <v>46022</v>
      </c>
      <c r="M37" s="34" t="s">
        <v>1656</v>
      </c>
      <c r="N37" s="400"/>
      <c r="O37" s="29">
        <f t="shared" si="2"/>
        <v>529555.65480000002</v>
      </c>
      <c r="P37" s="30">
        <v>67117.320000000007</v>
      </c>
      <c r="Q37" s="31">
        <v>45658</v>
      </c>
      <c r="R37" s="32">
        <v>46022</v>
      </c>
      <c r="S37" s="20" t="s">
        <v>538</v>
      </c>
      <c r="T37" s="33" t="s">
        <v>1657</v>
      </c>
      <c r="U37" s="16">
        <v>45685</v>
      </c>
      <c r="V37" s="17">
        <v>1518971</v>
      </c>
      <c r="W37" s="18">
        <v>45700</v>
      </c>
      <c r="X37" s="19">
        <v>521206.26</v>
      </c>
      <c r="Y37" s="20" t="s">
        <v>1560</v>
      </c>
      <c r="Z37" s="21" t="s">
        <v>1546</v>
      </c>
      <c r="AA37" s="22"/>
      <c r="AB37" s="23">
        <v>45658</v>
      </c>
      <c r="AC37" s="27" t="s">
        <v>1658</v>
      </c>
      <c r="AD37" s="80" t="s">
        <v>22</v>
      </c>
      <c r="AE37" s="24" t="s">
        <v>1659</v>
      </c>
      <c r="AG37" s="140"/>
    </row>
    <row r="38" spans="1:33" ht="27" customHeight="1">
      <c r="A38" s="15">
        <f t="shared" si="3"/>
        <v>35</v>
      </c>
      <c r="B38" s="81">
        <v>45681</v>
      </c>
      <c r="C38" s="15" t="s">
        <v>38</v>
      </c>
      <c r="D38" s="15" t="s">
        <v>1660</v>
      </c>
      <c r="E38" s="26" t="s">
        <v>1518</v>
      </c>
      <c r="F38" s="27" t="s">
        <v>41</v>
      </c>
      <c r="G38" s="27">
        <v>645600</v>
      </c>
      <c r="H38" s="81">
        <v>45681</v>
      </c>
      <c r="I38" s="27">
        <v>6151905</v>
      </c>
      <c r="J38" s="28" t="s">
        <v>1655</v>
      </c>
      <c r="K38" s="81">
        <v>45658</v>
      </c>
      <c r="L38" s="81">
        <v>46022</v>
      </c>
      <c r="M38" s="34" t="s">
        <v>1656</v>
      </c>
      <c r="N38" s="400"/>
      <c r="O38" s="29">
        <f t="shared" si="2"/>
        <v>20147.903999999999</v>
      </c>
      <c r="P38" s="30">
        <v>2553.6</v>
      </c>
      <c r="Q38" s="31">
        <v>45658</v>
      </c>
      <c r="R38" s="32">
        <v>46022</v>
      </c>
      <c r="S38" s="20" t="s">
        <v>394</v>
      </c>
      <c r="T38" s="33" t="s">
        <v>1661</v>
      </c>
      <c r="U38" s="16">
        <v>45691</v>
      </c>
      <c r="V38" s="17">
        <v>1519028</v>
      </c>
      <c r="W38" s="18">
        <v>45716</v>
      </c>
      <c r="X38" s="19">
        <v>19830.240000000002</v>
      </c>
      <c r="Y38" s="20" t="s">
        <v>1560</v>
      </c>
      <c r="Z38" s="21" t="s">
        <v>1546</v>
      </c>
      <c r="AA38" s="22"/>
      <c r="AB38" s="23">
        <v>45658</v>
      </c>
      <c r="AC38" s="27" t="s">
        <v>1658</v>
      </c>
      <c r="AD38" s="80" t="s">
        <v>22</v>
      </c>
      <c r="AE38" s="24" t="s">
        <v>1659</v>
      </c>
      <c r="AG38" s="140"/>
    </row>
    <row r="39" spans="1:33" ht="27" customHeight="1">
      <c r="A39" s="15">
        <f t="shared" si="3"/>
        <v>36</v>
      </c>
      <c r="B39" s="81">
        <v>45681</v>
      </c>
      <c r="C39" s="15" t="s">
        <v>38</v>
      </c>
      <c r="D39" s="15" t="s">
        <v>1662</v>
      </c>
      <c r="E39" s="26" t="s">
        <v>1518</v>
      </c>
      <c r="F39" s="27" t="s">
        <v>41</v>
      </c>
      <c r="G39" s="27">
        <v>645600</v>
      </c>
      <c r="H39" s="81">
        <v>45684</v>
      </c>
      <c r="I39" s="27">
        <v>6152042</v>
      </c>
      <c r="J39" s="28" t="s">
        <v>1663</v>
      </c>
      <c r="K39" s="81">
        <v>45689</v>
      </c>
      <c r="L39" s="81">
        <v>46418</v>
      </c>
      <c r="M39" s="34" t="s">
        <v>1664</v>
      </c>
      <c r="N39" s="400"/>
      <c r="O39" s="29">
        <f t="shared" si="2"/>
        <v>222371.12879999998</v>
      </c>
      <c r="P39" s="30">
        <v>28183.919999999998</v>
      </c>
      <c r="Q39" s="31">
        <v>45689</v>
      </c>
      <c r="R39" s="32">
        <v>46418</v>
      </c>
      <c r="S39" s="7" t="s">
        <v>784</v>
      </c>
      <c r="T39" s="33" t="s">
        <v>1657</v>
      </c>
      <c r="U39" s="16">
        <v>45685</v>
      </c>
      <c r="V39" s="17">
        <v>1518890</v>
      </c>
      <c r="W39" s="18">
        <v>45706</v>
      </c>
      <c r="X39" s="19">
        <v>218865.05</v>
      </c>
      <c r="Y39" s="20" t="s">
        <v>1560</v>
      </c>
      <c r="Z39" s="21" t="s">
        <v>1058</v>
      </c>
      <c r="AA39" s="22"/>
      <c r="AB39" s="23">
        <v>45658</v>
      </c>
      <c r="AC39" s="27" t="s">
        <v>1665</v>
      </c>
      <c r="AD39" s="80" t="s">
        <v>22</v>
      </c>
      <c r="AE39" s="24" t="s">
        <v>1666</v>
      </c>
      <c r="AG39" s="140"/>
    </row>
    <row r="40" spans="1:33" ht="27" customHeight="1">
      <c r="A40" s="15">
        <f t="shared" si="3"/>
        <v>37</v>
      </c>
      <c r="B40" s="81">
        <v>45684</v>
      </c>
      <c r="C40" s="15" t="s">
        <v>38</v>
      </c>
      <c r="D40" s="15" t="s">
        <v>1667</v>
      </c>
      <c r="E40" s="26" t="s">
        <v>1518</v>
      </c>
      <c r="F40" s="27" t="s">
        <v>41</v>
      </c>
      <c r="G40" s="27">
        <v>645600</v>
      </c>
      <c r="H40" s="81">
        <v>45684</v>
      </c>
      <c r="I40" s="27">
        <v>6152185</v>
      </c>
      <c r="J40" s="28" t="s">
        <v>1668</v>
      </c>
      <c r="K40" s="81">
        <v>45658</v>
      </c>
      <c r="L40" s="81">
        <v>46022</v>
      </c>
      <c r="M40" s="34" t="s">
        <v>1669</v>
      </c>
      <c r="N40" s="400"/>
      <c r="O40" s="29">
        <f t="shared" si="2"/>
        <v>18853.707300000002</v>
      </c>
      <c r="P40" s="30">
        <v>2389.5700000000002</v>
      </c>
      <c r="Q40" s="31">
        <v>45748</v>
      </c>
      <c r="R40" s="32">
        <v>46112</v>
      </c>
      <c r="S40" s="7" t="s">
        <v>784</v>
      </c>
      <c r="T40" s="33" t="s">
        <v>1670</v>
      </c>
      <c r="U40" s="16">
        <v>45685</v>
      </c>
      <c r="V40" s="17">
        <v>1518891</v>
      </c>
      <c r="W40" s="18">
        <v>45706</v>
      </c>
      <c r="X40" s="19">
        <v>18556.439999999999</v>
      </c>
      <c r="Y40" s="20" t="s">
        <v>794</v>
      </c>
      <c r="Z40" s="21" t="s">
        <v>1058</v>
      </c>
      <c r="AA40" s="22"/>
      <c r="AB40" s="23">
        <v>45658</v>
      </c>
      <c r="AC40" s="27" t="s">
        <v>1671</v>
      </c>
      <c r="AD40" s="80" t="s">
        <v>1672</v>
      </c>
      <c r="AE40" s="24" t="s">
        <v>1673</v>
      </c>
      <c r="AF40" s="80" t="s">
        <v>1674</v>
      </c>
      <c r="AG40" s="140"/>
    </row>
    <row r="41" spans="1:33" ht="27" customHeight="1">
      <c r="A41" s="15">
        <f t="shared" si="3"/>
        <v>38</v>
      </c>
      <c r="B41" s="81">
        <v>45684</v>
      </c>
      <c r="C41" s="15" t="s">
        <v>38</v>
      </c>
      <c r="D41" s="15" t="s">
        <v>1675</v>
      </c>
      <c r="E41" s="26" t="s">
        <v>1518</v>
      </c>
      <c r="F41" s="27" t="s">
        <v>41</v>
      </c>
      <c r="G41" s="27">
        <v>645600</v>
      </c>
      <c r="H41" s="81">
        <v>45684</v>
      </c>
      <c r="I41" s="27">
        <v>6152354</v>
      </c>
      <c r="J41" s="28" t="s">
        <v>1676</v>
      </c>
      <c r="K41" s="81">
        <v>45414</v>
      </c>
      <c r="L41" s="81">
        <v>45778</v>
      </c>
      <c r="M41" s="34" t="s">
        <v>1677</v>
      </c>
      <c r="N41" s="400"/>
      <c r="O41" s="29">
        <f t="shared" si="2"/>
        <v>4684.4507999999996</v>
      </c>
      <c r="P41" s="30">
        <v>593.72</v>
      </c>
      <c r="Q41" s="31">
        <v>45689</v>
      </c>
      <c r="R41" s="32">
        <v>45808</v>
      </c>
      <c r="S41" s="20" t="s">
        <v>394</v>
      </c>
      <c r="T41" s="33" t="s">
        <v>1678</v>
      </c>
      <c r="U41" s="16">
        <v>45693</v>
      </c>
      <c r="V41" s="17">
        <v>1519440</v>
      </c>
      <c r="W41" s="18">
        <v>45716</v>
      </c>
      <c r="X41" s="19">
        <v>4610.59</v>
      </c>
      <c r="Y41" s="20" t="s">
        <v>794</v>
      </c>
      <c r="Z41" s="21" t="s">
        <v>1546</v>
      </c>
      <c r="AA41" s="22"/>
      <c r="AB41" s="23">
        <v>45658</v>
      </c>
      <c r="AC41" s="27" t="s">
        <v>1679</v>
      </c>
      <c r="AD41" s="80"/>
      <c r="AE41" s="24"/>
      <c r="AG41" s="140"/>
    </row>
    <row r="42" spans="1:33" ht="27" customHeight="1">
      <c r="A42" s="15">
        <f t="shared" si="3"/>
        <v>39</v>
      </c>
      <c r="B42" s="81">
        <v>45685</v>
      </c>
      <c r="C42" s="15" t="s">
        <v>1498</v>
      </c>
      <c r="D42" s="15" t="s">
        <v>1680</v>
      </c>
      <c r="E42" s="26" t="s">
        <v>1500</v>
      </c>
      <c r="F42" s="27" t="s">
        <v>944</v>
      </c>
      <c r="G42" s="27">
        <v>645602</v>
      </c>
      <c r="H42" s="81">
        <v>45685</v>
      </c>
      <c r="I42" s="27">
        <v>6152449</v>
      </c>
      <c r="J42" s="28" t="s">
        <v>1508</v>
      </c>
      <c r="K42" s="81">
        <v>45628</v>
      </c>
      <c r="L42" s="81">
        <v>47088</v>
      </c>
      <c r="M42" s="34" t="s">
        <v>1681</v>
      </c>
      <c r="N42" s="400"/>
      <c r="O42" s="29">
        <v>34729.199999999997</v>
      </c>
      <c r="P42" s="30"/>
      <c r="Q42" s="31" t="s">
        <v>1510</v>
      </c>
      <c r="R42" s="32"/>
      <c r="S42" s="20" t="s">
        <v>1682</v>
      </c>
      <c r="T42" s="33" t="s">
        <v>1683</v>
      </c>
      <c r="U42" s="16">
        <v>45700</v>
      </c>
      <c r="V42" s="17">
        <v>1520606</v>
      </c>
      <c r="W42" s="18"/>
      <c r="X42" s="19">
        <v>34729.199999999997</v>
      </c>
      <c r="Y42" s="20" t="s">
        <v>634</v>
      </c>
      <c r="Z42" s="21" t="s">
        <v>1505</v>
      </c>
      <c r="AA42" s="22"/>
      <c r="AB42" s="23">
        <v>45658</v>
      </c>
      <c r="AC42" s="27" t="s">
        <v>158</v>
      </c>
      <c r="AD42" s="80"/>
      <c r="AE42" s="24"/>
      <c r="AG42" s="140"/>
    </row>
    <row r="43" spans="1:33" ht="27" customHeight="1">
      <c r="A43" s="15">
        <f t="shared" si="3"/>
        <v>40</v>
      </c>
      <c r="B43" s="81">
        <v>45685</v>
      </c>
      <c r="C43" s="15" t="s">
        <v>1498</v>
      </c>
      <c r="D43" s="15" t="s">
        <v>1684</v>
      </c>
      <c r="E43" s="26" t="s">
        <v>1500</v>
      </c>
      <c r="F43" s="27" t="s">
        <v>944</v>
      </c>
      <c r="G43" s="27">
        <v>645602</v>
      </c>
      <c r="H43" s="81">
        <v>45685</v>
      </c>
      <c r="I43" s="27">
        <v>6152454</v>
      </c>
      <c r="J43" s="28" t="s">
        <v>1508</v>
      </c>
      <c r="K43" s="81">
        <v>45628</v>
      </c>
      <c r="L43" s="81">
        <v>47088</v>
      </c>
      <c r="M43" s="34" t="s">
        <v>1681</v>
      </c>
      <c r="N43" s="400"/>
      <c r="O43" s="29">
        <v>29935.200000000001</v>
      </c>
      <c r="P43" s="30"/>
      <c r="Q43" s="31" t="s">
        <v>1510</v>
      </c>
      <c r="R43" s="32"/>
      <c r="S43" s="20" t="s">
        <v>1682</v>
      </c>
      <c r="T43" s="33" t="s">
        <v>1685</v>
      </c>
      <c r="U43" s="16">
        <v>45700</v>
      </c>
      <c r="V43" s="17">
        <v>1520608</v>
      </c>
      <c r="W43" s="18"/>
      <c r="X43" s="19">
        <v>29935.200000000001</v>
      </c>
      <c r="Y43" s="20" t="s">
        <v>634</v>
      </c>
      <c r="Z43" s="21" t="s">
        <v>1505</v>
      </c>
      <c r="AA43" s="22"/>
      <c r="AB43" s="23">
        <v>45658</v>
      </c>
      <c r="AC43" s="27" t="s">
        <v>158</v>
      </c>
      <c r="AD43" s="80"/>
      <c r="AE43" s="24"/>
      <c r="AG43" s="140"/>
    </row>
    <row r="44" spans="1:33" ht="27" customHeight="1">
      <c r="A44" s="15">
        <f t="shared" si="3"/>
        <v>41</v>
      </c>
      <c r="B44" s="81">
        <v>45685</v>
      </c>
      <c r="C44" s="15" t="s">
        <v>1498</v>
      </c>
      <c r="D44" s="15" t="s">
        <v>1686</v>
      </c>
      <c r="E44" s="26" t="s">
        <v>1500</v>
      </c>
      <c r="F44" s="27" t="s">
        <v>944</v>
      </c>
      <c r="G44" s="27">
        <v>645602</v>
      </c>
      <c r="H44" s="81">
        <v>45685</v>
      </c>
      <c r="I44" s="27">
        <v>6152458</v>
      </c>
      <c r="J44" s="28" t="s">
        <v>1508</v>
      </c>
      <c r="K44" s="81">
        <v>45628</v>
      </c>
      <c r="L44" s="81">
        <v>47088</v>
      </c>
      <c r="M44" s="34" t="s">
        <v>1681</v>
      </c>
      <c r="N44" s="400"/>
      <c r="O44" s="29">
        <v>38632</v>
      </c>
      <c r="P44" s="30"/>
      <c r="Q44" s="31" t="s">
        <v>1510</v>
      </c>
      <c r="R44" s="32"/>
      <c r="S44" s="20" t="s">
        <v>1682</v>
      </c>
      <c r="T44" s="33" t="s">
        <v>1687</v>
      </c>
      <c r="U44" s="16">
        <v>45700</v>
      </c>
      <c r="V44" s="17">
        <v>1520616</v>
      </c>
      <c r="W44" s="18"/>
      <c r="X44" s="19">
        <v>38632</v>
      </c>
      <c r="Y44" s="20" t="s">
        <v>634</v>
      </c>
      <c r="Z44" s="21" t="s">
        <v>1505</v>
      </c>
      <c r="AA44" s="22"/>
      <c r="AB44" s="23">
        <v>45658</v>
      </c>
      <c r="AC44" s="27" t="s">
        <v>158</v>
      </c>
      <c r="AD44" s="80"/>
      <c r="AE44" s="24"/>
      <c r="AG44" s="140"/>
    </row>
    <row r="45" spans="1:33" ht="27" customHeight="1">
      <c r="A45" s="15">
        <f t="shared" si="3"/>
        <v>42</v>
      </c>
      <c r="B45" s="81">
        <v>45685</v>
      </c>
      <c r="C45" s="15" t="s">
        <v>1498</v>
      </c>
      <c r="D45" s="15" t="s">
        <v>1688</v>
      </c>
      <c r="E45" s="26" t="s">
        <v>1500</v>
      </c>
      <c r="F45" s="27" t="s">
        <v>944</v>
      </c>
      <c r="G45" s="27">
        <v>645602</v>
      </c>
      <c r="H45" s="81">
        <v>45685</v>
      </c>
      <c r="I45" s="27">
        <v>6152460</v>
      </c>
      <c r="J45" s="28" t="s">
        <v>1508</v>
      </c>
      <c r="K45" s="81">
        <v>45628</v>
      </c>
      <c r="L45" s="81">
        <v>47088</v>
      </c>
      <c r="M45" s="34" t="s">
        <v>1681</v>
      </c>
      <c r="N45" s="400"/>
      <c r="O45" s="29">
        <v>28080</v>
      </c>
      <c r="P45" s="30"/>
      <c r="Q45" s="31" t="s">
        <v>1510</v>
      </c>
      <c r="R45" s="32"/>
      <c r="S45" s="20" t="s">
        <v>1682</v>
      </c>
      <c r="T45" s="33" t="s">
        <v>1689</v>
      </c>
      <c r="U45" s="16">
        <v>45700</v>
      </c>
      <c r="V45" s="17">
        <v>1520619</v>
      </c>
      <c r="W45" s="18"/>
      <c r="X45" s="19">
        <v>28080</v>
      </c>
      <c r="Y45" s="20" t="s">
        <v>634</v>
      </c>
      <c r="Z45" s="21" t="s">
        <v>1505</v>
      </c>
      <c r="AA45" s="22"/>
      <c r="AB45" s="23">
        <v>45658</v>
      </c>
      <c r="AC45" s="27" t="s">
        <v>158</v>
      </c>
      <c r="AD45" s="80"/>
      <c r="AE45" s="24"/>
      <c r="AG45" s="140"/>
    </row>
    <row r="46" spans="1:33" ht="27" customHeight="1">
      <c r="A46" s="15">
        <f t="shared" si="3"/>
        <v>43</v>
      </c>
      <c r="B46" s="81">
        <v>45685</v>
      </c>
      <c r="C46" s="15" t="s">
        <v>38</v>
      </c>
      <c r="D46" s="15" t="s">
        <v>1690</v>
      </c>
      <c r="E46" s="26" t="s">
        <v>1518</v>
      </c>
      <c r="F46" s="27" t="s">
        <v>41</v>
      </c>
      <c r="G46" s="27">
        <v>645600</v>
      </c>
      <c r="H46" s="81">
        <v>45691</v>
      </c>
      <c r="I46" s="27">
        <v>6152663</v>
      </c>
      <c r="J46" s="28" t="s">
        <v>1691</v>
      </c>
      <c r="K46" s="81">
        <v>45689</v>
      </c>
      <c r="L46" s="81">
        <v>46053</v>
      </c>
      <c r="M46" s="34" t="s">
        <v>1692</v>
      </c>
      <c r="N46" s="400"/>
      <c r="O46" s="29">
        <f>P46*7.89</f>
        <v>842213.78940000001</v>
      </c>
      <c r="P46" s="30">
        <v>106744.46</v>
      </c>
      <c r="Q46" s="31">
        <v>45689</v>
      </c>
      <c r="R46" s="32">
        <v>46025</v>
      </c>
      <c r="S46" s="20" t="s">
        <v>784</v>
      </c>
      <c r="T46" s="33" t="s">
        <v>1693</v>
      </c>
      <c r="U46" s="16">
        <v>45692</v>
      </c>
      <c r="V46" s="17">
        <v>1519412</v>
      </c>
      <c r="W46" s="18">
        <v>45789</v>
      </c>
      <c r="X46" s="19">
        <v>831389.9</v>
      </c>
      <c r="Y46" s="20" t="s">
        <v>66</v>
      </c>
      <c r="Z46" s="21" t="s">
        <v>1058</v>
      </c>
      <c r="AA46" s="22"/>
      <c r="AB46" s="23">
        <v>45689</v>
      </c>
      <c r="AC46" s="27" t="s">
        <v>1694</v>
      </c>
      <c r="AD46" s="80"/>
      <c r="AE46" s="24"/>
      <c r="AF46" s="80" t="s">
        <v>1695</v>
      </c>
      <c r="AG46" s="140"/>
    </row>
    <row r="47" spans="1:33" ht="27" customHeight="1">
      <c r="A47" s="91">
        <f t="shared" si="3"/>
        <v>44</v>
      </c>
      <c r="B47" s="92">
        <v>45685</v>
      </c>
      <c r="C47" s="91" t="s">
        <v>38</v>
      </c>
      <c r="D47" s="91" t="s">
        <v>1696</v>
      </c>
      <c r="E47" s="93" t="s">
        <v>1518</v>
      </c>
      <c r="F47" s="94" t="s">
        <v>41</v>
      </c>
      <c r="G47" s="94">
        <v>645600</v>
      </c>
      <c r="H47" s="92">
        <v>45691</v>
      </c>
      <c r="I47" s="94">
        <v>6152709</v>
      </c>
      <c r="J47" s="95" t="s">
        <v>1691</v>
      </c>
      <c r="K47" s="92">
        <v>45689</v>
      </c>
      <c r="L47" s="92">
        <v>46053</v>
      </c>
      <c r="M47" s="96" t="s">
        <v>1692</v>
      </c>
      <c r="N47" s="400"/>
      <c r="O47" s="97">
        <f>P47*7.89</f>
        <v>69142.910400000008</v>
      </c>
      <c r="P47" s="98">
        <v>8763.36</v>
      </c>
      <c r="Q47" s="99">
        <v>45689</v>
      </c>
      <c r="R47" s="100">
        <v>46025</v>
      </c>
      <c r="S47" s="101" t="s">
        <v>394</v>
      </c>
      <c r="T47" s="102" t="s">
        <v>1697</v>
      </c>
      <c r="U47" s="103" t="s">
        <v>609</v>
      </c>
      <c r="V47" s="104"/>
      <c r="W47" s="105"/>
      <c r="X47" s="106">
        <v>68254.31</v>
      </c>
      <c r="Y47" s="101" t="s">
        <v>66</v>
      </c>
      <c r="Z47" s="107" t="s">
        <v>1058</v>
      </c>
      <c r="AA47" s="108"/>
      <c r="AB47" s="109">
        <v>45689</v>
      </c>
      <c r="AC47" s="94" t="s">
        <v>1694</v>
      </c>
      <c r="AD47" s="138"/>
      <c r="AE47" s="110" t="s">
        <v>1698</v>
      </c>
      <c r="AG47" s="140"/>
    </row>
    <row r="48" spans="1:33" ht="27" customHeight="1">
      <c r="A48" s="15">
        <f t="shared" si="3"/>
        <v>45</v>
      </c>
      <c r="B48" s="81">
        <v>45693</v>
      </c>
      <c r="C48" s="15" t="s">
        <v>38</v>
      </c>
      <c r="D48" s="15" t="s">
        <v>1699</v>
      </c>
      <c r="E48" s="26" t="s">
        <v>59</v>
      </c>
      <c r="F48" s="27" t="s">
        <v>41</v>
      </c>
      <c r="G48" s="27">
        <v>645600</v>
      </c>
      <c r="H48" s="81">
        <v>45693</v>
      </c>
      <c r="I48" s="27">
        <v>6153566</v>
      </c>
      <c r="J48" s="28" t="s">
        <v>1700</v>
      </c>
      <c r="K48" s="81">
        <v>45689</v>
      </c>
      <c r="L48" s="81">
        <v>46053</v>
      </c>
      <c r="M48" s="34" t="s">
        <v>1701</v>
      </c>
      <c r="N48" s="400"/>
      <c r="O48" s="29">
        <v>14058</v>
      </c>
      <c r="P48" s="30"/>
      <c r="Q48" s="31">
        <v>45689</v>
      </c>
      <c r="R48" s="32">
        <v>46053</v>
      </c>
      <c r="S48" s="20" t="s">
        <v>399</v>
      </c>
      <c r="T48" s="33" t="s">
        <v>1702</v>
      </c>
      <c r="U48" s="16">
        <v>45700</v>
      </c>
      <c r="V48" s="17">
        <v>1520484</v>
      </c>
      <c r="W48" s="18">
        <v>45777</v>
      </c>
      <c r="X48" s="19">
        <v>14058</v>
      </c>
      <c r="Y48" s="20" t="s">
        <v>47</v>
      </c>
      <c r="Z48" s="21" t="s">
        <v>1703</v>
      </c>
      <c r="AA48" s="22"/>
      <c r="AB48" s="23">
        <v>45689</v>
      </c>
      <c r="AC48" s="27" t="s">
        <v>1704</v>
      </c>
      <c r="AD48" s="80"/>
      <c r="AE48" s="24"/>
      <c r="AG48" s="140"/>
    </row>
    <row r="49" spans="1:33" ht="27" customHeight="1">
      <c r="A49" s="15">
        <f t="shared" si="3"/>
        <v>46</v>
      </c>
      <c r="B49" s="81">
        <v>45692</v>
      </c>
      <c r="C49" s="15" t="s">
        <v>38</v>
      </c>
      <c r="D49" s="15" t="s">
        <v>1705</v>
      </c>
      <c r="E49" s="26" t="s">
        <v>40</v>
      </c>
      <c r="F49" s="27" t="s">
        <v>41</v>
      </c>
      <c r="G49" s="27">
        <v>645600</v>
      </c>
      <c r="H49" s="81">
        <v>45692</v>
      </c>
      <c r="I49" s="27">
        <v>6153236</v>
      </c>
      <c r="J49" s="28" t="s">
        <v>1706</v>
      </c>
      <c r="K49" s="81">
        <v>45695</v>
      </c>
      <c r="L49" s="81">
        <v>46059</v>
      </c>
      <c r="M49" s="34" t="s">
        <v>1707</v>
      </c>
      <c r="N49" s="400"/>
      <c r="O49" s="29">
        <f>P49*7.89</f>
        <v>173115.7524</v>
      </c>
      <c r="P49" s="30">
        <v>21941.16</v>
      </c>
      <c r="Q49" s="31">
        <v>45689</v>
      </c>
      <c r="R49" s="32">
        <v>46053</v>
      </c>
      <c r="S49" s="20" t="s">
        <v>394</v>
      </c>
      <c r="T49" s="33" t="s">
        <v>1708</v>
      </c>
      <c r="U49" s="16">
        <v>45698</v>
      </c>
      <c r="V49" s="17">
        <v>1520081</v>
      </c>
      <c r="W49" s="18">
        <v>45716</v>
      </c>
      <c r="X49" s="19">
        <v>170890.92</v>
      </c>
      <c r="Y49" s="20" t="s">
        <v>1709</v>
      </c>
      <c r="Z49" s="21" t="s">
        <v>1546</v>
      </c>
      <c r="AA49" s="22"/>
      <c r="AB49" s="23">
        <v>45689</v>
      </c>
      <c r="AC49" s="27" t="s">
        <v>1710</v>
      </c>
      <c r="AD49" s="80"/>
      <c r="AE49" s="24" t="s">
        <v>1711</v>
      </c>
      <c r="AG49" s="140"/>
    </row>
    <row r="50" spans="1:33" ht="27" customHeight="1">
      <c r="A50" s="15">
        <f t="shared" si="3"/>
        <v>47</v>
      </c>
      <c r="B50" s="81">
        <v>45692</v>
      </c>
      <c r="C50" s="15" t="s">
        <v>38</v>
      </c>
      <c r="D50" s="15" t="s">
        <v>1712</v>
      </c>
      <c r="E50" s="26" t="s">
        <v>40</v>
      </c>
      <c r="F50" s="27" t="s">
        <v>41</v>
      </c>
      <c r="G50" s="27">
        <v>645600</v>
      </c>
      <c r="H50" s="81">
        <v>45692</v>
      </c>
      <c r="I50" s="27">
        <v>6153237</v>
      </c>
      <c r="J50" s="28" t="s">
        <v>1706</v>
      </c>
      <c r="K50" s="81">
        <v>45695</v>
      </c>
      <c r="L50" s="81">
        <v>46059</v>
      </c>
      <c r="M50" s="34" t="s">
        <v>1707</v>
      </c>
      <c r="N50" s="400"/>
      <c r="O50" s="29">
        <f>P50*7.89</f>
        <v>43925.839199999995</v>
      </c>
      <c r="P50" s="30">
        <v>5567.28</v>
      </c>
      <c r="Q50" s="31">
        <v>45689</v>
      </c>
      <c r="R50" s="32">
        <v>46053</v>
      </c>
      <c r="S50" s="20" t="s">
        <v>394</v>
      </c>
      <c r="T50" s="33" t="s">
        <v>1713</v>
      </c>
      <c r="U50" s="16">
        <v>45698</v>
      </c>
      <c r="V50" s="17">
        <v>1520082</v>
      </c>
      <c r="W50" s="18">
        <v>45716</v>
      </c>
      <c r="X50" s="19">
        <v>43361.32</v>
      </c>
      <c r="Y50" s="20" t="s">
        <v>1709</v>
      </c>
      <c r="Z50" s="21" t="s">
        <v>1546</v>
      </c>
      <c r="AA50" s="22"/>
      <c r="AB50" s="23">
        <v>45689</v>
      </c>
      <c r="AC50" s="27" t="s">
        <v>1710</v>
      </c>
      <c r="AD50" s="80"/>
      <c r="AE50" s="24" t="s">
        <v>1711</v>
      </c>
      <c r="AG50" s="140"/>
    </row>
    <row r="51" spans="1:33" ht="27" customHeight="1">
      <c r="A51" s="15">
        <f t="shared" si="3"/>
        <v>48</v>
      </c>
      <c r="B51" s="81">
        <v>45692</v>
      </c>
      <c r="C51" s="15" t="s">
        <v>38</v>
      </c>
      <c r="D51" s="15" t="s">
        <v>1714</v>
      </c>
      <c r="E51" s="26" t="s">
        <v>40</v>
      </c>
      <c r="F51" s="27" t="s">
        <v>41</v>
      </c>
      <c r="G51" s="27">
        <v>645600</v>
      </c>
      <c r="H51" s="81">
        <v>45692</v>
      </c>
      <c r="I51" s="27">
        <v>6153239</v>
      </c>
      <c r="J51" s="28" t="s">
        <v>1715</v>
      </c>
      <c r="K51" s="81">
        <v>45645</v>
      </c>
      <c r="L51" s="81">
        <v>46009</v>
      </c>
      <c r="M51" s="34" t="s">
        <v>1716</v>
      </c>
      <c r="N51" s="400"/>
      <c r="O51" s="29">
        <f>P51*7.89</f>
        <v>168417.73079999999</v>
      </c>
      <c r="P51" s="30">
        <v>21345.72</v>
      </c>
      <c r="Q51" s="31">
        <v>45645</v>
      </c>
      <c r="R51" s="32">
        <v>46009</v>
      </c>
      <c r="S51" s="20" t="s">
        <v>394</v>
      </c>
      <c r="T51" s="33" t="s">
        <v>1717</v>
      </c>
      <c r="U51" s="16">
        <v>45695</v>
      </c>
      <c r="V51" s="17">
        <v>1519998</v>
      </c>
      <c r="W51" s="18">
        <v>45716</v>
      </c>
      <c r="X51" s="19">
        <v>166253.26999999999</v>
      </c>
      <c r="Y51" s="20" t="s">
        <v>245</v>
      </c>
      <c r="Z51" s="21" t="s">
        <v>1058</v>
      </c>
      <c r="AA51" s="22"/>
      <c r="AB51" s="23">
        <v>45689</v>
      </c>
      <c r="AC51" s="27" t="s">
        <v>1718</v>
      </c>
      <c r="AD51" s="80"/>
      <c r="AE51" s="24" t="s">
        <v>1719</v>
      </c>
      <c r="AG51" s="140"/>
    </row>
    <row r="52" spans="1:33" ht="27" customHeight="1">
      <c r="A52" s="15">
        <f t="shared" si="3"/>
        <v>49</v>
      </c>
      <c r="B52" s="81">
        <v>45692</v>
      </c>
      <c r="C52" s="15" t="s">
        <v>38</v>
      </c>
      <c r="D52" s="15" t="s">
        <v>1720</v>
      </c>
      <c r="E52" s="26" t="s">
        <v>40</v>
      </c>
      <c r="F52" s="27" t="s">
        <v>41</v>
      </c>
      <c r="G52" s="27">
        <v>645600</v>
      </c>
      <c r="H52" s="81">
        <v>45692</v>
      </c>
      <c r="I52" s="27">
        <v>6154023</v>
      </c>
      <c r="J52" s="28" t="s">
        <v>1715</v>
      </c>
      <c r="K52" s="81">
        <v>45645</v>
      </c>
      <c r="L52" s="81">
        <v>46009</v>
      </c>
      <c r="M52" s="34" t="s">
        <v>1716</v>
      </c>
      <c r="N52" s="400"/>
      <c r="O52" s="29">
        <f>P52*7.89</f>
        <v>526804.09620000003</v>
      </c>
      <c r="P52" s="30">
        <v>66768.58</v>
      </c>
      <c r="Q52" s="31">
        <v>45645</v>
      </c>
      <c r="R52" s="32">
        <v>45805</v>
      </c>
      <c r="S52" s="20" t="s">
        <v>784</v>
      </c>
      <c r="T52" s="33" t="s">
        <v>1721</v>
      </c>
      <c r="U52" s="16">
        <v>45695</v>
      </c>
      <c r="V52" s="17">
        <v>1519997</v>
      </c>
      <c r="W52" s="18">
        <v>45777</v>
      </c>
      <c r="X52" s="19">
        <v>520033.76</v>
      </c>
      <c r="Y52" s="20" t="s">
        <v>245</v>
      </c>
      <c r="Z52" s="21" t="s">
        <v>1058</v>
      </c>
      <c r="AA52" s="22"/>
      <c r="AB52" s="23">
        <v>45689</v>
      </c>
      <c r="AC52" s="27" t="s">
        <v>1718</v>
      </c>
      <c r="AD52" s="80"/>
      <c r="AE52" s="24" t="s">
        <v>1719</v>
      </c>
      <c r="AG52" s="140"/>
    </row>
    <row r="53" spans="1:33" ht="27" customHeight="1">
      <c r="A53" s="15">
        <f t="shared" si="3"/>
        <v>50</v>
      </c>
      <c r="B53" s="81">
        <v>45692</v>
      </c>
      <c r="C53" s="15" t="s">
        <v>1498</v>
      </c>
      <c r="D53" s="15" t="s">
        <v>1722</v>
      </c>
      <c r="E53" s="26" t="s">
        <v>1500</v>
      </c>
      <c r="F53" s="27" t="s">
        <v>1537</v>
      </c>
      <c r="G53" s="27">
        <v>645602</v>
      </c>
      <c r="H53" s="81">
        <v>45695</v>
      </c>
      <c r="I53" s="27">
        <v>6154178</v>
      </c>
      <c r="J53" s="28" t="s">
        <v>1723</v>
      </c>
      <c r="K53" s="81">
        <v>45648</v>
      </c>
      <c r="L53" s="81">
        <v>46012</v>
      </c>
      <c r="M53" s="34" t="s">
        <v>1724</v>
      </c>
      <c r="N53" s="400"/>
      <c r="O53" s="29">
        <v>15000</v>
      </c>
      <c r="P53" s="30"/>
      <c r="Q53" s="31">
        <v>45648</v>
      </c>
      <c r="R53" s="32">
        <v>46012</v>
      </c>
      <c r="S53" s="20" t="s">
        <v>1597</v>
      </c>
      <c r="T53" s="33" t="s">
        <v>1725</v>
      </c>
      <c r="U53" s="16">
        <v>45699</v>
      </c>
      <c r="V53" s="17">
        <v>1520324</v>
      </c>
      <c r="W53" s="18"/>
      <c r="X53" s="19">
        <v>15000</v>
      </c>
      <c r="Y53" s="20" t="s">
        <v>1640</v>
      </c>
      <c r="Z53" s="21" t="s">
        <v>1505</v>
      </c>
      <c r="AA53" s="22"/>
      <c r="AB53" s="23">
        <v>45689</v>
      </c>
      <c r="AC53" s="27" t="s">
        <v>1726</v>
      </c>
      <c r="AD53" s="80"/>
      <c r="AE53" s="24" t="s">
        <v>1719</v>
      </c>
      <c r="AG53" s="140"/>
    </row>
    <row r="54" spans="1:33" ht="27" customHeight="1">
      <c r="A54" s="15">
        <f t="shared" si="3"/>
        <v>51</v>
      </c>
      <c r="B54" s="81">
        <v>45698</v>
      </c>
      <c r="C54" s="15" t="s">
        <v>1498</v>
      </c>
      <c r="D54" s="15" t="s">
        <v>1727</v>
      </c>
      <c r="E54" s="26" t="s">
        <v>1500</v>
      </c>
      <c r="F54" s="27" t="s">
        <v>944</v>
      </c>
      <c r="G54" s="27">
        <v>645602</v>
      </c>
      <c r="H54" s="81">
        <v>45699</v>
      </c>
      <c r="I54" s="27">
        <v>6155059</v>
      </c>
      <c r="J54" s="28" t="s">
        <v>1691</v>
      </c>
      <c r="K54" s="81">
        <v>45702</v>
      </c>
      <c r="L54" s="81">
        <v>46066</v>
      </c>
      <c r="M54" s="34" t="s">
        <v>1728</v>
      </c>
      <c r="N54" s="400"/>
      <c r="O54" s="29">
        <f>P54*7.89</f>
        <v>137161.96919999999</v>
      </c>
      <c r="P54" s="30">
        <v>17384.28</v>
      </c>
      <c r="Q54" s="31">
        <v>45702</v>
      </c>
      <c r="R54" s="32">
        <v>46066</v>
      </c>
      <c r="S54" s="20" t="s">
        <v>305</v>
      </c>
      <c r="T54" s="33" t="s">
        <v>1729</v>
      </c>
      <c r="U54" s="16">
        <v>45701</v>
      </c>
      <c r="V54" s="17">
        <v>1520817</v>
      </c>
      <c r="W54" s="18">
        <v>45726</v>
      </c>
      <c r="X54" s="19">
        <v>135399.20000000001</v>
      </c>
      <c r="Y54" s="20" t="s">
        <v>1730</v>
      </c>
      <c r="Z54" s="21" t="s">
        <v>1505</v>
      </c>
      <c r="AA54" s="22"/>
      <c r="AB54" s="23">
        <v>45689</v>
      </c>
      <c r="AC54" s="27" t="s">
        <v>1731</v>
      </c>
      <c r="AD54" s="80" t="s">
        <v>1732</v>
      </c>
      <c r="AE54" s="24" t="s">
        <v>1719</v>
      </c>
      <c r="AG54" s="140"/>
    </row>
    <row r="55" spans="1:33" ht="27" customHeight="1">
      <c r="A55" s="15">
        <f t="shared" si="3"/>
        <v>52</v>
      </c>
      <c r="B55" s="81">
        <v>45698</v>
      </c>
      <c r="C55" s="15" t="s">
        <v>1498</v>
      </c>
      <c r="D55" s="15" t="s">
        <v>1733</v>
      </c>
      <c r="E55" s="26" t="s">
        <v>1500</v>
      </c>
      <c r="F55" s="27" t="s">
        <v>944</v>
      </c>
      <c r="G55" s="27">
        <v>645602</v>
      </c>
      <c r="H55" s="81">
        <v>45699</v>
      </c>
      <c r="I55" s="27">
        <v>6155137</v>
      </c>
      <c r="J55" s="28" t="s">
        <v>1734</v>
      </c>
      <c r="K55" s="81">
        <v>45658</v>
      </c>
      <c r="L55" s="81">
        <v>46022</v>
      </c>
      <c r="M55" s="34" t="s">
        <v>1735</v>
      </c>
      <c r="N55" s="400"/>
      <c r="O55" s="29">
        <v>14380</v>
      </c>
      <c r="P55" s="30"/>
      <c r="Q55" s="31">
        <v>45658</v>
      </c>
      <c r="R55" s="32">
        <v>46022</v>
      </c>
      <c r="S55" s="20" t="s">
        <v>1736</v>
      </c>
      <c r="T55" s="33" t="s">
        <v>1737</v>
      </c>
      <c r="U55" s="16">
        <v>45705</v>
      </c>
      <c r="V55" s="17">
        <v>1521055</v>
      </c>
      <c r="W55" s="18">
        <v>45744</v>
      </c>
      <c r="X55" s="19">
        <v>14380</v>
      </c>
      <c r="Y55" s="20" t="s">
        <v>1560</v>
      </c>
      <c r="Z55" s="21" t="s">
        <v>1505</v>
      </c>
      <c r="AA55" s="22"/>
      <c r="AB55" s="23">
        <v>45689</v>
      </c>
      <c r="AC55" s="27" t="s">
        <v>1738</v>
      </c>
      <c r="AD55" s="80"/>
      <c r="AE55" s="24" t="s">
        <v>1739</v>
      </c>
      <c r="AG55" s="140"/>
    </row>
    <row r="56" spans="1:33" ht="27" customHeight="1">
      <c r="A56" s="15">
        <f t="shared" si="3"/>
        <v>53</v>
      </c>
      <c r="B56" s="81">
        <v>45700</v>
      </c>
      <c r="C56" s="15" t="s">
        <v>38</v>
      </c>
      <c r="D56" s="15" t="s">
        <v>1740</v>
      </c>
      <c r="E56" s="26" t="s">
        <v>59</v>
      </c>
      <c r="F56" s="27" t="s">
        <v>41</v>
      </c>
      <c r="G56" s="27">
        <v>645600</v>
      </c>
      <c r="H56" s="81">
        <v>45700</v>
      </c>
      <c r="I56" s="27">
        <v>6155774</v>
      </c>
      <c r="J56" s="28" t="s">
        <v>444</v>
      </c>
      <c r="K56" s="81">
        <v>45734</v>
      </c>
      <c r="L56" s="81">
        <v>46098</v>
      </c>
      <c r="M56" s="34" t="s">
        <v>1741</v>
      </c>
      <c r="N56" s="400"/>
      <c r="O56" s="29">
        <v>29230</v>
      </c>
      <c r="P56" s="30"/>
      <c r="Q56" s="31">
        <v>45734</v>
      </c>
      <c r="R56" s="32">
        <v>46098</v>
      </c>
      <c r="S56" s="20" t="s">
        <v>399</v>
      </c>
      <c r="T56" s="33" t="s">
        <v>1742</v>
      </c>
      <c r="U56" s="16">
        <v>45705</v>
      </c>
      <c r="V56" s="17">
        <v>1521042</v>
      </c>
      <c r="W56" s="18">
        <v>45772</v>
      </c>
      <c r="X56" s="19">
        <v>29230</v>
      </c>
      <c r="Y56" s="20" t="s">
        <v>259</v>
      </c>
      <c r="Z56" s="21" t="s">
        <v>1703</v>
      </c>
      <c r="AA56" s="22"/>
      <c r="AB56" s="23">
        <v>45689</v>
      </c>
      <c r="AC56" s="27" t="s">
        <v>1743</v>
      </c>
      <c r="AD56" s="80"/>
      <c r="AE56" s="24"/>
      <c r="AG56" s="140"/>
    </row>
    <row r="57" spans="1:33" ht="27" customHeight="1">
      <c r="A57" s="15">
        <f t="shared" si="3"/>
        <v>54</v>
      </c>
      <c r="B57" s="81">
        <v>45671</v>
      </c>
      <c r="C57" s="15" t="s">
        <v>1498</v>
      </c>
      <c r="D57" s="15" t="s">
        <v>1744</v>
      </c>
      <c r="E57" s="26" t="s">
        <v>1500</v>
      </c>
      <c r="F57" s="27" t="s">
        <v>944</v>
      </c>
      <c r="G57" s="27">
        <v>645602</v>
      </c>
      <c r="H57" s="81">
        <v>45702</v>
      </c>
      <c r="I57" s="27">
        <v>6156369</v>
      </c>
      <c r="J57" s="28" t="s">
        <v>331</v>
      </c>
      <c r="K57" s="81">
        <v>45658</v>
      </c>
      <c r="L57" s="81">
        <v>46022</v>
      </c>
      <c r="M57" s="34" t="s">
        <v>1745</v>
      </c>
      <c r="N57" s="400"/>
      <c r="O57" s="29">
        <v>260000</v>
      </c>
      <c r="P57" s="30"/>
      <c r="Q57" s="31">
        <v>45658</v>
      </c>
      <c r="R57" s="32">
        <v>46022</v>
      </c>
      <c r="S57" s="20" t="s">
        <v>1746</v>
      </c>
      <c r="T57" s="33" t="s">
        <v>1747</v>
      </c>
      <c r="U57" s="16">
        <v>45706</v>
      </c>
      <c r="V57" s="17">
        <v>1521354</v>
      </c>
      <c r="W57" s="18"/>
      <c r="X57" s="19">
        <v>260000</v>
      </c>
      <c r="Y57" s="20" t="s">
        <v>336</v>
      </c>
      <c r="Z57" s="21" t="s">
        <v>1505</v>
      </c>
      <c r="AA57" s="22"/>
      <c r="AB57" s="23">
        <v>45689</v>
      </c>
      <c r="AC57" s="27" t="s">
        <v>1748</v>
      </c>
      <c r="AD57" s="80"/>
      <c r="AE57" s="24"/>
      <c r="AG57" s="140"/>
    </row>
    <row r="58" spans="1:33" ht="27" customHeight="1">
      <c r="A58" s="15">
        <f t="shared" si="3"/>
        <v>55</v>
      </c>
      <c r="B58" s="81">
        <v>45700</v>
      </c>
      <c r="C58" s="15" t="s">
        <v>38</v>
      </c>
      <c r="D58" s="15" t="s">
        <v>1749</v>
      </c>
      <c r="E58" s="26" t="s">
        <v>59</v>
      </c>
      <c r="F58" s="27" t="s">
        <v>41</v>
      </c>
      <c r="G58" s="27">
        <v>645600</v>
      </c>
      <c r="H58" s="81">
        <v>45702</v>
      </c>
      <c r="I58" s="27">
        <v>6156428</v>
      </c>
      <c r="J58" s="28" t="s">
        <v>1750</v>
      </c>
      <c r="K58" s="81">
        <v>45669</v>
      </c>
      <c r="L58" s="81">
        <v>46033</v>
      </c>
      <c r="M58" s="34" t="s">
        <v>1751</v>
      </c>
      <c r="N58" s="400"/>
      <c r="O58" s="29">
        <v>6135.93</v>
      </c>
      <c r="P58" s="30"/>
      <c r="Q58" s="16">
        <v>45659</v>
      </c>
      <c r="R58" s="32">
        <v>46033</v>
      </c>
      <c r="S58" s="20" t="s">
        <v>352</v>
      </c>
      <c r="T58" s="33" t="s">
        <v>1752</v>
      </c>
      <c r="U58" s="16">
        <v>45706</v>
      </c>
      <c r="V58" s="17">
        <v>1521351</v>
      </c>
      <c r="W58" s="18">
        <v>45747</v>
      </c>
      <c r="X58" s="19">
        <v>6135.93</v>
      </c>
      <c r="Y58" s="20" t="s">
        <v>1560</v>
      </c>
      <c r="Z58" s="21" t="s">
        <v>1058</v>
      </c>
      <c r="AA58" s="22"/>
      <c r="AB58" s="23">
        <v>45689</v>
      </c>
      <c r="AC58" s="27" t="s">
        <v>1753</v>
      </c>
      <c r="AD58" s="80"/>
      <c r="AE58" s="24"/>
      <c r="AG58" s="140"/>
    </row>
    <row r="59" spans="1:33" ht="27" customHeight="1">
      <c r="A59" s="15">
        <f t="shared" si="3"/>
        <v>56</v>
      </c>
      <c r="B59" s="81">
        <v>45701</v>
      </c>
      <c r="C59" s="15" t="s">
        <v>1498</v>
      </c>
      <c r="D59" s="15" t="s">
        <v>1754</v>
      </c>
      <c r="E59" s="26" t="s">
        <v>1500</v>
      </c>
      <c r="F59" s="27" t="s">
        <v>944</v>
      </c>
      <c r="G59" s="27">
        <v>645602</v>
      </c>
      <c r="H59" s="81">
        <v>45702</v>
      </c>
      <c r="I59" s="27">
        <v>6156504</v>
      </c>
      <c r="J59" s="28" t="s">
        <v>1755</v>
      </c>
      <c r="K59" s="81">
        <v>45658</v>
      </c>
      <c r="L59" s="81">
        <v>46022</v>
      </c>
      <c r="M59" s="34" t="s">
        <v>1756</v>
      </c>
      <c r="N59" s="400"/>
      <c r="O59" s="29">
        <v>115000</v>
      </c>
      <c r="P59" s="30"/>
      <c r="Q59" s="81">
        <v>45658</v>
      </c>
      <c r="R59" s="111">
        <v>46022</v>
      </c>
      <c r="S59" s="20" t="s">
        <v>1757</v>
      </c>
      <c r="T59" s="33" t="s">
        <v>1758</v>
      </c>
      <c r="U59" s="16">
        <v>45709</v>
      </c>
      <c r="V59" s="17">
        <v>1522011</v>
      </c>
      <c r="W59" s="18">
        <v>45777</v>
      </c>
      <c r="X59" s="19">
        <v>115000</v>
      </c>
      <c r="Y59" s="20" t="s">
        <v>1759</v>
      </c>
      <c r="Z59" s="21" t="s">
        <v>1505</v>
      </c>
      <c r="AA59" s="22"/>
      <c r="AB59" s="23">
        <v>45689</v>
      </c>
      <c r="AC59" s="27" t="s">
        <v>1760</v>
      </c>
      <c r="AD59" s="80"/>
      <c r="AE59" s="24"/>
      <c r="AG59" s="140"/>
    </row>
    <row r="60" spans="1:33" ht="27" customHeight="1">
      <c r="A60" s="15">
        <f t="shared" si="3"/>
        <v>57</v>
      </c>
      <c r="B60" s="81">
        <v>45702</v>
      </c>
      <c r="C60" s="15" t="s">
        <v>1498</v>
      </c>
      <c r="D60" s="15" t="s">
        <v>1761</v>
      </c>
      <c r="E60" s="26" t="s">
        <v>1500</v>
      </c>
      <c r="F60" s="27" t="s">
        <v>944</v>
      </c>
      <c r="G60" s="27">
        <v>645602</v>
      </c>
      <c r="H60" s="81">
        <v>45705</v>
      </c>
      <c r="I60" s="27">
        <v>6156627</v>
      </c>
      <c r="J60" s="28" t="s">
        <v>1762</v>
      </c>
      <c r="K60" s="81">
        <v>45658</v>
      </c>
      <c r="L60" s="81">
        <v>46752</v>
      </c>
      <c r="M60" s="34" t="s">
        <v>1763</v>
      </c>
      <c r="N60" s="400"/>
      <c r="O60" s="29">
        <f>P60*7.89</f>
        <v>80333.770799999998</v>
      </c>
      <c r="P60" s="30">
        <v>10181.719999999999</v>
      </c>
      <c r="Q60" s="81">
        <v>45658</v>
      </c>
      <c r="R60" s="111">
        <v>46752</v>
      </c>
      <c r="S60" s="20" t="s">
        <v>305</v>
      </c>
      <c r="T60" s="33" t="s">
        <v>1764</v>
      </c>
      <c r="U60" s="16">
        <v>45706</v>
      </c>
      <c r="V60" s="17">
        <v>1521245</v>
      </c>
      <c r="W60" s="18">
        <v>45726</v>
      </c>
      <c r="X60" s="19">
        <v>80333.77</v>
      </c>
      <c r="Y60" s="20" t="s">
        <v>1765</v>
      </c>
      <c r="Z60" s="21" t="s">
        <v>1505</v>
      </c>
      <c r="AA60" s="22"/>
      <c r="AB60" s="23">
        <v>45689</v>
      </c>
      <c r="AC60" s="27" t="s">
        <v>1766</v>
      </c>
      <c r="AD60" s="80" t="s">
        <v>1767</v>
      </c>
      <c r="AE60" s="24"/>
      <c r="AG60" s="140"/>
    </row>
    <row r="61" spans="1:33" ht="27" customHeight="1">
      <c r="A61" s="15">
        <f t="shared" si="3"/>
        <v>58</v>
      </c>
      <c r="B61" s="81">
        <v>45706</v>
      </c>
      <c r="C61" s="15" t="s">
        <v>38</v>
      </c>
      <c r="D61" s="15" t="s">
        <v>1768</v>
      </c>
      <c r="E61" s="26" t="s">
        <v>40</v>
      </c>
      <c r="F61" s="27" t="s">
        <v>41</v>
      </c>
      <c r="G61" s="27">
        <v>645600</v>
      </c>
      <c r="H61" s="81">
        <v>45706</v>
      </c>
      <c r="I61" s="27">
        <v>6157388</v>
      </c>
      <c r="J61" s="28" t="s">
        <v>670</v>
      </c>
      <c r="K61" s="81">
        <v>45717</v>
      </c>
      <c r="L61" s="81">
        <v>46081</v>
      </c>
      <c r="M61" s="28" t="s">
        <v>1769</v>
      </c>
      <c r="N61" s="400"/>
      <c r="O61" s="29">
        <v>433976.34</v>
      </c>
      <c r="P61" s="30"/>
      <c r="Q61" s="31">
        <v>45717</v>
      </c>
      <c r="R61" s="32">
        <v>46081</v>
      </c>
      <c r="S61" s="20" t="s">
        <v>538</v>
      </c>
      <c r="T61" s="33" t="s">
        <v>1770</v>
      </c>
      <c r="U61" s="16">
        <v>45707</v>
      </c>
      <c r="V61" s="17">
        <v>1521665</v>
      </c>
      <c r="W61" s="18">
        <v>45784</v>
      </c>
      <c r="X61" s="19">
        <v>433976.34</v>
      </c>
      <c r="Y61" s="20" t="s">
        <v>1167</v>
      </c>
      <c r="Z61" s="21" t="s">
        <v>1546</v>
      </c>
      <c r="AA61" s="22"/>
      <c r="AB61" s="23">
        <v>45689</v>
      </c>
      <c r="AC61" s="27" t="s">
        <v>1771</v>
      </c>
      <c r="AD61" s="80" t="s">
        <v>1772</v>
      </c>
      <c r="AE61" s="24" t="s">
        <v>1773</v>
      </c>
      <c r="AG61" s="140"/>
    </row>
    <row r="62" spans="1:33" ht="27" customHeight="1">
      <c r="A62" s="15">
        <f t="shared" si="3"/>
        <v>59</v>
      </c>
      <c r="B62" s="81">
        <v>45706</v>
      </c>
      <c r="C62" s="15" t="s">
        <v>38</v>
      </c>
      <c r="D62" s="15" t="s">
        <v>1774</v>
      </c>
      <c r="E62" s="26" t="s">
        <v>40</v>
      </c>
      <c r="F62" s="27" t="s">
        <v>41</v>
      </c>
      <c r="G62" s="27">
        <v>645600</v>
      </c>
      <c r="H62" s="81">
        <v>45706</v>
      </c>
      <c r="I62" s="27">
        <v>6157392</v>
      </c>
      <c r="J62" s="28" t="s">
        <v>670</v>
      </c>
      <c r="K62" s="81">
        <v>45717</v>
      </c>
      <c r="L62" s="81">
        <v>46081</v>
      </c>
      <c r="M62" s="28" t="s">
        <v>1769</v>
      </c>
      <c r="N62" s="400"/>
      <c r="O62" s="29">
        <v>525211.39</v>
      </c>
      <c r="P62" s="30"/>
      <c r="Q62" s="31" t="s">
        <v>927</v>
      </c>
      <c r="R62" s="32"/>
      <c r="S62" s="20" t="s">
        <v>538</v>
      </c>
      <c r="T62" s="33" t="s">
        <v>1775</v>
      </c>
      <c r="U62" s="16">
        <v>45707</v>
      </c>
      <c r="V62" s="17">
        <v>1521664</v>
      </c>
      <c r="W62" s="18">
        <v>45789</v>
      </c>
      <c r="X62" s="19">
        <v>525211.39</v>
      </c>
      <c r="Y62" s="20" t="s">
        <v>1167</v>
      </c>
      <c r="Z62" s="21" t="s">
        <v>1546</v>
      </c>
      <c r="AA62" s="22"/>
      <c r="AB62" s="23">
        <v>45689</v>
      </c>
      <c r="AC62" s="27" t="s">
        <v>1771</v>
      </c>
      <c r="AD62" s="80" t="s">
        <v>1772</v>
      </c>
      <c r="AE62" s="24" t="s">
        <v>1773</v>
      </c>
      <c r="AG62" s="140"/>
    </row>
    <row r="63" spans="1:33" ht="27" customHeight="1">
      <c r="A63" s="15">
        <f t="shared" si="3"/>
        <v>60</v>
      </c>
      <c r="B63" s="81">
        <v>45700</v>
      </c>
      <c r="C63" s="15" t="s">
        <v>38</v>
      </c>
      <c r="D63" s="15" t="s">
        <v>1776</v>
      </c>
      <c r="E63" s="26" t="s">
        <v>70</v>
      </c>
      <c r="F63" s="27" t="s">
        <v>41</v>
      </c>
      <c r="G63" s="27">
        <v>645600</v>
      </c>
      <c r="H63" s="81">
        <v>45706</v>
      </c>
      <c r="I63" s="27">
        <v>6157399</v>
      </c>
      <c r="J63" s="28" t="s">
        <v>178</v>
      </c>
      <c r="K63" s="81">
        <v>45665</v>
      </c>
      <c r="L63" s="81">
        <v>46029</v>
      </c>
      <c r="M63" s="28" t="s">
        <v>1777</v>
      </c>
      <c r="N63" s="400"/>
      <c r="O63" s="29">
        <v>1600</v>
      </c>
      <c r="P63" s="30"/>
      <c r="Q63" s="31">
        <v>45748</v>
      </c>
      <c r="R63" s="32">
        <v>46112</v>
      </c>
      <c r="S63" s="20" t="s">
        <v>180</v>
      </c>
      <c r="T63" s="33" t="s">
        <v>1778</v>
      </c>
      <c r="U63" s="16">
        <v>45735</v>
      </c>
      <c r="V63" s="17">
        <v>1526649</v>
      </c>
      <c r="W63" s="18">
        <v>45779</v>
      </c>
      <c r="X63" s="19">
        <v>1600</v>
      </c>
      <c r="Y63" s="20" t="s">
        <v>1709</v>
      </c>
      <c r="Z63" s="21" t="s">
        <v>899</v>
      </c>
      <c r="AA63" s="22"/>
      <c r="AB63" s="23">
        <v>45689</v>
      </c>
      <c r="AC63" s="27" t="s">
        <v>1779</v>
      </c>
      <c r="AD63" s="80"/>
      <c r="AE63" s="24"/>
      <c r="AG63" s="140"/>
    </row>
    <row r="64" spans="1:33" ht="27" customHeight="1">
      <c r="A64" s="15">
        <f t="shared" si="3"/>
        <v>61</v>
      </c>
      <c r="B64" s="81">
        <v>45705</v>
      </c>
      <c r="C64" s="15" t="s">
        <v>38</v>
      </c>
      <c r="D64" s="15" t="s">
        <v>1780</v>
      </c>
      <c r="E64" s="26" t="s">
        <v>70</v>
      </c>
      <c r="F64" s="27" t="s">
        <v>41</v>
      </c>
      <c r="G64" s="27">
        <v>645600</v>
      </c>
      <c r="H64" s="81">
        <v>45706</v>
      </c>
      <c r="I64" s="27">
        <v>6157400</v>
      </c>
      <c r="J64" s="28" t="s">
        <v>357</v>
      </c>
      <c r="K64" s="81">
        <v>45722</v>
      </c>
      <c r="L64" s="81">
        <v>46086</v>
      </c>
      <c r="M64" s="28" t="s">
        <v>1781</v>
      </c>
      <c r="N64" s="400"/>
      <c r="O64" s="29">
        <v>16544</v>
      </c>
      <c r="P64" s="30"/>
      <c r="Q64" s="31">
        <v>45778</v>
      </c>
      <c r="R64" s="32">
        <v>46142</v>
      </c>
      <c r="S64" s="20" t="s">
        <v>180</v>
      </c>
      <c r="T64" s="33" t="s">
        <v>1782</v>
      </c>
      <c r="U64" s="16">
        <v>45735</v>
      </c>
      <c r="V64" s="17">
        <v>1526646</v>
      </c>
      <c r="W64" s="18">
        <v>45772</v>
      </c>
      <c r="X64" s="19">
        <v>16544</v>
      </c>
      <c r="Y64" s="20" t="s">
        <v>541</v>
      </c>
      <c r="Z64" s="21" t="s">
        <v>899</v>
      </c>
      <c r="AA64" s="22"/>
      <c r="AB64" s="23">
        <v>45689</v>
      </c>
      <c r="AC64" s="27" t="s">
        <v>1783</v>
      </c>
      <c r="AD64" s="80"/>
      <c r="AE64" s="24"/>
      <c r="AG64" s="140"/>
    </row>
    <row r="65" spans="1:33" ht="27" customHeight="1">
      <c r="A65" s="15">
        <f t="shared" si="3"/>
        <v>62</v>
      </c>
      <c r="B65" s="81">
        <v>45744</v>
      </c>
      <c r="C65" s="15" t="s">
        <v>38</v>
      </c>
      <c r="D65" s="15" t="s">
        <v>1784</v>
      </c>
      <c r="E65" s="26" t="s">
        <v>70</v>
      </c>
      <c r="F65" s="27" t="s">
        <v>277</v>
      </c>
      <c r="G65" s="27">
        <v>645600</v>
      </c>
      <c r="H65" s="81">
        <v>45747</v>
      </c>
      <c r="I65" s="27">
        <v>6157615</v>
      </c>
      <c r="J65" s="28" t="s">
        <v>1785</v>
      </c>
      <c r="K65" s="81">
        <v>45659</v>
      </c>
      <c r="L65" s="81">
        <v>46753</v>
      </c>
      <c r="M65" s="28" t="s">
        <v>1786</v>
      </c>
      <c r="N65" s="400"/>
      <c r="O65" s="29">
        <f>3600+10800+3780+11340+3980+11940</f>
        <v>45440</v>
      </c>
      <c r="P65" s="30"/>
      <c r="Q65" s="31">
        <v>45827</v>
      </c>
      <c r="R65" s="32">
        <v>46922</v>
      </c>
      <c r="S65" s="20" t="s">
        <v>607</v>
      </c>
      <c r="T65" s="33" t="s">
        <v>1787</v>
      </c>
      <c r="U65" s="89" t="s">
        <v>1788</v>
      </c>
      <c r="V65" s="90" t="s">
        <v>1789</v>
      </c>
      <c r="W65" s="18"/>
      <c r="X65" s="19"/>
      <c r="Y65" s="20" t="s">
        <v>1709</v>
      </c>
      <c r="Z65" s="21" t="s">
        <v>1554</v>
      </c>
      <c r="AA65" s="22"/>
      <c r="AB65" s="23">
        <v>45689</v>
      </c>
      <c r="AC65" s="27" t="s">
        <v>1790</v>
      </c>
      <c r="AD65" s="80"/>
      <c r="AE65" s="24" t="s">
        <v>1791</v>
      </c>
      <c r="AG65" s="140"/>
    </row>
    <row r="66" spans="1:33" ht="27" customHeight="1">
      <c r="A66" s="15">
        <f t="shared" si="3"/>
        <v>63</v>
      </c>
      <c r="B66" s="81">
        <v>45705</v>
      </c>
      <c r="C66" s="15" t="s">
        <v>38</v>
      </c>
      <c r="D66" s="15" t="s">
        <v>1792</v>
      </c>
      <c r="E66" s="26" t="s">
        <v>70</v>
      </c>
      <c r="F66" s="27" t="s">
        <v>277</v>
      </c>
      <c r="G66" s="27">
        <v>645600</v>
      </c>
      <c r="H66" s="81">
        <v>45707</v>
      </c>
      <c r="I66" s="27">
        <v>6157616</v>
      </c>
      <c r="J66" s="28" t="s">
        <v>1785</v>
      </c>
      <c r="K66" s="81">
        <v>45659</v>
      </c>
      <c r="L66" s="81">
        <v>46753</v>
      </c>
      <c r="M66" s="28" t="s">
        <v>1786</v>
      </c>
      <c r="N66" s="400"/>
      <c r="O66" s="29">
        <v>71550</v>
      </c>
      <c r="P66" s="30"/>
      <c r="Q66" s="31">
        <v>45659</v>
      </c>
      <c r="R66" s="32">
        <v>46753</v>
      </c>
      <c r="S66" s="20" t="s">
        <v>666</v>
      </c>
      <c r="T66" s="33" t="s">
        <v>1793</v>
      </c>
      <c r="U66" s="16">
        <v>45716</v>
      </c>
      <c r="V66" s="17">
        <v>1523203</v>
      </c>
      <c r="W66" s="18">
        <v>45772</v>
      </c>
      <c r="X66" s="19">
        <v>71550</v>
      </c>
      <c r="Y66" s="20" t="s">
        <v>1709</v>
      </c>
      <c r="Z66" s="21" t="s">
        <v>1554</v>
      </c>
      <c r="AA66" s="22"/>
      <c r="AB66" s="23">
        <v>45689</v>
      </c>
      <c r="AC66" s="27" t="s">
        <v>1790</v>
      </c>
      <c r="AD66" s="80"/>
      <c r="AE66" s="24"/>
      <c r="AG66" s="140"/>
    </row>
    <row r="67" spans="1:33" ht="51">
      <c r="A67" s="15">
        <f t="shared" si="3"/>
        <v>64</v>
      </c>
      <c r="B67" s="81">
        <v>45705</v>
      </c>
      <c r="C67" s="15" t="s">
        <v>38</v>
      </c>
      <c r="D67" s="15" t="s">
        <v>1794</v>
      </c>
      <c r="E67" s="26" t="s">
        <v>70</v>
      </c>
      <c r="F67" s="27" t="s">
        <v>277</v>
      </c>
      <c r="G67" s="27">
        <v>645600</v>
      </c>
      <c r="H67" s="81">
        <v>45707</v>
      </c>
      <c r="I67" s="27">
        <v>6157620</v>
      </c>
      <c r="J67" s="28" t="s">
        <v>1785</v>
      </c>
      <c r="K67" s="81">
        <v>45659</v>
      </c>
      <c r="L67" s="81">
        <v>46753</v>
      </c>
      <c r="M67" s="28" t="s">
        <v>1786</v>
      </c>
      <c r="N67" s="400"/>
      <c r="O67" s="29">
        <f>15900+15900</f>
        <v>31800</v>
      </c>
      <c r="P67" s="30"/>
      <c r="Q67" s="31">
        <v>45659</v>
      </c>
      <c r="R67" s="32">
        <v>46753</v>
      </c>
      <c r="S67" s="20" t="s">
        <v>514</v>
      </c>
      <c r="T67" s="33" t="s">
        <v>1795</v>
      </c>
      <c r="U67" s="16">
        <v>45719</v>
      </c>
      <c r="V67" s="17">
        <v>1523562</v>
      </c>
      <c r="W67" s="18">
        <v>45789</v>
      </c>
      <c r="X67" s="19">
        <v>31800</v>
      </c>
      <c r="Y67" s="20" t="s">
        <v>1709</v>
      </c>
      <c r="Z67" s="21" t="s">
        <v>1554</v>
      </c>
      <c r="AA67" s="22"/>
      <c r="AB67" s="23">
        <v>45689</v>
      </c>
      <c r="AC67" s="27" t="s">
        <v>1790</v>
      </c>
      <c r="AD67" s="80"/>
      <c r="AE67" s="24"/>
      <c r="AF67" s="80" t="s">
        <v>1796</v>
      </c>
      <c r="AG67" s="140">
        <v>45910</v>
      </c>
    </row>
    <row r="68" spans="1:33" ht="27" customHeight="1">
      <c r="A68" s="15">
        <f t="shared" si="3"/>
        <v>65</v>
      </c>
      <c r="B68" s="81">
        <v>45706</v>
      </c>
      <c r="C68" s="15" t="s">
        <v>38</v>
      </c>
      <c r="D68" s="15" t="s">
        <v>1797</v>
      </c>
      <c r="E68" s="26" t="s">
        <v>70</v>
      </c>
      <c r="F68" s="27" t="s">
        <v>41</v>
      </c>
      <c r="G68" s="27">
        <v>645600</v>
      </c>
      <c r="H68" s="81">
        <v>45707</v>
      </c>
      <c r="I68" s="27">
        <v>6157750</v>
      </c>
      <c r="J68" s="28" t="s">
        <v>1798</v>
      </c>
      <c r="K68" s="81">
        <v>45716</v>
      </c>
      <c r="L68" s="81">
        <v>46810</v>
      </c>
      <c r="M68" s="28" t="s">
        <v>1799</v>
      </c>
      <c r="N68" s="400"/>
      <c r="O68" s="29">
        <f>P68*7.89</f>
        <v>3945</v>
      </c>
      <c r="P68" s="30">
        <v>500</v>
      </c>
      <c r="Q68" s="31" t="s">
        <v>927</v>
      </c>
      <c r="R68" s="32"/>
      <c r="S68" s="20" t="s">
        <v>1800</v>
      </c>
      <c r="T68" s="33" t="s">
        <v>1801</v>
      </c>
      <c r="U68" s="16">
        <v>45709</v>
      </c>
      <c r="V68" s="17">
        <v>1521926</v>
      </c>
      <c r="W68" s="18">
        <v>45772</v>
      </c>
      <c r="X68" s="19">
        <v>3894.3</v>
      </c>
      <c r="Y68" s="20" t="s">
        <v>794</v>
      </c>
      <c r="Z68" s="21" t="s">
        <v>1554</v>
      </c>
      <c r="AA68" s="22"/>
      <c r="AB68" s="23">
        <v>45689</v>
      </c>
      <c r="AC68" s="27" t="s">
        <v>1802</v>
      </c>
      <c r="AD68" s="80" t="s">
        <v>1803</v>
      </c>
      <c r="AE68" s="24"/>
      <c r="AG68" s="140"/>
    </row>
    <row r="69" spans="1:33" ht="27" customHeight="1">
      <c r="A69" s="15">
        <f t="shared" ref="A69:A100" si="4">A68+1</f>
        <v>66</v>
      </c>
      <c r="B69" s="81">
        <v>45707</v>
      </c>
      <c r="C69" s="15" t="s">
        <v>38</v>
      </c>
      <c r="D69" s="15" t="s">
        <v>1804</v>
      </c>
      <c r="E69" s="26" t="s">
        <v>59</v>
      </c>
      <c r="F69" s="27" t="s">
        <v>41</v>
      </c>
      <c r="G69" s="27">
        <v>645600</v>
      </c>
      <c r="H69" s="81">
        <v>45707</v>
      </c>
      <c r="I69" s="27">
        <v>6157754</v>
      </c>
      <c r="J69" s="28" t="s">
        <v>1805</v>
      </c>
      <c r="K69" s="81">
        <v>45700</v>
      </c>
      <c r="L69" s="81">
        <v>46064</v>
      </c>
      <c r="M69" s="28" t="s">
        <v>1806</v>
      </c>
      <c r="N69" s="400"/>
      <c r="O69" s="29">
        <v>14971</v>
      </c>
      <c r="P69" s="30"/>
      <c r="Q69" s="31">
        <v>45700</v>
      </c>
      <c r="R69" s="32">
        <v>46064</v>
      </c>
      <c r="S69" s="20" t="s">
        <v>1807</v>
      </c>
      <c r="T69" s="33" t="s">
        <v>1808</v>
      </c>
      <c r="U69" s="16">
        <v>45709</v>
      </c>
      <c r="V69" s="17">
        <v>1521925</v>
      </c>
      <c r="W69" s="18">
        <v>45747</v>
      </c>
      <c r="X69" s="19">
        <v>14971</v>
      </c>
      <c r="Y69" s="20" t="s">
        <v>299</v>
      </c>
      <c r="Z69" s="21" t="s">
        <v>1703</v>
      </c>
      <c r="AA69" s="22"/>
      <c r="AB69" s="23">
        <v>45689</v>
      </c>
      <c r="AC69" s="27" t="s">
        <v>1809</v>
      </c>
      <c r="AD69" s="80"/>
      <c r="AE69" s="24"/>
      <c r="AG69" s="140"/>
    </row>
    <row r="70" spans="1:33" ht="27" customHeight="1">
      <c r="A70" s="15">
        <f t="shared" si="4"/>
        <v>67</v>
      </c>
      <c r="B70" s="81">
        <v>45707</v>
      </c>
      <c r="C70" s="15" t="s">
        <v>38</v>
      </c>
      <c r="D70" s="15" t="s">
        <v>1810</v>
      </c>
      <c r="E70" s="26" t="s">
        <v>40</v>
      </c>
      <c r="F70" s="27" t="s">
        <v>41</v>
      </c>
      <c r="G70" s="27">
        <v>645600</v>
      </c>
      <c r="H70" s="81">
        <v>45707</v>
      </c>
      <c r="I70" s="27">
        <v>6157761</v>
      </c>
      <c r="J70" s="28" t="s">
        <v>187</v>
      </c>
      <c r="K70" s="81">
        <v>45689</v>
      </c>
      <c r="L70" s="81">
        <v>46053</v>
      </c>
      <c r="M70" s="34" t="s">
        <v>1811</v>
      </c>
      <c r="N70" s="400"/>
      <c r="O70" s="29">
        <f>P70*7.89</f>
        <v>15491.4627</v>
      </c>
      <c r="P70" s="30">
        <v>1963.43</v>
      </c>
      <c r="Q70" s="31">
        <v>45689</v>
      </c>
      <c r="R70" s="32">
        <v>46053</v>
      </c>
      <c r="S70" s="7" t="s">
        <v>784</v>
      </c>
      <c r="T70" s="33" t="s">
        <v>1812</v>
      </c>
      <c r="U70" s="16">
        <v>45712</v>
      </c>
      <c r="V70" s="17">
        <v>1522125</v>
      </c>
      <c r="W70" s="18">
        <v>45742</v>
      </c>
      <c r="X70" s="19">
        <v>15292.37</v>
      </c>
      <c r="Y70" s="20" t="s">
        <v>1813</v>
      </c>
      <c r="Z70" s="21" t="s">
        <v>1546</v>
      </c>
      <c r="AA70" s="22"/>
      <c r="AB70" s="23">
        <v>45689</v>
      </c>
      <c r="AC70" s="27" t="s">
        <v>1814</v>
      </c>
      <c r="AD70" s="80"/>
      <c r="AE70" s="24"/>
      <c r="AF70" s="80" t="s">
        <v>1815</v>
      </c>
      <c r="AG70" s="140"/>
    </row>
    <row r="71" spans="1:33" ht="27" customHeight="1">
      <c r="A71" s="15">
        <f t="shared" si="4"/>
        <v>68</v>
      </c>
      <c r="B71" s="81">
        <v>45708</v>
      </c>
      <c r="C71" s="15" t="s">
        <v>38</v>
      </c>
      <c r="D71" s="15" t="s">
        <v>1816</v>
      </c>
      <c r="E71" s="26" t="s">
        <v>40</v>
      </c>
      <c r="F71" s="27" t="s">
        <v>41</v>
      </c>
      <c r="G71" s="27">
        <v>645600</v>
      </c>
      <c r="H71" s="81">
        <v>45708</v>
      </c>
      <c r="I71" s="27">
        <v>6158119</v>
      </c>
      <c r="J71" s="28" t="s">
        <v>427</v>
      </c>
      <c r="K71" s="81">
        <v>45717</v>
      </c>
      <c r="L71" s="81">
        <v>46081</v>
      </c>
      <c r="M71" s="34" t="s">
        <v>1817</v>
      </c>
      <c r="N71" s="400"/>
      <c r="O71" s="29">
        <f>P71*7.89</f>
        <v>45609.407399999996</v>
      </c>
      <c r="P71" s="30">
        <v>5780.66</v>
      </c>
      <c r="Q71" s="31">
        <v>45717</v>
      </c>
      <c r="R71" s="32">
        <v>46081</v>
      </c>
      <c r="S71" s="7" t="s">
        <v>784</v>
      </c>
      <c r="T71" s="33" t="s">
        <v>1818</v>
      </c>
      <c r="U71" s="16">
        <v>45712</v>
      </c>
      <c r="V71" s="17">
        <v>1522124</v>
      </c>
      <c r="W71" s="18">
        <v>45737</v>
      </c>
      <c r="X71" s="19">
        <v>45023.25</v>
      </c>
      <c r="Y71" s="20" t="s">
        <v>336</v>
      </c>
      <c r="Z71" s="21" t="s">
        <v>1546</v>
      </c>
      <c r="AA71" s="22"/>
      <c r="AB71" s="23">
        <v>45689</v>
      </c>
      <c r="AC71" s="27" t="s">
        <v>1819</v>
      </c>
      <c r="AD71" s="80"/>
      <c r="AE71" s="24"/>
      <c r="AF71" s="80" t="s">
        <v>1820</v>
      </c>
      <c r="AG71" s="140"/>
    </row>
    <row r="72" spans="1:33" ht="27" customHeight="1">
      <c r="A72" s="15">
        <f t="shared" si="4"/>
        <v>69</v>
      </c>
      <c r="B72" s="81">
        <v>45708</v>
      </c>
      <c r="C72" s="15" t="s">
        <v>1498</v>
      </c>
      <c r="D72" s="15" t="s">
        <v>1821</v>
      </c>
      <c r="E72" s="26" t="s">
        <v>1500</v>
      </c>
      <c r="F72" s="27" t="s">
        <v>944</v>
      </c>
      <c r="G72" s="27">
        <v>645602</v>
      </c>
      <c r="H72" s="81">
        <v>45709</v>
      </c>
      <c r="I72" s="27">
        <v>6158331</v>
      </c>
      <c r="J72" s="28" t="s">
        <v>945</v>
      </c>
      <c r="K72" s="81">
        <v>45658</v>
      </c>
      <c r="L72" s="81">
        <v>46022</v>
      </c>
      <c r="M72" s="34" t="s">
        <v>946</v>
      </c>
      <c r="N72" s="400"/>
      <c r="O72" s="29">
        <v>81000</v>
      </c>
      <c r="P72" s="30"/>
      <c r="Q72" s="31">
        <v>45658</v>
      </c>
      <c r="R72" s="32">
        <v>46022</v>
      </c>
      <c r="S72" s="20" t="s">
        <v>1736</v>
      </c>
      <c r="T72" s="33" t="s">
        <v>1822</v>
      </c>
      <c r="U72" s="16">
        <v>45719</v>
      </c>
      <c r="V72" s="17">
        <v>1523570</v>
      </c>
      <c r="W72" s="18"/>
      <c r="X72" s="19">
        <v>81000</v>
      </c>
      <c r="Y72" s="20" t="s">
        <v>1823</v>
      </c>
      <c r="Z72" s="21" t="s">
        <v>1505</v>
      </c>
      <c r="AA72" s="22"/>
      <c r="AB72" s="23">
        <v>45689</v>
      </c>
      <c r="AC72" s="27" t="s">
        <v>949</v>
      </c>
      <c r="AD72" s="80" t="s">
        <v>1803</v>
      </c>
      <c r="AE72" s="24"/>
      <c r="AG72" s="140"/>
    </row>
    <row r="73" spans="1:33" ht="27" customHeight="1">
      <c r="A73" s="15">
        <f t="shared" si="4"/>
        <v>70</v>
      </c>
      <c r="B73" s="81">
        <v>45705</v>
      </c>
      <c r="C73" s="15" t="s">
        <v>1498</v>
      </c>
      <c r="D73" s="15" t="s">
        <v>1824</v>
      </c>
      <c r="E73" s="26" t="s">
        <v>1500</v>
      </c>
      <c r="F73" s="27" t="s">
        <v>944</v>
      </c>
      <c r="G73" s="27">
        <v>645602</v>
      </c>
      <c r="H73" s="81">
        <v>45709</v>
      </c>
      <c r="I73" s="27">
        <v>6159306</v>
      </c>
      <c r="J73" s="28" t="s">
        <v>1508</v>
      </c>
      <c r="K73" s="81">
        <v>45627</v>
      </c>
      <c r="L73" s="81">
        <v>47087</v>
      </c>
      <c r="M73" s="34" t="s">
        <v>1825</v>
      </c>
      <c r="N73" s="400"/>
      <c r="O73" s="29">
        <v>10000</v>
      </c>
      <c r="P73" s="30"/>
      <c r="Q73" s="31" t="s">
        <v>1510</v>
      </c>
      <c r="R73" s="32"/>
      <c r="S73" s="28" t="s">
        <v>1826</v>
      </c>
      <c r="T73" s="33" t="s">
        <v>1827</v>
      </c>
      <c r="U73" s="16">
        <v>45722</v>
      </c>
      <c r="V73" s="17">
        <v>1524265</v>
      </c>
      <c r="W73" s="18"/>
      <c r="X73" s="19">
        <v>10000</v>
      </c>
      <c r="Y73" s="20" t="s">
        <v>1513</v>
      </c>
      <c r="Z73" s="21" t="s">
        <v>1505</v>
      </c>
      <c r="AA73" s="22"/>
      <c r="AB73" s="23">
        <v>45689</v>
      </c>
      <c r="AC73" s="27" t="s">
        <v>158</v>
      </c>
      <c r="AD73" s="80"/>
      <c r="AE73" s="24"/>
      <c r="AG73" s="140"/>
    </row>
    <row r="74" spans="1:33" ht="27" customHeight="1">
      <c r="A74" s="15">
        <f t="shared" si="4"/>
        <v>71</v>
      </c>
      <c r="B74" s="81">
        <v>45714</v>
      </c>
      <c r="C74" s="15" t="s">
        <v>38</v>
      </c>
      <c r="D74" s="15" t="s">
        <v>1828</v>
      </c>
      <c r="E74" s="26" t="s">
        <v>40</v>
      </c>
      <c r="F74" s="27" t="s">
        <v>41</v>
      </c>
      <c r="G74" s="27">
        <v>645600</v>
      </c>
      <c r="H74" s="81">
        <v>45714</v>
      </c>
      <c r="I74" s="27">
        <v>6160028</v>
      </c>
      <c r="J74" s="28" t="s">
        <v>670</v>
      </c>
      <c r="K74" s="81" t="s">
        <v>1034</v>
      </c>
      <c r="L74" s="81"/>
      <c r="M74" s="28" t="s">
        <v>1829</v>
      </c>
      <c r="N74" s="400"/>
      <c r="O74" s="29">
        <v>1109063.46</v>
      </c>
      <c r="P74" s="30"/>
      <c r="Q74" s="31" t="s">
        <v>1034</v>
      </c>
      <c r="R74" s="32"/>
      <c r="S74" s="20" t="s">
        <v>538</v>
      </c>
      <c r="T74" s="33" t="s">
        <v>1830</v>
      </c>
      <c r="U74" s="16">
        <v>45716</v>
      </c>
      <c r="V74" s="17">
        <v>1523210</v>
      </c>
      <c r="W74" s="18">
        <v>45737</v>
      </c>
      <c r="X74" s="19">
        <v>1109063.46</v>
      </c>
      <c r="Y74" s="20" t="s">
        <v>1167</v>
      </c>
      <c r="Z74" s="21" t="s">
        <v>1546</v>
      </c>
      <c r="AA74" s="22"/>
      <c r="AB74" s="23">
        <v>45689</v>
      </c>
      <c r="AC74" s="27" t="s">
        <v>1831</v>
      </c>
      <c r="AD74" s="80" t="s">
        <v>1803</v>
      </c>
      <c r="AE74" s="24" t="s">
        <v>1832</v>
      </c>
      <c r="AG74" s="140"/>
    </row>
    <row r="75" spans="1:33" ht="27" customHeight="1">
      <c r="A75" s="15">
        <f t="shared" si="4"/>
        <v>72</v>
      </c>
      <c r="B75" s="81">
        <v>45714</v>
      </c>
      <c r="C75" s="15" t="s">
        <v>38</v>
      </c>
      <c r="D75" s="15" t="s">
        <v>1833</v>
      </c>
      <c r="E75" s="26" t="s">
        <v>70</v>
      </c>
      <c r="F75" s="27" t="s">
        <v>41</v>
      </c>
      <c r="G75" s="27">
        <v>645600</v>
      </c>
      <c r="H75" s="81">
        <v>45714</v>
      </c>
      <c r="I75" s="27">
        <v>6160038</v>
      </c>
      <c r="J75" s="28" t="s">
        <v>364</v>
      </c>
      <c r="K75" s="81">
        <v>45696</v>
      </c>
      <c r="L75" s="81">
        <v>46060</v>
      </c>
      <c r="M75" s="28" t="s">
        <v>1834</v>
      </c>
      <c r="N75" s="400"/>
      <c r="O75" s="29">
        <f>P75*7.89</f>
        <v>82450.5</v>
      </c>
      <c r="P75" s="30">
        <v>10450</v>
      </c>
      <c r="Q75" s="31">
        <v>45696</v>
      </c>
      <c r="R75" s="32">
        <v>46060</v>
      </c>
      <c r="S75" s="20" t="s">
        <v>905</v>
      </c>
      <c r="T75" s="33" t="s">
        <v>1835</v>
      </c>
      <c r="U75" s="16">
        <v>45728</v>
      </c>
      <c r="V75" s="17">
        <v>1525450</v>
      </c>
      <c r="W75" s="18">
        <v>45733</v>
      </c>
      <c r="X75" s="19">
        <v>81390.87</v>
      </c>
      <c r="Y75" s="20" t="s">
        <v>245</v>
      </c>
      <c r="Z75" s="21" t="s">
        <v>899</v>
      </c>
      <c r="AA75" s="22"/>
      <c r="AB75" s="23">
        <v>45689</v>
      </c>
      <c r="AC75" s="27" t="s">
        <v>1836</v>
      </c>
      <c r="AD75" s="80"/>
      <c r="AE75" s="24"/>
      <c r="AF75" s="80" t="s">
        <v>1837</v>
      </c>
      <c r="AG75" s="140"/>
    </row>
    <row r="76" spans="1:33" ht="27" customHeight="1">
      <c r="A76" s="15">
        <f t="shared" si="4"/>
        <v>73</v>
      </c>
      <c r="B76" s="81">
        <v>45714</v>
      </c>
      <c r="C76" s="15" t="s">
        <v>1498</v>
      </c>
      <c r="D76" s="15" t="s">
        <v>1838</v>
      </c>
      <c r="E76" s="26" t="s">
        <v>1500</v>
      </c>
      <c r="F76" s="27" t="s">
        <v>1537</v>
      </c>
      <c r="G76" s="27">
        <v>645602</v>
      </c>
      <c r="H76" s="81">
        <v>45714</v>
      </c>
      <c r="I76" s="27">
        <v>6160157</v>
      </c>
      <c r="J76" s="28" t="s">
        <v>1839</v>
      </c>
      <c r="K76" s="81">
        <v>45660</v>
      </c>
      <c r="L76" s="81">
        <v>46024</v>
      </c>
      <c r="M76" s="28" t="s">
        <v>1840</v>
      </c>
      <c r="N76" s="400"/>
      <c r="O76" s="29">
        <v>18000</v>
      </c>
      <c r="P76" s="30"/>
      <c r="Q76" s="31">
        <v>45660</v>
      </c>
      <c r="R76" s="32">
        <v>46024</v>
      </c>
      <c r="S76" s="20" t="s">
        <v>1597</v>
      </c>
      <c r="T76" s="33" t="s">
        <v>1841</v>
      </c>
      <c r="U76" s="16">
        <v>45719</v>
      </c>
      <c r="V76" s="17">
        <v>1523577</v>
      </c>
      <c r="W76" s="18">
        <v>45733</v>
      </c>
      <c r="X76" s="19">
        <v>18000</v>
      </c>
      <c r="Y76" s="20" t="s">
        <v>1842</v>
      </c>
      <c r="Z76" s="21" t="s">
        <v>1505</v>
      </c>
      <c r="AA76" s="22"/>
      <c r="AB76" s="23">
        <v>45689</v>
      </c>
      <c r="AC76" s="27" t="s">
        <v>1843</v>
      </c>
      <c r="AD76" s="80"/>
      <c r="AE76" s="24"/>
      <c r="AG76" s="140"/>
    </row>
    <row r="77" spans="1:33" ht="27" customHeight="1">
      <c r="A77" s="15">
        <f t="shared" si="4"/>
        <v>74</v>
      </c>
      <c r="B77" s="81">
        <v>45715</v>
      </c>
      <c r="C77" s="15" t="s">
        <v>1498</v>
      </c>
      <c r="D77" s="112" t="s">
        <v>1844</v>
      </c>
      <c r="E77" s="26" t="s">
        <v>1500</v>
      </c>
      <c r="F77" s="27" t="s">
        <v>944</v>
      </c>
      <c r="G77" s="27">
        <v>645602</v>
      </c>
      <c r="H77" s="81">
        <v>45716</v>
      </c>
      <c r="I77" s="27">
        <v>6160565</v>
      </c>
      <c r="J77" s="28" t="s">
        <v>1845</v>
      </c>
      <c r="K77" s="81">
        <v>45708</v>
      </c>
      <c r="L77" s="81">
        <v>46072</v>
      </c>
      <c r="M77" s="28" t="s">
        <v>1846</v>
      </c>
      <c r="N77" s="400"/>
      <c r="O77" s="29">
        <f>P77*7.89</f>
        <v>243209.25</v>
      </c>
      <c r="P77" s="30">
        <v>30825</v>
      </c>
      <c r="Q77" s="31">
        <v>45754</v>
      </c>
      <c r="R77" s="32">
        <v>46118</v>
      </c>
      <c r="S77" s="20" t="s">
        <v>305</v>
      </c>
      <c r="T77" s="33" t="s">
        <v>1847</v>
      </c>
      <c r="U77" s="114">
        <v>45735</v>
      </c>
      <c r="V77" s="115">
        <v>1526653</v>
      </c>
      <c r="W77" s="18"/>
      <c r="X77" s="19">
        <v>243209.25</v>
      </c>
      <c r="Y77" s="20" t="s">
        <v>66</v>
      </c>
      <c r="Z77" s="21" t="s">
        <v>1505</v>
      </c>
      <c r="AA77" s="22"/>
      <c r="AB77" s="23">
        <v>45689</v>
      </c>
      <c r="AC77" s="27" t="s">
        <v>1848</v>
      </c>
      <c r="AD77" s="80"/>
      <c r="AE77" s="24"/>
      <c r="AG77" s="140"/>
    </row>
    <row r="78" spans="1:33" ht="27" customHeight="1">
      <c r="A78" s="15">
        <f t="shared" si="4"/>
        <v>75</v>
      </c>
      <c r="B78" s="81">
        <v>45721</v>
      </c>
      <c r="C78" s="15" t="s">
        <v>38</v>
      </c>
      <c r="D78" s="15" t="s">
        <v>1849</v>
      </c>
      <c r="E78" s="26" t="s">
        <v>70</v>
      </c>
      <c r="F78" s="27" t="s">
        <v>41</v>
      </c>
      <c r="G78" s="27">
        <v>645600</v>
      </c>
      <c r="H78" s="81">
        <v>45721</v>
      </c>
      <c r="I78" s="27">
        <v>6162296</v>
      </c>
      <c r="J78" s="28" t="s">
        <v>1850</v>
      </c>
      <c r="K78" s="81">
        <v>45472</v>
      </c>
      <c r="L78" s="81">
        <v>45836</v>
      </c>
      <c r="M78" s="28" t="s">
        <v>1851</v>
      </c>
      <c r="N78" s="400"/>
      <c r="O78" s="29">
        <f>P78*7.89</f>
        <v>31315.173299999999</v>
      </c>
      <c r="P78" s="30">
        <v>3968.97</v>
      </c>
      <c r="Q78" s="31">
        <v>45809</v>
      </c>
      <c r="R78" s="32">
        <v>46173</v>
      </c>
      <c r="S78" s="20" t="s">
        <v>473</v>
      </c>
      <c r="T78" s="33" t="s">
        <v>1852</v>
      </c>
      <c r="U78" s="16">
        <v>45727</v>
      </c>
      <c r="V78" s="17">
        <v>1525193</v>
      </c>
      <c r="W78" s="18">
        <v>45846</v>
      </c>
      <c r="X78" s="19">
        <v>30851.99</v>
      </c>
      <c r="Y78" s="20" t="s">
        <v>1553</v>
      </c>
      <c r="Z78" s="21" t="s">
        <v>1554</v>
      </c>
      <c r="AA78" s="22"/>
      <c r="AB78" s="23">
        <v>45717</v>
      </c>
      <c r="AC78" s="27" t="s">
        <v>1853</v>
      </c>
      <c r="AD78" s="80"/>
      <c r="AE78" s="24"/>
      <c r="AG78" s="140"/>
    </row>
    <row r="79" spans="1:33" ht="27" customHeight="1">
      <c r="A79" s="15">
        <f t="shared" si="4"/>
        <v>76</v>
      </c>
      <c r="B79" s="81">
        <v>45722</v>
      </c>
      <c r="C79" s="15" t="s">
        <v>1498</v>
      </c>
      <c r="D79" s="112" t="s">
        <v>1854</v>
      </c>
      <c r="E79" s="26" t="s">
        <v>1500</v>
      </c>
      <c r="F79" s="27" t="s">
        <v>1537</v>
      </c>
      <c r="G79" s="27">
        <v>645602</v>
      </c>
      <c r="H79" s="81">
        <v>45722</v>
      </c>
      <c r="I79" s="27">
        <v>6162501</v>
      </c>
      <c r="J79" s="28" t="s">
        <v>1855</v>
      </c>
      <c r="K79" s="81">
        <v>45640</v>
      </c>
      <c r="L79" s="81">
        <v>45943</v>
      </c>
      <c r="M79" s="28" t="s">
        <v>1856</v>
      </c>
      <c r="N79" s="400"/>
      <c r="O79" s="29">
        <v>78000</v>
      </c>
      <c r="P79" s="30"/>
      <c r="Q79" s="31">
        <v>45640</v>
      </c>
      <c r="R79" s="32">
        <v>46004</v>
      </c>
      <c r="S79" s="20" t="s">
        <v>1857</v>
      </c>
      <c r="T79" s="33" t="s">
        <v>1858</v>
      </c>
      <c r="U79" s="114">
        <v>45737</v>
      </c>
      <c r="V79" s="115">
        <v>1527164</v>
      </c>
      <c r="W79" s="18">
        <v>45777</v>
      </c>
      <c r="X79" s="19">
        <v>78000</v>
      </c>
      <c r="Y79" s="20" t="s">
        <v>1859</v>
      </c>
      <c r="Z79" s="21" t="s">
        <v>1505</v>
      </c>
      <c r="AA79" s="22"/>
      <c r="AB79" s="23">
        <v>45717</v>
      </c>
      <c r="AC79" s="27" t="s">
        <v>1860</v>
      </c>
      <c r="AD79" s="80"/>
      <c r="AE79" s="24"/>
      <c r="AG79" s="140"/>
    </row>
    <row r="80" spans="1:33" ht="27" customHeight="1">
      <c r="A80" s="15">
        <f t="shared" si="4"/>
        <v>77</v>
      </c>
      <c r="B80" s="81">
        <v>45722</v>
      </c>
      <c r="C80" s="15" t="s">
        <v>1498</v>
      </c>
      <c r="D80" s="112" t="s">
        <v>1861</v>
      </c>
      <c r="E80" s="26" t="s">
        <v>1500</v>
      </c>
      <c r="F80" s="27" t="s">
        <v>1537</v>
      </c>
      <c r="G80" s="27">
        <v>645602</v>
      </c>
      <c r="H80" s="81">
        <v>45722</v>
      </c>
      <c r="I80" s="27">
        <v>6162656</v>
      </c>
      <c r="J80" s="28" t="s">
        <v>1855</v>
      </c>
      <c r="K80" s="81">
        <v>45640</v>
      </c>
      <c r="L80" s="81">
        <v>45943</v>
      </c>
      <c r="M80" s="28" t="s">
        <v>1856</v>
      </c>
      <c r="N80" s="400"/>
      <c r="O80" s="29">
        <v>18000</v>
      </c>
      <c r="P80" s="30"/>
      <c r="Q80" s="31">
        <v>45658</v>
      </c>
      <c r="R80" s="32">
        <v>46022</v>
      </c>
      <c r="S80" s="20" t="s">
        <v>1862</v>
      </c>
      <c r="T80" s="33" t="s">
        <v>1863</v>
      </c>
      <c r="U80" s="114">
        <v>45737</v>
      </c>
      <c r="V80" s="115">
        <v>1527170</v>
      </c>
      <c r="W80" s="137" t="s">
        <v>1864</v>
      </c>
      <c r="X80" s="19">
        <v>18000</v>
      </c>
      <c r="Y80" s="20" t="s">
        <v>1859</v>
      </c>
      <c r="Z80" s="21" t="s">
        <v>1505</v>
      </c>
      <c r="AA80" s="22"/>
      <c r="AB80" s="23">
        <v>45717</v>
      </c>
      <c r="AC80" s="27" t="s">
        <v>1860</v>
      </c>
      <c r="AD80" s="80"/>
      <c r="AE80" s="24"/>
      <c r="AG80" s="140"/>
    </row>
    <row r="81" spans="1:33" ht="27" customHeight="1">
      <c r="A81" s="15">
        <f t="shared" si="4"/>
        <v>78</v>
      </c>
      <c r="B81" s="81">
        <v>45722</v>
      </c>
      <c r="C81" s="15" t="s">
        <v>1498</v>
      </c>
      <c r="D81" s="112" t="s">
        <v>1865</v>
      </c>
      <c r="E81" s="26" t="s">
        <v>1500</v>
      </c>
      <c r="F81" s="27" t="s">
        <v>1537</v>
      </c>
      <c r="G81" s="27">
        <v>645602</v>
      </c>
      <c r="H81" s="81">
        <v>45722</v>
      </c>
      <c r="I81" s="27">
        <v>6162660</v>
      </c>
      <c r="J81" s="28" t="s">
        <v>1866</v>
      </c>
      <c r="K81" s="81">
        <v>45640</v>
      </c>
      <c r="L81" s="81">
        <v>45943</v>
      </c>
      <c r="M81" s="28" t="s">
        <v>1856</v>
      </c>
      <c r="N81" s="400"/>
      <c r="O81" s="29">
        <v>283500</v>
      </c>
      <c r="P81" s="30"/>
      <c r="Q81" s="31">
        <v>45640</v>
      </c>
      <c r="R81" s="32">
        <v>46004</v>
      </c>
      <c r="S81" s="20" t="s">
        <v>1867</v>
      </c>
      <c r="T81" s="33" t="s">
        <v>1868</v>
      </c>
      <c r="U81" s="114">
        <v>45737</v>
      </c>
      <c r="V81" s="115">
        <v>1527177</v>
      </c>
      <c r="W81" s="18"/>
      <c r="X81" s="19">
        <v>283500</v>
      </c>
      <c r="Y81" s="20" t="s">
        <v>1859</v>
      </c>
      <c r="Z81" s="21" t="s">
        <v>1505</v>
      </c>
      <c r="AA81" s="22"/>
      <c r="AB81" s="23">
        <v>45717</v>
      </c>
      <c r="AC81" s="27" t="s">
        <v>1860</v>
      </c>
      <c r="AD81" s="80"/>
      <c r="AE81" s="24"/>
      <c r="AG81" s="140"/>
    </row>
    <row r="82" spans="1:33" ht="27" customHeight="1">
      <c r="A82" s="15">
        <f t="shared" si="4"/>
        <v>79</v>
      </c>
      <c r="B82" s="81">
        <v>45722</v>
      </c>
      <c r="C82" s="15" t="s">
        <v>1498</v>
      </c>
      <c r="D82" s="15" t="s">
        <v>1869</v>
      </c>
      <c r="E82" s="26" t="s">
        <v>1500</v>
      </c>
      <c r="F82" s="27" t="s">
        <v>1537</v>
      </c>
      <c r="G82" s="27">
        <v>645602</v>
      </c>
      <c r="H82" s="81">
        <v>45722</v>
      </c>
      <c r="I82" s="27">
        <v>6162699</v>
      </c>
      <c r="J82" s="28" t="s">
        <v>1855</v>
      </c>
      <c r="K82" s="81">
        <v>45640</v>
      </c>
      <c r="L82" s="81">
        <v>45943</v>
      </c>
      <c r="M82" s="28" t="s">
        <v>1856</v>
      </c>
      <c r="N82" s="400"/>
      <c r="O82" s="29">
        <v>905</v>
      </c>
      <c r="P82" s="30"/>
      <c r="Q82" s="31" t="s">
        <v>1510</v>
      </c>
      <c r="R82" s="32"/>
      <c r="S82" s="20" t="s">
        <v>1867</v>
      </c>
      <c r="T82" s="33" t="s">
        <v>1870</v>
      </c>
      <c r="U82" s="114">
        <v>45737</v>
      </c>
      <c r="V82" s="115">
        <v>1527181</v>
      </c>
      <c r="W82" s="18"/>
      <c r="X82" s="19">
        <v>905</v>
      </c>
      <c r="Y82" s="20" t="s">
        <v>1859</v>
      </c>
      <c r="Z82" s="21" t="s">
        <v>1505</v>
      </c>
      <c r="AA82" s="22"/>
      <c r="AB82" s="23">
        <v>45717</v>
      </c>
      <c r="AC82" s="27" t="s">
        <v>1860</v>
      </c>
      <c r="AD82" s="80"/>
      <c r="AE82" s="24"/>
      <c r="AG82" s="140"/>
    </row>
    <row r="83" spans="1:33" ht="76.5">
      <c r="A83" s="15">
        <f t="shared" si="4"/>
        <v>80</v>
      </c>
      <c r="B83" s="81">
        <v>45721</v>
      </c>
      <c r="C83" s="15" t="s">
        <v>38</v>
      </c>
      <c r="D83" s="15" t="s">
        <v>1871</v>
      </c>
      <c r="E83" s="26" t="s">
        <v>70</v>
      </c>
      <c r="F83" s="27" t="s">
        <v>277</v>
      </c>
      <c r="G83" s="27">
        <v>645600</v>
      </c>
      <c r="H83" s="81">
        <v>45722</v>
      </c>
      <c r="I83" s="27">
        <v>6162776</v>
      </c>
      <c r="J83" s="28" t="s">
        <v>1872</v>
      </c>
      <c r="K83" s="81">
        <v>45433</v>
      </c>
      <c r="L83" s="81">
        <v>46162</v>
      </c>
      <c r="M83" s="28" t="s">
        <v>1873</v>
      </c>
      <c r="N83" s="400"/>
      <c r="O83" s="29">
        <f>48287.5+9980+8002+28664</f>
        <v>94933.5</v>
      </c>
      <c r="P83" s="30"/>
      <c r="Q83" s="31">
        <v>45798</v>
      </c>
      <c r="R83" s="32">
        <v>46162</v>
      </c>
      <c r="S83" s="20" t="s">
        <v>399</v>
      </c>
      <c r="T83" s="33" t="s">
        <v>1874</v>
      </c>
      <c r="U83" s="16">
        <v>45728</v>
      </c>
      <c r="V83" s="17">
        <v>1525503</v>
      </c>
      <c r="W83" s="18">
        <v>45772</v>
      </c>
      <c r="X83" s="19">
        <v>94933.5</v>
      </c>
      <c r="Y83" s="20" t="s">
        <v>1553</v>
      </c>
      <c r="Z83" s="21" t="s">
        <v>1554</v>
      </c>
      <c r="AA83" s="22"/>
      <c r="AB83" s="23">
        <v>45717</v>
      </c>
      <c r="AC83" s="27" t="s">
        <v>1875</v>
      </c>
      <c r="AD83" s="80"/>
      <c r="AE83" s="24"/>
      <c r="AG83" s="140"/>
    </row>
    <row r="84" spans="1:33" ht="27" customHeight="1">
      <c r="A84" s="15">
        <f t="shared" si="4"/>
        <v>81</v>
      </c>
      <c r="B84" s="81">
        <v>45722</v>
      </c>
      <c r="C84" s="15" t="s">
        <v>38</v>
      </c>
      <c r="D84" s="15" t="s">
        <v>1876</v>
      </c>
      <c r="E84" s="26" t="s">
        <v>40</v>
      </c>
      <c r="F84" s="27" t="s">
        <v>277</v>
      </c>
      <c r="G84" s="27">
        <v>645600</v>
      </c>
      <c r="H84" s="81">
        <v>45722</v>
      </c>
      <c r="I84" s="27">
        <v>6162783</v>
      </c>
      <c r="J84" s="28" t="s">
        <v>670</v>
      </c>
      <c r="K84" s="81">
        <v>45870</v>
      </c>
      <c r="L84" s="81">
        <v>46234</v>
      </c>
      <c r="M84" s="28" t="s">
        <v>1877</v>
      </c>
      <c r="N84" s="400"/>
      <c r="O84" s="29">
        <v>24816.05</v>
      </c>
      <c r="P84" s="30"/>
      <c r="Q84" s="31" t="s">
        <v>927</v>
      </c>
      <c r="R84" s="32"/>
      <c r="S84" s="20" t="s">
        <v>538</v>
      </c>
      <c r="T84" s="33" t="s">
        <v>1878</v>
      </c>
      <c r="U84" s="16">
        <v>45730</v>
      </c>
      <c r="V84" s="17">
        <v>1525894</v>
      </c>
      <c r="W84" s="18">
        <v>45789</v>
      </c>
      <c r="X84" s="19">
        <v>24816.05</v>
      </c>
      <c r="Y84" s="20" t="s">
        <v>1167</v>
      </c>
      <c r="Z84" s="21" t="s">
        <v>1546</v>
      </c>
      <c r="AA84" s="22"/>
      <c r="AB84" s="23">
        <v>45717</v>
      </c>
      <c r="AC84" s="27" t="s">
        <v>1879</v>
      </c>
      <c r="AD84" s="80" t="s">
        <v>1803</v>
      </c>
      <c r="AE84" s="24" t="s">
        <v>1880</v>
      </c>
      <c r="AG84" s="140"/>
    </row>
    <row r="85" spans="1:33" ht="27" customHeight="1">
      <c r="A85" s="15">
        <f t="shared" si="4"/>
        <v>82</v>
      </c>
      <c r="B85" s="81">
        <v>45726</v>
      </c>
      <c r="C85" s="15" t="s">
        <v>38</v>
      </c>
      <c r="D85" s="15" t="s">
        <v>1881</v>
      </c>
      <c r="E85" s="26" t="s">
        <v>70</v>
      </c>
      <c r="F85" s="27" t="s">
        <v>41</v>
      </c>
      <c r="G85" s="27">
        <v>645600</v>
      </c>
      <c r="H85" s="81">
        <v>45727</v>
      </c>
      <c r="I85" s="27">
        <v>6163987</v>
      </c>
      <c r="J85" s="28" t="s">
        <v>1882</v>
      </c>
      <c r="K85" s="81">
        <v>45741</v>
      </c>
      <c r="L85" s="81">
        <v>46105</v>
      </c>
      <c r="M85" s="28" t="s">
        <v>1883</v>
      </c>
      <c r="N85" s="400"/>
      <c r="O85" s="29">
        <v>220576</v>
      </c>
      <c r="P85" s="30"/>
      <c r="Q85" s="31">
        <v>45741</v>
      </c>
      <c r="R85" s="32">
        <v>46105</v>
      </c>
      <c r="S85" s="20" t="s">
        <v>180</v>
      </c>
      <c r="T85" s="33" t="s">
        <v>1884</v>
      </c>
      <c r="U85" s="16">
        <v>45735</v>
      </c>
      <c r="V85" s="17">
        <v>1526642</v>
      </c>
      <c r="W85" s="18">
        <v>45772</v>
      </c>
      <c r="X85" s="19">
        <v>220576</v>
      </c>
      <c r="Y85" s="20" t="s">
        <v>832</v>
      </c>
      <c r="Z85" s="21" t="s">
        <v>899</v>
      </c>
      <c r="AA85" s="22"/>
      <c r="AB85" s="23">
        <v>45717</v>
      </c>
      <c r="AC85" s="27" t="s">
        <v>1885</v>
      </c>
      <c r="AD85" s="80"/>
      <c r="AE85" s="24"/>
      <c r="AG85" s="140"/>
    </row>
    <row r="86" spans="1:33" ht="27" customHeight="1">
      <c r="A86" s="15">
        <f t="shared" si="4"/>
        <v>83</v>
      </c>
      <c r="B86" s="81">
        <v>45726</v>
      </c>
      <c r="C86" s="15" t="s">
        <v>38</v>
      </c>
      <c r="D86" s="15" t="s">
        <v>1886</v>
      </c>
      <c r="E86" s="26" t="s">
        <v>70</v>
      </c>
      <c r="F86" s="27" t="s">
        <v>41</v>
      </c>
      <c r="G86" s="27">
        <v>645600</v>
      </c>
      <c r="H86" s="81">
        <v>45727</v>
      </c>
      <c r="I86" s="27">
        <v>6163995</v>
      </c>
      <c r="J86" s="28" t="s">
        <v>1882</v>
      </c>
      <c r="K86" s="81">
        <v>45741</v>
      </c>
      <c r="L86" s="81">
        <v>46105</v>
      </c>
      <c r="M86" s="28" t="s">
        <v>1883</v>
      </c>
      <c r="N86" s="400"/>
      <c r="O86" s="29">
        <v>63000</v>
      </c>
      <c r="P86" s="30"/>
      <c r="Q86" s="31">
        <v>45741</v>
      </c>
      <c r="R86" s="32">
        <v>46105</v>
      </c>
      <c r="S86" s="20" t="s">
        <v>180</v>
      </c>
      <c r="T86" s="33" t="s">
        <v>1887</v>
      </c>
      <c r="U86" s="16">
        <v>45735</v>
      </c>
      <c r="V86" s="17">
        <v>1526652</v>
      </c>
      <c r="W86" s="18">
        <v>45772</v>
      </c>
      <c r="X86" s="19">
        <v>63000</v>
      </c>
      <c r="Y86" s="20" t="s">
        <v>832</v>
      </c>
      <c r="Z86" s="21" t="s">
        <v>899</v>
      </c>
      <c r="AA86" s="22"/>
      <c r="AB86" s="23">
        <v>45717</v>
      </c>
      <c r="AC86" s="27" t="s">
        <v>1885</v>
      </c>
      <c r="AD86" s="80"/>
      <c r="AE86" s="24"/>
      <c r="AG86" s="140"/>
    </row>
    <row r="87" spans="1:33" ht="27" customHeight="1">
      <c r="A87" s="15">
        <f t="shared" si="4"/>
        <v>84</v>
      </c>
      <c r="B87" s="81">
        <v>45727</v>
      </c>
      <c r="C87" s="15" t="s">
        <v>38</v>
      </c>
      <c r="D87" s="15" t="s">
        <v>1888</v>
      </c>
      <c r="E87" s="26" t="s">
        <v>70</v>
      </c>
      <c r="F87" s="27" t="s">
        <v>41</v>
      </c>
      <c r="G87" s="27">
        <v>645600</v>
      </c>
      <c r="H87" s="81">
        <v>45727</v>
      </c>
      <c r="I87" s="27">
        <v>6163998</v>
      </c>
      <c r="J87" s="28" t="s">
        <v>1889</v>
      </c>
      <c r="K87" s="81">
        <v>45658</v>
      </c>
      <c r="L87" s="81">
        <v>46022</v>
      </c>
      <c r="M87" s="28" t="s">
        <v>1890</v>
      </c>
      <c r="N87" s="400"/>
      <c r="O87" s="29">
        <f>P87*7.89</f>
        <v>3430.1774999999998</v>
      </c>
      <c r="P87" s="113">
        <v>434.75</v>
      </c>
      <c r="Q87" s="31">
        <v>45704</v>
      </c>
      <c r="R87" s="32">
        <v>46075</v>
      </c>
      <c r="S87" s="20" t="s">
        <v>1800</v>
      </c>
      <c r="T87" s="33" t="s">
        <v>1891</v>
      </c>
      <c r="U87" s="16">
        <v>45747</v>
      </c>
      <c r="V87" s="17">
        <v>1528661</v>
      </c>
      <c r="W87" s="18">
        <v>45777</v>
      </c>
      <c r="X87" s="19">
        <v>3379.44</v>
      </c>
      <c r="Y87" s="20" t="s">
        <v>1813</v>
      </c>
      <c r="Z87" s="21" t="s">
        <v>1554</v>
      </c>
      <c r="AA87" s="22"/>
      <c r="AB87" s="23">
        <v>45717</v>
      </c>
      <c r="AC87" s="27" t="s">
        <v>1892</v>
      </c>
      <c r="AD87" s="80" t="s">
        <v>1803</v>
      </c>
      <c r="AE87" s="24" t="s">
        <v>1893</v>
      </c>
      <c r="AG87" s="140"/>
    </row>
    <row r="88" spans="1:33" ht="27" customHeight="1">
      <c r="A88" s="15">
        <f t="shared" si="4"/>
        <v>85</v>
      </c>
      <c r="B88" s="81">
        <v>45729</v>
      </c>
      <c r="C88" s="15" t="s">
        <v>1498</v>
      </c>
      <c r="D88" s="15" t="s">
        <v>1894</v>
      </c>
      <c r="E88" s="26" t="s">
        <v>97</v>
      </c>
      <c r="F88" s="27" t="s">
        <v>98</v>
      </c>
      <c r="G88" s="27">
        <v>645602</v>
      </c>
      <c r="H88" s="81">
        <v>45729</v>
      </c>
      <c r="I88" s="27">
        <v>6164762</v>
      </c>
      <c r="J88" s="28" t="s">
        <v>100</v>
      </c>
      <c r="K88" s="81">
        <v>44216</v>
      </c>
      <c r="L88" s="81">
        <v>47502</v>
      </c>
      <c r="M88" s="28" t="s">
        <v>101</v>
      </c>
      <c r="N88" s="400"/>
      <c r="O88" s="29">
        <v>80360</v>
      </c>
      <c r="P88" s="30"/>
      <c r="Q88" s="31">
        <v>45677</v>
      </c>
      <c r="R88" s="32">
        <v>46041</v>
      </c>
      <c r="S88" s="20" t="s">
        <v>1736</v>
      </c>
      <c r="T88" s="33" t="s">
        <v>1895</v>
      </c>
      <c r="U88" s="114">
        <v>45730</v>
      </c>
      <c r="V88" s="115">
        <v>1526067</v>
      </c>
      <c r="W88" s="18"/>
      <c r="X88" s="19">
        <v>80360</v>
      </c>
      <c r="Y88" s="20" t="s">
        <v>1859</v>
      </c>
      <c r="Z88" s="21" t="s">
        <v>1505</v>
      </c>
      <c r="AA88" s="22"/>
      <c r="AB88" s="23">
        <v>45717</v>
      </c>
      <c r="AC88" s="27" t="s">
        <v>1896</v>
      </c>
      <c r="AD88" s="80" t="s">
        <v>1803</v>
      </c>
      <c r="AE88" s="24"/>
      <c r="AG88" s="140"/>
    </row>
    <row r="89" spans="1:33" ht="27" customHeight="1">
      <c r="A89" s="15">
        <f t="shared" si="4"/>
        <v>86</v>
      </c>
      <c r="B89" s="81">
        <v>45730</v>
      </c>
      <c r="C89" s="15" t="s">
        <v>1498</v>
      </c>
      <c r="D89" s="15" t="s">
        <v>1897</v>
      </c>
      <c r="E89" s="26" t="s">
        <v>97</v>
      </c>
      <c r="F89" s="27" t="s">
        <v>98</v>
      </c>
      <c r="G89" s="27">
        <v>645602</v>
      </c>
      <c r="H89" s="81">
        <v>45729</v>
      </c>
      <c r="I89" s="27">
        <v>6165356</v>
      </c>
      <c r="J89" s="28" t="s">
        <v>1898</v>
      </c>
      <c r="K89" s="81">
        <v>45731</v>
      </c>
      <c r="L89" s="81">
        <v>46095</v>
      </c>
      <c r="M89" s="28" t="s">
        <v>1899</v>
      </c>
      <c r="N89" s="400"/>
      <c r="O89" s="29">
        <f>P89*7.89</f>
        <v>182524.10399999999</v>
      </c>
      <c r="P89" s="30">
        <v>23133.599999999999</v>
      </c>
      <c r="Q89" s="31" t="s">
        <v>1900</v>
      </c>
      <c r="R89" s="32"/>
      <c r="S89" s="20" t="s">
        <v>305</v>
      </c>
      <c r="T89" s="33" t="s">
        <v>1901</v>
      </c>
      <c r="U89" s="114">
        <v>45733</v>
      </c>
      <c r="V89" s="115">
        <v>1526178</v>
      </c>
      <c r="W89" s="18"/>
      <c r="X89" s="19">
        <v>182524.1</v>
      </c>
      <c r="Y89" s="20" t="s">
        <v>66</v>
      </c>
      <c r="Z89" s="21" t="s">
        <v>1505</v>
      </c>
      <c r="AA89" s="22"/>
      <c r="AB89" s="23">
        <v>45717</v>
      </c>
      <c r="AC89" s="27" t="s">
        <v>1902</v>
      </c>
      <c r="AD89" s="80" t="s">
        <v>1803</v>
      </c>
      <c r="AE89" s="24"/>
      <c r="AG89" s="140"/>
    </row>
    <row r="90" spans="1:33" ht="27" customHeight="1">
      <c r="A90" s="91">
        <f t="shared" si="4"/>
        <v>87</v>
      </c>
      <c r="B90" s="92">
        <v>45729</v>
      </c>
      <c r="C90" s="91" t="s">
        <v>38</v>
      </c>
      <c r="D90" s="91" t="s">
        <v>1903</v>
      </c>
      <c r="E90" s="93" t="s">
        <v>70</v>
      </c>
      <c r="F90" s="94" t="s">
        <v>41</v>
      </c>
      <c r="G90" s="94">
        <v>645600</v>
      </c>
      <c r="H90" s="92">
        <v>45730</v>
      </c>
      <c r="I90" s="94">
        <v>6165442</v>
      </c>
      <c r="J90" s="95" t="s">
        <v>1904</v>
      </c>
      <c r="K90" s="92">
        <v>45658</v>
      </c>
      <c r="L90" s="92">
        <v>46022</v>
      </c>
      <c r="M90" s="95" t="s">
        <v>1905</v>
      </c>
      <c r="N90" s="400"/>
      <c r="O90" s="97">
        <f>P90*7.89</f>
        <v>18037.802399999997</v>
      </c>
      <c r="P90" s="98">
        <v>2286.16</v>
      </c>
      <c r="Q90" s="99">
        <v>45658</v>
      </c>
      <c r="R90" s="100">
        <v>46022</v>
      </c>
      <c r="S90" s="101" t="s">
        <v>473</v>
      </c>
      <c r="T90" s="102" t="s">
        <v>1906</v>
      </c>
      <c r="U90" s="103" t="s">
        <v>609</v>
      </c>
      <c r="V90" s="104"/>
      <c r="W90" s="105"/>
      <c r="X90" s="106">
        <v>17771.009999999998</v>
      </c>
      <c r="Y90" s="101" t="s">
        <v>183</v>
      </c>
      <c r="Z90" s="107" t="s">
        <v>1554</v>
      </c>
      <c r="AA90" s="108"/>
      <c r="AB90" s="109">
        <v>45717</v>
      </c>
      <c r="AC90" s="94" t="s">
        <v>1907</v>
      </c>
      <c r="AD90" s="138"/>
      <c r="AE90" s="110" t="s">
        <v>1908</v>
      </c>
      <c r="AG90" s="140"/>
    </row>
    <row r="91" spans="1:33" ht="27" customHeight="1">
      <c r="A91" s="15">
        <f t="shared" si="4"/>
        <v>88</v>
      </c>
      <c r="B91" s="81">
        <v>45730</v>
      </c>
      <c r="C91" s="15" t="s">
        <v>38</v>
      </c>
      <c r="D91" s="15" t="s">
        <v>1909</v>
      </c>
      <c r="E91" s="26" t="s">
        <v>70</v>
      </c>
      <c r="F91" s="27" t="s">
        <v>41</v>
      </c>
      <c r="G91" s="27">
        <v>645600</v>
      </c>
      <c r="H91" s="81">
        <v>45733</v>
      </c>
      <c r="I91" s="27">
        <v>6165825</v>
      </c>
      <c r="J91" s="28" t="s">
        <v>1910</v>
      </c>
      <c r="K91" s="81">
        <v>45640</v>
      </c>
      <c r="L91" s="81">
        <v>46004</v>
      </c>
      <c r="M91" s="28" t="s">
        <v>1911</v>
      </c>
      <c r="N91" s="400"/>
      <c r="O91" s="29">
        <f>P91*7.89</f>
        <v>14391.359999999999</v>
      </c>
      <c r="P91" s="30">
        <v>1824</v>
      </c>
      <c r="Q91" s="31">
        <v>45778</v>
      </c>
      <c r="R91" s="32">
        <v>46142</v>
      </c>
      <c r="S91" s="20" t="s">
        <v>473</v>
      </c>
      <c r="T91" s="33" t="s">
        <v>1912</v>
      </c>
      <c r="U91" s="16">
        <v>45737</v>
      </c>
      <c r="V91" s="17">
        <v>1527334</v>
      </c>
      <c r="W91" s="18">
        <v>45846</v>
      </c>
      <c r="X91" s="19">
        <v>14178.5</v>
      </c>
      <c r="Y91" s="20" t="s">
        <v>183</v>
      </c>
      <c r="Z91" s="21" t="s">
        <v>1554</v>
      </c>
      <c r="AA91" s="22"/>
      <c r="AB91" s="23">
        <v>45717</v>
      </c>
      <c r="AC91" s="27" t="s">
        <v>1913</v>
      </c>
      <c r="AD91" s="80"/>
      <c r="AE91" s="24"/>
      <c r="AG91" s="140"/>
    </row>
    <row r="92" spans="1:33" ht="27" customHeight="1">
      <c r="A92" s="15">
        <f t="shared" si="4"/>
        <v>89</v>
      </c>
      <c r="B92" s="81">
        <v>45733</v>
      </c>
      <c r="C92" s="15" t="s">
        <v>38</v>
      </c>
      <c r="D92" s="15" t="s">
        <v>1914</v>
      </c>
      <c r="E92" s="26" t="s">
        <v>70</v>
      </c>
      <c r="F92" s="27" t="s">
        <v>41</v>
      </c>
      <c r="G92" s="27">
        <v>645600</v>
      </c>
      <c r="H92" s="81">
        <v>45733</v>
      </c>
      <c r="I92" s="27">
        <v>6165883</v>
      </c>
      <c r="J92" s="28" t="s">
        <v>1915</v>
      </c>
      <c r="K92" s="81">
        <v>45749</v>
      </c>
      <c r="L92" s="81">
        <v>46113</v>
      </c>
      <c r="M92" s="28" t="s">
        <v>1916</v>
      </c>
      <c r="N92" s="400"/>
      <c r="O92" s="29">
        <v>9500</v>
      </c>
      <c r="P92" s="30"/>
      <c r="Q92" s="31">
        <v>45749</v>
      </c>
      <c r="R92" s="32">
        <v>46113</v>
      </c>
      <c r="S92" s="20" t="s">
        <v>399</v>
      </c>
      <c r="T92" s="33" t="s">
        <v>1917</v>
      </c>
      <c r="U92" s="16">
        <v>45740</v>
      </c>
      <c r="V92" s="17">
        <v>1527420</v>
      </c>
      <c r="W92" s="18">
        <v>45789</v>
      </c>
      <c r="X92" s="19">
        <v>9500</v>
      </c>
      <c r="Y92" s="20" t="s">
        <v>541</v>
      </c>
      <c r="Z92" s="21" t="s">
        <v>1554</v>
      </c>
      <c r="AA92" s="22"/>
      <c r="AB92" s="23">
        <v>45717</v>
      </c>
      <c r="AC92" s="27" t="s">
        <v>1918</v>
      </c>
      <c r="AD92" s="80"/>
      <c r="AE92" s="24"/>
      <c r="AG92" s="140"/>
    </row>
    <row r="93" spans="1:33" ht="27" customHeight="1">
      <c r="A93" s="91">
        <f t="shared" si="4"/>
        <v>90</v>
      </c>
      <c r="B93" s="92">
        <v>45733</v>
      </c>
      <c r="C93" s="91" t="s">
        <v>38</v>
      </c>
      <c r="D93" s="91" t="s">
        <v>1919</v>
      </c>
      <c r="E93" s="93" t="s">
        <v>70</v>
      </c>
      <c r="F93" s="94" t="s">
        <v>41</v>
      </c>
      <c r="G93" s="94">
        <v>645600</v>
      </c>
      <c r="H93" s="92">
        <v>45733</v>
      </c>
      <c r="I93" s="94">
        <v>6165896</v>
      </c>
      <c r="J93" s="95" t="s">
        <v>604</v>
      </c>
      <c r="K93" s="92">
        <v>45702</v>
      </c>
      <c r="L93" s="92">
        <v>46066</v>
      </c>
      <c r="M93" s="95" t="s">
        <v>1920</v>
      </c>
      <c r="N93" s="400"/>
      <c r="O93" s="97">
        <v>13600</v>
      </c>
      <c r="P93" s="98"/>
      <c r="Q93" s="99">
        <v>45702</v>
      </c>
      <c r="R93" s="100">
        <v>46066</v>
      </c>
      <c r="S93" s="101" t="s">
        <v>607</v>
      </c>
      <c r="T93" s="102" t="s">
        <v>1921</v>
      </c>
      <c r="U93" s="103" t="s">
        <v>609</v>
      </c>
      <c r="V93" s="104"/>
      <c r="W93" s="105"/>
      <c r="X93" s="106">
        <v>13600</v>
      </c>
      <c r="Y93" s="101" t="s">
        <v>541</v>
      </c>
      <c r="Z93" s="107" t="s">
        <v>1554</v>
      </c>
      <c r="AA93" s="108"/>
      <c r="AB93" s="109">
        <v>45717</v>
      </c>
      <c r="AC93" s="94" t="s">
        <v>1922</v>
      </c>
      <c r="AD93" s="138"/>
      <c r="AE93" s="110" t="s">
        <v>1923</v>
      </c>
      <c r="AG93" s="140"/>
    </row>
    <row r="94" spans="1:33" ht="27" customHeight="1">
      <c r="A94" s="15">
        <f t="shared" si="4"/>
        <v>91</v>
      </c>
      <c r="B94" s="81">
        <v>45733</v>
      </c>
      <c r="C94" s="15" t="s">
        <v>1498</v>
      </c>
      <c r="D94" s="15" t="s">
        <v>1924</v>
      </c>
      <c r="E94" s="26" t="s">
        <v>1500</v>
      </c>
      <c r="F94" s="27" t="s">
        <v>944</v>
      </c>
      <c r="G94" s="27">
        <v>645602</v>
      </c>
      <c r="H94" s="81">
        <v>45733</v>
      </c>
      <c r="I94" s="27">
        <v>6165898</v>
      </c>
      <c r="J94" s="28" t="s">
        <v>670</v>
      </c>
      <c r="K94" s="81">
        <v>45735</v>
      </c>
      <c r="L94" s="81">
        <v>45734</v>
      </c>
      <c r="M94" s="28" t="s">
        <v>1925</v>
      </c>
      <c r="N94" s="400"/>
      <c r="O94" s="29">
        <f>P94*7.89</f>
        <v>6308.0549999999994</v>
      </c>
      <c r="P94" s="30">
        <v>799.5</v>
      </c>
      <c r="Q94" s="31" t="s">
        <v>1900</v>
      </c>
      <c r="R94" s="32"/>
      <c r="S94" s="20" t="s">
        <v>1926</v>
      </c>
      <c r="T94" s="33" t="s">
        <v>1927</v>
      </c>
      <c r="U94" s="114">
        <v>45734</v>
      </c>
      <c r="V94" s="115">
        <v>1526394</v>
      </c>
      <c r="W94" s="18">
        <v>45789</v>
      </c>
      <c r="X94" s="19">
        <v>6308.0549999999994</v>
      </c>
      <c r="Y94" s="20" t="s">
        <v>1928</v>
      </c>
      <c r="Z94" s="20" t="s">
        <v>1505</v>
      </c>
      <c r="AA94" s="22"/>
      <c r="AB94" s="23">
        <v>45717</v>
      </c>
      <c r="AC94" s="27" t="s">
        <v>1922</v>
      </c>
      <c r="AD94" s="80"/>
      <c r="AE94" s="24" t="s">
        <v>1929</v>
      </c>
      <c r="AG94" s="140"/>
    </row>
    <row r="95" spans="1:33" ht="27" customHeight="1">
      <c r="A95" s="15">
        <f t="shared" si="4"/>
        <v>92</v>
      </c>
      <c r="B95" s="81">
        <v>45733</v>
      </c>
      <c r="C95" s="15" t="s">
        <v>38</v>
      </c>
      <c r="D95" s="15" t="s">
        <v>1930</v>
      </c>
      <c r="E95" s="26" t="s">
        <v>40</v>
      </c>
      <c r="F95" s="27" t="s">
        <v>41</v>
      </c>
      <c r="G95" s="27">
        <v>645600</v>
      </c>
      <c r="H95" s="81">
        <v>45733</v>
      </c>
      <c r="I95" s="27">
        <v>6165930</v>
      </c>
      <c r="J95" s="28" t="s">
        <v>1931</v>
      </c>
      <c r="K95" s="81">
        <v>45748</v>
      </c>
      <c r="L95" s="81">
        <v>46112</v>
      </c>
      <c r="M95" s="34" t="s">
        <v>1932</v>
      </c>
      <c r="N95" s="400"/>
      <c r="O95" s="29">
        <f>P95*7.89</f>
        <v>244348.17149999997</v>
      </c>
      <c r="P95" s="30">
        <v>30969.35</v>
      </c>
      <c r="Q95" s="31">
        <v>45748</v>
      </c>
      <c r="R95" s="32">
        <v>46112</v>
      </c>
      <c r="S95" s="20" t="s">
        <v>784</v>
      </c>
      <c r="T95" s="33" t="s">
        <v>1933</v>
      </c>
      <c r="U95" s="16">
        <v>45736</v>
      </c>
      <c r="V95" s="17">
        <v>1526896</v>
      </c>
      <c r="W95" s="18">
        <v>45789</v>
      </c>
      <c r="X95" s="19">
        <v>240734.05</v>
      </c>
      <c r="Y95" s="20" t="s">
        <v>299</v>
      </c>
      <c r="Z95" s="20" t="s">
        <v>1934</v>
      </c>
      <c r="AA95" s="22"/>
      <c r="AB95" s="23">
        <v>45717</v>
      </c>
      <c r="AC95" s="27" t="s">
        <v>1935</v>
      </c>
      <c r="AD95" s="80"/>
      <c r="AE95" s="24" t="s">
        <v>1936</v>
      </c>
      <c r="AF95" s="80" t="s">
        <v>1937</v>
      </c>
      <c r="AG95" s="140"/>
    </row>
    <row r="96" spans="1:33" s="134" customFormat="1" ht="27" customHeight="1">
      <c r="A96" s="117">
        <f t="shared" si="4"/>
        <v>93</v>
      </c>
      <c r="B96" s="120">
        <v>45735</v>
      </c>
      <c r="C96" s="117" t="s">
        <v>1498</v>
      </c>
      <c r="D96" s="117" t="s">
        <v>1938</v>
      </c>
      <c r="E96" s="121" t="s">
        <v>1500</v>
      </c>
      <c r="F96" s="122" t="s">
        <v>944</v>
      </c>
      <c r="G96" s="122">
        <v>645602</v>
      </c>
      <c r="H96" s="120">
        <v>45736</v>
      </c>
      <c r="I96" s="122">
        <v>6166818</v>
      </c>
      <c r="J96" s="123" t="s">
        <v>1508</v>
      </c>
      <c r="K96" s="120">
        <v>45628</v>
      </c>
      <c r="L96" s="120">
        <v>47088</v>
      </c>
      <c r="M96" s="124" t="s">
        <v>1939</v>
      </c>
      <c r="N96" s="400"/>
      <c r="O96" s="125">
        <v>18000</v>
      </c>
      <c r="P96" s="126"/>
      <c r="Q96" s="127" t="s">
        <v>1510</v>
      </c>
      <c r="R96" s="128"/>
      <c r="S96" s="129" t="s">
        <v>1940</v>
      </c>
      <c r="T96" s="130" t="s">
        <v>1941</v>
      </c>
      <c r="U96" s="131" t="s">
        <v>609</v>
      </c>
      <c r="V96" s="131" t="s">
        <v>609</v>
      </c>
      <c r="W96" s="132"/>
      <c r="X96" s="118">
        <v>18000</v>
      </c>
      <c r="Y96" s="129" t="s">
        <v>1513</v>
      </c>
      <c r="Z96" s="129" t="s">
        <v>1505</v>
      </c>
      <c r="AA96" s="119"/>
      <c r="AB96" s="133">
        <v>45717</v>
      </c>
      <c r="AC96" s="122" t="s">
        <v>158</v>
      </c>
      <c r="AD96" s="121"/>
      <c r="AE96" s="124" t="s">
        <v>1942</v>
      </c>
      <c r="AF96" s="121"/>
      <c r="AG96" s="141"/>
    </row>
    <row r="97" spans="1:33" ht="27" customHeight="1">
      <c r="A97" s="15">
        <f t="shared" si="4"/>
        <v>94</v>
      </c>
      <c r="B97" s="81">
        <v>45735</v>
      </c>
      <c r="C97" s="15" t="s">
        <v>1498</v>
      </c>
      <c r="D97" s="112" t="s">
        <v>1943</v>
      </c>
      <c r="E97" s="26" t="s">
        <v>1500</v>
      </c>
      <c r="F97" s="27" t="s">
        <v>944</v>
      </c>
      <c r="G97" s="27">
        <v>645602</v>
      </c>
      <c r="H97" s="81">
        <v>45736</v>
      </c>
      <c r="I97" s="27">
        <v>6166821</v>
      </c>
      <c r="J97" s="28" t="s">
        <v>1508</v>
      </c>
      <c r="K97" s="81">
        <v>45628</v>
      </c>
      <c r="L97" s="81">
        <v>47088</v>
      </c>
      <c r="M97" s="34" t="s">
        <v>1939</v>
      </c>
      <c r="N97" s="400"/>
      <c r="O97" s="29">
        <v>54000</v>
      </c>
      <c r="P97" s="30"/>
      <c r="Q97" s="31" t="s">
        <v>1510</v>
      </c>
      <c r="R97" s="32"/>
      <c r="S97" s="20" t="s">
        <v>1944</v>
      </c>
      <c r="T97" s="33" t="s">
        <v>1945</v>
      </c>
      <c r="U97" s="114">
        <v>45743</v>
      </c>
      <c r="V97" s="115">
        <v>1528172</v>
      </c>
      <c r="W97" s="18"/>
      <c r="X97" s="19">
        <v>54000</v>
      </c>
      <c r="Y97" s="20" t="s">
        <v>1513</v>
      </c>
      <c r="Z97" s="20" t="s">
        <v>1505</v>
      </c>
      <c r="AA97" s="22"/>
      <c r="AB97" s="23">
        <v>45717</v>
      </c>
      <c r="AC97" s="27" t="s">
        <v>158</v>
      </c>
      <c r="AD97" s="80"/>
      <c r="AE97" s="24" t="s">
        <v>1942</v>
      </c>
      <c r="AG97" s="140"/>
    </row>
    <row r="98" spans="1:33" s="134" customFormat="1" ht="27" customHeight="1">
      <c r="A98" s="117">
        <f t="shared" si="4"/>
        <v>95</v>
      </c>
      <c r="B98" s="120">
        <v>45735</v>
      </c>
      <c r="C98" s="117" t="s">
        <v>1498</v>
      </c>
      <c r="D98" s="117" t="s">
        <v>1946</v>
      </c>
      <c r="E98" s="121" t="s">
        <v>1500</v>
      </c>
      <c r="F98" s="122" t="s">
        <v>944</v>
      </c>
      <c r="G98" s="122">
        <v>645602</v>
      </c>
      <c r="H98" s="120">
        <v>45736</v>
      </c>
      <c r="I98" s="122">
        <v>6166913</v>
      </c>
      <c r="J98" s="123" t="s">
        <v>1508</v>
      </c>
      <c r="K98" s="120">
        <v>45628</v>
      </c>
      <c r="L98" s="120">
        <v>47088</v>
      </c>
      <c r="M98" s="124" t="s">
        <v>1939</v>
      </c>
      <c r="N98" s="400"/>
      <c r="O98" s="125">
        <v>39750</v>
      </c>
      <c r="P98" s="126"/>
      <c r="Q98" s="127" t="s">
        <v>1510</v>
      </c>
      <c r="R98" s="128"/>
      <c r="S98" s="129" t="s">
        <v>1826</v>
      </c>
      <c r="T98" s="130" t="s">
        <v>1947</v>
      </c>
      <c r="U98" s="131" t="s">
        <v>609</v>
      </c>
      <c r="V98" s="131">
        <v>1529969</v>
      </c>
      <c r="W98" s="132"/>
      <c r="X98" s="118">
        <v>39750</v>
      </c>
      <c r="Y98" s="129" t="s">
        <v>1513</v>
      </c>
      <c r="Z98" s="129" t="s">
        <v>1505</v>
      </c>
      <c r="AA98" s="119"/>
      <c r="AB98" s="133">
        <v>45717</v>
      </c>
      <c r="AC98" s="122" t="s">
        <v>158</v>
      </c>
      <c r="AD98" s="121"/>
      <c r="AE98" s="124" t="s">
        <v>1942</v>
      </c>
      <c r="AF98" s="121"/>
      <c r="AG98" s="141"/>
    </row>
    <row r="99" spans="1:33" ht="27" customHeight="1">
      <c r="A99" s="15">
        <f t="shared" si="4"/>
        <v>96</v>
      </c>
      <c r="B99" s="81">
        <v>45735</v>
      </c>
      <c r="C99" s="15" t="s">
        <v>1498</v>
      </c>
      <c r="D99" s="112" t="s">
        <v>1948</v>
      </c>
      <c r="E99" s="26" t="s">
        <v>1500</v>
      </c>
      <c r="F99" s="27" t="s">
        <v>944</v>
      </c>
      <c r="G99" s="27">
        <v>645602</v>
      </c>
      <c r="H99" s="81">
        <v>45736</v>
      </c>
      <c r="I99" s="27">
        <v>6166916</v>
      </c>
      <c r="J99" s="28" t="s">
        <v>1508</v>
      </c>
      <c r="K99" s="81">
        <v>45628</v>
      </c>
      <c r="L99" s="81">
        <v>47088</v>
      </c>
      <c r="M99" s="34" t="s">
        <v>1939</v>
      </c>
      <c r="N99" s="400"/>
      <c r="O99" s="29">
        <v>36500</v>
      </c>
      <c r="P99" s="30"/>
      <c r="Q99" s="31" t="s">
        <v>1510</v>
      </c>
      <c r="R99" s="32"/>
      <c r="S99" s="20" t="s">
        <v>1826</v>
      </c>
      <c r="T99" s="33" t="s">
        <v>1949</v>
      </c>
      <c r="U99" s="114">
        <v>45741</v>
      </c>
      <c r="V99" s="115">
        <v>1527835</v>
      </c>
      <c r="W99" s="18"/>
      <c r="X99" s="19">
        <v>36500</v>
      </c>
      <c r="Y99" s="20" t="s">
        <v>1513</v>
      </c>
      <c r="Z99" s="20" t="s">
        <v>1505</v>
      </c>
      <c r="AA99" s="22"/>
      <c r="AB99" s="23">
        <v>45717</v>
      </c>
      <c r="AC99" s="27" t="s">
        <v>158</v>
      </c>
      <c r="AD99" s="80"/>
      <c r="AE99" s="24" t="s">
        <v>1942</v>
      </c>
      <c r="AG99" s="140"/>
    </row>
    <row r="100" spans="1:33" ht="27" customHeight="1">
      <c r="A100" s="15">
        <f t="shared" si="4"/>
        <v>97</v>
      </c>
      <c r="B100" s="81">
        <v>45735</v>
      </c>
      <c r="C100" s="15" t="s">
        <v>1498</v>
      </c>
      <c r="D100" s="112" t="s">
        <v>1950</v>
      </c>
      <c r="E100" s="26" t="s">
        <v>1500</v>
      </c>
      <c r="F100" s="27" t="s">
        <v>944</v>
      </c>
      <c r="G100" s="27">
        <v>645602</v>
      </c>
      <c r="H100" s="81">
        <v>45736</v>
      </c>
      <c r="I100" s="27">
        <v>6166918</v>
      </c>
      <c r="J100" s="28" t="s">
        <v>1508</v>
      </c>
      <c r="K100" s="81">
        <v>45628</v>
      </c>
      <c r="L100" s="81">
        <v>47088</v>
      </c>
      <c r="M100" s="34" t="s">
        <v>1939</v>
      </c>
      <c r="N100" s="400"/>
      <c r="O100" s="29">
        <v>8000</v>
      </c>
      <c r="P100" s="30"/>
      <c r="Q100" s="31" t="s">
        <v>1510</v>
      </c>
      <c r="R100" s="32"/>
      <c r="S100" s="20" t="s">
        <v>1826</v>
      </c>
      <c r="T100" s="33" t="s">
        <v>1951</v>
      </c>
      <c r="U100" s="114">
        <v>45741</v>
      </c>
      <c r="V100" s="115">
        <v>1527838</v>
      </c>
      <c r="W100" s="18"/>
      <c r="X100" s="19">
        <v>8000</v>
      </c>
      <c r="Y100" s="20" t="s">
        <v>1513</v>
      </c>
      <c r="Z100" s="20" t="s">
        <v>1505</v>
      </c>
      <c r="AA100" s="22"/>
      <c r="AB100" s="23">
        <v>45717</v>
      </c>
      <c r="AC100" s="27" t="s">
        <v>158</v>
      </c>
      <c r="AD100" s="80"/>
      <c r="AE100" s="24" t="s">
        <v>1942</v>
      </c>
      <c r="AG100" s="140"/>
    </row>
    <row r="101" spans="1:33" ht="27" customHeight="1">
      <c r="A101" s="15">
        <f t="shared" ref="A101:A173" si="5">A100+1</f>
        <v>98</v>
      </c>
      <c r="B101" s="81">
        <v>45735</v>
      </c>
      <c r="C101" s="15" t="s">
        <v>38</v>
      </c>
      <c r="D101" s="15" t="s">
        <v>1952</v>
      </c>
      <c r="E101" s="26" t="s">
        <v>40</v>
      </c>
      <c r="F101" s="27" t="s">
        <v>41</v>
      </c>
      <c r="G101" s="27">
        <v>645600</v>
      </c>
      <c r="H101" s="81">
        <v>45737</v>
      </c>
      <c r="I101" s="27">
        <v>6167536</v>
      </c>
      <c r="J101" s="28" t="s">
        <v>411</v>
      </c>
      <c r="K101" s="81">
        <v>45703</v>
      </c>
      <c r="L101" s="81">
        <v>46067</v>
      </c>
      <c r="M101" s="34" t="s">
        <v>1953</v>
      </c>
      <c r="N101" s="400"/>
      <c r="O101" s="29">
        <v>12940</v>
      </c>
      <c r="P101" s="30"/>
      <c r="Q101" s="31">
        <v>45703</v>
      </c>
      <c r="R101" s="32">
        <v>46067</v>
      </c>
      <c r="S101" s="20" t="s">
        <v>399</v>
      </c>
      <c r="T101" s="33" t="s">
        <v>1954</v>
      </c>
      <c r="U101" s="16">
        <v>45742</v>
      </c>
      <c r="V101" s="17">
        <v>1527892</v>
      </c>
      <c r="W101" s="18">
        <v>45789</v>
      </c>
      <c r="X101" s="19">
        <v>12940</v>
      </c>
      <c r="Y101" s="20" t="s">
        <v>245</v>
      </c>
      <c r="Z101" s="20" t="s">
        <v>1703</v>
      </c>
      <c r="AA101" s="22"/>
      <c r="AB101" s="23">
        <v>45717</v>
      </c>
      <c r="AC101" s="27" t="s">
        <v>1955</v>
      </c>
      <c r="AD101" s="80"/>
      <c r="AE101" s="24"/>
      <c r="AG101" s="140"/>
    </row>
    <row r="102" spans="1:33" ht="27" customHeight="1">
      <c r="A102" s="15">
        <f t="shared" si="5"/>
        <v>99</v>
      </c>
      <c r="B102" s="81">
        <v>45735</v>
      </c>
      <c r="C102" s="15" t="s">
        <v>38</v>
      </c>
      <c r="D102" s="15" t="s">
        <v>1956</v>
      </c>
      <c r="E102" s="26" t="s">
        <v>40</v>
      </c>
      <c r="F102" s="27" t="s">
        <v>41</v>
      </c>
      <c r="G102" s="27">
        <v>645600</v>
      </c>
      <c r="H102" s="81">
        <v>45737</v>
      </c>
      <c r="I102" s="27">
        <v>6167539</v>
      </c>
      <c r="J102" s="28" t="s">
        <v>411</v>
      </c>
      <c r="K102" s="81">
        <v>45703</v>
      </c>
      <c r="L102" s="81">
        <v>46067</v>
      </c>
      <c r="M102" s="34" t="s">
        <v>1953</v>
      </c>
      <c r="N102" s="400"/>
      <c r="O102" s="29">
        <v>47955</v>
      </c>
      <c r="P102" s="30"/>
      <c r="Q102" s="31">
        <v>45711</v>
      </c>
      <c r="R102" s="32">
        <v>46075</v>
      </c>
      <c r="S102" s="20" t="s">
        <v>399</v>
      </c>
      <c r="T102" s="33" t="s">
        <v>1957</v>
      </c>
      <c r="U102" s="16">
        <v>45742</v>
      </c>
      <c r="V102" s="17">
        <v>1527887</v>
      </c>
      <c r="W102" s="18">
        <v>45789</v>
      </c>
      <c r="X102" s="19">
        <v>47955</v>
      </c>
      <c r="Y102" s="20" t="s">
        <v>245</v>
      </c>
      <c r="Z102" s="20" t="s">
        <v>1703</v>
      </c>
      <c r="AA102" s="22"/>
      <c r="AB102" s="23">
        <v>45717</v>
      </c>
      <c r="AC102" s="27" t="s">
        <v>1955</v>
      </c>
      <c r="AD102" s="80"/>
      <c r="AE102" s="24"/>
      <c r="AG102" s="140"/>
    </row>
    <row r="103" spans="1:33" ht="27" customHeight="1">
      <c r="A103" s="15">
        <f t="shared" si="5"/>
        <v>100</v>
      </c>
      <c r="B103" s="81">
        <v>45735</v>
      </c>
      <c r="C103" s="15" t="s">
        <v>38</v>
      </c>
      <c r="D103" s="15" t="s">
        <v>1958</v>
      </c>
      <c r="E103" s="26" t="s">
        <v>40</v>
      </c>
      <c r="F103" s="27" t="s">
        <v>41</v>
      </c>
      <c r="G103" s="27">
        <v>645600</v>
      </c>
      <c r="H103" s="81">
        <v>45737</v>
      </c>
      <c r="I103" s="27">
        <v>6167547</v>
      </c>
      <c r="J103" s="28" t="s">
        <v>411</v>
      </c>
      <c r="K103" s="81">
        <v>45703</v>
      </c>
      <c r="L103" s="81">
        <v>46067</v>
      </c>
      <c r="M103" s="34" t="s">
        <v>1953</v>
      </c>
      <c r="N103" s="400"/>
      <c r="O103" s="29">
        <v>11801</v>
      </c>
      <c r="P103" s="30"/>
      <c r="Q103" s="31">
        <v>45680</v>
      </c>
      <c r="R103" s="32">
        <v>46044</v>
      </c>
      <c r="S103" s="20" t="s">
        <v>399</v>
      </c>
      <c r="T103" s="33" t="s">
        <v>1959</v>
      </c>
      <c r="U103" s="16">
        <v>45742</v>
      </c>
      <c r="V103" s="17">
        <v>1527885</v>
      </c>
      <c r="W103" s="18">
        <v>45789</v>
      </c>
      <c r="X103" s="19">
        <v>11801</v>
      </c>
      <c r="Y103" s="20" t="s">
        <v>245</v>
      </c>
      <c r="Z103" s="20" t="s">
        <v>1703</v>
      </c>
      <c r="AA103" s="22"/>
      <c r="AB103" s="23">
        <v>45717</v>
      </c>
      <c r="AC103" s="27" t="s">
        <v>1955</v>
      </c>
      <c r="AD103" s="80"/>
      <c r="AE103" s="24"/>
      <c r="AG103" s="140"/>
    </row>
    <row r="104" spans="1:33" ht="27" customHeight="1">
      <c r="A104" s="15">
        <f t="shared" si="5"/>
        <v>101</v>
      </c>
      <c r="B104" s="81">
        <v>45736</v>
      </c>
      <c r="C104" s="15" t="s">
        <v>38</v>
      </c>
      <c r="D104" s="15" t="s">
        <v>1960</v>
      </c>
      <c r="E104" s="26" t="s">
        <v>40</v>
      </c>
      <c r="F104" s="27" t="s">
        <v>41</v>
      </c>
      <c r="G104" s="27">
        <v>645600</v>
      </c>
      <c r="H104" s="81">
        <v>45737</v>
      </c>
      <c r="I104" s="27">
        <v>6167562</v>
      </c>
      <c r="J104" s="28" t="s">
        <v>1961</v>
      </c>
      <c r="K104" s="81">
        <v>45689</v>
      </c>
      <c r="L104" s="81">
        <v>46053</v>
      </c>
      <c r="M104" s="34" t="s">
        <v>1962</v>
      </c>
      <c r="N104" s="400"/>
      <c r="O104" s="29">
        <f>P104*7.89</f>
        <v>404835.97889999999</v>
      </c>
      <c r="P104" s="30">
        <v>51310.01</v>
      </c>
      <c r="Q104" s="31">
        <v>45689</v>
      </c>
      <c r="R104" s="32">
        <v>46783</v>
      </c>
      <c r="S104" s="20" t="s">
        <v>784</v>
      </c>
      <c r="T104" s="33" t="s">
        <v>1963</v>
      </c>
      <c r="U104" s="16">
        <v>45741</v>
      </c>
      <c r="V104" s="17">
        <v>1527683</v>
      </c>
      <c r="W104" s="18"/>
      <c r="X104" s="19">
        <v>398848.1</v>
      </c>
      <c r="Y104" s="20" t="s">
        <v>245</v>
      </c>
      <c r="Z104" s="20" t="s">
        <v>1546</v>
      </c>
      <c r="AA104" s="22"/>
      <c r="AB104" s="23">
        <v>45717</v>
      </c>
      <c r="AC104" s="27" t="s">
        <v>893</v>
      </c>
      <c r="AD104" s="80"/>
      <c r="AE104" s="24"/>
      <c r="AF104" s="80" t="s">
        <v>1964</v>
      </c>
      <c r="AG104" s="140"/>
    </row>
    <row r="105" spans="1:33" ht="27" customHeight="1">
      <c r="A105" s="15">
        <f t="shared" si="5"/>
        <v>102</v>
      </c>
      <c r="B105" s="81">
        <v>45736</v>
      </c>
      <c r="C105" s="15" t="s">
        <v>38</v>
      </c>
      <c r="D105" s="15" t="s">
        <v>1965</v>
      </c>
      <c r="E105" s="26" t="s">
        <v>40</v>
      </c>
      <c r="F105" s="27" t="s">
        <v>277</v>
      </c>
      <c r="G105" s="27">
        <v>645600</v>
      </c>
      <c r="H105" s="81">
        <v>45737</v>
      </c>
      <c r="I105" s="27">
        <v>6167564</v>
      </c>
      <c r="J105" s="28" t="s">
        <v>1961</v>
      </c>
      <c r="K105" s="81">
        <v>45689</v>
      </c>
      <c r="L105" s="81">
        <v>46783</v>
      </c>
      <c r="M105" s="34" t="s">
        <v>1962</v>
      </c>
      <c r="N105" s="400"/>
      <c r="O105" s="29">
        <v>30000</v>
      </c>
      <c r="P105" s="30"/>
      <c r="Q105" s="31">
        <v>45689</v>
      </c>
      <c r="R105" s="32">
        <v>46783</v>
      </c>
      <c r="S105" s="20" t="s">
        <v>1615</v>
      </c>
      <c r="T105" s="33" t="s">
        <v>1966</v>
      </c>
      <c r="U105" s="16">
        <v>45743</v>
      </c>
      <c r="V105" s="17">
        <v>1528150</v>
      </c>
      <c r="W105" s="18"/>
      <c r="X105" s="19">
        <v>30000</v>
      </c>
      <c r="Y105" s="20" t="s">
        <v>245</v>
      </c>
      <c r="Z105" s="20" t="s">
        <v>1546</v>
      </c>
      <c r="AA105" s="22"/>
      <c r="AB105" s="23">
        <v>45717</v>
      </c>
      <c r="AC105" s="27" t="s">
        <v>893</v>
      </c>
      <c r="AD105" s="80"/>
      <c r="AE105" s="24"/>
      <c r="AG105" s="140"/>
    </row>
    <row r="106" spans="1:33" ht="27" customHeight="1">
      <c r="A106" s="15">
        <f t="shared" si="5"/>
        <v>103</v>
      </c>
      <c r="B106" s="81">
        <v>45736</v>
      </c>
      <c r="C106" s="15" t="s">
        <v>38</v>
      </c>
      <c r="D106" s="15" t="s">
        <v>1967</v>
      </c>
      <c r="E106" s="26" t="s">
        <v>40</v>
      </c>
      <c r="F106" s="27" t="s">
        <v>41</v>
      </c>
      <c r="G106" s="27">
        <v>645600</v>
      </c>
      <c r="H106" s="81">
        <v>45737</v>
      </c>
      <c r="I106" s="27">
        <v>6167568</v>
      </c>
      <c r="J106" s="28" t="s">
        <v>536</v>
      </c>
      <c r="K106" s="81">
        <v>45870</v>
      </c>
      <c r="L106" s="81">
        <v>46234</v>
      </c>
      <c r="M106" s="34" t="s">
        <v>537</v>
      </c>
      <c r="N106" s="400"/>
      <c r="O106" s="29">
        <v>35015.4</v>
      </c>
      <c r="P106" s="30"/>
      <c r="Q106" s="31">
        <v>45748</v>
      </c>
      <c r="R106" s="32">
        <v>46112</v>
      </c>
      <c r="S106" s="20" t="s">
        <v>538</v>
      </c>
      <c r="T106" s="33" t="s">
        <v>1968</v>
      </c>
      <c r="U106" s="16">
        <v>45741</v>
      </c>
      <c r="V106" s="17">
        <v>1527685</v>
      </c>
      <c r="W106" s="18">
        <v>45789</v>
      </c>
      <c r="X106" s="19">
        <v>35015.4</v>
      </c>
      <c r="Y106" s="20" t="s">
        <v>105</v>
      </c>
      <c r="Z106" s="20" t="s">
        <v>1546</v>
      </c>
      <c r="AA106" s="22"/>
      <c r="AB106" s="23">
        <v>45717</v>
      </c>
      <c r="AC106" s="27" t="s">
        <v>542</v>
      </c>
      <c r="AD106" s="80" t="s">
        <v>1803</v>
      </c>
      <c r="AE106" s="24"/>
      <c r="AG106" s="140"/>
    </row>
    <row r="107" spans="1:33" ht="27" customHeight="1">
      <c r="A107" s="15">
        <f t="shared" si="5"/>
        <v>104</v>
      </c>
      <c r="B107" s="81">
        <v>45740</v>
      </c>
      <c r="C107" s="15" t="s">
        <v>38</v>
      </c>
      <c r="D107" s="15" t="s">
        <v>1969</v>
      </c>
      <c r="E107" s="26" t="s">
        <v>70</v>
      </c>
      <c r="F107" s="27" t="s">
        <v>41</v>
      </c>
      <c r="G107" s="27">
        <v>645600</v>
      </c>
      <c r="H107" s="81">
        <v>45741</v>
      </c>
      <c r="I107" s="27">
        <v>6168504</v>
      </c>
      <c r="J107" s="28" t="s">
        <v>1970</v>
      </c>
      <c r="K107" s="81">
        <v>45809</v>
      </c>
      <c r="L107" s="81">
        <v>46538</v>
      </c>
      <c r="M107" s="34" t="s">
        <v>1971</v>
      </c>
      <c r="N107" s="400"/>
      <c r="O107" s="29">
        <f>P107*7.89</f>
        <v>117087.59999999999</v>
      </c>
      <c r="P107" s="30">
        <v>14840</v>
      </c>
      <c r="Q107" s="31">
        <v>45809</v>
      </c>
      <c r="R107" s="32">
        <v>46538</v>
      </c>
      <c r="S107" s="20" t="s">
        <v>905</v>
      </c>
      <c r="T107" s="33" t="s">
        <v>1972</v>
      </c>
      <c r="U107" s="114">
        <v>45743</v>
      </c>
      <c r="V107" s="115">
        <v>1528131</v>
      </c>
      <c r="W107" s="18">
        <v>45750</v>
      </c>
      <c r="X107" s="19">
        <v>115355.77</v>
      </c>
      <c r="Y107" s="20" t="s">
        <v>336</v>
      </c>
      <c r="Z107" s="20" t="s">
        <v>1554</v>
      </c>
      <c r="AA107" s="22"/>
      <c r="AB107" s="23">
        <v>45717</v>
      </c>
      <c r="AC107" s="27" t="s">
        <v>1973</v>
      </c>
      <c r="AD107" s="80"/>
      <c r="AE107" s="24"/>
      <c r="AF107" s="80" t="s">
        <v>1974</v>
      </c>
      <c r="AG107" s="140"/>
    </row>
    <row r="108" spans="1:33" ht="27" customHeight="1">
      <c r="A108" s="15">
        <f t="shared" si="5"/>
        <v>105</v>
      </c>
      <c r="B108" s="81">
        <v>45740</v>
      </c>
      <c r="C108" s="15" t="s">
        <v>38</v>
      </c>
      <c r="D108" s="15" t="s">
        <v>1975</v>
      </c>
      <c r="E108" s="26" t="s">
        <v>70</v>
      </c>
      <c r="F108" s="27" t="s">
        <v>41</v>
      </c>
      <c r="G108" s="27">
        <v>645600</v>
      </c>
      <c r="H108" s="81">
        <v>45741</v>
      </c>
      <c r="I108" s="27">
        <v>6168508</v>
      </c>
      <c r="J108" s="28" t="s">
        <v>374</v>
      </c>
      <c r="K108" s="81">
        <v>45734</v>
      </c>
      <c r="L108" s="81">
        <v>46098</v>
      </c>
      <c r="M108" s="34" t="s">
        <v>1976</v>
      </c>
      <c r="N108" s="400"/>
      <c r="O108" s="29">
        <v>21951</v>
      </c>
      <c r="P108" s="30"/>
      <c r="Q108" s="31">
        <v>45784</v>
      </c>
      <c r="R108" s="32">
        <v>46148</v>
      </c>
      <c r="S108" s="20" t="s">
        <v>180</v>
      </c>
      <c r="T108" s="33" t="s">
        <v>1977</v>
      </c>
      <c r="U108" s="16">
        <v>45755</v>
      </c>
      <c r="V108" s="17">
        <v>1529692</v>
      </c>
      <c r="W108" s="18">
        <v>45789</v>
      </c>
      <c r="X108" s="19">
        <v>21951</v>
      </c>
      <c r="Y108" s="20" t="s">
        <v>47</v>
      </c>
      <c r="Z108" s="20" t="s">
        <v>899</v>
      </c>
      <c r="AA108" s="22"/>
      <c r="AB108" s="23">
        <v>45717</v>
      </c>
      <c r="AC108" s="27" t="s">
        <v>1978</v>
      </c>
      <c r="AD108" s="80"/>
      <c r="AE108" s="24"/>
      <c r="AG108" s="140"/>
    </row>
    <row r="109" spans="1:33" ht="27" customHeight="1">
      <c r="A109" s="15">
        <f t="shared" si="5"/>
        <v>106</v>
      </c>
      <c r="B109" s="81">
        <v>45742</v>
      </c>
      <c r="C109" s="15" t="s">
        <v>38</v>
      </c>
      <c r="D109" s="15" t="s">
        <v>1979</v>
      </c>
      <c r="E109" s="26" t="s">
        <v>40</v>
      </c>
      <c r="F109" s="27" t="s">
        <v>41</v>
      </c>
      <c r="G109" s="27">
        <v>645600</v>
      </c>
      <c r="H109" s="81">
        <v>45742</v>
      </c>
      <c r="I109" s="27">
        <v>6168844</v>
      </c>
      <c r="J109" s="28" t="s">
        <v>1980</v>
      </c>
      <c r="K109" s="81">
        <v>45748</v>
      </c>
      <c r="L109" s="81">
        <v>46234</v>
      </c>
      <c r="M109" s="34" t="s">
        <v>1981</v>
      </c>
      <c r="N109" s="400"/>
      <c r="O109" s="29">
        <v>12188.3</v>
      </c>
      <c r="P109" s="30"/>
      <c r="Q109" s="31">
        <v>45748</v>
      </c>
      <c r="R109" s="32">
        <v>46234</v>
      </c>
      <c r="S109" s="20" t="s">
        <v>538</v>
      </c>
      <c r="T109" s="33" t="s">
        <v>1982</v>
      </c>
      <c r="U109" s="16">
        <v>45744</v>
      </c>
      <c r="V109" s="17">
        <v>1528373</v>
      </c>
      <c r="W109" s="18">
        <v>45789</v>
      </c>
      <c r="X109" s="19">
        <v>12069.21</v>
      </c>
      <c r="Y109" s="20" t="s">
        <v>731</v>
      </c>
      <c r="Z109" s="20" t="s">
        <v>1546</v>
      </c>
      <c r="AA109" s="22"/>
      <c r="AB109" s="23">
        <v>45717</v>
      </c>
      <c r="AC109" s="27" t="s">
        <v>1983</v>
      </c>
      <c r="AD109" s="80" t="s">
        <v>1803</v>
      </c>
      <c r="AE109" s="24" t="s">
        <v>1984</v>
      </c>
      <c r="AG109" s="140"/>
    </row>
    <row r="110" spans="1:33" ht="27" customHeight="1">
      <c r="A110" s="15">
        <f t="shared" si="5"/>
        <v>107</v>
      </c>
      <c r="B110" s="81">
        <v>45744</v>
      </c>
      <c r="C110" s="15" t="s">
        <v>38</v>
      </c>
      <c r="D110" s="15" t="s">
        <v>1985</v>
      </c>
      <c r="E110" s="26" t="s">
        <v>70</v>
      </c>
      <c r="F110" s="27" t="s">
        <v>41</v>
      </c>
      <c r="G110" s="27">
        <v>645600</v>
      </c>
      <c r="H110" s="81">
        <v>45744</v>
      </c>
      <c r="I110" s="27">
        <v>6169259</v>
      </c>
      <c r="J110" s="28" t="s">
        <v>325</v>
      </c>
      <c r="K110" s="81">
        <v>45713</v>
      </c>
      <c r="L110" s="81">
        <v>46077</v>
      </c>
      <c r="M110" s="34" t="s">
        <v>1986</v>
      </c>
      <c r="N110" s="400"/>
      <c r="O110" s="29">
        <v>19400</v>
      </c>
      <c r="P110" s="30"/>
      <c r="Q110" s="31">
        <v>45778</v>
      </c>
      <c r="R110" s="32">
        <v>46142</v>
      </c>
      <c r="S110" s="20" t="s">
        <v>180</v>
      </c>
      <c r="T110" s="33" t="s">
        <v>1987</v>
      </c>
      <c r="U110" s="16">
        <v>45755</v>
      </c>
      <c r="V110" s="17">
        <v>1529690</v>
      </c>
      <c r="W110" s="18">
        <v>45789</v>
      </c>
      <c r="X110" s="19">
        <v>19400</v>
      </c>
      <c r="Y110" s="20" t="s">
        <v>336</v>
      </c>
      <c r="Z110" s="20" t="s">
        <v>899</v>
      </c>
      <c r="AA110" s="22"/>
      <c r="AB110" s="23">
        <v>45717</v>
      </c>
      <c r="AC110" s="27" t="s">
        <v>1988</v>
      </c>
      <c r="AD110" s="80"/>
      <c r="AE110" s="24"/>
      <c r="AG110" s="140"/>
    </row>
    <row r="111" spans="1:33" ht="27" customHeight="1">
      <c r="A111" s="15">
        <f t="shared" si="5"/>
        <v>108</v>
      </c>
      <c r="B111" s="81">
        <v>45744</v>
      </c>
      <c r="C111" s="15" t="s">
        <v>38</v>
      </c>
      <c r="D111" s="15" t="s">
        <v>1989</v>
      </c>
      <c r="E111" s="26" t="s">
        <v>70</v>
      </c>
      <c r="F111" s="27" t="s">
        <v>41</v>
      </c>
      <c r="G111" s="27">
        <v>645600</v>
      </c>
      <c r="H111" s="81">
        <v>45744</v>
      </c>
      <c r="I111" s="27">
        <v>6169262</v>
      </c>
      <c r="J111" s="28" t="s">
        <v>325</v>
      </c>
      <c r="K111" s="81">
        <v>45713</v>
      </c>
      <c r="L111" s="81">
        <v>46077</v>
      </c>
      <c r="M111" s="34" t="s">
        <v>1986</v>
      </c>
      <c r="N111" s="400"/>
      <c r="O111" s="29">
        <v>24000</v>
      </c>
      <c r="P111" s="30"/>
      <c r="Q111" s="31">
        <v>45717</v>
      </c>
      <c r="R111" s="32">
        <v>46081</v>
      </c>
      <c r="S111" s="20" t="s">
        <v>666</v>
      </c>
      <c r="T111" s="33" t="s">
        <v>1990</v>
      </c>
      <c r="U111" s="16">
        <v>45755</v>
      </c>
      <c r="V111" s="17">
        <v>1529689</v>
      </c>
      <c r="W111" s="18">
        <v>45848</v>
      </c>
      <c r="X111" s="19">
        <v>24000</v>
      </c>
      <c r="Y111" s="20" t="s">
        <v>336</v>
      </c>
      <c r="Z111" s="20" t="s">
        <v>899</v>
      </c>
      <c r="AA111" s="22"/>
      <c r="AB111" s="23">
        <v>45717</v>
      </c>
      <c r="AC111" s="27" t="s">
        <v>1988</v>
      </c>
      <c r="AD111" s="80"/>
      <c r="AE111" s="24"/>
      <c r="AG111" s="140"/>
    </row>
    <row r="112" spans="1:33" ht="27" customHeight="1">
      <c r="A112" s="15">
        <f t="shared" si="5"/>
        <v>109</v>
      </c>
      <c r="B112" s="81">
        <v>45742</v>
      </c>
      <c r="C112" s="15" t="s">
        <v>38</v>
      </c>
      <c r="D112" s="15" t="s">
        <v>1991</v>
      </c>
      <c r="E112" s="26" t="s">
        <v>70</v>
      </c>
      <c r="F112" s="27" t="s">
        <v>41</v>
      </c>
      <c r="G112" s="27">
        <v>645600</v>
      </c>
      <c r="H112" s="81">
        <v>45744</v>
      </c>
      <c r="I112" s="27">
        <v>6169331</v>
      </c>
      <c r="J112" s="28" t="s">
        <v>451</v>
      </c>
      <c r="K112" s="81">
        <v>45717</v>
      </c>
      <c r="L112" s="81">
        <v>46081</v>
      </c>
      <c r="M112" s="34" t="s">
        <v>1992</v>
      </c>
      <c r="N112" s="400"/>
      <c r="O112" s="29">
        <f>P112*7.89</f>
        <v>89488.37999999999</v>
      </c>
      <c r="P112" s="30">
        <v>11342</v>
      </c>
      <c r="Q112" s="31">
        <v>45689</v>
      </c>
      <c r="R112" s="32">
        <v>46081</v>
      </c>
      <c r="S112" s="20" t="s">
        <v>905</v>
      </c>
      <c r="T112" s="33" t="s">
        <v>1993</v>
      </c>
      <c r="U112" s="16">
        <v>45754</v>
      </c>
      <c r="V112" s="17">
        <v>1529556</v>
      </c>
      <c r="W112" s="18">
        <v>45757</v>
      </c>
      <c r="X112" s="19">
        <v>88164.77</v>
      </c>
      <c r="Y112" s="20" t="s">
        <v>794</v>
      </c>
      <c r="Z112" s="20" t="s">
        <v>899</v>
      </c>
      <c r="AA112" s="22"/>
      <c r="AB112" s="23">
        <v>45717</v>
      </c>
      <c r="AC112" s="27" t="s">
        <v>1994</v>
      </c>
      <c r="AD112" s="80" t="s">
        <v>1803</v>
      </c>
      <c r="AE112" s="24"/>
      <c r="AF112" s="80" t="s">
        <v>1995</v>
      </c>
      <c r="AG112" s="140"/>
    </row>
    <row r="113" spans="1:33" ht="27" customHeight="1">
      <c r="A113" s="15">
        <f t="shared" si="5"/>
        <v>110</v>
      </c>
      <c r="B113" s="81">
        <v>45742</v>
      </c>
      <c r="C113" s="15" t="s">
        <v>38</v>
      </c>
      <c r="D113" s="15" t="s">
        <v>1996</v>
      </c>
      <c r="E113" s="26" t="s">
        <v>70</v>
      </c>
      <c r="F113" s="27" t="s">
        <v>41</v>
      </c>
      <c r="G113" s="27">
        <v>645600</v>
      </c>
      <c r="H113" s="81">
        <v>45744</v>
      </c>
      <c r="I113" s="27">
        <v>6169334</v>
      </c>
      <c r="J113" s="28" t="s">
        <v>451</v>
      </c>
      <c r="K113" s="81">
        <v>45717</v>
      </c>
      <c r="L113" s="81">
        <v>46081</v>
      </c>
      <c r="M113" s="34" t="s">
        <v>1992</v>
      </c>
      <c r="N113" s="400"/>
      <c r="O113" s="29">
        <v>28000</v>
      </c>
      <c r="P113" s="30"/>
      <c r="Q113" s="31" t="s">
        <v>1997</v>
      </c>
      <c r="R113" s="32"/>
      <c r="S113" s="20" t="s">
        <v>505</v>
      </c>
      <c r="T113" s="33" t="s">
        <v>1998</v>
      </c>
      <c r="U113" s="89" t="s">
        <v>1788</v>
      </c>
      <c r="V113" s="90" t="s">
        <v>1999</v>
      </c>
      <c r="W113" s="18"/>
      <c r="X113" s="19">
        <v>28000</v>
      </c>
      <c r="Y113" s="20" t="s">
        <v>794</v>
      </c>
      <c r="Z113" s="20" t="s">
        <v>899</v>
      </c>
      <c r="AA113" s="22"/>
      <c r="AB113" s="23">
        <v>45717</v>
      </c>
      <c r="AC113" s="27" t="s">
        <v>1994</v>
      </c>
      <c r="AD113" s="80" t="s">
        <v>1803</v>
      </c>
      <c r="AE113" s="24" t="s">
        <v>2000</v>
      </c>
      <c r="AG113" s="140"/>
    </row>
    <row r="114" spans="1:33" ht="27" customHeight="1">
      <c r="A114" s="15">
        <f t="shared" si="5"/>
        <v>111</v>
      </c>
      <c r="B114" s="81">
        <v>45747</v>
      </c>
      <c r="C114" s="15" t="s">
        <v>38</v>
      </c>
      <c r="D114" s="15" t="s">
        <v>2001</v>
      </c>
      <c r="E114" s="26" t="s">
        <v>70</v>
      </c>
      <c r="F114" s="27" t="s">
        <v>41</v>
      </c>
      <c r="G114" s="27">
        <v>645600</v>
      </c>
      <c r="H114" s="81">
        <v>45747</v>
      </c>
      <c r="I114" s="27">
        <v>6169785</v>
      </c>
      <c r="J114" s="28" t="s">
        <v>677</v>
      </c>
      <c r="K114" s="81">
        <v>45737</v>
      </c>
      <c r="L114" s="81">
        <v>46101</v>
      </c>
      <c r="M114" s="34" t="s">
        <v>2002</v>
      </c>
      <c r="N114" s="400"/>
      <c r="O114" s="29">
        <v>4100</v>
      </c>
      <c r="P114" s="30"/>
      <c r="Q114" s="31">
        <v>45737</v>
      </c>
      <c r="R114" s="32">
        <v>46101</v>
      </c>
      <c r="S114" s="20" t="s">
        <v>666</v>
      </c>
      <c r="T114" s="33" t="s">
        <v>2003</v>
      </c>
      <c r="U114" s="16">
        <v>45750</v>
      </c>
      <c r="V114" s="17">
        <v>1529155</v>
      </c>
      <c r="W114" s="18">
        <v>45846</v>
      </c>
      <c r="X114" s="19">
        <v>4100</v>
      </c>
      <c r="Y114" s="20" t="s">
        <v>1813</v>
      </c>
      <c r="Z114" s="20" t="s">
        <v>1554</v>
      </c>
      <c r="AA114" s="22"/>
      <c r="AB114" s="23">
        <v>45717</v>
      </c>
      <c r="AC114" s="27" t="s">
        <v>2004</v>
      </c>
      <c r="AD114" s="80" t="s">
        <v>1803</v>
      </c>
      <c r="AE114" s="24"/>
      <c r="AG114" s="140"/>
    </row>
    <row r="115" spans="1:33" ht="27" customHeight="1">
      <c r="A115" s="15">
        <f t="shared" si="5"/>
        <v>112</v>
      </c>
      <c r="B115" s="81">
        <v>45735</v>
      </c>
      <c r="C115" s="15" t="s">
        <v>2005</v>
      </c>
      <c r="D115" s="15" t="s">
        <v>2006</v>
      </c>
      <c r="E115" s="26" t="s">
        <v>1500</v>
      </c>
      <c r="F115" s="27" t="s">
        <v>944</v>
      </c>
      <c r="G115" s="27">
        <v>645602</v>
      </c>
      <c r="H115" s="81">
        <v>45747</v>
      </c>
      <c r="I115" s="27">
        <v>6169858</v>
      </c>
      <c r="J115" s="28" t="s">
        <v>1068</v>
      </c>
      <c r="K115" s="81">
        <v>45628</v>
      </c>
      <c r="L115" s="81">
        <v>47088</v>
      </c>
      <c r="M115" s="34" t="s">
        <v>1939</v>
      </c>
      <c r="N115" s="400"/>
      <c r="O115" s="29">
        <f>6800+6800+6800+16320+16320</f>
        <v>53040</v>
      </c>
      <c r="P115" s="30"/>
      <c r="Q115" s="31" t="s">
        <v>1510</v>
      </c>
      <c r="R115" s="32"/>
      <c r="S115" s="20" t="s">
        <v>2007</v>
      </c>
      <c r="T115" s="33" t="s">
        <v>2008</v>
      </c>
      <c r="U115" s="114">
        <v>45756</v>
      </c>
      <c r="V115" s="115">
        <v>1529983</v>
      </c>
      <c r="W115" s="18"/>
      <c r="X115" s="19">
        <v>53040</v>
      </c>
      <c r="Y115" s="20" t="s">
        <v>1513</v>
      </c>
      <c r="Z115" s="20" t="s">
        <v>1505</v>
      </c>
      <c r="AA115" s="22"/>
      <c r="AB115" s="23">
        <v>45717</v>
      </c>
      <c r="AC115" s="27" t="s">
        <v>158</v>
      </c>
      <c r="AD115" s="80" t="s">
        <v>1803</v>
      </c>
      <c r="AE115" s="24"/>
      <c r="AG115" s="140"/>
    </row>
    <row r="116" spans="1:33" ht="27" customHeight="1">
      <c r="A116" s="15">
        <f t="shared" si="5"/>
        <v>113</v>
      </c>
      <c r="B116" s="81">
        <v>45723</v>
      </c>
      <c r="C116" s="15" t="s">
        <v>2009</v>
      </c>
      <c r="D116" s="15" t="s">
        <v>2010</v>
      </c>
      <c r="E116" s="26" t="s">
        <v>1500</v>
      </c>
      <c r="F116" s="27" t="s">
        <v>944</v>
      </c>
      <c r="G116" s="27">
        <v>645602</v>
      </c>
      <c r="H116" s="81">
        <v>45754</v>
      </c>
      <c r="I116" s="27">
        <v>6171349</v>
      </c>
      <c r="J116" s="28" t="s">
        <v>782</v>
      </c>
      <c r="K116" s="81">
        <v>45720</v>
      </c>
      <c r="L116" s="81">
        <v>46084</v>
      </c>
      <c r="M116" s="34" t="s">
        <v>2011</v>
      </c>
      <c r="N116" s="400"/>
      <c r="O116" s="29">
        <f>P116*7.89</f>
        <v>14050.511999999999</v>
      </c>
      <c r="P116" s="30">
        <v>1780.8</v>
      </c>
      <c r="Q116" s="31" t="s">
        <v>1900</v>
      </c>
      <c r="R116" s="32"/>
      <c r="S116" s="20" t="s">
        <v>2012</v>
      </c>
      <c r="T116" s="33" t="s">
        <v>2013</v>
      </c>
      <c r="U116" s="114">
        <v>45755</v>
      </c>
      <c r="V116" s="115">
        <v>1529757</v>
      </c>
      <c r="W116" s="18">
        <v>45789</v>
      </c>
      <c r="X116" s="19">
        <f>P116*7.89</f>
        <v>14050.511999999999</v>
      </c>
      <c r="Y116" s="20" t="s">
        <v>2014</v>
      </c>
      <c r="Z116" s="20" t="s">
        <v>1505</v>
      </c>
      <c r="AA116" s="22"/>
      <c r="AB116" s="23">
        <v>45748</v>
      </c>
      <c r="AC116" s="27" t="s">
        <v>2015</v>
      </c>
      <c r="AD116" s="80"/>
      <c r="AE116" s="24"/>
      <c r="AG116" s="140"/>
    </row>
    <row r="117" spans="1:33" ht="27" customHeight="1">
      <c r="A117" s="15">
        <f t="shared" si="5"/>
        <v>114</v>
      </c>
      <c r="B117" s="81">
        <v>45749</v>
      </c>
      <c r="C117" s="15" t="s">
        <v>2009</v>
      </c>
      <c r="D117" s="15" t="s">
        <v>2016</v>
      </c>
      <c r="E117" s="26" t="s">
        <v>1500</v>
      </c>
      <c r="F117" s="27" t="s">
        <v>944</v>
      </c>
      <c r="G117" s="27">
        <v>645602</v>
      </c>
      <c r="H117" s="81">
        <v>45749</v>
      </c>
      <c r="I117" s="27">
        <v>6171097</v>
      </c>
      <c r="J117" s="28" t="s">
        <v>2017</v>
      </c>
      <c r="K117" s="116">
        <v>45292</v>
      </c>
      <c r="L117" s="81">
        <v>46022</v>
      </c>
      <c r="M117" s="34" t="s">
        <v>2018</v>
      </c>
      <c r="N117" s="400"/>
      <c r="O117" s="29">
        <v>383530</v>
      </c>
      <c r="P117" s="30"/>
      <c r="Q117" s="31">
        <v>45658</v>
      </c>
      <c r="R117" s="32">
        <v>46022</v>
      </c>
      <c r="S117" s="20" t="s">
        <v>221</v>
      </c>
      <c r="T117" s="33" t="s">
        <v>2019</v>
      </c>
      <c r="U117" s="114">
        <v>45803</v>
      </c>
      <c r="V117" s="115">
        <v>1536470</v>
      </c>
      <c r="W117" s="18">
        <v>45854</v>
      </c>
      <c r="X117" s="19">
        <v>383530</v>
      </c>
      <c r="Y117" s="20" t="s">
        <v>1513</v>
      </c>
      <c r="Z117" s="20" t="s">
        <v>1505</v>
      </c>
      <c r="AA117" s="22"/>
      <c r="AB117" s="23">
        <v>45748</v>
      </c>
      <c r="AC117" s="27" t="s">
        <v>2020</v>
      </c>
      <c r="AD117" s="80"/>
      <c r="AE117" s="24"/>
      <c r="AG117" s="140"/>
    </row>
    <row r="118" spans="1:33" ht="27" customHeight="1">
      <c r="A118" s="15">
        <f t="shared" si="5"/>
        <v>115</v>
      </c>
      <c r="B118" s="81">
        <v>45755</v>
      </c>
      <c r="C118" s="15" t="s">
        <v>38</v>
      </c>
      <c r="D118" s="15" t="s">
        <v>2021</v>
      </c>
      <c r="E118" s="26" t="s">
        <v>40</v>
      </c>
      <c r="F118" s="27" t="s">
        <v>41</v>
      </c>
      <c r="G118" s="27">
        <v>645600</v>
      </c>
      <c r="H118" s="81">
        <v>45755</v>
      </c>
      <c r="I118" s="27">
        <v>6171892</v>
      </c>
      <c r="J118" s="28" t="s">
        <v>2022</v>
      </c>
      <c r="K118" s="81" t="s">
        <v>1034</v>
      </c>
      <c r="L118" s="81"/>
      <c r="M118" s="34" t="s">
        <v>1656</v>
      </c>
      <c r="N118" s="400"/>
      <c r="O118" s="29">
        <v>91584</v>
      </c>
      <c r="P118" s="30"/>
      <c r="Q118" s="31" t="s">
        <v>1034</v>
      </c>
      <c r="R118" s="32"/>
      <c r="S118" s="20" t="s">
        <v>2023</v>
      </c>
      <c r="T118" s="33" t="s">
        <v>2024</v>
      </c>
      <c r="U118" s="16">
        <v>45756</v>
      </c>
      <c r="V118" s="17">
        <v>1529962</v>
      </c>
      <c r="W118" s="18">
        <v>45789</v>
      </c>
      <c r="X118" s="19">
        <f>1272*72</f>
        <v>91584</v>
      </c>
      <c r="Y118" s="20" t="s">
        <v>2025</v>
      </c>
      <c r="Z118" s="20" t="s">
        <v>2026</v>
      </c>
      <c r="AA118" s="22"/>
      <c r="AB118" s="23">
        <v>45748</v>
      </c>
      <c r="AC118" s="27" t="s">
        <v>1658</v>
      </c>
      <c r="AD118" s="80" t="s">
        <v>1803</v>
      </c>
      <c r="AE118" s="24" t="s">
        <v>2027</v>
      </c>
      <c r="AG118" s="140"/>
    </row>
    <row r="119" spans="1:33" ht="27" customHeight="1">
      <c r="A119" s="15">
        <f t="shared" si="5"/>
        <v>116</v>
      </c>
      <c r="B119" s="81">
        <v>45754</v>
      </c>
      <c r="C119" s="15" t="s">
        <v>38</v>
      </c>
      <c r="D119" s="15" t="s">
        <v>2028</v>
      </c>
      <c r="E119" s="26" t="s">
        <v>40</v>
      </c>
      <c r="F119" s="27" t="s">
        <v>41</v>
      </c>
      <c r="G119" s="27">
        <v>645600</v>
      </c>
      <c r="H119" s="81">
        <v>45755</v>
      </c>
      <c r="I119" s="27">
        <v>6171911</v>
      </c>
      <c r="J119" s="28" t="s">
        <v>2029</v>
      </c>
      <c r="K119" s="81">
        <v>45710</v>
      </c>
      <c r="L119" s="81">
        <v>46439</v>
      </c>
      <c r="M119" s="34" t="s">
        <v>2030</v>
      </c>
      <c r="N119" s="400"/>
      <c r="O119" s="29">
        <f>P119*7.89</f>
        <v>129869.4</v>
      </c>
      <c r="P119" s="30">
        <v>16460</v>
      </c>
      <c r="Q119" s="31">
        <v>45710</v>
      </c>
      <c r="R119" s="32">
        <v>46439</v>
      </c>
      <c r="S119" s="20" t="s">
        <v>905</v>
      </c>
      <c r="T119" s="33" t="s">
        <v>2031</v>
      </c>
      <c r="U119" s="16">
        <v>45762</v>
      </c>
      <c r="V119" s="17">
        <v>1530752</v>
      </c>
      <c r="W119" s="18">
        <v>45769</v>
      </c>
      <c r="X119" s="19">
        <v>127983.08</v>
      </c>
      <c r="Y119" s="20" t="s">
        <v>541</v>
      </c>
      <c r="Z119" s="20" t="s">
        <v>1546</v>
      </c>
      <c r="AA119" s="22"/>
      <c r="AB119" s="23">
        <v>45748</v>
      </c>
      <c r="AC119" s="27" t="s">
        <v>2032</v>
      </c>
      <c r="AD119" s="80"/>
      <c r="AE119" s="24"/>
      <c r="AF119" s="80" t="s">
        <v>2033</v>
      </c>
      <c r="AG119" s="140"/>
    </row>
    <row r="120" spans="1:33" ht="27" customHeight="1">
      <c r="A120" s="15">
        <f t="shared" si="5"/>
        <v>117</v>
      </c>
      <c r="B120" s="81">
        <v>45755</v>
      </c>
      <c r="C120" s="15" t="s">
        <v>38</v>
      </c>
      <c r="D120" s="15" t="s">
        <v>2034</v>
      </c>
      <c r="E120" s="26" t="s">
        <v>70</v>
      </c>
      <c r="F120" s="27" t="s">
        <v>41</v>
      </c>
      <c r="G120" s="27">
        <v>645600</v>
      </c>
      <c r="H120" s="81">
        <v>45756</v>
      </c>
      <c r="I120" s="27">
        <v>6172337</v>
      </c>
      <c r="J120" s="28" t="s">
        <v>2035</v>
      </c>
      <c r="K120" s="81">
        <v>45753</v>
      </c>
      <c r="L120" s="81">
        <v>46482</v>
      </c>
      <c r="M120" s="34" t="s">
        <v>2036</v>
      </c>
      <c r="N120" s="400"/>
      <c r="O120" s="29">
        <f>P120*7.89</f>
        <v>138864</v>
      </c>
      <c r="P120" s="30">
        <v>17600</v>
      </c>
      <c r="Q120" s="31">
        <v>45753</v>
      </c>
      <c r="R120" s="32">
        <v>46482</v>
      </c>
      <c r="S120" s="20" t="s">
        <v>905</v>
      </c>
      <c r="T120" s="33" t="s">
        <v>2037</v>
      </c>
      <c r="U120" s="16">
        <v>45762</v>
      </c>
      <c r="V120" s="17">
        <v>1530763</v>
      </c>
      <c r="W120" s="18"/>
      <c r="X120" s="19">
        <v>136847.04000000001</v>
      </c>
      <c r="Y120" s="20" t="s">
        <v>56</v>
      </c>
      <c r="Z120" s="20" t="s">
        <v>1554</v>
      </c>
      <c r="AA120" s="22"/>
      <c r="AB120" s="23">
        <v>45748</v>
      </c>
      <c r="AC120" s="27" t="s">
        <v>2038</v>
      </c>
      <c r="AD120" s="80"/>
      <c r="AE120" s="24" t="s">
        <v>2039</v>
      </c>
      <c r="AF120" s="80" t="s">
        <v>2040</v>
      </c>
      <c r="AG120" s="140"/>
    </row>
    <row r="121" spans="1:33" ht="27" customHeight="1">
      <c r="A121" s="15">
        <f t="shared" si="5"/>
        <v>118</v>
      </c>
      <c r="B121" s="81">
        <v>45756</v>
      </c>
      <c r="C121" s="15" t="s">
        <v>38</v>
      </c>
      <c r="D121" s="15" t="s">
        <v>2041</v>
      </c>
      <c r="E121" s="26" t="s">
        <v>40</v>
      </c>
      <c r="F121" s="27" t="s">
        <v>41</v>
      </c>
      <c r="G121" s="27">
        <v>645600</v>
      </c>
      <c r="H121" s="81">
        <v>45756</v>
      </c>
      <c r="I121" s="27">
        <v>6172338</v>
      </c>
      <c r="J121" s="28" t="s">
        <v>2042</v>
      </c>
      <c r="K121" s="81">
        <v>45763</v>
      </c>
      <c r="L121" s="81">
        <v>45915</v>
      </c>
      <c r="M121" s="34" t="s">
        <v>2043</v>
      </c>
      <c r="N121" s="400"/>
      <c r="O121" s="29">
        <v>2000</v>
      </c>
      <c r="P121" s="30"/>
      <c r="Q121" s="31">
        <v>45763</v>
      </c>
      <c r="R121" s="32">
        <v>46127</v>
      </c>
      <c r="S121" s="20" t="s">
        <v>666</v>
      </c>
      <c r="T121" s="33" t="s">
        <v>2044</v>
      </c>
      <c r="U121" s="16">
        <v>45762</v>
      </c>
      <c r="V121" s="17">
        <v>1530750</v>
      </c>
      <c r="W121" s="18">
        <v>45846</v>
      </c>
      <c r="X121" s="19">
        <v>2000</v>
      </c>
      <c r="Y121" s="20" t="s">
        <v>299</v>
      </c>
      <c r="Z121" s="20" t="s">
        <v>1546</v>
      </c>
      <c r="AA121" s="22"/>
      <c r="AB121" s="23">
        <v>45748</v>
      </c>
      <c r="AC121" s="27" t="s">
        <v>2038</v>
      </c>
      <c r="AD121" s="80"/>
      <c r="AE121" s="24"/>
      <c r="AG121" s="140"/>
    </row>
    <row r="122" spans="1:33" ht="27" customHeight="1">
      <c r="A122" s="15">
        <f t="shared" si="5"/>
        <v>119</v>
      </c>
      <c r="B122" s="81">
        <v>45757</v>
      </c>
      <c r="C122" s="15" t="s">
        <v>1498</v>
      </c>
      <c r="D122" s="15" t="s">
        <v>2045</v>
      </c>
      <c r="E122" s="26" t="s">
        <v>1500</v>
      </c>
      <c r="F122" s="27" t="s">
        <v>1537</v>
      </c>
      <c r="G122" s="27">
        <v>645602</v>
      </c>
      <c r="H122" s="81">
        <v>45757</v>
      </c>
      <c r="I122" s="27">
        <v>6172431</v>
      </c>
      <c r="J122" s="28" t="s">
        <v>497</v>
      </c>
      <c r="K122" s="81"/>
      <c r="L122" s="81"/>
      <c r="M122" s="34" t="s">
        <v>2046</v>
      </c>
      <c r="N122" s="400"/>
      <c r="O122" s="29">
        <v>398000</v>
      </c>
      <c r="P122" s="30"/>
      <c r="Q122" s="31">
        <v>45778</v>
      </c>
      <c r="R122" s="32">
        <v>46142</v>
      </c>
      <c r="S122" s="20" t="s">
        <v>2047</v>
      </c>
      <c r="T122" s="33" t="s">
        <v>2048</v>
      </c>
      <c r="U122" s="114">
        <v>45772</v>
      </c>
      <c r="V122" s="115">
        <v>1532227</v>
      </c>
      <c r="W122" s="18"/>
      <c r="X122" s="19">
        <v>398000</v>
      </c>
      <c r="Y122" s="20" t="s">
        <v>2049</v>
      </c>
      <c r="Z122" s="20" t="s">
        <v>1505</v>
      </c>
      <c r="AA122" s="22"/>
      <c r="AB122" s="23">
        <v>45748</v>
      </c>
      <c r="AC122" s="27" t="s">
        <v>2050</v>
      </c>
      <c r="AD122" s="80"/>
      <c r="AE122" s="24"/>
      <c r="AG122" s="140"/>
    </row>
    <row r="123" spans="1:33" ht="27" customHeight="1">
      <c r="A123" s="15">
        <f t="shared" si="5"/>
        <v>120</v>
      </c>
      <c r="B123" s="81">
        <v>45757</v>
      </c>
      <c r="C123" s="15" t="s">
        <v>1498</v>
      </c>
      <c r="D123" s="15" t="s">
        <v>2051</v>
      </c>
      <c r="E123" s="26" t="s">
        <v>1500</v>
      </c>
      <c r="F123" s="27" t="s">
        <v>944</v>
      </c>
      <c r="G123" s="27">
        <v>645602</v>
      </c>
      <c r="H123" s="81">
        <v>45757</v>
      </c>
      <c r="I123" s="27">
        <v>6172433</v>
      </c>
      <c r="J123" s="28" t="s">
        <v>497</v>
      </c>
      <c r="K123" s="81"/>
      <c r="L123" s="81"/>
      <c r="M123" s="34" t="s">
        <v>2046</v>
      </c>
      <c r="N123" s="400"/>
      <c r="O123" s="29">
        <v>45000</v>
      </c>
      <c r="P123" s="30"/>
      <c r="Q123" s="31">
        <v>45778</v>
      </c>
      <c r="R123" s="32">
        <v>45777</v>
      </c>
      <c r="S123" s="20" t="s">
        <v>2052</v>
      </c>
      <c r="T123" s="33" t="s">
        <v>2053</v>
      </c>
      <c r="U123" s="114">
        <v>45772</v>
      </c>
      <c r="V123" s="115">
        <v>1532221</v>
      </c>
      <c r="W123" s="18"/>
      <c r="X123" s="19">
        <v>45000</v>
      </c>
      <c r="Y123" s="20" t="s">
        <v>2049</v>
      </c>
      <c r="Z123" s="20" t="s">
        <v>1505</v>
      </c>
      <c r="AA123" s="22"/>
      <c r="AB123" s="23">
        <v>45748</v>
      </c>
      <c r="AC123" s="27" t="s">
        <v>2050</v>
      </c>
      <c r="AD123" s="80"/>
      <c r="AE123" s="24"/>
      <c r="AG123" s="140"/>
    </row>
    <row r="124" spans="1:33" ht="27" customHeight="1">
      <c r="A124" s="15">
        <f t="shared" si="5"/>
        <v>121</v>
      </c>
      <c r="B124" s="81">
        <v>45761</v>
      </c>
      <c r="C124" s="15" t="s">
        <v>38</v>
      </c>
      <c r="D124" s="15" t="s">
        <v>2054</v>
      </c>
      <c r="E124" s="26" t="s">
        <v>70</v>
      </c>
      <c r="F124" s="27" t="s">
        <v>41</v>
      </c>
      <c r="G124" s="27">
        <v>645600</v>
      </c>
      <c r="H124" s="81">
        <v>45762</v>
      </c>
      <c r="I124" s="27">
        <v>6174046</v>
      </c>
      <c r="J124" s="28" t="s">
        <v>1882</v>
      </c>
      <c r="K124" s="81">
        <v>45741</v>
      </c>
      <c r="L124" s="81">
        <v>46105</v>
      </c>
      <c r="M124" s="28" t="s">
        <v>1883</v>
      </c>
      <c r="N124" s="400"/>
      <c r="O124" s="29">
        <v>32952</v>
      </c>
      <c r="P124" s="30"/>
      <c r="Q124" s="31">
        <v>45741</v>
      </c>
      <c r="R124" s="32">
        <v>46105</v>
      </c>
      <c r="S124" s="20" t="s">
        <v>180</v>
      </c>
      <c r="T124" s="33" t="s">
        <v>2055</v>
      </c>
      <c r="U124" s="16">
        <v>45776</v>
      </c>
      <c r="V124" s="17">
        <v>1532729</v>
      </c>
      <c r="W124" s="18">
        <v>45939</v>
      </c>
      <c r="X124" s="19">
        <v>32952</v>
      </c>
      <c r="Y124" s="20" t="s">
        <v>832</v>
      </c>
      <c r="Z124" s="20" t="s">
        <v>899</v>
      </c>
      <c r="AA124" s="22"/>
      <c r="AB124" s="23">
        <v>45748</v>
      </c>
      <c r="AC124" s="27" t="s">
        <v>1885</v>
      </c>
      <c r="AD124" s="80"/>
      <c r="AE124" s="24"/>
      <c r="AF124" s="80" t="s">
        <v>2056</v>
      </c>
      <c r="AG124" s="140">
        <v>45887</v>
      </c>
    </row>
    <row r="125" spans="1:33" ht="27" customHeight="1">
      <c r="A125" s="15">
        <f t="shared" si="5"/>
        <v>122</v>
      </c>
      <c r="B125" s="81">
        <v>45761</v>
      </c>
      <c r="C125" s="15" t="s">
        <v>38</v>
      </c>
      <c r="D125" s="15" t="s">
        <v>2057</v>
      </c>
      <c r="E125" s="26" t="s">
        <v>70</v>
      </c>
      <c r="F125" s="27" t="s">
        <v>41</v>
      </c>
      <c r="G125" s="27">
        <v>645600</v>
      </c>
      <c r="H125" s="81">
        <v>45762</v>
      </c>
      <c r="I125" s="27">
        <v>6174047</v>
      </c>
      <c r="J125" s="28" t="s">
        <v>1882</v>
      </c>
      <c r="K125" s="81">
        <v>45741</v>
      </c>
      <c r="L125" s="81">
        <v>46105</v>
      </c>
      <c r="M125" s="28" t="s">
        <v>1883</v>
      </c>
      <c r="N125" s="400"/>
      <c r="O125" s="29">
        <v>68000</v>
      </c>
      <c r="P125" s="30"/>
      <c r="Q125" s="31">
        <v>45839</v>
      </c>
      <c r="R125" s="32">
        <v>46203</v>
      </c>
      <c r="S125" s="20" t="s">
        <v>180</v>
      </c>
      <c r="T125" s="33" t="s">
        <v>2058</v>
      </c>
      <c r="U125" s="16">
        <v>45784</v>
      </c>
      <c r="V125" s="17">
        <v>1533523</v>
      </c>
      <c r="W125" s="18">
        <v>45939</v>
      </c>
      <c r="X125" s="19">
        <v>68000</v>
      </c>
      <c r="Y125" s="20" t="s">
        <v>832</v>
      </c>
      <c r="Z125" s="20" t="s">
        <v>899</v>
      </c>
      <c r="AA125" s="22"/>
      <c r="AB125" s="23">
        <v>45748</v>
      </c>
      <c r="AC125" s="27" t="s">
        <v>1885</v>
      </c>
      <c r="AD125" s="80"/>
      <c r="AE125" s="24"/>
      <c r="AF125" s="80" t="s">
        <v>2059</v>
      </c>
      <c r="AG125" s="140">
        <v>45887</v>
      </c>
    </row>
    <row r="126" spans="1:33" ht="27" customHeight="1">
      <c r="A126" s="15">
        <f t="shared" si="5"/>
        <v>123</v>
      </c>
      <c r="B126" s="81">
        <v>45761</v>
      </c>
      <c r="C126" s="15" t="s">
        <v>38</v>
      </c>
      <c r="D126" s="15" t="s">
        <v>2060</v>
      </c>
      <c r="E126" s="26" t="s">
        <v>70</v>
      </c>
      <c r="F126" s="27" t="s">
        <v>41</v>
      </c>
      <c r="G126" s="27">
        <v>645600</v>
      </c>
      <c r="H126" s="81">
        <v>45762</v>
      </c>
      <c r="I126" s="27">
        <v>6174048</v>
      </c>
      <c r="J126" s="28" t="s">
        <v>1882</v>
      </c>
      <c r="K126" s="81">
        <v>45741</v>
      </c>
      <c r="L126" s="81">
        <v>46105</v>
      </c>
      <c r="M126" s="28" t="s">
        <v>1883</v>
      </c>
      <c r="N126" s="400"/>
      <c r="O126" s="29">
        <f>P126*7.89</f>
        <v>41390.939999999995</v>
      </c>
      <c r="P126" s="30">
        <v>5246</v>
      </c>
      <c r="Q126" s="31">
        <v>45772</v>
      </c>
      <c r="R126" s="32">
        <v>46136</v>
      </c>
      <c r="S126" s="20" t="s">
        <v>905</v>
      </c>
      <c r="T126" s="33" t="s">
        <v>2061</v>
      </c>
      <c r="U126" s="16">
        <v>45784</v>
      </c>
      <c r="V126" s="17">
        <v>1533524</v>
      </c>
      <c r="W126" s="18">
        <v>45789</v>
      </c>
      <c r="X126" s="19">
        <v>40789.75</v>
      </c>
      <c r="Y126" s="20" t="s">
        <v>832</v>
      </c>
      <c r="Z126" s="20" t="s">
        <v>899</v>
      </c>
      <c r="AA126" s="22"/>
      <c r="AB126" s="23">
        <v>45748</v>
      </c>
      <c r="AC126" s="27" t="s">
        <v>1885</v>
      </c>
      <c r="AD126" s="80"/>
      <c r="AE126" s="24"/>
      <c r="AF126" s="80" t="s">
        <v>2062</v>
      </c>
      <c r="AG126" s="140"/>
    </row>
    <row r="127" spans="1:33" ht="27" customHeight="1">
      <c r="A127" s="15">
        <f t="shared" si="5"/>
        <v>124</v>
      </c>
      <c r="B127" s="81">
        <v>45762</v>
      </c>
      <c r="C127" s="15" t="s">
        <v>38</v>
      </c>
      <c r="D127" s="15" t="s">
        <v>2063</v>
      </c>
      <c r="E127" s="26" t="s">
        <v>70</v>
      </c>
      <c r="F127" s="27" t="s">
        <v>41</v>
      </c>
      <c r="G127" s="27">
        <v>645600</v>
      </c>
      <c r="H127" s="81">
        <v>45762</v>
      </c>
      <c r="I127" s="27">
        <v>6174049</v>
      </c>
      <c r="J127" s="28" t="s">
        <v>2064</v>
      </c>
      <c r="K127" s="81">
        <v>45790</v>
      </c>
      <c r="L127" s="81">
        <v>46154</v>
      </c>
      <c r="M127" s="28" t="s">
        <v>2065</v>
      </c>
      <c r="N127" s="400"/>
      <c r="O127" s="29">
        <v>13300</v>
      </c>
      <c r="P127" s="30"/>
      <c r="Q127" s="31">
        <v>45790</v>
      </c>
      <c r="R127" s="32">
        <v>46154</v>
      </c>
      <c r="S127" s="20" t="s">
        <v>399</v>
      </c>
      <c r="T127" s="33" t="s">
        <v>2066</v>
      </c>
      <c r="U127" s="16">
        <v>45784</v>
      </c>
      <c r="V127" s="17">
        <v>1533417</v>
      </c>
      <c r="W127" s="18">
        <v>46001</v>
      </c>
      <c r="X127" s="19">
        <v>13300</v>
      </c>
      <c r="Y127" s="20" t="s">
        <v>183</v>
      </c>
      <c r="Z127" s="20" t="s">
        <v>1554</v>
      </c>
      <c r="AA127" s="22"/>
      <c r="AB127" s="23">
        <v>45748</v>
      </c>
      <c r="AC127" s="27" t="s">
        <v>2067</v>
      </c>
      <c r="AD127" s="80"/>
      <c r="AE127" s="24"/>
      <c r="AG127" s="140">
        <v>45786</v>
      </c>
    </row>
    <row r="128" spans="1:33" ht="27" customHeight="1">
      <c r="A128" s="15">
        <f t="shared" si="5"/>
        <v>125</v>
      </c>
      <c r="B128" s="81">
        <v>45763</v>
      </c>
      <c r="C128" s="15" t="s">
        <v>1498</v>
      </c>
      <c r="D128" s="15" t="s">
        <v>2068</v>
      </c>
      <c r="E128" s="26" t="s">
        <v>1500</v>
      </c>
      <c r="F128" s="27" t="s">
        <v>1537</v>
      </c>
      <c r="G128" s="27">
        <v>645602</v>
      </c>
      <c r="H128" s="81">
        <v>45763</v>
      </c>
      <c r="I128" s="27">
        <v>6174209</v>
      </c>
      <c r="J128" s="28" t="s">
        <v>737</v>
      </c>
      <c r="K128" s="81">
        <v>45802</v>
      </c>
      <c r="L128" s="81">
        <v>46166</v>
      </c>
      <c r="M128" s="28" t="s">
        <v>2069</v>
      </c>
      <c r="N128" s="400"/>
      <c r="O128" s="29">
        <v>25000</v>
      </c>
      <c r="P128" s="30"/>
      <c r="Q128" s="31">
        <v>45802</v>
      </c>
      <c r="R128" s="32">
        <v>46166</v>
      </c>
      <c r="S128" s="20" t="s">
        <v>1597</v>
      </c>
      <c r="T128" s="33" t="s">
        <v>2070</v>
      </c>
      <c r="U128" s="114">
        <v>45770</v>
      </c>
      <c r="V128" s="115">
        <v>1531832</v>
      </c>
      <c r="W128" s="18">
        <v>45797</v>
      </c>
      <c r="X128" s="19">
        <v>25000</v>
      </c>
      <c r="Y128" s="20" t="s">
        <v>183</v>
      </c>
      <c r="Z128" s="20" t="s">
        <v>1505</v>
      </c>
      <c r="AA128" s="22"/>
      <c r="AB128" s="23">
        <v>45748</v>
      </c>
      <c r="AC128" s="27" t="s">
        <v>2071</v>
      </c>
      <c r="AD128" s="80"/>
      <c r="AE128" s="24"/>
      <c r="AG128" s="140"/>
    </row>
    <row r="129" spans="1:33" ht="27" customHeight="1">
      <c r="A129" s="15">
        <f t="shared" si="5"/>
        <v>126</v>
      </c>
      <c r="B129" s="81">
        <v>45763</v>
      </c>
      <c r="C129" s="15" t="s">
        <v>1498</v>
      </c>
      <c r="D129" s="15" t="s">
        <v>2072</v>
      </c>
      <c r="E129" s="26" t="s">
        <v>1500</v>
      </c>
      <c r="F129" s="27" t="s">
        <v>944</v>
      </c>
      <c r="G129" s="27">
        <v>645602</v>
      </c>
      <c r="H129" s="81">
        <v>45764</v>
      </c>
      <c r="I129" s="27">
        <v>6174602</v>
      </c>
      <c r="J129" s="28" t="s">
        <v>2073</v>
      </c>
      <c r="K129" s="81">
        <v>42695</v>
      </c>
      <c r="L129" s="81">
        <v>45981</v>
      </c>
      <c r="M129" s="28" t="s">
        <v>2074</v>
      </c>
      <c r="N129" s="400"/>
      <c r="O129" s="29">
        <v>3180</v>
      </c>
      <c r="P129" s="30"/>
      <c r="Q129" s="31" t="s">
        <v>2075</v>
      </c>
      <c r="R129" s="32"/>
      <c r="S129" s="20" t="s">
        <v>2076</v>
      </c>
      <c r="T129" s="33" t="s">
        <v>2077</v>
      </c>
      <c r="U129" s="114">
        <v>45770</v>
      </c>
      <c r="V129" s="115">
        <v>1531849</v>
      </c>
      <c r="W129" s="18"/>
      <c r="X129" s="19">
        <v>3180</v>
      </c>
      <c r="Y129" s="20" t="s">
        <v>1859</v>
      </c>
      <c r="Z129" s="20" t="s">
        <v>1505</v>
      </c>
      <c r="AA129" s="22"/>
      <c r="AB129" s="23">
        <v>45748</v>
      </c>
      <c r="AC129" s="27" t="s">
        <v>1896</v>
      </c>
      <c r="AD129" s="80"/>
      <c r="AE129" s="24"/>
      <c r="AG129" s="140"/>
    </row>
    <row r="130" spans="1:33" ht="27" customHeight="1">
      <c r="A130" s="15">
        <f t="shared" si="5"/>
        <v>127</v>
      </c>
      <c r="B130" s="81">
        <v>45769</v>
      </c>
      <c r="C130" s="15" t="s">
        <v>1498</v>
      </c>
      <c r="D130" s="15" t="s">
        <v>2078</v>
      </c>
      <c r="E130" s="26" t="s">
        <v>1500</v>
      </c>
      <c r="F130" s="27" t="s">
        <v>1537</v>
      </c>
      <c r="G130" s="27">
        <v>645602</v>
      </c>
      <c r="H130" s="81">
        <v>45769</v>
      </c>
      <c r="I130" s="27">
        <v>6175053</v>
      </c>
      <c r="J130" s="28" t="s">
        <v>2079</v>
      </c>
      <c r="K130" s="81">
        <v>45710</v>
      </c>
      <c r="L130" s="81">
        <v>46074</v>
      </c>
      <c r="M130" s="28" t="s">
        <v>2080</v>
      </c>
      <c r="N130" s="400"/>
      <c r="O130" s="29">
        <v>37000</v>
      </c>
      <c r="P130" s="30"/>
      <c r="Q130" s="31">
        <v>45710</v>
      </c>
      <c r="R130" s="32">
        <v>46074</v>
      </c>
      <c r="S130" s="20" t="s">
        <v>1736</v>
      </c>
      <c r="T130" s="33" t="s">
        <v>2081</v>
      </c>
      <c r="U130" s="114">
        <v>45770</v>
      </c>
      <c r="V130" s="115">
        <v>1531730</v>
      </c>
      <c r="W130" s="18"/>
      <c r="X130" s="19">
        <v>37000</v>
      </c>
      <c r="Y130" s="20" t="s">
        <v>1504</v>
      </c>
      <c r="Z130" s="20" t="s">
        <v>1505</v>
      </c>
      <c r="AA130" s="22"/>
      <c r="AB130" s="23">
        <v>45748</v>
      </c>
      <c r="AC130" s="27" t="s">
        <v>2082</v>
      </c>
      <c r="AD130" s="80"/>
      <c r="AE130" s="24"/>
      <c r="AG130" s="140"/>
    </row>
    <row r="131" spans="1:33" ht="27" customHeight="1">
      <c r="A131" s="15">
        <f t="shared" si="5"/>
        <v>128</v>
      </c>
      <c r="B131" s="81">
        <v>45769</v>
      </c>
      <c r="C131" s="15" t="s">
        <v>1498</v>
      </c>
      <c r="D131" s="15" t="s">
        <v>2083</v>
      </c>
      <c r="E131" s="26" t="s">
        <v>1500</v>
      </c>
      <c r="F131" s="27" t="s">
        <v>944</v>
      </c>
      <c r="G131" s="27">
        <v>645602</v>
      </c>
      <c r="H131" s="81">
        <v>45769</v>
      </c>
      <c r="I131" s="27">
        <v>6175056</v>
      </c>
      <c r="J131" s="28" t="s">
        <v>2079</v>
      </c>
      <c r="K131" s="81">
        <v>45710</v>
      </c>
      <c r="L131" s="81">
        <v>46074</v>
      </c>
      <c r="M131" s="28" t="s">
        <v>2080</v>
      </c>
      <c r="N131" s="400"/>
      <c r="O131" s="29">
        <v>6590</v>
      </c>
      <c r="P131" s="30"/>
      <c r="Q131" s="31">
        <v>45710</v>
      </c>
      <c r="R131" s="32">
        <v>46074</v>
      </c>
      <c r="S131" s="20" t="s">
        <v>2084</v>
      </c>
      <c r="T131" s="33" t="s">
        <v>2085</v>
      </c>
      <c r="U131" s="114">
        <v>45770</v>
      </c>
      <c r="V131" s="115">
        <v>1531737</v>
      </c>
      <c r="W131" s="18">
        <v>45929</v>
      </c>
      <c r="X131" s="19">
        <v>6590</v>
      </c>
      <c r="Y131" s="20" t="s">
        <v>1504</v>
      </c>
      <c r="Z131" s="20" t="s">
        <v>1505</v>
      </c>
      <c r="AA131" s="22"/>
      <c r="AB131" s="23">
        <v>45748</v>
      </c>
      <c r="AC131" s="27" t="s">
        <v>2082</v>
      </c>
      <c r="AD131" s="80"/>
      <c r="AE131" s="24"/>
      <c r="AG131" s="140"/>
    </row>
    <row r="132" spans="1:33" ht="27" customHeight="1">
      <c r="A132" s="15">
        <f t="shared" si="5"/>
        <v>129</v>
      </c>
      <c r="B132" s="81">
        <v>45769</v>
      </c>
      <c r="C132" s="15" t="s">
        <v>1498</v>
      </c>
      <c r="D132" s="15" t="s">
        <v>2086</v>
      </c>
      <c r="E132" s="26" t="s">
        <v>1500</v>
      </c>
      <c r="F132" s="27" t="s">
        <v>944</v>
      </c>
      <c r="G132" s="27">
        <v>645602</v>
      </c>
      <c r="H132" s="81">
        <v>45770</v>
      </c>
      <c r="I132" s="27">
        <v>6175496</v>
      </c>
      <c r="J132" s="28" t="s">
        <v>670</v>
      </c>
      <c r="K132" s="81">
        <v>45766</v>
      </c>
      <c r="L132" s="81">
        <v>46130</v>
      </c>
      <c r="M132" s="28" t="s">
        <v>2087</v>
      </c>
      <c r="N132" s="400"/>
      <c r="O132" s="29">
        <v>9120</v>
      </c>
      <c r="P132" s="30"/>
      <c r="Q132" s="31">
        <v>45766</v>
      </c>
      <c r="R132" s="32">
        <v>46130</v>
      </c>
      <c r="S132" s="20" t="s">
        <v>2088</v>
      </c>
      <c r="T132" s="33" t="s">
        <v>2089</v>
      </c>
      <c r="U132" s="114">
        <v>45771</v>
      </c>
      <c r="V132" s="115">
        <v>1532093</v>
      </c>
      <c r="W132" s="18"/>
      <c r="X132" s="19">
        <v>9120</v>
      </c>
      <c r="Y132" s="20" t="s">
        <v>2090</v>
      </c>
      <c r="Z132" s="20" t="s">
        <v>1505</v>
      </c>
      <c r="AA132" s="22"/>
      <c r="AB132" s="23">
        <v>45748</v>
      </c>
      <c r="AC132" s="27" t="s">
        <v>2091</v>
      </c>
      <c r="AD132" s="80"/>
      <c r="AE132" s="24"/>
      <c r="AG132" s="140"/>
    </row>
    <row r="133" spans="1:33" ht="27" customHeight="1">
      <c r="A133" s="15">
        <f t="shared" si="5"/>
        <v>130</v>
      </c>
      <c r="B133" s="81">
        <v>45770</v>
      </c>
      <c r="C133" s="15" t="s">
        <v>38</v>
      </c>
      <c r="D133" s="15" t="s">
        <v>2092</v>
      </c>
      <c r="E133" s="26" t="s">
        <v>40</v>
      </c>
      <c r="F133" s="27" t="s">
        <v>277</v>
      </c>
      <c r="G133" s="27">
        <v>645600</v>
      </c>
      <c r="H133" s="81">
        <v>45770</v>
      </c>
      <c r="I133" s="27">
        <v>6175732</v>
      </c>
      <c r="J133" s="28" t="s">
        <v>2093</v>
      </c>
      <c r="K133" s="81">
        <v>45821</v>
      </c>
      <c r="L133" s="81">
        <v>46550</v>
      </c>
      <c r="M133" s="28" t="s">
        <v>2094</v>
      </c>
      <c r="N133" s="400"/>
      <c r="O133" s="29">
        <v>40734</v>
      </c>
      <c r="P133" s="30"/>
      <c r="Q133" s="31">
        <v>45821</v>
      </c>
      <c r="R133" s="32">
        <v>46550</v>
      </c>
      <c r="S133" s="20" t="s">
        <v>399</v>
      </c>
      <c r="T133" s="33" t="s">
        <v>2095</v>
      </c>
      <c r="U133" s="16">
        <v>45776</v>
      </c>
      <c r="V133" s="17">
        <v>1532730</v>
      </c>
      <c r="W133" s="18">
        <v>45994</v>
      </c>
      <c r="X133" s="19">
        <v>40734</v>
      </c>
      <c r="Y133" s="20" t="s">
        <v>66</v>
      </c>
      <c r="Z133" s="20" t="s">
        <v>1703</v>
      </c>
      <c r="AA133" s="22"/>
      <c r="AB133" s="23">
        <v>45748</v>
      </c>
      <c r="AC133" s="27" t="s">
        <v>2096</v>
      </c>
      <c r="AD133" s="80"/>
      <c r="AE133" s="24"/>
      <c r="AG133" s="140"/>
    </row>
    <row r="134" spans="1:33" ht="27" customHeight="1">
      <c r="A134" s="15">
        <f t="shared" si="5"/>
        <v>131</v>
      </c>
      <c r="B134" s="81">
        <v>45771</v>
      </c>
      <c r="C134" s="15" t="s">
        <v>38</v>
      </c>
      <c r="D134" s="15" t="s">
        <v>2097</v>
      </c>
      <c r="E134" s="26" t="s">
        <v>40</v>
      </c>
      <c r="F134" s="27" t="s">
        <v>277</v>
      </c>
      <c r="G134" s="27">
        <v>645600</v>
      </c>
      <c r="H134" s="81">
        <v>45771</v>
      </c>
      <c r="I134" s="27">
        <v>6176209</v>
      </c>
      <c r="J134" s="28" t="s">
        <v>743</v>
      </c>
      <c r="K134" s="81">
        <v>45758</v>
      </c>
      <c r="L134" s="81">
        <v>46122</v>
      </c>
      <c r="M134" s="28" t="s">
        <v>2098</v>
      </c>
      <c r="N134" s="400"/>
      <c r="O134" s="29">
        <v>193000</v>
      </c>
      <c r="P134" s="30"/>
      <c r="Q134" s="31">
        <v>45758</v>
      </c>
      <c r="R134" s="32">
        <v>46122</v>
      </c>
      <c r="S134" s="20" t="s">
        <v>1576</v>
      </c>
      <c r="T134" s="33" t="s">
        <v>2099</v>
      </c>
      <c r="U134" s="16">
        <v>45775</v>
      </c>
      <c r="V134" s="17">
        <v>1532425</v>
      </c>
      <c r="W134" s="18">
        <v>45827</v>
      </c>
      <c r="X134" s="19">
        <v>193000</v>
      </c>
      <c r="Y134" s="20" t="s">
        <v>1813</v>
      </c>
      <c r="Z134" s="20" t="s">
        <v>1546</v>
      </c>
      <c r="AA134" s="22"/>
      <c r="AB134" s="23">
        <v>45748</v>
      </c>
      <c r="AC134" s="27" t="s">
        <v>2100</v>
      </c>
      <c r="AD134" s="80"/>
      <c r="AE134" s="24" t="s">
        <v>2101</v>
      </c>
      <c r="AG134" s="140"/>
    </row>
    <row r="135" spans="1:33" ht="27" customHeight="1">
      <c r="A135" s="15">
        <f t="shared" si="5"/>
        <v>132</v>
      </c>
      <c r="B135" s="81">
        <v>45772</v>
      </c>
      <c r="C135" s="15" t="s">
        <v>1498</v>
      </c>
      <c r="D135" s="15" t="s">
        <v>2102</v>
      </c>
      <c r="E135" s="26" t="s">
        <v>1500</v>
      </c>
      <c r="F135" s="27" t="s">
        <v>1537</v>
      </c>
      <c r="G135" s="27">
        <v>645602</v>
      </c>
      <c r="H135" s="81">
        <v>45775</v>
      </c>
      <c r="I135" s="27">
        <v>6176650</v>
      </c>
      <c r="J135" s="28" t="s">
        <v>2103</v>
      </c>
      <c r="K135" s="81">
        <v>45570</v>
      </c>
      <c r="L135" s="81">
        <v>45934</v>
      </c>
      <c r="M135" s="28" t="s">
        <v>2104</v>
      </c>
      <c r="N135" s="400"/>
      <c r="O135" s="29">
        <v>18000</v>
      </c>
      <c r="P135" s="30"/>
      <c r="Q135" s="31">
        <v>45570</v>
      </c>
      <c r="R135" s="32">
        <v>45934</v>
      </c>
      <c r="S135" s="20" t="s">
        <v>1597</v>
      </c>
      <c r="T135" s="33" t="s">
        <v>2105</v>
      </c>
      <c r="U135" s="114">
        <v>45776</v>
      </c>
      <c r="V135" s="115">
        <v>1532745</v>
      </c>
      <c r="W135" s="18"/>
      <c r="X135" s="19">
        <v>18000</v>
      </c>
      <c r="Y135" s="20" t="s">
        <v>2106</v>
      </c>
      <c r="Z135" s="20" t="s">
        <v>1505</v>
      </c>
      <c r="AA135" s="22"/>
      <c r="AB135" s="23">
        <v>45748</v>
      </c>
      <c r="AC135" s="27" t="s">
        <v>2107</v>
      </c>
      <c r="AD135" s="80"/>
      <c r="AE135" s="24" t="s">
        <v>2108</v>
      </c>
      <c r="AG135" s="140"/>
    </row>
    <row r="136" spans="1:33" ht="38.25">
      <c r="A136" s="15">
        <f t="shared" si="5"/>
        <v>133</v>
      </c>
      <c r="B136" s="81">
        <v>45775</v>
      </c>
      <c r="C136" s="15" t="s">
        <v>2109</v>
      </c>
      <c r="D136" s="15" t="s">
        <v>2110</v>
      </c>
      <c r="E136" s="26" t="s">
        <v>1518</v>
      </c>
      <c r="F136" s="27" t="s">
        <v>41</v>
      </c>
      <c r="G136" s="27">
        <v>645600</v>
      </c>
      <c r="H136" s="81">
        <v>45775</v>
      </c>
      <c r="I136" s="27">
        <v>6176993</v>
      </c>
      <c r="J136" s="28" t="s">
        <v>2111</v>
      </c>
      <c r="K136" s="81">
        <v>45505</v>
      </c>
      <c r="L136" s="81">
        <v>46964</v>
      </c>
      <c r="M136" s="28" t="s">
        <v>537</v>
      </c>
      <c r="N136" s="400"/>
      <c r="O136" s="29">
        <f>P136*7.89</f>
        <v>1483549.7567999999</v>
      </c>
      <c r="P136" s="30">
        <v>188029.12</v>
      </c>
      <c r="Q136" s="31">
        <v>45778</v>
      </c>
      <c r="R136" s="32">
        <v>46873</v>
      </c>
      <c r="S136" s="20" t="s">
        <v>2112</v>
      </c>
      <c r="T136" s="33" t="s">
        <v>2113</v>
      </c>
      <c r="U136" s="16">
        <v>45777</v>
      </c>
      <c r="V136" s="17">
        <v>1532890</v>
      </c>
      <c r="W136" s="137" t="s">
        <v>2114</v>
      </c>
      <c r="X136" s="19">
        <v>1462001.62</v>
      </c>
      <c r="Y136" s="20" t="s">
        <v>2115</v>
      </c>
      <c r="Z136" s="21" t="s">
        <v>1546</v>
      </c>
      <c r="AA136" s="22"/>
      <c r="AB136" s="23">
        <v>45748</v>
      </c>
      <c r="AC136" s="27" t="s">
        <v>542</v>
      </c>
      <c r="AD136" s="80"/>
      <c r="AE136" s="24" t="s">
        <v>2101</v>
      </c>
      <c r="AF136" s="80" t="s">
        <v>2116</v>
      </c>
      <c r="AG136" s="140"/>
    </row>
    <row r="137" spans="1:33" ht="38.25">
      <c r="A137" s="15">
        <f t="shared" si="5"/>
        <v>134</v>
      </c>
      <c r="B137" s="81">
        <v>45775</v>
      </c>
      <c r="C137" s="15" t="s">
        <v>2109</v>
      </c>
      <c r="D137" s="15" t="s">
        <v>2117</v>
      </c>
      <c r="E137" s="26" t="s">
        <v>1518</v>
      </c>
      <c r="F137" s="27" t="s">
        <v>41</v>
      </c>
      <c r="G137" s="27">
        <v>645600</v>
      </c>
      <c r="H137" s="81">
        <v>45775</v>
      </c>
      <c r="I137" s="27">
        <v>6176996</v>
      </c>
      <c r="J137" s="28" t="s">
        <v>2111</v>
      </c>
      <c r="K137" s="81">
        <v>45505</v>
      </c>
      <c r="L137" s="81">
        <v>46964</v>
      </c>
      <c r="M137" s="28" t="s">
        <v>537</v>
      </c>
      <c r="N137" s="400"/>
      <c r="O137" s="29">
        <f>P137*7.89</f>
        <v>12921.768599999999</v>
      </c>
      <c r="P137" s="30">
        <v>1637.74</v>
      </c>
      <c r="Q137" s="31">
        <v>45413</v>
      </c>
      <c r="R137" s="32">
        <v>46873</v>
      </c>
      <c r="S137" s="20" t="s">
        <v>2112</v>
      </c>
      <c r="T137" s="33" t="s">
        <v>2118</v>
      </c>
      <c r="U137" s="16">
        <v>45777</v>
      </c>
      <c r="V137" s="17">
        <v>1532888</v>
      </c>
      <c r="W137" s="137" t="s">
        <v>2114</v>
      </c>
      <c r="X137" s="19">
        <v>12734.08</v>
      </c>
      <c r="Y137" s="20" t="s">
        <v>2115</v>
      </c>
      <c r="Z137" s="21" t="s">
        <v>1546</v>
      </c>
      <c r="AA137" s="22"/>
      <c r="AB137" s="23">
        <v>45748</v>
      </c>
      <c r="AC137" s="27" t="s">
        <v>542</v>
      </c>
      <c r="AD137" s="80"/>
      <c r="AE137" s="24" t="s">
        <v>2119</v>
      </c>
      <c r="AF137" s="80" t="s">
        <v>2120</v>
      </c>
      <c r="AG137" s="140"/>
    </row>
    <row r="138" spans="1:33" ht="38.25">
      <c r="A138" s="15">
        <f t="shared" si="5"/>
        <v>135</v>
      </c>
      <c r="B138" s="81">
        <v>45775</v>
      </c>
      <c r="C138" s="15" t="s">
        <v>2109</v>
      </c>
      <c r="D138" s="15" t="s">
        <v>2121</v>
      </c>
      <c r="E138" s="26" t="s">
        <v>1518</v>
      </c>
      <c r="F138" s="27" t="s">
        <v>41</v>
      </c>
      <c r="G138" s="27">
        <v>645600</v>
      </c>
      <c r="H138" s="81">
        <v>45775</v>
      </c>
      <c r="I138" s="27">
        <v>6176998</v>
      </c>
      <c r="J138" s="28" t="s">
        <v>2111</v>
      </c>
      <c r="K138" s="81">
        <v>45505</v>
      </c>
      <c r="L138" s="81">
        <v>46964</v>
      </c>
      <c r="M138" s="28" t="s">
        <v>537</v>
      </c>
      <c r="N138" s="400"/>
      <c r="O138" s="29">
        <f t="shared" ref="O138" si="6">P138*7.89</f>
        <v>962203.72589999996</v>
      </c>
      <c r="P138" s="30">
        <v>121952.31</v>
      </c>
      <c r="Q138" s="31">
        <v>45413</v>
      </c>
      <c r="R138" s="32">
        <v>46873</v>
      </c>
      <c r="S138" s="20" t="s">
        <v>538</v>
      </c>
      <c r="T138" s="33" t="s">
        <v>2122</v>
      </c>
      <c r="U138" s="16">
        <v>45777</v>
      </c>
      <c r="V138" s="17">
        <v>1533039</v>
      </c>
      <c r="W138" s="137" t="s">
        <v>2114</v>
      </c>
      <c r="X138" s="19">
        <v>948227.99</v>
      </c>
      <c r="Y138" s="20" t="s">
        <v>2115</v>
      </c>
      <c r="Z138" s="21" t="s">
        <v>1546</v>
      </c>
      <c r="AA138" s="22"/>
      <c r="AB138" s="23">
        <v>45748</v>
      </c>
      <c r="AC138" s="27" t="s">
        <v>542</v>
      </c>
      <c r="AD138" s="80"/>
      <c r="AE138" s="24" t="s">
        <v>2119</v>
      </c>
      <c r="AF138" s="80" t="s">
        <v>2123</v>
      </c>
      <c r="AG138" s="140"/>
    </row>
    <row r="139" spans="1:33" ht="27" customHeight="1">
      <c r="A139" s="15">
        <f t="shared" si="5"/>
        <v>136</v>
      </c>
      <c r="B139" s="81">
        <v>45775</v>
      </c>
      <c r="C139" s="15" t="s">
        <v>95</v>
      </c>
      <c r="D139" s="15" t="s">
        <v>2124</v>
      </c>
      <c r="E139" s="26" t="s">
        <v>97</v>
      </c>
      <c r="F139" s="27" t="s">
        <v>944</v>
      </c>
      <c r="G139" s="27">
        <v>645602</v>
      </c>
      <c r="H139" s="81">
        <v>45776</v>
      </c>
      <c r="I139" s="27">
        <v>6177328</v>
      </c>
      <c r="J139" s="28" t="s">
        <v>142</v>
      </c>
      <c r="K139" s="81">
        <v>45778</v>
      </c>
      <c r="L139" s="81">
        <v>46142</v>
      </c>
      <c r="M139" s="28" t="s">
        <v>144</v>
      </c>
      <c r="N139" s="400"/>
      <c r="O139" s="29">
        <v>79695</v>
      </c>
      <c r="P139" s="30"/>
      <c r="Q139" s="31">
        <v>45726</v>
      </c>
      <c r="R139" s="32">
        <v>46142</v>
      </c>
      <c r="S139" s="20" t="s">
        <v>2125</v>
      </c>
      <c r="T139" s="33" t="s">
        <v>2126</v>
      </c>
      <c r="U139" s="114">
        <v>45777</v>
      </c>
      <c r="V139" s="115">
        <v>1533007</v>
      </c>
      <c r="W139" s="18"/>
      <c r="X139" s="19">
        <v>79695</v>
      </c>
      <c r="Y139" s="20" t="s">
        <v>1504</v>
      </c>
      <c r="Z139" s="20" t="s">
        <v>106</v>
      </c>
      <c r="AA139" s="22"/>
      <c r="AB139" s="23">
        <v>45748</v>
      </c>
      <c r="AC139" s="27" t="s">
        <v>149</v>
      </c>
      <c r="AD139" s="80"/>
      <c r="AE139" s="24" t="s">
        <v>2108</v>
      </c>
      <c r="AG139" s="140"/>
    </row>
    <row r="140" spans="1:33" ht="27" customHeight="1">
      <c r="A140" s="15">
        <f t="shared" si="5"/>
        <v>137</v>
      </c>
      <c r="B140" s="81">
        <v>45775</v>
      </c>
      <c r="C140" s="15" t="s">
        <v>95</v>
      </c>
      <c r="D140" s="15" t="s">
        <v>2127</v>
      </c>
      <c r="E140" s="26" t="s">
        <v>97</v>
      </c>
      <c r="F140" s="27" t="s">
        <v>944</v>
      </c>
      <c r="G140" s="27">
        <v>645602</v>
      </c>
      <c r="H140" s="81">
        <v>45776</v>
      </c>
      <c r="I140" s="27">
        <v>6177344</v>
      </c>
      <c r="J140" s="28" t="s">
        <v>2128</v>
      </c>
      <c r="K140" s="81">
        <v>45597</v>
      </c>
      <c r="L140" s="81">
        <v>45961</v>
      </c>
      <c r="M140" s="28" t="s">
        <v>2129</v>
      </c>
      <c r="N140" s="400"/>
      <c r="O140" s="29">
        <v>57093</v>
      </c>
      <c r="P140" s="30"/>
      <c r="Q140" s="31">
        <v>45633</v>
      </c>
      <c r="R140" s="32">
        <v>45997</v>
      </c>
      <c r="S140" s="20" t="s">
        <v>1502</v>
      </c>
      <c r="T140" s="33" t="s">
        <v>2130</v>
      </c>
      <c r="U140" s="114">
        <v>45786</v>
      </c>
      <c r="V140" s="115">
        <v>1533888</v>
      </c>
      <c r="W140" s="18"/>
      <c r="X140" s="19">
        <v>57093</v>
      </c>
      <c r="Y140" s="20" t="s">
        <v>1504</v>
      </c>
      <c r="Z140" s="20" t="s">
        <v>106</v>
      </c>
      <c r="AA140" s="22"/>
      <c r="AB140" s="23">
        <v>45748</v>
      </c>
      <c r="AC140" s="27" t="s">
        <v>2131</v>
      </c>
      <c r="AD140" s="80"/>
      <c r="AE140" s="24" t="s">
        <v>2108</v>
      </c>
      <c r="AG140" s="140"/>
    </row>
    <row r="141" spans="1:33" ht="27" customHeight="1">
      <c r="A141" s="15">
        <f t="shared" si="5"/>
        <v>138</v>
      </c>
      <c r="B141" s="81">
        <v>45777</v>
      </c>
      <c r="C141" s="15" t="s">
        <v>38</v>
      </c>
      <c r="D141" s="15" t="s">
        <v>2132</v>
      </c>
      <c r="E141" s="26" t="s">
        <v>40</v>
      </c>
      <c r="F141" s="27" t="s">
        <v>60</v>
      </c>
      <c r="G141" s="27">
        <v>645604</v>
      </c>
      <c r="H141" s="81">
        <v>45779</v>
      </c>
      <c r="I141" s="27">
        <v>6177878</v>
      </c>
      <c r="J141" s="28" t="s">
        <v>2133</v>
      </c>
      <c r="K141" s="81">
        <v>45793</v>
      </c>
      <c r="L141" s="81">
        <v>46157</v>
      </c>
      <c r="M141" s="28" t="s">
        <v>2134</v>
      </c>
      <c r="N141" s="400"/>
      <c r="O141" s="29">
        <v>87810</v>
      </c>
      <c r="P141" s="30"/>
      <c r="Q141" s="31">
        <v>45793</v>
      </c>
      <c r="R141" s="32">
        <v>46157</v>
      </c>
      <c r="S141" s="20" t="s">
        <v>2135</v>
      </c>
      <c r="T141" s="33" t="s">
        <v>2136</v>
      </c>
      <c r="U141" s="16">
        <v>45792</v>
      </c>
      <c r="V141" s="17">
        <v>1534902</v>
      </c>
      <c r="W141" s="18">
        <v>45840</v>
      </c>
      <c r="X141" s="19">
        <v>87810</v>
      </c>
      <c r="Y141" s="20" t="s">
        <v>66</v>
      </c>
      <c r="Z141" s="20" t="s">
        <v>1058</v>
      </c>
      <c r="AA141" s="22"/>
      <c r="AB141" s="23">
        <v>45778</v>
      </c>
      <c r="AC141" s="27" t="s">
        <v>2137</v>
      </c>
      <c r="AD141" s="80"/>
      <c r="AE141" s="24" t="s">
        <v>2101</v>
      </c>
      <c r="AF141" s="80">
        <v>11838</v>
      </c>
      <c r="AG141" s="140"/>
    </row>
    <row r="142" spans="1:33" ht="27" customHeight="1">
      <c r="A142" s="15">
        <f t="shared" si="5"/>
        <v>139</v>
      </c>
      <c r="B142" s="81">
        <v>45779</v>
      </c>
      <c r="C142" s="15" t="s">
        <v>38</v>
      </c>
      <c r="D142" s="15" t="s">
        <v>2138</v>
      </c>
      <c r="E142" s="26" t="s">
        <v>70</v>
      </c>
      <c r="F142" s="27" t="s">
        <v>41</v>
      </c>
      <c r="G142" s="27">
        <v>645600</v>
      </c>
      <c r="H142" s="81">
        <v>45779</v>
      </c>
      <c r="I142" s="27">
        <v>6177879</v>
      </c>
      <c r="J142" s="28" t="s">
        <v>2139</v>
      </c>
      <c r="K142" s="81">
        <v>45718</v>
      </c>
      <c r="L142" s="81">
        <v>46082</v>
      </c>
      <c r="M142" s="34" t="s">
        <v>2140</v>
      </c>
      <c r="N142" s="400"/>
      <c r="O142" s="29">
        <f>P142*7.89</f>
        <v>30518.52</v>
      </c>
      <c r="P142" s="30">
        <v>3868</v>
      </c>
      <c r="Q142" s="31">
        <v>45748</v>
      </c>
      <c r="R142" s="32">
        <v>46112</v>
      </c>
      <c r="S142" s="20" t="s">
        <v>905</v>
      </c>
      <c r="T142" s="33" t="s">
        <v>2141</v>
      </c>
      <c r="U142" s="16">
        <v>45786</v>
      </c>
      <c r="V142" s="17">
        <v>1533956</v>
      </c>
      <c r="W142" s="18">
        <v>45792</v>
      </c>
      <c r="X142" s="19">
        <v>30006.400000000001</v>
      </c>
      <c r="Y142" s="20" t="s">
        <v>56</v>
      </c>
      <c r="Z142" s="20" t="s">
        <v>899</v>
      </c>
      <c r="AA142" s="22"/>
      <c r="AB142" s="23">
        <v>45778</v>
      </c>
      <c r="AC142" s="27" t="s">
        <v>2142</v>
      </c>
      <c r="AD142" s="80"/>
      <c r="AE142" s="24"/>
      <c r="AF142" s="80" t="s">
        <v>1995</v>
      </c>
      <c r="AG142" s="140"/>
    </row>
    <row r="143" spans="1:33" ht="27" customHeight="1">
      <c r="A143" s="15">
        <f t="shared" si="5"/>
        <v>140</v>
      </c>
      <c r="B143" s="81">
        <v>45779</v>
      </c>
      <c r="C143" s="15" t="s">
        <v>38</v>
      </c>
      <c r="D143" s="15" t="s">
        <v>2143</v>
      </c>
      <c r="E143" s="26" t="s">
        <v>70</v>
      </c>
      <c r="F143" s="27" t="s">
        <v>277</v>
      </c>
      <c r="G143" s="27">
        <v>645600</v>
      </c>
      <c r="H143" s="81">
        <v>45779</v>
      </c>
      <c r="I143" s="27">
        <v>6177881</v>
      </c>
      <c r="J143" s="28" t="s">
        <v>2144</v>
      </c>
      <c r="K143" s="81">
        <v>45658</v>
      </c>
      <c r="L143" s="81">
        <v>46112</v>
      </c>
      <c r="M143" s="34" t="s">
        <v>2145</v>
      </c>
      <c r="N143" s="400"/>
      <c r="O143" s="29">
        <v>7750</v>
      </c>
      <c r="P143" s="30"/>
      <c r="Q143" s="31">
        <v>45658</v>
      </c>
      <c r="R143" s="32">
        <v>46112</v>
      </c>
      <c r="S143" s="20" t="s">
        <v>514</v>
      </c>
      <c r="T143" s="33" t="s">
        <v>2146</v>
      </c>
      <c r="U143" s="16">
        <v>45789</v>
      </c>
      <c r="V143" s="17">
        <v>1534056</v>
      </c>
      <c r="W143" s="18">
        <v>46057</v>
      </c>
      <c r="X143" s="19">
        <v>7750</v>
      </c>
      <c r="Y143" s="20" t="s">
        <v>336</v>
      </c>
      <c r="Z143" s="20" t="s">
        <v>1554</v>
      </c>
      <c r="AA143" s="22"/>
      <c r="AB143" s="23">
        <v>45778</v>
      </c>
      <c r="AC143" s="27" t="s">
        <v>2147</v>
      </c>
      <c r="AD143" s="80"/>
      <c r="AE143" s="24" t="s">
        <v>2148</v>
      </c>
      <c r="AG143" s="140">
        <v>45797</v>
      </c>
    </row>
    <row r="144" spans="1:33" ht="27" customHeight="1">
      <c r="A144" s="15">
        <f t="shared" si="5"/>
        <v>141</v>
      </c>
      <c r="B144" s="81">
        <v>45776</v>
      </c>
      <c r="C144" s="15" t="s">
        <v>95</v>
      </c>
      <c r="D144" s="15" t="s">
        <v>2149</v>
      </c>
      <c r="E144" s="26" t="s">
        <v>97</v>
      </c>
      <c r="F144" s="27" t="s">
        <v>944</v>
      </c>
      <c r="G144" s="27">
        <v>645602</v>
      </c>
      <c r="H144" s="81">
        <v>45783</v>
      </c>
      <c r="I144" s="27">
        <v>6178068</v>
      </c>
      <c r="J144" s="28" t="s">
        <v>2150</v>
      </c>
      <c r="K144" s="81">
        <v>45650</v>
      </c>
      <c r="L144" s="81">
        <v>46014</v>
      </c>
      <c r="M144" s="28" t="s">
        <v>2151</v>
      </c>
      <c r="N144" s="400"/>
      <c r="O144" s="29">
        <v>4000</v>
      </c>
      <c r="P144" s="30"/>
      <c r="Q144" s="31" t="s">
        <v>2075</v>
      </c>
      <c r="R144" s="32"/>
      <c r="S144" s="20" t="s">
        <v>2152</v>
      </c>
      <c r="T144" s="33" t="s">
        <v>2153</v>
      </c>
      <c r="U144" s="114">
        <v>45799</v>
      </c>
      <c r="V144" s="115">
        <v>1535985</v>
      </c>
      <c r="W144" s="18"/>
      <c r="X144" s="19">
        <v>4000</v>
      </c>
      <c r="Y144" s="20" t="s">
        <v>1504</v>
      </c>
      <c r="Z144" s="20" t="s">
        <v>106</v>
      </c>
      <c r="AA144" s="22"/>
      <c r="AB144" s="23">
        <v>45748</v>
      </c>
      <c r="AC144" s="27" t="s">
        <v>2154</v>
      </c>
      <c r="AD144" s="80"/>
      <c r="AE144" s="24" t="s">
        <v>2108</v>
      </c>
      <c r="AG144" s="140"/>
    </row>
    <row r="145" spans="1:33" ht="27" customHeight="1">
      <c r="A145" s="15">
        <f t="shared" si="5"/>
        <v>142</v>
      </c>
      <c r="B145" s="81">
        <v>45776</v>
      </c>
      <c r="C145" s="15" t="s">
        <v>95</v>
      </c>
      <c r="D145" s="15" t="s">
        <v>2155</v>
      </c>
      <c r="E145" s="26" t="s">
        <v>97</v>
      </c>
      <c r="F145" s="27" t="s">
        <v>944</v>
      </c>
      <c r="G145" s="27">
        <v>645602</v>
      </c>
      <c r="H145" s="81">
        <v>45783</v>
      </c>
      <c r="I145" s="27">
        <v>6178071</v>
      </c>
      <c r="J145" s="28" t="s">
        <v>2150</v>
      </c>
      <c r="K145" s="81">
        <v>45650</v>
      </c>
      <c r="L145" s="81">
        <v>46014</v>
      </c>
      <c r="M145" s="28" t="s">
        <v>2151</v>
      </c>
      <c r="N145" s="400"/>
      <c r="O145" s="29">
        <v>387</v>
      </c>
      <c r="P145" s="30"/>
      <c r="Q145" s="31" t="s">
        <v>2075</v>
      </c>
      <c r="R145" s="32"/>
      <c r="S145" s="20" t="s">
        <v>2156</v>
      </c>
      <c r="T145" s="33" t="s">
        <v>2157</v>
      </c>
      <c r="U145" s="114">
        <v>45799</v>
      </c>
      <c r="V145" s="115">
        <v>1535994</v>
      </c>
      <c r="W145" s="18"/>
      <c r="X145" s="19">
        <v>387</v>
      </c>
      <c r="Y145" s="20" t="s">
        <v>1504</v>
      </c>
      <c r="Z145" s="20" t="s">
        <v>106</v>
      </c>
      <c r="AA145" s="22"/>
      <c r="AB145" s="23">
        <v>45748</v>
      </c>
      <c r="AC145" s="27" t="s">
        <v>2154</v>
      </c>
      <c r="AD145" s="80"/>
      <c r="AE145" s="24" t="s">
        <v>2108</v>
      </c>
      <c r="AG145" s="140"/>
    </row>
    <row r="146" spans="1:33" ht="27" customHeight="1">
      <c r="A146" s="15">
        <f t="shared" si="5"/>
        <v>143</v>
      </c>
      <c r="B146" s="81">
        <v>45785</v>
      </c>
      <c r="C146" s="15" t="s">
        <v>38</v>
      </c>
      <c r="D146" s="15" t="s">
        <v>2158</v>
      </c>
      <c r="E146" s="26" t="s">
        <v>70</v>
      </c>
      <c r="F146" s="27" t="s">
        <v>41</v>
      </c>
      <c r="G146" s="27">
        <v>645600</v>
      </c>
      <c r="H146" s="81">
        <v>45785</v>
      </c>
      <c r="I146" s="27">
        <v>6179224</v>
      </c>
      <c r="J146" s="28" t="s">
        <v>708</v>
      </c>
      <c r="K146" s="81">
        <v>45780</v>
      </c>
      <c r="L146" s="81">
        <v>46144</v>
      </c>
      <c r="M146" s="34" t="s">
        <v>2159</v>
      </c>
      <c r="N146" s="400"/>
      <c r="O146" s="29">
        <f>P146*7.89</f>
        <v>62962.2</v>
      </c>
      <c r="P146" s="30">
        <v>7980</v>
      </c>
      <c r="Q146" s="31">
        <v>45780</v>
      </c>
      <c r="R146" s="32">
        <v>46144</v>
      </c>
      <c r="S146" s="20" t="s">
        <v>905</v>
      </c>
      <c r="T146" s="33" t="s">
        <v>2160</v>
      </c>
      <c r="U146" s="16">
        <v>45796</v>
      </c>
      <c r="V146" s="17">
        <v>1535324</v>
      </c>
      <c r="W146" s="18">
        <v>45800</v>
      </c>
      <c r="X146" s="19">
        <v>61905.65</v>
      </c>
      <c r="Y146" s="20" t="s">
        <v>47</v>
      </c>
      <c r="Z146" s="20" t="s">
        <v>899</v>
      </c>
      <c r="AA146" s="22"/>
      <c r="AB146" s="23">
        <v>45778</v>
      </c>
      <c r="AC146" s="27" t="s">
        <v>2161</v>
      </c>
      <c r="AD146" s="80"/>
      <c r="AE146" s="24" t="s">
        <v>2108</v>
      </c>
      <c r="AF146" s="80" t="s">
        <v>2162</v>
      </c>
      <c r="AG146" s="140"/>
    </row>
    <row r="147" spans="1:33" ht="27" customHeight="1">
      <c r="A147" s="15">
        <f t="shared" si="5"/>
        <v>144</v>
      </c>
      <c r="B147" s="81">
        <v>45786</v>
      </c>
      <c r="C147" s="15" t="s">
        <v>95</v>
      </c>
      <c r="D147" s="15" t="s">
        <v>2163</v>
      </c>
      <c r="E147" s="26" t="s">
        <v>1500</v>
      </c>
      <c r="F147" s="27" t="s">
        <v>944</v>
      </c>
      <c r="G147" s="27">
        <v>645602</v>
      </c>
      <c r="H147" s="81">
        <v>45789</v>
      </c>
      <c r="I147" s="27">
        <v>6179835</v>
      </c>
      <c r="J147" s="28" t="s">
        <v>2164</v>
      </c>
      <c r="K147" s="81">
        <v>45658</v>
      </c>
      <c r="L147" s="81">
        <v>44926</v>
      </c>
      <c r="M147" s="28" t="s">
        <v>2165</v>
      </c>
      <c r="N147" s="400"/>
      <c r="O147" s="29">
        <v>300</v>
      </c>
      <c r="P147" s="30"/>
      <c r="Q147" s="31" t="s">
        <v>2075</v>
      </c>
      <c r="R147" s="32"/>
      <c r="S147" s="20" t="s">
        <v>2166</v>
      </c>
      <c r="T147" s="33" t="s">
        <v>2167</v>
      </c>
      <c r="U147" s="114">
        <v>45791</v>
      </c>
      <c r="V147" s="115">
        <v>1534726</v>
      </c>
      <c r="W147" s="18"/>
      <c r="X147" s="19">
        <v>300</v>
      </c>
      <c r="Y147" s="20" t="s">
        <v>2090</v>
      </c>
      <c r="Z147" s="20" t="s">
        <v>1505</v>
      </c>
      <c r="AA147" s="22"/>
      <c r="AB147" s="23">
        <v>45778</v>
      </c>
      <c r="AC147" s="27" t="s">
        <v>2168</v>
      </c>
      <c r="AD147" s="80"/>
      <c r="AE147" s="24" t="s">
        <v>2108</v>
      </c>
      <c r="AG147" s="140"/>
    </row>
    <row r="148" spans="1:33" ht="27" customHeight="1">
      <c r="A148" s="15">
        <f t="shared" si="5"/>
        <v>145</v>
      </c>
      <c r="B148" s="81">
        <v>45789</v>
      </c>
      <c r="C148" s="15" t="s">
        <v>38</v>
      </c>
      <c r="D148" s="15" t="s">
        <v>2169</v>
      </c>
      <c r="E148" s="26" t="s">
        <v>40</v>
      </c>
      <c r="F148" s="27" t="s">
        <v>41</v>
      </c>
      <c r="G148" s="27">
        <v>645600</v>
      </c>
      <c r="H148" s="81">
        <v>45789</v>
      </c>
      <c r="I148" s="27">
        <v>6180003</v>
      </c>
      <c r="J148" s="28" t="s">
        <v>955</v>
      </c>
      <c r="K148" s="81">
        <v>45838</v>
      </c>
      <c r="L148" s="81">
        <v>46202</v>
      </c>
      <c r="M148" s="34" t="s">
        <v>2170</v>
      </c>
      <c r="N148" s="400"/>
      <c r="O148" s="29">
        <f>P148*7.89</f>
        <v>8833.0127999999986</v>
      </c>
      <c r="P148" s="30">
        <v>1119.52</v>
      </c>
      <c r="Q148" s="31">
        <v>46113</v>
      </c>
      <c r="R148" s="32">
        <v>46477</v>
      </c>
      <c r="S148" s="20" t="s">
        <v>784</v>
      </c>
      <c r="T148" s="33" t="s">
        <v>2171</v>
      </c>
      <c r="U148" s="16">
        <v>45792</v>
      </c>
      <c r="V148" s="17">
        <v>1534804</v>
      </c>
      <c r="W148" s="18">
        <v>46107</v>
      </c>
      <c r="X148" s="19">
        <v>8684.7900000000009</v>
      </c>
      <c r="Y148" s="20" t="s">
        <v>299</v>
      </c>
      <c r="Z148" s="20" t="s">
        <v>1546</v>
      </c>
      <c r="AA148" s="22"/>
      <c r="AB148" s="23">
        <v>45778</v>
      </c>
      <c r="AC148" s="27" t="s">
        <v>2172</v>
      </c>
      <c r="AD148" s="80"/>
      <c r="AE148" s="24"/>
      <c r="AG148" s="140"/>
    </row>
    <row r="149" spans="1:33" ht="27" customHeight="1">
      <c r="A149" s="15">
        <f t="shared" si="5"/>
        <v>146</v>
      </c>
      <c r="B149" s="81">
        <v>45789</v>
      </c>
      <c r="C149" s="15" t="s">
        <v>2005</v>
      </c>
      <c r="D149" s="15" t="s">
        <v>2173</v>
      </c>
      <c r="E149" s="26" t="s">
        <v>97</v>
      </c>
      <c r="F149" s="27" t="s">
        <v>109</v>
      </c>
      <c r="G149" s="27">
        <v>645602</v>
      </c>
      <c r="H149" s="81">
        <v>45789</v>
      </c>
      <c r="I149" s="27">
        <v>6180048</v>
      </c>
      <c r="J149" s="28" t="s">
        <v>2174</v>
      </c>
      <c r="K149" s="81">
        <v>45763</v>
      </c>
      <c r="L149" s="81">
        <v>46127</v>
      </c>
      <c r="M149" s="34" t="s">
        <v>2175</v>
      </c>
      <c r="N149" s="400"/>
      <c r="O149" s="29">
        <v>13000</v>
      </c>
      <c r="P149" s="30"/>
      <c r="Q149" s="31">
        <v>45763</v>
      </c>
      <c r="R149" s="32">
        <v>46127</v>
      </c>
      <c r="S149" s="20" t="s">
        <v>777</v>
      </c>
      <c r="T149" s="33" t="s">
        <v>2176</v>
      </c>
      <c r="U149" s="114">
        <v>45793</v>
      </c>
      <c r="V149" s="115">
        <v>1535085</v>
      </c>
      <c r="W149" s="18">
        <v>45853</v>
      </c>
      <c r="X149" s="19">
        <v>13000</v>
      </c>
      <c r="Y149" s="20" t="s">
        <v>541</v>
      </c>
      <c r="Z149" s="20" t="s">
        <v>106</v>
      </c>
      <c r="AA149" s="22"/>
      <c r="AB149" s="23">
        <v>45778</v>
      </c>
      <c r="AC149" s="27" t="s">
        <v>2177</v>
      </c>
      <c r="AD149" s="80"/>
      <c r="AE149" s="24" t="s">
        <v>2108</v>
      </c>
      <c r="AG149" s="140"/>
    </row>
    <row r="150" spans="1:33" ht="27" customHeight="1">
      <c r="A150" s="15">
        <f t="shared" si="5"/>
        <v>147</v>
      </c>
      <c r="B150" s="81">
        <v>45792</v>
      </c>
      <c r="C150" s="15" t="s">
        <v>38</v>
      </c>
      <c r="D150" s="15" t="s">
        <v>2178</v>
      </c>
      <c r="E150" s="26" t="s">
        <v>40</v>
      </c>
      <c r="F150" s="27" t="s">
        <v>277</v>
      </c>
      <c r="G150" s="27">
        <v>645600</v>
      </c>
      <c r="H150" s="81">
        <v>45793</v>
      </c>
      <c r="I150" s="27">
        <v>6181799</v>
      </c>
      <c r="J150" s="28" t="s">
        <v>2179</v>
      </c>
      <c r="K150" s="81">
        <v>45809</v>
      </c>
      <c r="L150" s="81">
        <v>46173</v>
      </c>
      <c r="M150" s="34" t="s">
        <v>2180</v>
      </c>
      <c r="N150" s="400"/>
      <c r="O150" s="29">
        <v>5000</v>
      </c>
      <c r="P150" s="30"/>
      <c r="Q150" s="31">
        <v>45809</v>
      </c>
      <c r="R150" s="32">
        <v>46173</v>
      </c>
      <c r="S150" s="20" t="s">
        <v>1615</v>
      </c>
      <c r="T150" s="33" t="s">
        <v>2181</v>
      </c>
      <c r="U150" s="16">
        <v>45799</v>
      </c>
      <c r="V150" s="17">
        <v>1536018</v>
      </c>
      <c r="W150" s="18">
        <v>45946</v>
      </c>
      <c r="X150" s="19">
        <v>5000</v>
      </c>
      <c r="Y150" s="20" t="s">
        <v>1167</v>
      </c>
      <c r="Z150" s="20" t="s">
        <v>1546</v>
      </c>
      <c r="AA150" s="22"/>
      <c r="AB150" s="23">
        <v>45778</v>
      </c>
      <c r="AC150" s="27" t="s">
        <v>2182</v>
      </c>
      <c r="AD150" s="80"/>
      <c r="AE150" s="24" t="s">
        <v>2183</v>
      </c>
      <c r="AG150" s="140"/>
    </row>
    <row r="151" spans="1:33" ht="27" customHeight="1">
      <c r="A151" s="15">
        <f t="shared" si="5"/>
        <v>148</v>
      </c>
      <c r="B151" s="81">
        <v>45797</v>
      </c>
      <c r="C151" s="15" t="s">
        <v>1498</v>
      </c>
      <c r="D151" s="15" t="s">
        <v>2184</v>
      </c>
      <c r="E151" s="26" t="s">
        <v>1500</v>
      </c>
      <c r="F151" s="27" t="s">
        <v>944</v>
      </c>
      <c r="G151" s="27">
        <v>645602</v>
      </c>
      <c r="H151" s="81">
        <v>45798</v>
      </c>
      <c r="I151" s="27">
        <v>6182921</v>
      </c>
      <c r="J151" s="28" t="s">
        <v>142</v>
      </c>
      <c r="K151" s="81">
        <v>45778</v>
      </c>
      <c r="L151" s="81">
        <v>46142</v>
      </c>
      <c r="M151" s="34" t="s">
        <v>144</v>
      </c>
      <c r="N151" s="400"/>
      <c r="O151" s="29">
        <v>611800</v>
      </c>
      <c r="P151" s="30"/>
      <c r="Q151" s="31">
        <v>45778</v>
      </c>
      <c r="R151" s="32">
        <v>46142</v>
      </c>
      <c r="S151" s="20" t="s">
        <v>2185</v>
      </c>
      <c r="T151" s="33" t="s">
        <v>2186</v>
      </c>
      <c r="U151" s="114">
        <v>45810</v>
      </c>
      <c r="V151" s="115">
        <v>1537676</v>
      </c>
      <c r="W151" s="18"/>
      <c r="X151" s="19">
        <v>611800</v>
      </c>
      <c r="Y151" s="20" t="s">
        <v>1504</v>
      </c>
      <c r="Z151" s="20" t="s">
        <v>1505</v>
      </c>
      <c r="AA151" s="22"/>
      <c r="AB151" s="23">
        <v>45778</v>
      </c>
      <c r="AC151" s="27" t="s">
        <v>149</v>
      </c>
      <c r="AD151" s="80"/>
      <c r="AE151" s="24" t="s">
        <v>2183</v>
      </c>
      <c r="AG151" s="140"/>
    </row>
    <row r="152" spans="1:33" ht="27" customHeight="1">
      <c r="A152" s="15">
        <f t="shared" si="5"/>
        <v>149</v>
      </c>
      <c r="B152" s="81">
        <v>45797</v>
      </c>
      <c r="C152" s="15" t="s">
        <v>1498</v>
      </c>
      <c r="D152" s="15" t="s">
        <v>2187</v>
      </c>
      <c r="E152" s="26" t="s">
        <v>1500</v>
      </c>
      <c r="F152" s="27" t="s">
        <v>944</v>
      </c>
      <c r="G152" s="27">
        <v>645602</v>
      </c>
      <c r="H152" s="81">
        <v>45798</v>
      </c>
      <c r="I152" s="27">
        <v>6182932</v>
      </c>
      <c r="J152" s="28" t="s">
        <v>142</v>
      </c>
      <c r="K152" s="81">
        <v>45778</v>
      </c>
      <c r="L152" s="81">
        <v>46142</v>
      </c>
      <c r="M152" s="34" t="s">
        <v>144</v>
      </c>
      <c r="N152" s="400"/>
      <c r="O152" s="29">
        <f>186900+72250</f>
        <v>259150</v>
      </c>
      <c r="P152" s="30"/>
      <c r="Q152" s="31">
        <v>45928</v>
      </c>
      <c r="R152" s="32">
        <v>46292</v>
      </c>
      <c r="S152" s="20" t="s">
        <v>2188</v>
      </c>
      <c r="T152" s="33" t="s">
        <v>2189</v>
      </c>
      <c r="U152" s="114">
        <v>45833</v>
      </c>
      <c r="V152" s="115">
        <v>1541265</v>
      </c>
      <c r="W152" s="18"/>
      <c r="X152" s="19">
        <f>186900+72250</f>
        <v>259150</v>
      </c>
      <c r="Y152" s="20" t="s">
        <v>1504</v>
      </c>
      <c r="Z152" s="20" t="s">
        <v>1505</v>
      </c>
      <c r="AA152" s="22"/>
      <c r="AB152" s="23">
        <v>45778</v>
      </c>
      <c r="AC152" s="27" t="s">
        <v>149</v>
      </c>
      <c r="AD152" s="80"/>
      <c r="AE152" s="24" t="s">
        <v>2183</v>
      </c>
      <c r="AG152" s="140"/>
    </row>
    <row r="153" spans="1:33" ht="27" customHeight="1">
      <c r="A153" s="15">
        <f t="shared" si="5"/>
        <v>150</v>
      </c>
      <c r="B153" s="81">
        <v>45798</v>
      </c>
      <c r="C153" s="15" t="s">
        <v>1498</v>
      </c>
      <c r="D153" s="15" t="s">
        <v>2190</v>
      </c>
      <c r="E153" s="26" t="s">
        <v>1500</v>
      </c>
      <c r="F153" s="27" t="s">
        <v>944</v>
      </c>
      <c r="G153" s="27">
        <v>645602</v>
      </c>
      <c r="H153" s="81">
        <v>45798</v>
      </c>
      <c r="I153" s="27">
        <v>6182957</v>
      </c>
      <c r="J153" s="28" t="s">
        <v>1068</v>
      </c>
      <c r="K153" s="81">
        <v>45628</v>
      </c>
      <c r="L153" s="81">
        <v>47088</v>
      </c>
      <c r="M153" s="34" t="s">
        <v>2191</v>
      </c>
      <c r="N153" s="400"/>
      <c r="O153" s="29">
        <v>38500</v>
      </c>
      <c r="P153" s="30"/>
      <c r="Q153" s="31" t="s">
        <v>2075</v>
      </c>
      <c r="R153" s="32"/>
      <c r="S153" s="20" t="s">
        <v>2192</v>
      </c>
      <c r="T153" s="33" t="s">
        <v>2193</v>
      </c>
      <c r="U153" s="114">
        <v>45803</v>
      </c>
      <c r="V153" s="115">
        <v>1536474</v>
      </c>
      <c r="W153" s="18"/>
      <c r="X153" s="19">
        <v>38500</v>
      </c>
      <c r="Y153" s="20" t="s">
        <v>1513</v>
      </c>
      <c r="Z153" s="20" t="s">
        <v>1505</v>
      </c>
      <c r="AA153" s="22"/>
      <c r="AB153" s="23">
        <v>45778</v>
      </c>
      <c r="AC153" s="27" t="s">
        <v>158</v>
      </c>
      <c r="AD153" s="80"/>
      <c r="AE153" s="24" t="s">
        <v>2183</v>
      </c>
      <c r="AG153" s="140"/>
    </row>
    <row r="154" spans="1:33" ht="27" customHeight="1">
      <c r="A154" s="15">
        <f t="shared" si="5"/>
        <v>151</v>
      </c>
      <c r="B154" s="81">
        <v>45800</v>
      </c>
      <c r="C154" s="15" t="s">
        <v>1498</v>
      </c>
      <c r="D154" s="15" t="s">
        <v>2194</v>
      </c>
      <c r="E154" s="26" t="s">
        <v>1500</v>
      </c>
      <c r="F154" s="27" t="s">
        <v>944</v>
      </c>
      <c r="G154" s="27">
        <v>645602</v>
      </c>
      <c r="H154" s="81">
        <v>45803</v>
      </c>
      <c r="I154" s="27">
        <v>6184244</v>
      </c>
      <c r="J154" s="28" t="s">
        <v>2195</v>
      </c>
      <c r="K154" s="81">
        <v>45717</v>
      </c>
      <c r="L154" s="81">
        <v>46081</v>
      </c>
      <c r="M154" s="34" t="s">
        <v>2196</v>
      </c>
      <c r="N154" s="400"/>
      <c r="O154" s="29">
        <v>120000</v>
      </c>
      <c r="P154" s="30"/>
      <c r="Q154" s="31">
        <v>45717</v>
      </c>
      <c r="R154" s="32">
        <v>46081</v>
      </c>
      <c r="S154" s="20" t="s">
        <v>2197</v>
      </c>
      <c r="T154" s="33" t="s">
        <v>2198</v>
      </c>
      <c r="U154" s="114">
        <v>45811</v>
      </c>
      <c r="V154" s="115">
        <v>1537846</v>
      </c>
      <c r="W154" s="18"/>
      <c r="X154" s="19">
        <v>120000</v>
      </c>
      <c r="Y154" s="20" t="s">
        <v>115</v>
      </c>
      <c r="Z154" s="20" t="s">
        <v>1505</v>
      </c>
      <c r="AA154" s="22"/>
      <c r="AB154" s="23">
        <v>45778</v>
      </c>
      <c r="AC154" s="27" t="s">
        <v>2199</v>
      </c>
      <c r="AD154" s="80"/>
      <c r="AE154" s="24" t="s">
        <v>2183</v>
      </c>
      <c r="AG154" s="140"/>
    </row>
    <row r="155" spans="1:33" ht="27" customHeight="1">
      <c r="A155" s="15">
        <f t="shared" si="5"/>
        <v>152</v>
      </c>
      <c r="B155" s="81">
        <v>45800</v>
      </c>
      <c r="C155" s="15" t="s">
        <v>1498</v>
      </c>
      <c r="D155" s="15" t="s">
        <v>2200</v>
      </c>
      <c r="E155" s="26" t="s">
        <v>1500</v>
      </c>
      <c r="F155" s="27" t="s">
        <v>944</v>
      </c>
      <c r="G155" s="27">
        <v>645602</v>
      </c>
      <c r="H155" s="81">
        <v>45803</v>
      </c>
      <c r="I155" s="27">
        <v>6184253</v>
      </c>
      <c r="J155" s="28" t="s">
        <v>2195</v>
      </c>
      <c r="K155" s="81">
        <v>45717</v>
      </c>
      <c r="L155" s="81">
        <v>46081</v>
      </c>
      <c r="M155" s="34" t="s">
        <v>2196</v>
      </c>
      <c r="N155" s="400"/>
      <c r="O155" s="29">
        <f>600*4+4902+12000</f>
        <v>19302</v>
      </c>
      <c r="P155" s="30"/>
      <c r="Q155" s="31">
        <v>45717</v>
      </c>
      <c r="R155" s="32">
        <v>46081</v>
      </c>
      <c r="S155" s="20" t="s">
        <v>2201</v>
      </c>
      <c r="T155" s="33" t="s">
        <v>2202</v>
      </c>
      <c r="U155" s="114">
        <v>45817</v>
      </c>
      <c r="V155" s="115">
        <v>1538451</v>
      </c>
      <c r="W155" s="18">
        <v>45847</v>
      </c>
      <c r="X155" s="19">
        <v>19302</v>
      </c>
      <c r="Y155" s="20" t="s">
        <v>115</v>
      </c>
      <c r="Z155" s="20" t="s">
        <v>1505</v>
      </c>
      <c r="AA155" s="22"/>
      <c r="AB155" s="23">
        <v>45778</v>
      </c>
      <c r="AC155" s="27" t="s">
        <v>2199</v>
      </c>
      <c r="AD155" s="80"/>
      <c r="AE155" s="24" t="s">
        <v>2183</v>
      </c>
      <c r="AG155" s="140"/>
    </row>
    <row r="156" spans="1:33" ht="27" customHeight="1">
      <c r="A156" s="15">
        <f t="shared" si="5"/>
        <v>153</v>
      </c>
      <c r="B156" s="81">
        <v>45800</v>
      </c>
      <c r="C156" s="15" t="s">
        <v>38</v>
      </c>
      <c r="D156" s="15" t="s">
        <v>2203</v>
      </c>
      <c r="E156" s="26" t="s">
        <v>40</v>
      </c>
      <c r="F156" s="27" t="s">
        <v>41</v>
      </c>
      <c r="G156" s="27">
        <v>645600</v>
      </c>
      <c r="H156" s="81">
        <v>45803</v>
      </c>
      <c r="I156" s="27">
        <v>6184343</v>
      </c>
      <c r="J156" s="28" t="s">
        <v>782</v>
      </c>
      <c r="K156" s="81">
        <v>45802</v>
      </c>
      <c r="L156" s="81">
        <v>46166</v>
      </c>
      <c r="M156" s="34" t="s">
        <v>2204</v>
      </c>
      <c r="N156" s="400"/>
      <c r="O156" s="29">
        <f>P156*7.89</f>
        <v>132984.372</v>
      </c>
      <c r="P156" s="30">
        <v>16854.8</v>
      </c>
      <c r="Q156" s="31">
        <v>45809</v>
      </c>
      <c r="R156" s="32">
        <v>46173</v>
      </c>
      <c r="S156" s="20" t="s">
        <v>784</v>
      </c>
      <c r="T156" s="33" t="s">
        <v>2205</v>
      </c>
      <c r="U156" s="16">
        <v>45805</v>
      </c>
      <c r="V156" s="17">
        <v>1536994</v>
      </c>
      <c r="W156" s="18">
        <v>45838</v>
      </c>
      <c r="X156" s="19">
        <v>130752.8</v>
      </c>
      <c r="Y156" s="20" t="s">
        <v>245</v>
      </c>
      <c r="Z156" s="20" t="s">
        <v>1546</v>
      </c>
      <c r="AA156" s="22"/>
      <c r="AB156" s="23">
        <v>45778</v>
      </c>
      <c r="AC156" s="27" t="s">
        <v>2206</v>
      </c>
      <c r="AD156" s="80"/>
      <c r="AE156" s="24"/>
      <c r="AF156" s="80" t="s">
        <v>2207</v>
      </c>
      <c r="AG156" s="140"/>
    </row>
    <row r="157" spans="1:33" ht="27" customHeight="1">
      <c r="A157" s="15">
        <f t="shared" si="5"/>
        <v>154</v>
      </c>
      <c r="B157" s="81">
        <v>45800</v>
      </c>
      <c r="C157" s="15" t="s">
        <v>38</v>
      </c>
      <c r="D157" s="15" t="s">
        <v>2208</v>
      </c>
      <c r="E157" s="26" t="s">
        <v>40</v>
      </c>
      <c r="F157" s="27" t="s">
        <v>41</v>
      </c>
      <c r="G157" s="27">
        <v>645600</v>
      </c>
      <c r="H157" s="81">
        <v>45803</v>
      </c>
      <c r="I157" s="27">
        <v>6184348</v>
      </c>
      <c r="J157" s="28" t="s">
        <v>782</v>
      </c>
      <c r="K157" s="81">
        <v>45802</v>
      </c>
      <c r="L157" s="81">
        <v>46166</v>
      </c>
      <c r="M157" s="34" t="s">
        <v>2204</v>
      </c>
      <c r="N157" s="400"/>
      <c r="O157" s="29">
        <f>P157*7.89</f>
        <v>683.58960000000002</v>
      </c>
      <c r="P157" s="30">
        <v>86.64</v>
      </c>
      <c r="Q157" s="31">
        <v>45809</v>
      </c>
      <c r="R157" s="32">
        <v>46173</v>
      </c>
      <c r="S157" s="20" t="s">
        <v>394</v>
      </c>
      <c r="T157" s="33" t="s">
        <v>2209</v>
      </c>
      <c r="U157" s="16">
        <v>45805</v>
      </c>
      <c r="V157" s="17">
        <v>1537161</v>
      </c>
      <c r="W157" s="18">
        <v>45884</v>
      </c>
      <c r="X157" s="19">
        <v>672.12</v>
      </c>
      <c r="Y157" s="20" t="s">
        <v>245</v>
      </c>
      <c r="Z157" s="20" t="s">
        <v>1546</v>
      </c>
      <c r="AA157" s="22"/>
      <c r="AB157" s="23">
        <v>45778</v>
      </c>
      <c r="AC157" s="27" t="s">
        <v>2206</v>
      </c>
      <c r="AD157" s="80"/>
      <c r="AE157" s="24"/>
      <c r="AF157" s="80">
        <v>9011024081</v>
      </c>
      <c r="AG157" s="140"/>
    </row>
    <row r="158" spans="1:33" ht="27" customHeight="1">
      <c r="A158" s="15">
        <f t="shared" si="5"/>
        <v>155</v>
      </c>
      <c r="B158" s="81">
        <v>45803</v>
      </c>
      <c r="C158" s="15" t="s">
        <v>38</v>
      </c>
      <c r="D158" s="15" t="s">
        <v>2210</v>
      </c>
      <c r="E158" s="26" t="s">
        <v>40</v>
      </c>
      <c r="F158" s="27" t="s">
        <v>41</v>
      </c>
      <c r="G158" s="27">
        <v>645600</v>
      </c>
      <c r="H158" s="81">
        <v>45805</v>
      </c>
      <c r="I158" s="27">
        <v>6185096</v>
      </c>
      <c r="J158" s="28" t="s">
        <v>411</v>
      </c>
      <c r="K158" s="81">
        <v>45802</v>
      </c>
      <c r="L158" s="81">
        <v>46166</v>
      </c>
      <c r="M158" s="34" t="s">
        <v>2211</v>
      </c>
      <c r="N158" s="400"/>
      <c r="O158" s="29">
        <f>P158*7.89</f>
        <v>12490.895700000001</v>
      </c>
      <c r="P158" s="30">
        <v>1583.13</v>
      </c>
      <c r="Q158" s="31">
        <v>45901</v>
      </c>
      <c r="R158" s="32">
        <v>46265</v>
      </c>
      <c r="S158" s="20" t="s">
        <v>538</v>
      </c>
      <c r="T158" s="33" t="s">
        <v>2212</v>
      </c>
      <c r="U158" s="16">
        <v>45807</v>
      </c>
      <c r="V158" s="17">
        <v>1537496</v>
      </c>
      <c r="W158" s="18">
        <v>45961</v>
      </c>
      <c r="X158" s="19">
        <v>12281.29</v>
      </c>
      <c r="Y158" s="20" t="s">
        <v>245</v>
      </c>
      <c r="Z158" s="20" t="s">
        <v>1546</v>
      </c>
      <c r="AA158" s="22"/>
      <c r="AB158" s="23">
        <v>45778</v>
      </c>
      <c r="AC158" s="27" t="s">
        <v>2213</v>
      </c>
      <c r="AD158" s="80"/>
      <c r="AE158" s="24"/>
      <c r="AF158" s="80" t="s">
        <v>2214</v>
      </c>
      <c r="AG158" s="140">
        <v>45876</v>
      </c>
    </row>
    <row r="159" spans="1:33" ht="27" customHeight="1">
      <c r="A159" s="15">
        <f t="shared" si="5"/>
        <v>156</v>
      </c>
      <c r="B159" s="81">
        <v>45803</v>
      </c>
      <c r="C159" s="15" t="s">
        <v>38</v>
      </c>
      <c r="D159" s="15" t="s">
        <v>2215</v>
      </c>
      <c r="E159" s="26" t="s">
        <v>40</v>
      </c>
      <c r="F159" s="27" t="s">
        <v>41</v>
      </c>
      <c r="G159" s="27">
        <v>645600</v>
      </c>
      <c r="H159" s="81">
        <v>45805</v>
      </c>
      <c r="I159" s="27">
        <v>6185102</v>
      </c>
      <c r="J159" s="28" t="s">
        <v>411</v>
      </c>
      <c r="K159" s="81">
        <v>45802</v>
      </c>
      <c r="L159" s="81">
        <v>46166</v>
      </c>
      <c r="M159" s="34" t="s">
        <v>2211</v>
      </c>
      <c r="N159" s="400"/>
      <c r="O159" s="29">
        <f>P159*7.89</f>
        <v>2885.4519</v>
      </c>
      <c r="P159" s="30">
        <f>279.49+86.22</f>
        <v>365.71000000000004</v>
      </c>
      <c r="Q159" s="31">
        <v>45940</v>
      </c>
      <c r="R159" s="32">
        <v>46295</v>
      </c>
      <c r="S159" s="20" t="s">
        <v>538</v>
      </c>
      <c r="T159" s="33" t="s">
        <v>2216</v>
      </c>
      <c r="U159" s="16">
        <v>45807</v>
      </c>
      <c r="V159" s="17">
        <v>1537497</v>
      </c>
      <c r="W159" s="18">
        <v>45961</v>
      </c>
      <c r="X159" s="19">
        <f>2168.17+668.86</f>
        <v>2837.03</v>
      </c>
      <c r="Y159" s="20" t="s">
        <v>245</v>
      </c>
      <c r="Z159" s="20" t="s">
        <v>1546</v>
      </c>
      <c r="AA159" s="22"/>
      <c r="AB159" s="23">
        <v>45778</v>
      </c>
      <c r="AC159" s="27" t="s">
        <v>2213</v>
      </c>
      <c r="AD159" s="80"/>
      <c r="AE159" s="24"/>
      <c r="AF159" s="196" t="s">
        <v>2217</v>
      </c>
      <c r="AG159" s="140">
        <v>45876</v>
      </c>
    </row>
    <row r="160" spans="1:33" ht="27" customHeight="1">
      <c r="A160" s="15">
        <v>157</v>
      </c>
      <c r="B160" s="81">
        <v>45797</v>
      </c>
      <c r="C160" s="15" t="s">
        <v>1498</v>
      </c>
      <c r="D160" s="112" t="s">
        <v>2218</v>
      </c>
      <c r="E160" s="26" t="s">
        <v>1500</v>
      </c>
      <c r="F160" s="27" t="s">
        <v>944</v>
      </c>
      <c r="G160" s="27">
        <v>645602</v>
      </c>
      <c r="H160" s="81">
        <v>45804</v>
      </c>
      <c r="I160" s="27">
        <v>6184369</v>
      </c>
      <c r="J160" s="28" t="s">
        <v>1508</v>
      </c>
      <c r="K160" s="81">
        <v>45628</v>
      </c>
      <c r="L160" s="81">
        <v>47088</v>
      </c>
      <c r="M160" s="34" t="s">
        <v>2191</v>
      </c>
      <c r="N160" s="400">
        <v>44800000</v>
      </c>
      <c r="O160" s="29">
        <v>9800</v>
      </c>
      <c r="P160" s="30"/>
      <c r="Q160" s="31" t="s">
        <v>2075</v>
      </c>
      <c r="R160" s="32"/>
      <c r="S160" s="20" t="s">
        <v>2219</v>
      </c>
      <c r="T160" s="33" t="s">
        <v>2220</v>
      </c>
      <c r="U160" s="114">
        <v>45819</v>
      </c>
      <c r="V160" s="115">
        <v>1537229</v>
      </c>
      <c r="W160" s="18"/>
      <c r="X160" s="19">
        <v>9800</v>
      </c>
      <c r="Y160" s="20" t="s">
        <v>1513</v>
      </c>
      <c r="Z160" s="20" t="s">
        <v>1505</v>
      </c>
      <c r="AA160" s="22"/>
      <c r="AB160" s="23">
        <v>45778</v>
      </c>
      <c r="AC160" s="27" t="s">
        <v>158</v>
      </c>
      <c r="AD160" s="80"/>
      <c r="AE160" s="24"/>
      <c r="AG160" s="140"/>
    </row>
    <row r="161" spans="1:33" ht="27" customHeight="1">
      <c r="A161" s="15">
        <f t="shared" si="5"/>
        <v>158</v>
      </c>
      <c r="B161" s="81">
        <v>45806</v>
      </c>
      <c r="C161" s="15" t="s">
        <v>38</v>
      </c>
      <c r="D161" s="15" t="s">
        <v>2221</v>
      </c>
      <c r="E161" s="26" t="s">
        <v>40</v>
      </c>
      <c r="F161" s="27" t="s">
        <v>41</v>
      </c>
      <c r="G161" s="27">
        <v>645600</v>
      </c>
      <c r="H161" s="81">
        <v>45807</v>
      </c>
      <c r="I161" s="27">
        <v>6185817</v>
      </c>
      <c r="J161" s="28" t="s">
        <v>2222</v>
      </c>
      <c r="K161" s="81">
        <v>45658</v>
      </c>
      <c r="L161" s="81">
        <v>46022</v>
      </c>
      <c r="M161" s="34" t="s">
        <v>2223</v>
      </c>
      <c r="N161" s="400"/>
      <c r="O161" s="29">
        <f>P161*7.89</f>
        <v>12527.9787</v>
      </c>
      <c r="P161" s="30">
        <v>1587.83</v>
      </c>
      <c r="Q161" s="31">
        <v>45717</v>
      </c>
      <c r="R161" s="32">
        <v>46812</v>
      </c>
      <c r="S161" s="20" t="s">
        <v>784</v>
      </c>
      <c r="T161" s="33" t="s">
        <v>2224</v>
      </c>
      <c r="U161" s="16">
        <v>45814</v>
      </c>
      <c r="V161" s="17">
        <v>1538274</v>
      </c>
      <c r="W161" s="18">
        <v>45896</v>
      </c>
      <c r="X161" s="19">
        <v>12317.75</v>
      </c>
      <c r="Y161" s="20" t="s">
        <v>336</v>
      </c>
      <c r="Z161" s="20" t="s">
        <v>1546</v>
      </c>
      <c r="AA161" s="22"/>
      <c r="AB161" s="23">
        <v>45778</v>
      </c>
      <c r="AC161" s="27" t="s">
        <v>2225</v>
      </c>
      <c r="AD161" s="80"/>
      <c r="AE161" s="24"/>
      <c r="AF161" s="80" t="s">
        <v>2226</v>
      </c>
      <c r="AG161" s="140">
        <v>45835</v>
      </c>
    </row>
    <row r="162" spans="1:33" ht="27" customHeight="1">
      <c r="A162" s="15">
        <f t="shared" si="5"/>
        <v>159</v>
      </c>
      <c r="B162" s="81">
        <v>45806</v>
      </c>
      <c r="C162" s="15" t="s">
        <v>38</v>
      </c>
      <c r="D162" s="15" t="s">
        <v>2227</v>
      </c>
      <c r="E162" s="26" t="s">
        <v>40</v>
      </c>
      <c r="F162" s="27" t="s">
        <v>277</v>
      </c>
      <c r="G162" s="27">
        <v>645600</v>
      </c>
      <c r="H162" s="81">
        <v>45807</v>
      </c>
      <c r="I162" s="27">
        <v>6185819</v>
      </c>
      <c r="J162" s="28" t="s">
        <v>2222</v>
      </c>
      <c r="K162" s="81">
        <v>45658</v>
      </c>
      <c r="L162" s="81">
        <v>46022</v>
      </c>
      <c r="M162" s="34" t="s">
        <v>2223</v>
      </c>
      <c r="N162" s="400"/>
      <c r="O162" s="29">
        <v>840</v>
      </c>
      <c r="P162" s="30"/>
      <c r="Q162" s="31">
        <v>45820</v>
      </c>
      <c r="R162" s="32">
        <v>46184</v>
      </c>
      <c r="S162" s="20" t="s">
        <v>1615</v>
      </c>
      <c r="T162" s="33" t="s">
        <v>2228</v>
      </c>
      <c r="U162" s="16">
        <v>45814</v>
      </c>
      <c r="V162" s="17">
        <v>1538279</v>
      </c>
      <c r="W162" s="18">
        <v>45946</v>
      </c>
      <c r="X162" s="19">
        <v>840</v>
      </c>
      <c r="Y162" s="20" t="s">
        <v>336</v>
      </c>
      <c r="Z162" s="20" t="s">
        <v>1546</v>
      </c>
      <c r="AA162" s="22"/>
      <c r="AB162" s="23">
        <v>45778</v>
      </c>
      <c r="AC162" s="27" t="s">
        <v>2225</v>
      </c>
      <c r="AD162" s="80"/>
      <c r="AE162" s="24"/>
      <c r="AG162" s="140"/>
    </row>
    <row r="163" spans="1:33" ht="27" customHeight="1">
      <c r="A163" s="15">
        <f t="shared" si="5"/>
        <v>160</v>
      </c>
      <c r="B163" s="81">
        <v>45812</v>
      </c>
      <c r="C163" s="15" t="s">
        <v>38</v>
      </c>
      <c r="D163" s="15" t="s">
        <v>2229</v>
      </c>
      <c r="E163" s="26" t="s">
        <v>40</v>
      </c>
      <c r="F163" s="27" t="s">
        <v>277</v>
      </c>
      <c r="G163" s="27">
        <v>645600</v>
      </c>
      <c r="H163" s="81">
        <v>45817</v>
      </c>
      <c r="I163" s="27">
        <v>6187980</v>
      </c>
      <c r="J163" s="28" t="s">
        <v>2230</v>
      </c>
      <c r="K163" s="81">
        <v>43098</v>
      </c>
      <c r="L163" s="81">
        <v>46384</v>
      </c>
      <c r="M163" s="34" t="s">
        <v>1200</v>
      </c>
      <c r="N163" s="400"/>
      <c r="O163" s="29">
        <v>2000</v>
      </c>
      <c r="P163" s="30"/>
      <c r="Q163" s="31" t="s">
        <v>2231</v>
      </c>
      <c r="R163" s="32"/>
      <c r="S163" s="20" t="s">
        <v>607</v>
      </c>
      <c r="T163" s="33" t="s">
        <v>2232</v>
      </c>
      <c r="U163" s="16">
        <v>45819</v>
      </c>
      <c r="V163" s="17">
        <v>1538745</v>
      </c>
      <c r="W163" s="18">
        <v>45981</v>
      </c>
      <c r="X163" s="19">
        <v>2000</v>
      </c>
      <c r="Y163" s="20" t="s">
        <v>105</v>
      </c>
      <c r="Z163" s="20" t="s">
        <v>1058</v>
      </c>
      <c r="AA163" s="22"/>
      <c r="AB163" s="23">
        <v>45809</v>
      </c>
      <c r="AC163" s="27" t="s">
        <v>2233</v>
      </c>
      <c r="AD163" s="80"/>
      <c r="AE163" s="24"/>
      <c r="AG163" s="140"/>
    </row>
    <row r="164" spans="1:33" ht="27" customHeight="1">
      <c r="A164" s="15">
        <f t="shared" si="5"/>
        <v>161</v>
      </c>
      <c r="B164" s="81">
        <v>45814</v>
      </c>
      <c r="C164" s="15" t="s">
        <v>38</v>
      </c>
      <c r="D164" s="15" t="s">
        <v>2234</v>
      </c>
      <c r="E164" s="26" t="s">
        <v>40</v>
      </c>
      <c r="F164" s="27" t="s">
        <v>41</v>
      </c>
      <c r="G164" s="27">
        <v>645600</v>
      </c>
      <c r="H164" s="81">
        <v>45817</v>
      </c>
      <c r="I164" s="27">
        <v>6187908</v>
      </c>
      <c r="J164" s="28" t="s">
        <v>411</v>
      </c>
      <c r="K164" s="81">
        <v>45802</v>
      </c>
      <c r="L164" s="81">
        <v>46166</v>
      </c>
      <c r="M164" s="34" t="s">
        <v>2211</v>
      </c>
      <c r="N164" s="400"/>
      <c r="O164" s="29">
        <f>P164*7.89</f>
        <v>84964.490699999995</v>
      </c>
      <c r="P164" s="30">
        <f>6559.67+874.61+3334.35</f>
        <v>10768.63</v>
      </c>
      <c r="Q164" s="31">
        <v>45901</v>
      </c>
      <c r="R164" s="32">
        <v>46265</v>
      </c>
      <c r="S164" s="20" t="s">
        <v>784</v>
      </c>
      <c r="T164" s="33" t="s">
        <v>2235</v>
      </c>
      <c r="U164" s="16">
        <v>45825</v>
      </c>
      <c r="V164" s="17">
        <v>1539787</v>
      </c>
      <c r="W164" s="18">
        <v>45953</v>
      </c>
      <c r="X164" s="19">
        <f>51401.57+6853.44+26127.97</f>
        <v>84382.98000000001</v>
      </c>
      <c r="Y164" s="20" t="s">
        <v>245</v>
      </c>
      <c r="Z164" s="20" t="s">
        <v>1546</v>
      </c>
      <c r="AA164" s="22"/>
      <c r="AB164" s="23">
        <v>45809</v>
      </c>
      <c r="AC164" s="27" t="s">
        <v>2213</v>
      </c>
      <c r="AD164" s="80"/>
      <c r="AE164" s="24"/>
      <c r="AF164" s="80" t="s">
        <v>2236</v>
      </c>
      <c r="AG164" s="140">
        <v>45902</v>
      </c>
    </row>
    <row r="165" spans="1:33" ht="27" customHeight="1">
      <c r="A165" s="15">
        <f t="shared" si="5"/>
        <v>162</v>
      </c>
      <c r="B165" s="81">
        <v>45817</v>
      </c>
      <c r="C165" s="15" t="s">
        <v>38</v>
      </c>
      <c r="D165" s="15" t="s">
        <v>2237</v>
      </c>
      <c r="E165" s="26" t="s">
        <v>40</v>
      </c>
      <c r="F165" s="27" t="s">
        <v>41</v>
      </c>
      <c r="G165" s="27">
        <v>645600</v>
      </c>
      <c r="H165" s="81">
        <v>45817</v>
      </c>
      <c r="I165" s="27">
        <v>6188098</v>
      </c>
      <c r="J165" s="28" t="s">
        <v>1003</v>
      </c>
      <c r="K165" s="81">
        <v>45839</v>
      </c>
      <c r="L165" s="81">
        <v>46203</v>
      </c>
      <c r="M165" s="34" t="s">
        <v>2238</v>
      </c>
      <c r="N165" s="400"/>
      <c r="O165" s="29">
        <f>P165*7.89</f>
        <v>203237.2476</v>
      </c>
      <c r="P165" s="30">
        <v>25758.84</v>
      </c>
      <c r="Q165" s="31">
        <v>45839</v>
      </c>
      <c r="R165" s="32">
        <v>46203</v>
      </c>
      <c r="S165" s="20" t="s">
        <v>538</v>
      </c>
      <c r="T165" s="33" t="s">
        <v>2239</v>
      </c>
      <c r="U165" s="16">
        <v>45819</v>
      </c>
      <c r="V165" s="17">
        <v>1538967</v>
      </c>
      <c r="W165" s="18">
        <v>45911</v>
      </c>
      <c r="X165" s="19">
        <v>201846.27</v>
      </c>
      <c r="Y165" s="20" t="s">
        <v>245</v>
      </c>
      <c r="Z165" s="20" t="s">
        <v>1934</v>
      </c>
      <c r="AA165" s="22"/>
      <c r="AB165" s="23">
        <v>45809</v>
      </c>
      <c r="AC165" s="27" t="s">
        <v>2240</v>
      </c>
      <c r="AD165" s="80"/>
      <c r="AE165" s="24"/>
      <c r="AF165" s="80" t="s">
        <v>2241</v>
      </c>
      <c r="AG165" s="140">
        <v>45821</v>
      </c>
    </row>
    <row r="166" spans="1:33" ht="27" customHeight="1">
      <c r="A166" s="15">
        <f t="shared" si="5"/>
        <v>163</v>
      </c>
      <c r="B166" s="81">
        <v>45820</v>
      </c>
      <c r="C166" s="15" t="s">
        <v>38</v>
      </c>
      <c r="D166" s="15" t="s">
        <v>2242</v>
      </c>
      <c r="E166" s="26" t="s">
        <v>40</v>
      </c>
      <c r="F166" s="27" t="s">
        <v>41</v>
      </c>
      <c r="G166" s="27">
        <v>645600</v>
      </c>
      <c r="H166" s="81">
        <v>45820</v>
      </c>
      <c r="I166" s="27">
        <v>6189130</v>
      </c>
      <c r="J166" s="28" t="s">
        <v>2243</v>
      </c>
      <c r="K166" s="81">
        <v>45837</v>
      </c>
      <c r="L166" s="81">
        <v>46932</v>
      </c>
      <c r="M166" s="34" t="s">
        <v>2244</v>
      </c>
      <c r="N166" s="400"/>
      <c r="O166" s="29">
        <f>P166*7.89</f>
        <v>312596.277</v>
      </c>
      <c r="P166" s="30">
        <v>39619.300000000003</v>
      </c>
      <c r="Q166" s="31">
        <v>45839</v>
      </c>
      <c r="R166" s="32">
        <v>46934</v>
      </c>
      <c r="S166" s="20" t="s">
        <v>784</v>
      </c>
      <c r="T166" s="33" t="s">
        <v>2245</v>
      </c>
      <c r="U166" s="16">
        <v>45832</v>
      </c>
      <c r="V166" s="17">
        <v>1540929</v>
      </c>
      <c r="W166" s="18">
        <v>45896</v>
      </c>
      <c r="X166" s="19">
        <v>310456.83</v>
      </c>
      <c r="Y166" s="20" t="s">
        <v>336</v>
      </c>
      <c r="Z166" s="20" t="s">
        <v>1934</v>
      </c>
      <c r="AA166" s="22"/>
      <c r="AB166" s="23">
        <v>45809</v>
      </c>
      <c r="AC166" s="27" t="s">
        <v>2246</v>
      </c>
      <c r="AD166" s="80"/>
      <c r="AE166" s="24"/>
      <c r="AF166" s="80" t="s">
        <v>2247</v>
      </c>
      <c r="AG166" s="140"/>
    </row>
    <row r="167" spans="1:33" ht="27" customHeight="1">
      <c r="A167" s="15">
        <f t="shared" si="5"/>
        <v>164</v>
      </c>
      <c r="B167" s="81">
        <v>45820</v>
      </c>
      <c r="C167" s="15" t="s">
        <v>38</v>
      </c>
      <c r="D167" s="15" t="s">
        <v>2248</v>
      </c>
      <c r="E167" s="26" t="s">
        <v>70</v>
      </c>
      <c r="F167" s="27" t="s">
        <v>41</v>
      </c>
      <c r="G167" s="27">
        <v>645600</v>
      </c>
      <c r="H167" s="81">
        <v>45821</v>
      </c>
      <c r="I167" s="27">
        <v>6189746</v>
      </c>
      <c r="J167" s="28" t="s">
        <v>2249</v>
      </c>
      <c r="K167" s="81">
        <v>45732</v>
      </c>
      <c r="L167" s="81">
        <v>46096</v>
      </c>
      <c r="M167" s="34" t="s">
        <v>2250</v>
      </c>
      <c r="N167" s="400"/>
      <c r="O167" s="29">
        <v>36207</v>
      </c>
      <c r="P167" s="30"/>
      <c r="Q167" s="31">
        <v>45732</v>
      </c>
      <c r="R167" s="32">
        <v>46096</v>
      </c>
      <c r="S167" s="20" t="s">
        <v>180</v>
      </c>
      <c r="T167" s="33" t="s">
        <v>2251</v>
      </c>
      <c r="U167" s="16">
        <v>45834</v>
      </c>
      <c r="V167" s="17">
        <v>1541456</v>
      </c>
      <c r="W167" s="18">
        <v>45939</v>
      </c>
      <c r="X167" s="19">
        <v>36207</v>
      </c>
      <c r="Y167" s="20" t="s">
        <v>56</v>
      </c>
      <c r="Z167" s="20" t="s">
        <v>899</v>
      </c>
      <c r="AA167" s="22">
        <v>45826</v>
      </c>
      <c r="AB167" s="23">
        <v>45809</v>
      </c>
      <c r="AC167" s="27" t="s">
        <v>2252</v>
      </c>
      <c r="AD167" s="80"/>
      <c r="AE167" s="24"/>
      <c r="AF167" s="80" t="s">
        <v>2253</v>
      </c>
      <c r="AG167" s="140">
        <v>45917</v>
      </c>
    </row>
    <row r="168" spans="1:33" ht="27" customHeight="1">
      <c r="A168" s="15">
        <f t="shared" si="5"/>
        <v>165</v>
      </c>
      <c r="B168" s="81">
        <v>45820</v>
      </c>
      <c r="C168" s="15" t="s">
        <v>38</v>
      </c>
      <c r="D168" s="15" t="s">
        <v>2254</v>
      </c>
      <c r="E168" s="26" t="s">
        <v>70</v>
      </c>
      <c r="F168" s="27" t="s">
        <v>41</v>
      </c>
      <c r="G168" s="27">
        <v>645600</v>
      </c>
      <c r="H168" s="81">
        <v>45821</v>
      </c>
      <c r="I168" s="27">
        <v>6189747</v>
      </c>
      <c r="J168" s="28" t="s">
        <v>2249</v>
      </c>
      <c r="K168" s="81">
        <v>45732</v>
      </c>
      <c r="L168" s="81">
        <v>46096</v>
      </c>
      <c r="M168" s="34" t="s">
        <v>2250</v>
      </c>
      <c r="N168" s="400"/>
      <c r="O168" s="29">
        <f>P168*7.89</f>
        <v>56626.53</v>
      </c>
      <c r="P168" s="30">
        <v>7177</v>
      </c>
      <c r="Q168" s="31">
        <v>45763</v>
      </c>
      <c r="R168" s="32">
        <v>46127</v>
      </c>
      <c r="S168" s="20" t="s">
        <v>905</v>
      </c>
      <c r="T168" s="33" t="s">
        <v>2255</v>
      </c>
      <c r="U168" s="16">
        <v>45835</v>
      </c>
      <c r="V168" s="17">
        <v>1541680</v>
      </c>
      <c r="W168" s="18">
        <v>45868</v>
      </c>
      <c r="X168" s="19">
        <v>56238.97</v>
      </c>
      <c r="Y168" s="20" t="s">
        <v>56</v>
      </c>
      <c r="Z168" s="20" t="s">
        <v>899</v>
      </c>
      <c r="AA168" s="22">
        <v>45826</v>
      </c>
      <c r="AB168" s="23">
        <v>45809</v>
      </c>
      <c r="AC168" s="27" t="s">
        <v>2252</v>
      </c>
      <c r="AD168" s="80"/>
      <c r="AE168" s="24"/>
      <c r="AF168" s="80" t="s">
        <v>2256</v>
      </c>
      <c r="AG168" s="140"/>
    </row>
    <row r="169" spans="1:33" ht="27" customHeight="1">
      <c r="A169" s="15">
        <f t="shared" si="5"/>
        <v>166</v>
      </c>
      <c r="B169" s="81">
        <v>45820</v>
      </c>
      <c r="C169" s="15" t="s">
        <v>38</v>
      </c>
      <c r="D169" s="15" t="s">
        <v>2257</v>
      </c>
      <c r="E169" s="26" t="s">
        <v>70</v>
      </c>
      <c r="F169" s="27" t="s">
        <v>41</v>
      </c>
      <c r="G169" s="27">
        <v>645600</v>
      </c>
      <c r="H169" s="81">
        <v>45821</v>
      </c>
      <c r="I169" s="27">
        <v>6189749</v>
      </c>
      <c r="J169" s="28" t="s">
        <v>903</v>
      </c>
      <c r="K169" s="81">
        <v>45754</v>
      </c>
      <c r="L169" s="81">
        <v>46118</v>
      </c>
      <c r="M169" s="34" t="s">
        <v>2258</v>
      </c>
      <c r="N169" s="400"/>
      <c r="O169" s="29">
        <f>P169*7.89</f>
        <v>62015.399999999994</v>
      </c>
      <c r="P169" s="30">
        <v>7860</v>
      </c>
      <c r="Q169" s="31">
        <v>45784</v>
      </c>
      <c r="R169" s="32">
        <v>46148</v>
      </c>
      <c r="S169" s="20" t="s">
        <v>905</v>
      </c>
      <c r="T169" s="33" t="s">
        <v>2259</v>
      </c>
      <c r="U169" s="16">
        <v>45835</v>
      </c>
      <c r="V169" s="17">
        <v>1541676</v>
      </c>
      <c r="W169" s="18">
        <v>45868</v>
      </c>
      <c r="X169" s="19">
        <v>61590.96</v>
      </c>
      <c r="Y169" s="20" t="s">
        <v>56</v>
      </c>
      <c r="Z169" s="20" t="s">
        <v>899</v>
      </c>
      <c r="AA169" s="22">
        <v>45826</v>
      </c>
      <c r="AB169" s="23">
        <v>45809</v>
      </c>
      <c r="AC169" s="27" t="s">
        <v>2260</v>
      </c>
      <c r="AD169" s="80"/>
      <c r="AE169" s="24"/>
      <c r="AF169" s="80" t="s">
        <v>2261</v>
      </c>
      <c r="AG169" s="140"/>
    </row>
    <row r="170" spans="1:33" ht="27" customHeight="1">
      <c r="A170" s="15">
        <f>A169+1</f>
        <v>167</v>
      </c>
      <c r="B170" s="81">
        <v>45824</v>
      </c>
      <c r="C170" s="15" t="s">
        <v>1498</v>
      </c>
      <c r="D170" s="15" t="s">
        <v>2262</v>
      </c>
      <c r="E170" s="26" t="s">
        <v>1500</v>
      </c>
      <c r="F170" s="27" t="s">
        <v>944</v>
      </c>
      <c r="G170" s="27">
        <v>645602</v>
      </c>
      <c r="H170" s="81">
        <v>45824</v>
      </c>
      <c r="I170" s="27">
        <v>6189915</v>
      </c>
      <c r="J170" s="28" t="s">
        <v>142</v>
      </c>
      <c r="K170" s="81">
        <v>45778</v>
      </c>
      <c r="L170" s="81">
        <v>46142</v>
      </c>
      <c r="M170" s="34" t="s">
        <v>144</v>
      </c>
      <c r="N170" s="400">
        <v>5898390</v>
      </c>
      <c r="O170" s="29">
        <v>55900</v>
      </c>
      <c r="P170" s="30"/>
      <c r="Q170" s="31">
        <v>45778</v>
      </c>
      <c r="R170" s="32">
        <v>46142</v>
      </c>
      <c r="S170" s="20" t="s">
        <v>2263</v>
      </c>
      <c r="T170" s="33" t="s">
        <v>2264</v>
      </c>
      <c r="U170" s="114">
        <v>45835</v>
      </c>
      <c r="V170" s="115">
        <v>1540443</v>
      </c>
      <c r="W170" s="18"/>
      <c r="X170" s="19">
        <v>55900</v>
      </c>
      <c r="Y170" s="20" t="s">
        <v>1504</v>
      </c>
      <c r="Z170" s="20" t="s">
        <v>1505</v>
      </c>
      <c r="AA170" s="22"/>
      <c r="AB170" s="23">
        <v>45809</v>
      </c>
      <c r="AC170" s="27" t="s">
        <v>149</v>
      </c>
      <c r="AD170" s="80"/>
      <c r="AE170" s="24"/>
      <c r="AG170" s="140"/>
    </row>
    <row r="171" spans="1:33" ht="27" customHeight="1">
      <c r="A171" s="15">
        <f t="shared" si="5"/>
        <v>168</v>
      </c>
      <c r="B171" s="81">
        <v>45824</v>
      </c>
      <c r="C171" s="15" t="s">
        <v>38</v>
      </c>
      <c r="D171" s="15" t="s">
        <v>2265</v>
      </c>
      <c r="E171" s="26" t="s">
        <v>70</v>
      </c>
      <c r="F171" s="27" t="s">
        <v>277</v>
      </c>
      <c r="G171" s="27">
        <v>645600</v>
      </c>
      <c r="H171" s="81">
        <v>45825</v>
      </c>
      <c r="I171" s="27">
        <v>6190670</v>
      </c>
      <c r="J171" s="28" t="s">
        <v>2266</v>
      </c>
      <c r="K171" s="81">
        <v>45839</v>
      </c>
      <c r="L171" s="81">
        <v>46203</v>
      </c>
      <c r="M171" s="34" t="s">
        <v>2267</v>
      </c>
      <c r="N171" s="400"/>
      <c r="O171" s="29">
        <v>40480</v>
      </c>
      <c r="P171" s="30"/>
      <c r="Q171" s="31">
        <v>45839</v>
      </c>
      <c r="R171" s="32">
        <v>46203</v>
      </c>
      <c r="S171" s="20" t="s">
        <v>180</v>
      </c>
      <c r="T171" s="33" t="s">
        <v>2268</v>
      </c>
      <c r="U171" s="114">
        <v>45834</v>
      </c>
      <c r="V171" s="115">
        <v>1541453</v>
      </c>
      <c r="W171" s="18">
        <v>45939</v>
      </c>
      <c r="X171" s="19">
        <v>40480</v>
      </c>
      <c r="Y171" s="20" t="s">
        <v>794</v>
      </c>
      <c r="Z171" s="20" t="s">
        <v>899</v>
      </c>
      <c r="AA171" s="22">
        <v>45826</v>
      </c>
      <c r="AB171" s="23">
        <v>45809</v>
      </c>
      <c r="AC171" s="27" t="s">
        <v>2269</v>
      </c>
      <c r="AD171" s="80" t="s">
        <v>1803</v>
      </c>
      <c r="AE171" s="24" t="s">
        <v>2108</v>
      </c>
      <c r="AG171" s="140"/>
    </row>
    <row r="172" spans="1:33" ht="27" customHeight="1">
      <c r="A172" s="15">
        <f t="shared" si="5"/>
        <v>169</v>
      </c>
      <c r="B172" s="81">
        <v>45831</v>
      </c>
      <c r="C172" s="15" t="s">
        <v>38</v>
      </c>
      <c r="D172" s="15" t="s">
        <v>2270</v>
      </c>
      <c r="E172" s="26" t="s">
        <v>40</v>
      </c>
      <c r="F172" s="27" t="s">
        <v>41</v>
      </c>
      <c r="G172" s="27">
        <v>645600</v>
      </c>
      <c r="H172" s="81">
        <v>45831</v>
      </c>
      <c r="I172" s="27">
        <v>6192295</v>
      </c>
      <c r="J172" s="28" t="s">
        <v>411</v>
      </c>
      <c r="K172" s="81">
        <v>45802</v>
      </c>
      <c r="L172" s="81">
        <v>46166</v>
      </c>
      <c r="M172" s="34" t="s">
        <v>2211</v>
      </c>
      <c r="N172" s="400"/>
      <c r="O172" s="29">
        <f>P172*7.89</f>
        <v>614099.21400000004</v>
      </c>
      <c r="P172" s="30">
        <v>77832.600000000006</v>
      </c>
      <c r="Q172" s="31">
        <v>45870</v>
      </c>
      <c r="R172" s="32">
        <v>46234</v>
      </c>
      <c r="S172" s="20" t="s">
        <v>394</v>
      </c>
      <c r="T172" s="33" t="s">
        <v>2271</v>
      </c>
      <c r="U172" s="114">
        <v>45838</v>
      </c>
      <c r="V172" s="115">
        <v>1541863</v>
      </c>
      <c r="W172" s="18">
        <v>45883</v>
      </c>
      <c r="X172" s="19">
        <v>609896.25</v>
      </c>
      <c r="Y172" s="20" t="s">
        <v>245</v>
      </c>
      <c r="Z172" s="20" t="s">
        <v>1546</v>
      </c>
      <c r="AA172" s="22"/>
      <c r="AB172" s="23">
        <v>45809</v>
      </c>
      <c r="AC172" s="27" t="s">
        <v>2213</v>
      </c>
      <c r="AD172" s="80"/>
      <c r="AE172" s="24" t="s">
        <v>2272</v>
      </c>
      <c r="AF172" s="80">
        <v>9011024271</v>
      </c>
      <c r="AG172" s="140">
        <v>45870</v>
      </c>
    </row>
    <row r="173" spans="1:33" ht="27" customHeight="1">
      <c r="A173" s="15">
        <f t="shared" si="5"/>
        <v>170</v>
      </c>
      <c r="B173" s="81">
        <v>45831</v>
      </c>
      <c r="C173" s="15" t="s">
        <v>38</v>
      </c>
      <c r="D173" s="15" t="s">
        <v>2273</v>
      </c>
      <c r="E173" s="26" t="s">
        <v>40</v>
      </c>
      <c r="F173" s="27" t="s">
        <v>41</v>
      </c>
      <c r="G173" s="27">
        <v>645600</v>
      </c>
      <c r="H173" s="81">
        <v>45831</v>
      </c>
      <c r="I173" s="27">
        <v>6192339</v>
      </c>
      <c r="J173" s="28" t="s">
        <v>411</v>
      </c>
      <c r="K173" s="81">
        <v>45802</v>
      </c>
      <c r="L173" s="81">
        <v>46166</v>
      </c>
      <c r="M173" s="34" t="s">
        <v>2211</v>
      </c>
      <c r="N173" s="400"/>
      <c r="O173" s="29">
        <f t="shared" ref="O173:O177" si="7">P173*7.89</f>
        <v>325044.01439999999</v>
      </c>
      <c r="P173" s="30">
        <v>41196.959999999999</v>
      </c>
      <c r="Q173" s="31">
        <v>45870</v>
      </c>
      <c r="R173" s="32">
        <v>46234</v>
      </c>
      <c r="S173" s="20" t="s">
        <v>394</v>
      </c>
      <c r="T173" s="33" t="s">
        <v>2274</v>
      </c>
      <c r="U173" s="114">
        <v>45838</v>
      </c>
      <c r="V173" s="115">
        <v>1541864</v>
      </c>
      <c r="W173" s="18">
        <v>45883</v>
      </c>
      <c r="X173" s="19">
        <v>322819.38</v>
      </c>
      <c r="Y173" s="20" t="s">
        <v>245</v>
      </c>
      <c r="Z173" s="20" t="s">
        <v>1546</v>
      </c>
      <c r="AA173" s="22"/>
      <c r="AB173" s="23">
        <v>45809</v>
      </c>
      <c r="AC173" s="27" t="s">
        <v>2213</v>
      </c>
      <c r="AD173" s="80"/>
      <c r="AE173" s="24" t="s">
        <v>2272</v>
      </c>
      <c r="AF173" s="80">
        <v>9011024270</v>
      </c>
      <c r="AG173" s="140">
        <v>45870</v>
      </c>
    </row>
    <row r="174" spans="1:33" ht="27" customHeight="1">
      <c r="A174" s="15">
        <f t="shared" ref="A174:A181" si="8">A173+1</f>
        <v>171</v>
      </c>
      <c r="B174" s="81">
        <v>45831</v>
      </c>
      <c r="C174" s="15" t="s">
        <v>38</v>
      </c>
      <c r="D174" s="15" t="s">
        <v>2275</v>
      </c>
      <c r="E174" s="26" t="s">
        <v>40</v>
      </c>
      <c r="F174" s="27" t="s">
        <v>41</v>
      </c>
      <c r="G174" s="27">
        <v>645600</v>
      </c>
      <c r="H174" s="81">
        <v>45831</v>
      </c>
      <c r="I174" s="27">
        <v>6192340</v>
      </c>
      <c r="J174" s="28" t="s">
        <v>411</v>
      </c>
      <c r="K174" s="81">
        <v>45802</v>
      </c>
      <c r="L174" s="81">
        <v>46166</v>
      </c>
      <c r="M174" s="34" t="s">
        <v>2211</v>
      </c>
      <c r="N174" s="400"/>
      <c r="O174" s="29">
        <f t="shared" si="7"/>
        <v>7915.2479999999996</v>
      </c>
      <c r="P174" s="30">
        <v>1003.2</v>
      </c>
      <c r="Q174" s="31">
        <v>45931</v>
      </c>
      <c r="R174" s="32">
        <v>46295</v>
      </c>
      <c r="S174" s="20" t="s">
        <v>394</v>
      </c>
      <c r="T174" s="33" t="s">
        <v>2276</v>
      </c>
      <c r="U174" s="114">
        <v>45834</v>
      </c>
      <c r="V174" s="115">
        <v>1541451</v>
      </c>
      <c r="W174" s="18">
        <v>45999</v>
      </c>
      <c r="X174" s="19">
        <v>7861.08</v>
      </c>
      <c r="Y174" s="20" t="s">
        <v>245</v>
      </c>
      <c r="Z174" s="20" t="s">
        <v>1546</v>
      </c>
      <c r="AA174" s="22"/>
      <c r="AB174" s="23">
        <v>45809</v>
      </c>
      <c r="AC174" s="27" t="s">
        <v>2213</v>
      </c>
      <c r="AD174" s="80"/>
      <c r="AE174" s="24" t="s">
        <v>2272</v>
      </c>
      <c r="AF174" s="80" t="s">
        <v>2277</v>
      </c>
      <c r="AG174" s="140">
        <v>45887</v>
      </c>
    </row>
    <row r="175" spans="1:33" ht="27" customHeight="1">
      <c r="A175" s="15">
        <f t="shared" si="8"/>
        <v>172</v>
      </c>
      <c r="B175" s="81">
        <v>45831</v>
      </c>
      <c r="C175" s="15" t="s">
        <v>38</v>
      </c>
      <c r="D175" s="15" t="s">
        <v>2278</v>
      </c>
      <c r="E175" s="26" t="s">
        <v>40</v>
      </c>
      <c r="F175" s="27" t="s">
        <v>41</v>
      </c>
      <c r="G175" s="27">
        <v>645600</v>
      </c>
      <c r="H175" s="81">
        <v>45831</v>
      </c>
      <c r="I175" s="27">
        <v>6192341</v>
      </c>
      <c r="J175" s="28" t="s">
        <v>411</v>
      </c>
      <c r="K175" s="81">
        <v>45802</v>
      </c>
      <c r="L175" s="81">
        <v>46166</v>
      </c>
      <c r="M175" s="34" t="s">
        <v>2211</v>
      </c>
      <c r="N175" s="400"/>
      <c r="O175" s="29">
        <f t="shared" si="7"/>
        <v>9549.2669999999998</v>
      </c>
      <c r="P175" s="30">
        <v>1210.3</v>
      </c>
      <c r="Q175" s="31">
        <v>45929</v>
      </c>
      <c r="R175" s="32">
        <v>46295</v>
      </c>
      <c r="S175" s="20" t="s">
        <v>394</v>
      </c>
      <c r="T175" s="33" t="s">
        <v>2279</v>
      </c>
      <c r="U175" s="114">
        <v>45834</v>
      </c>
      <c r="V175" s="115">
        <v>1541451</v>
      </c>
      <c r="W175" s="18"/>
      <c r="X175" s="19">
        <v>9483.91</v>
      </c>
      <c r="Y175" s="20" t="s">
        <v>245</v>
      </c>
      <c r="Z175" s="20" t="s">
        <v>1546</v>
      </c>
      <c r="AA175" s="22"/>
      <c r="AB175" s="23">
        <v>45809</v>
      </c>
      <c r="AC175" s="27" t="s">
        <v>2213</v>
      </c>
      <c r="AD175" s="80"/>
      <c r="AE175" s="24" t="s">
        <v>2272</v>
      </c>
      <c r="AG175" s="140"/>
    </row>
    <row r="176" spans="1:33" ht="27" customHeight="1">
      <c r="A176" s="15">
        <f t="shared" si="8"/>
        <v>173</v>
      </c>
      <c r="B176" s="81">
        <v>45831</v>
      </c>
      <c r="C176" s="15" t="s">
        <v>38</v>
      </c>
      <c r="D176" s="15" t="s">
        <v>2280</v>
      </c>
      <c r="E176" s="26" t="s">
        <v>40</v>
      </c>
      <c r="F176" s="27" t="s">
        <v>41</v>
      </c>
      <c r="G176" s="27">
        <v>645600</v>
      </c>
      <c r="H176" s="81">
        <v>45831</v>
      </c>
      <c r="I176" s="27">
        <v>6192342</v>
      </c>
      <c r="J176" s="28" t="s">
        <v>411</v>
      </c>
      <c r="K176" s="81">
        <v>45802</v>
      </c>
      <c r="L176" s="81">
        <v>46166</v>
      </c>
      <c r="M176" s="34" t="s">
        <v>2211</v>
      </c>
      <c r="N176" s="400"/>
      <c r="O176" s="29">
        <f t="shared" si="7"/>
        <v>4848.5627999999997</v>
      </c>
      <c r="P176" s="30">
        <v>614.52</v>
      </c>
      <c r="Q176" s="31">
        <v>45870</v>
      </c>
      <c r="R176" s="32">
        <v>46234</v>
      </c>
      <c r="S176" s="20" t="s">
        <v>394</v>
      </c>
      <c r="T176" s="33" t="s">
        <v>2281</v>
      </c>
      <c r="U176" s="114">
        <v>45834</v>
      </c>
      <c r="V176" s="115">
        <v>1541451</v>
      </c>
      <c r="W176" s="18">
        <v>45938</v>
      </c>
      <c r="X176" s="19">
        <v>4815.38</v>
      </c>
      <c r="Y176" s="20" t="s">
        <v>245</v>
      </c>
      <c r="Z176" s="20" t="s">
        <v>1546</v>
      </c>
      <c r="AA176" s="22"/>
      <c r="AB176" s="23">
        <v>45809</v>
      </c>
      <c r="AC176" s="27" t="s">
        <v>2213</v>
      </c>
      <c r="AD176" s="80"/>
      <c r="AE176" s="24" t="s">
        <v>2272</v>
      </c>
      <c r="AF176" s="80">
        <v>4955897338</v>
      </c>
      <c r="AG176" s="140">
        <v>45870</v>
      </c>
    </row>
    <row r="177" spans="1:33" ht="27" customHeight="1">
      <c r="A177" s="15">
        <f t="shared" si="8"/>
        <v>174</v>
      </c>
      <c r="B177" s="81">
        <v>45831</v>
      </c>
      <c r="C177" s="15" t="s">
        <v>38</v>
      </c>
      <c r="D177" s="15" t="s">
        <v>2282</v>
      </c>
      <c r="E177" s="26" t="s">
        <v>40</v>
      </c>
      <c r="F177" s="27" t="s">
        <v>41</v>
      </c>
      <c r="G177" s="27">
        <v>645600</v>
      </c>
      <c r="H177" s="81">
        <v>45831</v>
      </c>
      <c r="I177" s="27">
        <v>6192343</v>
      </c>
      <c r="J177" s="28" t="s">
        <v>411</v>
      </c>
      <c r="K177" s="81">
        <v>45802</v>
      </c>
      <c r="L177" s="81">
        <v>46166</v>
      </c>
      <c r="M177" s="34" t="s">
        <v>2211</v>
      </c>
      <c r="N177" s="400"/>
      <c r="O177" s="29">
        <f t="shared" si="7"/>
        <v>0</v>
      </c>
      <c r="P177" s="30">
        <v>0</v>
      </c>
      <c r="Q177" s="31">
        <v>45931</v>
      </c>
      <c r="R177" s="32">
        <v>46295</v>
      </c>
      <c r="S177" s="20" t="s">
        <v>394</v>
      </c>
      <c r="T177" s="33" t="s">
        <v>2283</v>
      </c>
      <c r="U177" s="114">
        <v>45834</v>
      </c>
      <c r="V177" s="115">
        <v>1541451</v>
      </c>
      <c r="W177" s="18"/>
      <c r="X177" s="19">
        <v>0</v>
      </c>
      <c r="Y177" s="20" t="s">
        <v>245</v>
      </c>
      <c r="Z177" s="20" t="s">
        <v>1546</v>
      </c>
      <c r="AA177" s="22"/>
      <c r="AB177" s="23">
        <v>45809</v>
      </c>
      <c r="AC177" s="27" t="s">
        <v>2213</v>
      </c>
      <c r="AD177" s="80"/>
      <c r="AE177" s="24" t="s">
        <v>2272</v>
      </c>
      <c r="AG177" s="140"/>
    </row>
    <row r="178" spans="1:33" ht="27" customHeight="1">
      <c r="A178" s="15">
        <f t="shared" si="8"/>
        <v>175</v>
      </c>
      <c r="B178" s="81">
        <v>45831</v>
      </c>
      <c r="C178" s="15" t="s">
        <v>38</v>
      </c>
      <c r="D178" s="15" t="s">
        <v>2284</v>
      </c>
      <c r="E178" s="26" t="s">
        <v>40</v>
      </c>
      <c r="F178" s="27" t="s">
        <v>277</v>
      </c>
      <c r="G178" s="27">
        <v>645600</v>
      </c>
      <c r="H178" s="81">
        <v>45832</v>
      </c>
      <c r="I178" s="27">
        <v>6192745</v>
      </c>
      <c r="J178" s="28" t="s">
        <v>2285</v>
      </c>
      <c r="K178" s="81">
        <v>45809</v>
      </c>
      <c r="L178" s="81">
        <v>45991</v>
      </c>
      <c r="M178" s="34" t="s">
        <v>2286</v>
      </c>
      <c r="N178" s="400"/>
      <c r="O178" s="29">
        <f t="shared" ref="O178" si="9">P178*7.89</f>
        <v>31630.299899999998</v>
      </c>
      <c r="P178" s="30">
        <f>1222.83+2786.08</f>
        <v>4008.91</v>
      </c>
      <c r="Q178" s="31">
        <v>45809</v>
      </c>
      <c r="R178" s="32">
        <v>46173</v>
      </c>
      <c r="S178" s="20" t="s">
        <v>2287</v>
      </c>
      <c r="T178" s="33" t="s">
        <v>2288</v>
      </c>
      <c r="U178" s="114">
        <v>45835</v>
      </c>
      <c r="V178" s="115">
        <v>1541722</v>
      </c>
      <c r="W178" s="18">
        <v>45901</v>
      </c>
      <c r="X178" s="19">
        <f>9582.1+21831.72</f>
        <v>31413.82</v>
      </c>
      <c r="Y178" s="20" t="s">
        <v>634</v>
      </c>
      <c r="Z178" s="20" t="s">
        <v>1934</v>
      </c>
      <c r="AA178" s="22"/>
      <c r="AB178" s="23">
        <v>45809</v>
      </c>
      <c r="AC178" s="27" t="s">
        <v>2289</v>
      </c>
      <c r="AD178" s="80" t="s">
        <v>1803</v>
      </c>
      <c r="AE178" s="24" t="s">
        <v>2290</v>
      </c>
      <c r="AF178" s="139" t="s">
        <v>2291</v>
      </c>
      <c r="AG178" s="140">
        <v>45849</v>
      </c>
    </row>
    <row r="179" spans="1:33" ht="27" customHeight="1">
      <c r="A179" s="15">
        <f t="shared" si="8"/>
        <v>176</v>
      </c>
      <c r="B179" s="81">
        <v>45833</v>
      </c>
      <c r="C179" s="15" t="s">
        <v>38</v>
      </c>
      <c r="D179" s="15" t="s">
        <v>2292</v>
      </c>
      <c r="E179" s="26" t="s">
        <v>70</v>
      </c>
      <c r="F179" s="27" t="s">
        <v>277</v>
      </c>
      <c r="G179" s="27">
        <v>645600</v>
      </c>
      <c r="H179" s="81">
        <v>45833</v>
      </c>
      <c r="I179" s="27">
        <v>6192891</v>
      </c>
      <c r="J179" s="28" t="s">
        <v>2293</v>
      </c>
      <c r="K179" s="81">
        <v>45855</v>
      </c>
      <c r="L179" s="81">
        <v>46219</v>
      </c>
      <c r="M179" s="34" t="s">
        <v>2294</v>
      </c>
      <c r="N179" s="400"/>
      <c r="O179" s="29">
        <v>5547</v>
      </c>
      <c r="P179" s="30"/>
      <c r="Q179" s="31">
        <v>45901</v>
      </c>
      <c r="R179" s="32">
        <v>45900</v>
      </c>
      <c r="S179" s="20" t="s">
        <v>2295</v>
      </c>
      <c r="T179" s="33" t="s">
        <v>2296</v>
      </c>
      <c r="U179" s="114">
        <v>45835</v>
      </c>
      <c r="V179" s="115">
        <v>1541801</v>
      </c>
      <c r="W179" s="18">
        <v>46001</v>
      </c>
      <c r="X179" s="19">
        <v>5547</v>
      </c>
      <c r="Y179" s="20" t="s">
        <v>105</v>
      </c>
      <c r="Z179" s="20" t="s">
        <v>1554</v>
      </c>
      <c r="AA179" s="22"/>
      <c r="AB179" s="23">
        <v>45809</v>
      </c>
      <c r="AC179" s="27" t="s">
        <v>2297</v>
      </c>
      <c r="AD179" s="80"/>
      <c r="AE179" s="24"/>
      <c r="AG179" s="140"/>
    </row>
    <row r="180" spans="1:33" ht="27" customHeight="1">
      <c r="A180" s="15">
        <f t="shared" si="8"/>
        <v>177</v>
      </c>
      <c r="B180" s="81">
        <v>45833</v>
      </c>
      <c r="C180" s="15" t="s">
        <v>38</v>
      </c>
      <c r="D180" s="15" t="s">
        <v>2298</v>
      </c>
      <c r="E180" s="26" t="s">
        <v>70</v>
      </c>
      <c r="F180" s="27" t="s">
        <v>277</v>
      </c>
      <c r="G180" s="27">
        <v>645600</v>
      </c>
      <c r="H180" s="81">
        <v>45833</v>
      </c>
      <c r="I180" s="27">
        <v>6192866</v>
      </c>
      <c r="J180" s="28" t="s">
        <v>2293</v>
      </c>
      <c r="K180" s="81">
        <v>45855</v>
      </c>
      <c r="L180" s="81">
        <v>46219</v>
      </c>
      <c r="M180" s="34" t="s">
        <v>2294</v>
      </c>
      <c r="N180" s="400"/>
      <c r="O180" s="29">
        <v>5300</v>
      </c>
      <c r="P180" s="30"/>
      <c r="Q180" s="31">
        <v>45855</v>
      </c>
      <c r="R180" s="32">
        <v>46219</v>
      </c>
      <c r="S180" s="20" t="s">
        <v>514</v>
      </c>
      <c r="T180" s="33" t="s">
        <v>2299</v>
      </c>
      <c r="U180" s="114">
        <v>45835</v>
      </c>
      <c r="V180" s="115">
        <v>1542800</v>
      </c>
      <c r="W180" s="18"/>
      <c r="X180" s="19">
        <v>5300</v>
      </c>
      <c r="Y180" s="20" t="s">
        <v>105</v>
      </c>
      <c r="Z180" s="20" t="s">
        <v>1554</v>
      </c>
      <c r="AA180" s="22"/>
      <c r="AB180" s="23">
        <v>45809</v>
      </c>
      <c r="AC180" s="27" t="s">
        <v>2297</v>
      </c>
      <c r="AD180" s="80"/>
      <c r="AE180" s="24"/>
      <c r="AG180" s="140"/>
    </row>
    <row r="181" spans="1:33" ht="27" customHeight="1">
      <c r="A181" s="15">
        <f t="shared" si="8"/>
        <v>178</v>
      </c>
      <c r="B181" s="81">
        <v>45833</v>
      </c>
      <c r="C181" s="15" t="s">
        <v>38</v>
      </c>
      <c r="D181" s="15" t="s">
        <v>2300</v>
      </c>
      <c r="E181" s="26" t="s">
        <v>70</v>
      </c>
      <c r="F181" s="27" t="s">
        <v>277</v>
      </c>
      <c r="G181" s="27">
        <v>645600</v>
      </c>
      <c r="H181" s="81">
        <v>45833</v>
      </c>
      <c r="I181" s="27">
        <v>6193010</v>
      </c>
      <c r="J181" s="28" t="s">
        <v>1053</v>
      </c>
      <c r="K181" s="81">
        <v>45496</v>
      </c>
      <c r="L181" s="81">
        <v>46956</v>
      </c>
      <c r="M181" s="34" t="s">
        <v>2301</v>
      </c>
      <c r="N181" s="400"/>
      <c r="O181" s="29">
        <v>250000</v>
      </c>
      <c r="P181" s="30"/>
      <c r="Q181" s="31">
        <v>45861</v>
      </c>
      <c r="R181" s="32">
        <v>46225</v>
      </c>
      <c r="S181" s="20" t="s">
        <v>1055</v>
      </c>
      <c r="T181" s="33" t="s">
        <v>1056</v>
      </c>
      <c r="U181" s="114">
        <v>45835</v>
      </c>
      <c r="V181" s="115">
        <v>1541802</v>
      </c>
      <c r="W181" s="18">
        <v>45945</v>
      </c>
      <c r="X181" s="19">
        <v>250000</v>
      </c>
      <c r="Y181" s="20" t="s">
        <v>66</v>
      </c>
      <c r="Z181" s="20" t="s">
        <v>1058</v>
      </c>
      <c r="AA181" s="22"/>
      <c r="AB181" s="23">
        <v>45809</v>
      </c>
      <c r="AC181" s="27" t="s">
        <v>1059</v>
      </c>
      <c r="AD181" s="80"/>
      <c r="AE181" s="24"/>
      <c r="AF181" s="80" t="s">
        <v>2302</v>
      </c>
      <c r="AG181" s="140"/>
    </row>
    <row r="182" spans="1:33" ht="27" customHeight="1">
      <c r="A182" s="15">
        <f>A181+1</f>
        <v>179</v>
      </c>
      <c r="B182" s="81">
        <v>45833</v>
      </c>
      <c r="C182" s="15" t="s">
        <v>1498</v>
      </c>
      <c r="D182" s="15" t="s">
        <v>2303</v>
      </c>
      <c r="E182" s="26" t="s">
        <v>1500</v>
      </c>
      <c r="F182" s="27" t="s">
        <v>944</v>
      </c>
      <c r="G182" s="27">
        <v>645602</v>
      </c>
      <c r="H182" s="81">
        <v>45834</v>
      </c>
      <c r="I182" s="27">
        <v>6193143</v>
      </c>
      <c r="J182" s="28" t="s">
        <v>168</v>
      </c>
      <c r="K182" s="81">
        <v>45865</v>
      </c>
      <c r="L182" s="81">
        <v>46229</v>
      </c>
      <c r="M182" s="34" t="s">
        <v>2304</v>
      </c>
      <c r="N182" s="400">
        <v>130364</v>
      </c>
      <c r="O182" s="29">
        <f t="shared" ref="O182" si="10">P182*7.89</f>
        <v>22115.038799999998</v>
      </c>
      <c r="P182" s="30">
        <v>2802.92</v>
      </c>
      <c r="Q182" s="31">
        <v>45865</v>
      </c>
      <c r="R182" s="32">
        <v>46229</v>
      </c>
      <c r="S182" s="20" t="s">
        <v>2012</v>
      </c>
      <c r="T182" s="33" t="s">
        <v>2305</v>
      </c>
      <c r="U182" s="114">
        <v>45845</v>
      </c>
      <c r="V182" s="115">
        <v>1542819</v>
      </c>
      <c r="W182" s="18">
        <v>45866</v>
      </c>
      <c r="X182" s="19">
        <v>21963.68</v>
      </c>
      <c r="Y182" s="20" t="s">
        <v>1504</v>
      </c>
      <c r="Z182" s="20" t="s">
        <v>1505</v>
      </c>
      <c r="AA182" s="22"/>
      <c r="AB182" s="23">
        <v>45809</v>
      </c>
      <c r="AC182" s="27" t="s">
        <v>2306</v>
      </c>
      <c r="AD182" s="80"/>
      <c r="AE182" s="24"/>
      <c r="AG182" s="140"/>
    </row>
    <row r="183" spans="1:33" ht="27" customHeight="1">
      <c r="A183" s="15">
        <f t="shared" ref="A183:A246" si="11">A182+1</f>
        <v>180</v>
      </c>
      <c r="B183" s="81">
        <v>45835</v>
      </c>
      <c r="C183" s="15" t="s">
        <v>38</v>
      </c>
      <c r="D183" s="15" t="s">
        <v>2307</v>
      </c>
      <c r="E183" s="26" t="s">
        <v>40</v>
      </c>
      <c r="F183" s="27" t="s">
        <v>41</v>
      </c>
      <c r="G183" s="27">
        <v>645600</v>
      </c>
      <c r="H183" s="81">
        <v>45840</v>
      </c>
      <c r="I183" s="27">
        <v>6194542</v>
      </c>
      <c r="J183" s="28" t="s">
        <v>1715</v>
      </c>
      <c r="K183" s="81">
        <v>45645</v>
      </c>
      <c r="L183" s="81">
        <v>46009</v>
      </c>
      <c r="M183" s="34" t="s">
        <v>1716</v>
      </c>
      <c r="N183" s="400">
        <v>3123248</v>
      </c>
      <c r="O183" s="29">
        <f>P183*7.89</f>
        <v>408273.17849999998</v>
      </c>
      <c r="P183" s="30">
        <v>51745.65</v>
      </c>
      <c r="Q183" s="31">
        <v>45806</v>
      </c>
      <c r="R183" s="32">
        <v>45930</v>
      </c>
      <c r="S183" s="20" t="s">
        <v>784</v>
      </c>
      <c r="T183" s="33" t="s">
        <v>2308</v>
      </c>
      <c r="U183" s="114">
        <v>45846</v>
      </c>
      <c r="V183" s="115">
        <v>1543110</v>
      </c>
      <c r="W183" s="18">
        <v>45945</v>
      </c>
      <c r="X183" s="19">
        <v>406193</v>
      </c>
      <c r="Y183" s="20" t="s">
        <v>245</v>
      </c>
      <c r="Z183" s="20" t="s">
        <v>1934</v>
      </c>
      <c r="AA183" s="22">
        <v>45840</v>
      </c>
      <c r="AB183" s="23">
        <v>45839</v>
      </c>
      <c r="AC183" s="27" t="s">
        <v>1718</v>
      </c>
      <c r="AD183" s="80"/>
      <c r="AE183" s="24"/>
      <c r="AF183" s="80" t="s">
        <v>2309</v>
      </c>
      <c r="AG183" s="140">
        <v>45875</v>
      </c>
    </row>
    <row r="184" spans="1:33" ht="27" customHeight="1">
      <c r="A184" s="15">
        <f t="shared" si="11"/>
        <v>181</v>
      </c>
      <c r="B184" s="81">
        <v>45842</v>
      </c>
      <c r="C184" s="15" t="s">
        <v>38</v>
      </c>
      <c r="D184" s="15" t="s">
        <v>2310</v>
      </c>
      <c r="E184" s="26" t="s">
        <v>40</v>
      </c>
      <c r="F184" s="27" t="s">
        <v>41</v>
      </c>
      <c r="G184" s="27">
        <v>645600</v>
      </c>
      <c r="H184" s="81">
        <v>45842</v>
      </c>
      <c r="I184" s="27">
        <v>6195341</v>
      </c>
      <c r="J184" s="28" t="s">
        <v>1170</v>
      </c>
      <c r="K184" s="81">
        <v>45860</v>
      </c>
      <c r="L184" s="81">
        <v>46224</v>
      </c>
      <c r="M184" s="34" t="s">
        <v>2311</v>
      </c>
      <c r="N184" s="400">
        <v>132046</v>
      </c>
      <c r="O184" s="29">
        <f>P184*7.89</f>
        <v>9838.5144</v>
      </c>
      <c r="P184" s="30">
        <v>1246.96</v>
      </c>
      <c r="Q184" s="31">
        <v>45870</v>
      </c>
      <c r="R184" s="32">
        <v>46234</v>
      </c>
      <c r="S184" s="20" t="s">
        <v>784</v>
      </c>
      <c r="T184" s="33" t="s">
        <v>2312</v>
      </c>
      <c r="U184" s="114">
        <v>45848</v>
      </c>
      <c r="V184" s="115">
        <v>1543750</v>
      </c>
      <c r="W184" s="18">
        <v>46073</v>
      </c>
      <c r="X184" s="19">
        <v>9788.39</v>
      </c>
      <c r="Y184" s="20" t="s">
        <v>259</v>
      </c>
      <c r="Z184" s="20" t="s">
        <v>1546</v>
      </c>
      <c r="AA184" s="22"/>
      <c r="AB184" s="23">
        <v>45839</v>
      </c>
      <c r="AC184" s="27" t="s">
        <v>2313</v>
      </c>
      <c r="AD184" s="80"/>
      <c r="AE184" s="24"/>
      <c r="AF184" s="81" t="s">
        <v>2314</v>
      </c>
      <c r="AG184" s="142"/>
    </row>
    <row r="185" spans="1:33" ht="27" customHeight="1">
      <c r="A185" s="15">
        <f t="shared" si="11"/>
        <v>182</v>
      </c>
      <c r="B185" s="81">
        <v>45841</v>
      </c>
      <c r="C185" s="15" t="s">
        <v>1498</v>
      </c>
      <c r="D185" s="15" t="s">
        <v>2315</v>
      </c>
      <c r="E185" s="26" t="s">
        <v>1500</v>
      </c>
      <c r="F185" s="27" t="s">
        <v>2316</v>
      </c>
      <c r="G185" s="27">
        <v>64602</v>
      </c>
      <c r="H185" s="81">
        <v>45845</v>
      </c>
      <c r="I185" s="27">
        <v>6195687</v>
      </c>
      <c r="J185" s="28" t="s">
        <v>2317</v>
      </c>
      <c r="K185" s="81">
        <v>45773</v>
      </c>
      <c r="L185" s="81">
        <v>46137</v>
      </c>
      <c r="M185" s="34" t="s">
        <v>2318</v>
      </c>
      <c r="N185" s="400">
        <v>14500</v>
      </c>
      <c r="O185" s="29">
        <v>12000</v>
      </c>
      <c r="P185" s="30"/>
      <c r="Q185" s="31">
        <v>45773</v>
      </c>
      <c r="R185" s="32">
        <v>46137</v>
      </c>
      <c r="S185" s="20" t="s">
        <v>1597</v>
      </c>
      <c r="T185" s="33" t="s">
        <v>2319</v>
      </c>
      <c r="U185" s="114">
        <v>45855</v>
      </c>
      <c r="V185" s="115">
        <v>1545336</v>
      </c>
      <c r="W185" s="18"/>
      <c r="X185" s="19">
        <v>12000</v>
      </c>
      <c r="Y185" s="20" t="s">
        <v>2320</v>
      </c>
      <c r="Z185" s="20" t="s">
        <v>1505</v>
      </c>
      <c r="AA185" s="22"/>
      <c r="AB185" s="23">
        <v>45839</v>
      </c>
      <c r="AC185" s="27" t="s">
        <v>2321</v>
      </c>
      <c r="AD185" s="80"/>
      <c r="AE185" s="24"/>
      <c r="AF185" s="81"/>
      <c r="AG185" s="142"/>
    </row>
    <row r="186" spans="1:33" ht="27" customHeight="1">
      <c r="A186" s="15">
        <f t="shared" si="11"/>
        <v>183</v>
      </c>
      <c r="B186" s="81">
        <v>45848</v>
      </c>
      <c r="C186" s="15" t="s">
        <v>38</v>
      </c>
      <c r="D186" s="15" t="s">
        <v>2322</v>
      </c>
      <c r="E186" s="26" t="s">
        <v>70</v>
      </c>
      <c r="F186" s="27" t="s">
        <v>41</v>
      </c>
      <c r="G186" s="27">
        <v>645600</v>
      </c>
      <c r="H186" s="81">
        <v>45848</v>
      </c>
      <c r="I186" s="27">
        <v>6196828</v>
      </c>
      <c r="J186" s="28" t="s">
        <v>2323</v>
      </c>
      <c r="K186" s="81">
        <v>45534</v>
      </c>
      <c r="L186" s="81">
        <v>45898</v>
      </c>
      <c r="M186" s="34" t="s">
        <v>2324</v>
      </c>
      <c r="N186" s="400">
        <v>240000</v>
      </c>
      <c r="O186" s="29">
        <v>113113</v>
      </c>
      <c r="P186" s="30"/>
      <c r="Q186" s="31">
        <v>45505</v>
      </c>
      <c r="R186" s="32">
        <v>45869</v>
      </c>
      <c r="S186" s="20" t="s">
        <v>180</v>
      </c>
      <c r="T186" s="33" t="s">
        <v>2325</v>
      </c>
      <c r="U186" s="16">
        <v>45860</v>
      </c>
      <c r="V186" s="17">
        <v>1546161</v>
      </c>
      <c r="W186" s="18">
        <v>45958</v>
      </c>
      <c r="X186" s="19">
        <v>113113</v>
      </c>
      <c r="Y186" s="20" t="s">
        <v>794</v>
      </c>
      <c r="Z186" s="20" t="s">
        <v>899</v>
      </c>
      <c r="AA186" s="22"/>
      <c r="AB186" s="23">
        <v>45839</v>
      </c>
      <c r="AC186" s="27" t="s">
        <v>2326</v>
      </c>
      <c r="AD186" s="80"/>
      <c r="AE186" s="24"/>
      <c r="AF186" s="81" t="s">
        <v>2327</v>
      </c>
      <c r="AG186" s="142">
        <v>45957</v>
      </c>
    </row>
    <row r="187" spans="1:33" ht="27" customHeight="1">
      <c r="A187" s="15">
        <f t="shared" si="11"/>
        <v>184</v>
      </c>
      <c r="B187" s="81">
        <v>45854</v>
      </c>
      <c r="C187" s="15" t="s">
        <v>38</v>
      </c>
      <c r="D187" s="15" t="s">
        <v>2328</v>
      </c>
      <c r="E187" s="26" t="s">
        <v>40</v>
      </c>
      <c r="F187" s="27" t="s">
        <v>277</v>
      </c>
      <c r="G187" s="27">
        <v>645600</v>
      </c>
      <c r="H187" s="81">
        <v>45854</v>
      </c>
      <c r="I187" s="27">
        <v>6198835</v>
      </c>
      <c r="J187" s="28" t="s">
        <v>2230</v>
      </c>
      <c r="K187" s="81">
        <v>43098</v>
      </c>
      <c r="L187" s="81">
        <v>46384</v>
      </c>
      <c r="M187" s="34" t="s">
        <v>1200</v>
      </c>
      <c r="N187" s="400">
        <v>9555000</v>
      </c>
      <c r="O187" s="29">
        <v>72201.55</v>
      </c>
      <c r="P187" s="30"/>
      <c r="Q187" s="31">
        <v>45870</v>
      </c>
      <c r="R187" s="32">
        <v>46234</v>
      </c>
      <c r="S187" s="20" t="s">
        <v>538</v>
      </c>
      <c r="T187" s="33" t="s">
        <v>2329</v>
      </c>
      <c r="U187" s="16">
        <v>45861</v>
      </c>
      <c r="V187" s="17">
        <v>1546433</v>
      </c>
      <c r="W187" s="18">
        <v>45957</v>
      </c>
      <c r="X187" s="19">
        <v>72199.710000000006</v>
      </c>
      <c r="Y187" s="20" t="s">
        <v>105</v>
      </c>
      <c r="Z187" s="20" t="s">
        <v>1058</v>
      </c>
      <c r="AA187" s="22"/>
      <c r="AB187" s="23">
        <v>45839</v>
      </c>
      <c r="AC187" s="27" t="s">
        <v>2233</v>
      </c>
      <c r="AD187" s="80" t="s">
        <v>1803</v>
      </c>
      <c r="AE187" s="24"/>
      <c r="AF187" s="81" t="s">
        <v>2330</v>
      </c>
      <c r="AG187" s="142">
        <v>45852</v>
      </c>
    </row>
    <row r="188" spans="1:33" ht="27" customHeight="1">
      <c r="A188" s="15">
        <f t="shared" si="11"/>
        <v>185</v>
      </c>
      <c r="B188" s="81">
        <v>45853</v>
      </c>
      <c r="C188" s="15" t="s">
        <v>38</v>
      </c>
      <c r="D188" s="15" t="s">
        <v>2331</v>
      </c>
      <c r="E188" s="26" t="s">
        <v>70</v>
      </c>
      <c r="F188" s="27" t="s">
        <v>41</v>
      </c>
      <c r="G188" s="27">
        <v>645600</v>
      </c>
      <c r="H188" s="81">
        <v>45854</v>
      </c>
      <c r="I188" s="27">
        <v>6198845</v>
      </c>
      <c r="J188" s="28" t="s">
        <v>714</v>
      </c>
      <c r="K188" s="81">
        <v>45839</v>
      </c>
      <c r="L188" s="81">
        <v>46203</v>
      </c>
      <c r="M188" s="34" t="s">
        <v>2332</v>
      </c>
      <c r="N188" s="400">
        <v>232047</v>
      </c>
      <c r="O188" s="29">
        <f>P188*7.89</f>
        <v>26485.625400000001</v>
      </c>
      <c r="P188" s="30">
        <v>3356.86</v>
      </c>
      <c r="Q188" s="31">
        <v>45839</v>
      </c>
      <c r="R188" s="32">
        <v>46203</v>
      </c>
      <c r="S188" s="20" t="s">
        <v>473</v>
      </c>
      <c r="T188" s="33" t="s">
        <v>2333</v>
      </c>
      <c r="U188" s="16">
        <v>45859</v>
      </c>
      <c r="V188" s="17">
        <v>1546111</v>
      </c>
      <c r="W188" s="18"/>
      <c r="X188" s="19">
        <v>26350.68</v>
      </c>
      <c r="Y188" s="20" t="s">
        <v>183</v>
      </c>
      <c r="Z188" s="20" t="s">
        <v>1554</v>
      </c>
      <c r="AA188" s="22"/>
      <c r="AB188" s="23">
        <v>45839</v>
      </c>
      <c r="AC188" s="27" t="s">
        <v>2334</v>
      </c>
      <c r="AD188" s="80"/>
      <c r="AE188" s="24"/>
      <c r="AF188" s="81"/>
      <c r="AG188" s="142"/>
    </row>
    <row r="189" spans="1:33" ht="25.5">
      <c r="A189" s="15">
        <f t="shared" si="11"/>
        <v>186</v>
      </c>
      <c r="B189" s="81">
        <v>45854</v>
      </c>
      <c r="C189" s="15" t="s">
        <v>38</v>
      </c>
      <c r="D189" s="15" t="s">
        <v>2335</v>
      </c>
      <c r="E189" s="26" t="s">
        <v>70</v>
      </c>
      <c r="F189" s="27" t="s">
        <v>277</v>
      </c>
      <c r="G189" s="27">
        <v>645600</v>
      </c>
      <c r="H189" s="25">
        <v>45855</v>
      </c>
      <c r="I189" s="26">
        <v>6199234</v>
      </c>
      <c r="J189" s="28" t="s">
        <v>2336</v>
      </c>
      <c r="K189" s="81">
        <v>45474</v>
      </c>
      <c r="L189" s="81">
        <v>46203</v>
      </c>
      <c r="M189" s="88" t="s">
        <v>2337</v>
      </c>
      <c r="N189" s="400">
        <v>1199640</v>
      </c>
      <c r="O189" s="29">
        <f>13379+8468+9765+26545</f>
        <v>58157</v>
      </c>
      <c r="P189" s="30"/>
      <c r="Q189" s="31">
        <v>45839</v>
      </c>
      <c r="R189" s="32">
        <v>46022</v>
      </c>
      <c r="S189" s="20" t="s">
        <v>2295</v>
      </c>
      <c r="T189" s="33" t="s">
        <v>2338</v>
      </c>
      <c r="U189" s="16">
        <v>45861</v>
      </c>
      <c r="V189" s="17">
        <v>1546434</v>
      </c>
      <c r="W189" s="18">
        <v>46001</v>
      </c>
      <c r="X189" s="19">
        <v>58157</v>
      </c>
      <c r="Y189" s="20" t="s">
        <v>123</v>
      </c>
      <c r="Z189" s="21" t="s">
        <v>1554</v>
      </c>
      <c r="AA189" s="22"/>
      <c r="AB189" s="23">
        <v>45839</v>
      </c>
      <c r="AC189" s="27" t="s">
        <v>2339</v>
      </c>
      <c r="AD189" s="80" t="s">
        <v>1803</v>
      </c>
      <c r="AE189" s="24"/>
      <c r="AF189" s="81"/>
      <c r="AG189" s="142"/>
    </row>
    <row r="190" spans="1:33" ht="31.5" customHeight="1">
      <c r="A190" s="15">
        <f t="shared" si="11"/>
        <v>187</v>
      </c>
      <c r="B190" s="81">
        <v>45856</v>
      </c>
      <c r="C190" s="15" t="s">
        <v>38</v>
      </c>
      <c r="D190" s="15" t="s">
        <v>2340</v>
      </c>
      <c r="E190" s="26" t="s">
        <v>70</v>
      </c>
      <c r="F190" s="27" t="s">
        <v>277</v>
      </c>
      <c r="G190" s="27">
        <v>645600</v>
      </c>
      <c r="H190" s="25">
        <v>45856</v>
      </c>
      <c r="I190" s="26">
        <v>6199773</v>
      </c>
      <c r="J190" s="28" t="s">
        <v>2341</v>
      </c>
      <c r="K190" s="81">
        <v>45763</v>
      </c>
      <c r="L190" s="81">
        <v>46127</v>
      </c>
      <c r="M190" s="88" t="s">
        <v>2342</v>
      </c>
      <c r="N190" s="400">
        <v>225300</v>
      </c>
      <c r="O190" s="29">
        <v>4800</v>
      </c>
      <c r="P190" s="30"/>
      <c r="Q190" s="31">
        <v>45839</v>
      </c>
      <c r="R190" s="32">
        <v>46022</v>
      </c>
      <c r="S190" s="20" t="s">
        <v>514</v>
      </c>
      <c r="T190" s="33" t="s">
        <v>2343</v>
      </c>
      <c r="U190" s="16">
        <v>45873</v>
      </c>
      <c r="V190" s="17">
        <v>1548248</v>
      </c>
      <c r="W190" s="18">
        <v>46057</v>
      </c>
      <c r="X190" s="19">
        <v>4800</v>
      </c>
      <c r="Y190" s="20" t="s">
        <v>123</v>
      </c>
      <c r="Z190" s="21" t="s">
        <v>1554</v>
      </c>
      <c r="AA190" s="22"/>
      <c r="AB190" s="23">
        <v>45839</v>
      </c>
      <c r="AC190" s="27" t="s">
        <v>2344</v>
      </c>
      <c r="AD190" s="80"/>
      <c r="AE190" s="24" t="s">
        <v>2148</v>
      </c>
      <c r="AF190" s="81" t="s">
        <v>2345</v>
      </c>
      <c r="AG190" s="142">
        <v>45910</v>
      </c>
    </row>
    <row r="191" spans="1:33" ht="31.5" customHeight="1">
      <c r="A191" s="15">
        <f t="shared" si="11"/>
        <v>188</v>
      </c>
      <c r="B191" s="81">
        <v>45856</v>
      </c>
      <c r="C191" s="15" t="s">
        <v>38</v>
      </c>
      <c r="D191" s="15" t="s">
        <v>2346</v>
      </c>
      <c r="E191" s="26" t="s">
        <v>70</v>
      </c>
      <c r="F191" s="27" t="s">
        <v>277</v>
      </c>
      <c r="G191" s="27">
        <v>645600</v>
      </c>
      <c r="H191" s="25">
        <v>45856</v>
      </c>
      <c r="I191" s="26">
        <v>6199776</v>
      </c>
      <c r="J191" s="28" t="s">
        <v>2341</v>
      </c>
      <c r="K191" s="81">
        <v>45763</v>
      </c>
      <c r="L191" s="81">
        <v>46127</v>
      </c>
      <c r="M191" s="88" t="s">
        <v>2342</v>
      </c>
      <c r="N191" s="400">
        <v>225300</v>
      </c>
      <c r="O191" s="29">
        <v>5000</v>
      </c>
      <c r="P191" s="30"/>
      <c r="Q191" s="31">
        <v>45804</v>
      </c>
      <c r="R191" s="32">
        <v>46168</v>
      </c>
      <c r="S191" s="20" t="s">
        <v>514</v>
      </c>
      <c r="T191" s="33" t="s">
        <v>2347</v>
      </c>
      <c r="U191" s="16">
        <v>45868</v>
      </c>
      <c r="V191" s="17">
        <v>1547543</v>
      </c>
      <c r="W191" s="18">
        <v>46057</v>
      </c>
      <c r="X191" s="19">
        <v>5000</v>
      </c>
      <c r="Y191" s="20" t="s">
        <v>123</v>
      </c>
      <c r="Z191" s="21" t="s">
        <v>1554</v>
      </c>
      <c r="AA191" s="22"/>
      <c r="AB191" s="23">
        <v>45839</v>
      </c>
      <c r="AC191" s="27" t="s">
        <v>2344</v>
      </c>
      <c r="AD191" s="80"/>
      <c r="AE191" s="24" t="s">
        <v>2148</v>
      </c>
      <c r="AF191" s="81"/>
      <c r="AG191" s="142"/>
    </row>
    <row r="192" spans="1:33" ht="31.5" customHeight="1">
      <c r="A192" s="15">
        <f t="shared" si="11"/>
        <v>189</v>
      </c>
      <c r="B192" s="81">
        <v>45856</v>
      </c>
      <c r="C192" s="15" t="s">
        <v>38</v>
      </c>
      <c r="D192" s="15" t="s">
        <v>2348</v>
      </c>
      <c r="E192" s="26" t="s">
        <v>70</v>
      </c>
      <c r="F192" s="27" t="s">
        <v>277</v>
      </c>
      <c r="G192" s="27">
        <v>645600</v>
      </c>
      <c r="H192" s="25">
        <v>45856</v>
      </c>
      <c r="I192" s="27">
        <v>6199779</v>
      </c>
      <c r="J192" s="28" t="s">
        <v>2341</v>
      </c>
      <c r="K192" s="81">
        <v>45763</v>
      </c>
      <c r="L192" s="81">
        <v>46127</v>
      </c>
      <c r="M192" s="88" t="s">
        <v>2342</v>
      </c>
      <c r="N192" s="400">
        <v>225300</v>
      </c>
      <c r="O192" s="29">
        <v>4875</v>
      </c>
      <c r="P192" s="30"/>
      <c r="Q192" s="31">
        <v>45870</v>
      </c>
      <c r="R192" s="32">
        <v>46234</v>
      </c>
      <c r="S192" s="20" t="s">
        <v>666</v>
      </c>
      <c r="T192" s="33" t="s">
        <v>2349</v>
      </c>
      <c r="U192" s="16">
        <v>45868</v>
      </c>
      <c r="V192" s="17">
        <v>1547541</v>
      </c>
      <c r="W192" s="18">
        <v>46066</v>
      </c>
      <c r="X192" s="19">
        <v>4875</v>
      </c>
      <c r="Y192" s="20" t="s">
        <v>123</v>
      </c>
      <c r="Z192" s="20" t="s">
        <v>1554</v>
      </c>
      <c r="AA192" s="22"/>
      <c r="AB192" s="23">
        <v>45839</v>
      </c>
      <c r="AC192" s="27" t="s">
        <v>2344</v>
      </c>
      <c r="AD192" s="80"/>
      <c r="AE192" s="24" t="s">
        <v>2350</v>
      </c>
      <c r="AF192" s="81"/>
      <c r="AG192" s="142"/>
    </row>
    <row r="193" spans="1:33" ht="32.25" customHeight="1">
      <c r="A193" s="15">
        <f t="shared" si="11"/>
        <v>190</v>
      </c>
      <c r="B193" s="81">
        <v>45856</v>
      </c>
      <c r="C193" s="15" t="s">
        <v>38</v>
      </c>
      <c r="D193" s="15" t="s">
        <v>2351</v>
      </c>
      <c r="E193" s="26" t="s">
        <v>70</v>
      </c>
      <c r="F193" s="27" t="s">
        <v>277</v>
      </c>
      <c r="G193" s="27">
        <v>645600</v>
      </c>
      <c r="H193" s="25">
        <v>45856</v>
      </c>
      <c r="I193" s="26">
        <v>6199785</v>
      </c>
      <c r="J193" s="28" t="s">
        <v>2341</v>
      </c>
      <c r="K193" s="81">
        <v>45763</v>
      </c>
      <c r="L193" s="81">
        <v>46127</v>
      </c>
      <c r="M193" s="88" t="s">
        <v>2342</v>
      </c>
      <c r="N193" s="400">
        <v>225300</v>
      </c>
      <c r="O193" s="29">
        <f>P193*7.89</f>
        <v>24874.250700000001</v>
      </c>
      <c r="P193" s="30">
        <v>3152.63</v>
      </c>
      <c r="Q193" s="31">
        <v>45931</v>
      </c>
      <c r="R193" s="32">
        <v>46295</v>
      </c>
      <c r="S193" s="20" t="s">
        <v>473</v>
      </c>
      <c r="T193" s="33" t="s">
        <v>2352</v>
      </c>
      <c r="U193" s="16">
        <v>45868</v>
      </c>
      <c r="V193" s="17">
        <v>1547682</v>
      </c>
      <c r="W193" s="18">
        <v>46027</v>
      </c>
      <c r="X193" s="19">
        <v>24747.51</v>
      </c>
      <c r="Y193" s="20" t="s">
        <v>123</v>
      </c>
      <c r="Z193" s="21" t="s">
        <v>1554</v>
      </c>
      <c r="AA193" s="22"/>
      <c r="AB193" s="23">
        <v>45839</v>
      </c>
      <c r="AC193" s="27" t="s">
        <v>2344</v>
      </c>
      <c r="AD193" s="80"/>
      <c r="AE193" s="24"/>
      <c r="AF193" s="167" t="s">
        <v>2353</v>
      </c>
      <c r="AG193" s="142">
        <v>45950</v>
      </c>
    </row>
    <row r="194" spans="1:33" ht="27" customHeight="1">
      <c r="A194" s="15">
        <f t="shared" si="11"/>
        <v>191</v>
      </c>
      <c r="B194" s="81">
        <v>45855</v>
      </c>
      <c r="C194" s="15" t="s">
        <v>38</v>
      </c>
      <c r="D194" s="15" t="s">
        <v>2354</v>
      </c>
      <c r="E194" s="26" t="s">
        <v>70</v>
      </c>
      <c r="F194" s="27" t="s">
        <v>277</v>
      </c>
      <c r="G194" s="27">
        <v>645600</v>
      </c>
      <c r="H194" s="81">
        <v>45860</v>
      </c>
      <c r="I194" s="27">
        <v>6200355</v>
      </c>
      <c r="J194" s="28" t="s">
        <v>1850</v>
      </c>
      <c r="K194" s="81">
        <v>45472</v>
      </c>
      <c r="L194" s="81">
        <v>45836</v>
      </c>
      <c r="M194" s="28" t="s">
        <v>1851</v>
      </c>
      <c r="N194" s="400">
        <v>268497</v>
      </c>
      <c r="O194" s="29">
        <v>46462</v>
      </c>
      <c r="P194" s="30"/>
      <c r="Q194" s="31">
        <v>45837</v>
      </c>
      <c r="R194" s="32">
        <v>46201</v>
      </c>
      <c r="S194" s="20" t="s">
        <v>399</v>
      </c>
      <c r="T194" s="33" t="s">
        <v>2355</v>
      </c>
      <c r="U194" s="16">
        <v>45868</v>
      </c>
      <c r="V194" s="17">
        <v>1547538</v>
      </c>
      <c r="W194" s="18">
        <v>46001</v>
      </c>
      <c r="X194" s="19">
        <v>46462</v>
      </c>
      <c r="Y194" s="20" t="s">
        <v>123</v>
      </c>
      <c r="Z194" s="21" t="s">
        <v>1554</v>
      </c>
      <c r="AA194" s="22"/>
      <c r="AB194" s="23">
        <v>45839</v>
      </c>
      <c r="AC194" s="27" t="s">
        <v>2356</v>
      </c>
      <c r="AD194" s="80"/>
      <c r="AE194" s="24"/>
      <c r="AF194" s="81"/>
      <c r="AG194" s="142"/>
    </row>
    <row r="195" spans="1:33" ht="27" customHeight="1">
      <c r="A195" s="15">
        <f t="shared" si="11"/>
        <v>192</v>
      </c>
      <c r="B195" s="81">
        <v>45859</v>
      </c>
      <c r="C195" s="15" t="s">
        <v>38</v>
      </c>
      <c r="D195" s="15" t="s">
        <v>2357</v>
      </c>
      <c r="E195" s="26" t="s">
        <v>1518</v>
      </c>
      <c r="F195" s="27" t="s">
        <v>277</v>
      </c>
      <c r="G195" s="27">
        <v>645600</v>
      </c>
      <c r="H195" s="81">
        <v>45861</v>
      </c>
      <c r="I195" s="27">
        <v>6201078</v>
      </c>
      <c r="J195" s="28" t="s">
        <v>976</v>
      </c>
      <c r="K195" s="81">
        <v>45855</v>
      </c>
      <c r="L195" s="81">
        <v>46219</v>
      </c>
      <c r="M195" s="28" t="s">
        <v>2358</v>
      </c>
      <c r="N195" s="400">
        <v>40000</v>
      </c>
      <c r="O195" s="29">
        <v>22432</v>
      </c>
      <c r="P195" s="30"/>
      <c r="Q195" s="31">
        <v>45855</v>
      </c>
      <c r="R195" s="32">
        <v>46219</v>
      </c>
      <c r="S195" s="20" t="s">
        <v>2295</v>
      </c>
      <c r="T195" s="33" t="s">
        <v>2359</v>
      </c>
      <c r="U195" s="16">
        <v>45866</v>
      </c>
      <c r="V195" s="17">
        <v>1547157</v>
      </c>
      <c r="W195" s="18">
        <v>45994</v>
      </c>
      <c r="X195" s="19">
        <v>22432</v>
      </c>
      <c r="Y195" s="20" t="s">
        <v>56</v>
      </c>
      <c r="Z195" s="21" t="s">
        <v>1703</v>
      </c>
      <c r="AA195" s="22"/>
      <c r="AB195" s="23">
        <v>45839</v>
      </c>
      <c r="AC195" s="27" t="s">
        <v>2360</v>
      </c>
      <c r="AD195" s="80"/>
      <c r="AE195" s="24"/>
      <c r="AF195" s="81" t="s">
        <v>2361</v>
      </c>
      <c r="AG195" s="142">
        <v>45867</v>
      </c>
    </row>
    <row r="196" spans="1:33" ht="27" customHeight="1">
      <c r="A196" s="15">
        <f t="shared" si="11"/>
        <v>193</v>
      </c>
      <c r="B196" s="81">
        <v>45863</v>
      </c>
      <c r="C196" s="15" t="s">
        <v>38</v>
      </c>
      <c r="D196" s="15" t="s">
        <v>2362</v>
      </c>
      <c r="E196" s="26" t="s">
        <v>40</v>
      </c>
      <c r="F196" s="27" t="s">
        <v>41</v>
      </c>
      <c r="G196" s="27">
        <v>645600</v>
      </c>
      <c r="H196" s="81">
        <v>45887</v>
      </c>
      <c r="I196" s="143">
        <v>6208727</v>
      </c>
      <c r="J196" s="28" t="s">
        <v>2363</v>
      </c>
      <c r="K196" s="81">
        <v>45872</v>
      </c>
      <c r="L196" s="81">
        <v>46236</v>
      </c>
      <c r="M196" s="28" t="s">
        <v>2364</v>
      </c>
      <c r="N196" s="400">
        <v>46220</v>
      </c>
      <c r="O196" s="29">
        <f>P196*7.89</f>
        <v>4372.7957999999999</v>
      </c>
      <c r="P196" s="113">
        <v>554.22</v>
      </c>
      <c r="Q196" s="31">
        <v>45872</v>
      </c>
      <c r="R196" s="32">
        <v>46236</v>
      </c>
      <c r="S196" s="20" t="s">
        <v>784</v>
      </c>
      <c r="T196" s="33" t="s">
        <v>2365</v>
      </c>
      <c r="U196" s="16">
        <v>45895</v>
      </c>
      <c r="V196" s="17">
        <v>1551764</v>
      </c>
      <c r="W196" s="18">
        <v>46073</v>
      </c>
      <c r="X196" s="19">
        <v>4350.5200000000004</v>
      </c>
      <c r="Y196" s="20" t="s">
        <v>259</v>
      </c>
      <c r="Z196" s="21" t="s">
        <v>1546</v>
      </c>
      <c r="AA196" s="22"/>
      <c r="AB196" s="23">
        <v>45839</v>
      </c>
      <c r="AC196" s="27" t="s">
        <v>2366</v>
      </c>
      <c r="AD196" s="80"/>
      <c r="AE196" s="24" t="s">
        <v>2367</v>
      </c>
      <c r="AF196" s="81" t="s">
        <v>2368</v>
      </c>
      <c r="AG196" s="142"/>
    </row>
    <row r="197" spans="1:33" ht="27" customHeight="1">
      <c r="A197" s="15">
        <f t="shared" si="11"/>
        <v>194</v>
      </c>
      <c r="B197" s="81">
        <v>45866</v>
      </c>
      <c r="C197" s="15" t="s">
        <v>38</v>
      </c>
      <c r="D197" s="15" t="s">
        <v>2369</v>
      </c>
      <c r="E197" s="26" t="s">
        <v>70</v>
      </c>
      <c r="F197" s="27" t="s">
        <v>41</v>
      </c>
      <c r="G197" s="27">
        <v>645600</v>
      </c>
      <c r="H197" s="81">
        <v>45867</v>
      </c>
      <c r="I197" s="27">
        <v>6202719</v>
      </c>
      <c r="J197" s="28" t="s">
        <v>1139</v>
      </c>
      <c r="K197" s="81">
        <v>45951</v>
      </c>
      <c r="L197" s="81">
        <v>46315</v>
      </c>
      <c r="M197" s="28" t="s">
        <v>2370</v>
      </c>
      <c r="N197" s="402">
        <v>202456</v>
      </c>
      <c r="O197" s="29">
        <f>P197*7.89</f>
        <v>129344.24159999998</v>
      </c>
      <c r="P197" s="30">
        <v>16393.439999999999</v>
      </c>
      <c r="Q197" s="31">
        <v>45951</v>
      </c>
      <c r="R197" s="32">
        <v>46315</v>
      </c>
      <c r="S197" s="20" t="s">
        <v>1800</v>
      </c>
      <c r="T197" s="33" t="s">
        <v>2371</v>
      </c>
      <c r="U197" s="16">
        <v>45889</v>
      </c>
      <c r="V197" s="17">
        <v>1550888</v>
      </c>
      <c r="W197" s="18">
        <v>46002</v>
      </c>
      <c r="X197" s="19">
        <v>128685.23</v>
      </c>
      <c r="Y197" s="20" t="s">
        <v>1813</v>
      </c>
      <c r="Z197" s="21" t="s">
        <v>1554</v>
      </c>
      <c r="AA197" s="22"/>
      <c r="AB197" s="23">
        <v>45839</v>
      </c>
      <c r="AC197" s="27" t="s">
        <v>2372</v>
      </c>
      <c r="AD197" s="80"/>
      <c r="AE197" s="24"/>
      <c r="AF197" s="15">
        <v>900700758</v>
      </c>
      <c r="AG197" s="142"/>
    </row>
    <row r="198" spans="1:33" ht="27" customHeight="1">
      <c r="A198" s="15">
        <f t="shared" si="11"/>
        <v>195</v>
      </c>
      <c r="B198" s="81">
        <v>45869</v>
      </c>
      <c r="C198" s="15" t="s">
        <v>1498</v>
      </c>
      <c r="D198" s="15" t="s">
        <v>2373</v>
      </c>
      <c r="E198" s="26" t="s">
        <v>1500</v>
      </c>
      <c r="F198" s="27" t="s">
        <v>944</v>
      </c>
      <c r="G198" s="27">
        <v>645602</v>
      </c>
      <c r="H198" s="81">
        <v>45870</v>
      </c>
      <c r="I198" s="27">
        <v>6204185</v>
      </c>
      <c r="J198" s="28" t="s">
        <v>2374</v>
      </c>
      <c r="K198" s="81">
        <v>45640</v>
      </c>
      <c r="L198" s="81">
        <v>45961</v>
      </c>
      <c r="M198" s="28" t="s">
        <v>2375</v>
      </c>
      <c r="N198" s="400">
        <v>894381</v>
      </c>
      <c r="O198" s="29">
        <v>3789.16</v>
      </c>
      <c r="P198" s="30"/>
      <c r="Q198" s="31">
        <v>45640</v>
      </c>
      <c r="R198" s="32">
        <v>45961</v>
      </c>
      <c r="S198" s="20" t="s">
        <v>2376</v>
      </c>
      <c r="T198" s="33" t="s">
        <v>2377</v>
      </c>
      <c r="U198" s="89"/>
      <c r="V198" s="90">
        <v>1552602</v>
      </c>
      <c r="W198" s="18"/>
      <c r="X198" s="19">
        <v>3789.16</v>
      </c>
      <c r="Y198" s="20" t="s">
        <v>183</v>
      </c>
      <c r="Z198" s="21" t="s">
        <v>1505</v>
      </c>
      <c r="AA198" s="22"/>
      <c r="AB198" s="23">
        <v>45839</v>
      </c>
      <c r="AC198" s="27" t="s">
        <v>1860</v>
      </c>
      <c r="AD198" s="80"/>
      <c r="AE198" s="24"/>
      <c r="AF198" s="81"/>
      <c r="AG198" s="142"/>
    </row>
    <row r="199" spans="1:33" ht="27" customHeight="1">
      <c r="A199" s="15">
        <f t="shared" si="11"/>
        <v>196</v>
      </c>
      <c r="B199" s="81">
        <v>45869</v>
      </c>
      <c r="C199" s="15" t="s">
        <v>1498</v>
      </c>
      <c r="D199" s="15" t="s">
        <v>2378</v>
      </c>
      <c r="E199" s="26" t="s">
        <v>1500</v>
      </c>
      <c r="F199" s="27" t="s">
        <v>944</v>
      </c>
      <c r="G199" s="27">
        <v>645602</v>
      </c>
      <c r="H199" s="81">
        <v>45870</v>
      </c>
      <c r="I199" s="27">
        <v>6204187</v>
      </c>
      <c r="J199" s="28" t="s">
        <v>2374</v>
      </c>
      <c r="K199" s="81">
        <v>45640</v>
      </c>
      <c r="L199" s="81">
        <v>45961</v>
      </c>
      <c r="M199" s="28" t="s">
        <v>2375</v>
      </c>
      <c r="N199" s="400">
        <v>894381</v>
      </c>
      <c r="O199" s="29">
        <v>19000</v>
      </c>
      <c r="P199" s="30"/>
      <c r="Q199" s="31">
        <v>45640</v>
      </c>
      <c r="R199" s="32">
        <v>45961</v>
      </c>
      <c r="S199" s="20" t="s">
        <v>2379</v>
      </c>
      <c r="T199" s="33" t="s">
        <v>2380</v>
      </c>
      <c r="U199" s="114">
        <v>45883</v>
      </c>
      <c r="V199" s="115">
        <v>1549964</v>
      </c>
      <c r="W199" s="18"/>
      <c r="X199" s="19">
        <v>19000</v>
      </c>
      <c r="Y199" s="20" t="s">
        <v>183</v>
      </c>
      <c r="Z199" s="21" t="s">
        <v>1505</v>
      </c>
      <c r="AA199" s="22"/>
      <c r="AB199" s="23">
        <v>45839</v>
      </c>
      <c r="AC199" s="27" t="s">
        <v>1860</v>
      </c>
      <c r="AD199" s="80"/>
      <c r="AE199" s="24"/>
      <c r="AF199" s="81"/>
      <c r="AG199" s="142"/>
    </row>
    <row r="200" spans="1:33" ht="27" customHeight="1">
      <c r="A200" s="91">
        <f t="shared" si="11"/>
        <v>197</v>
      </c>
      <c r="B200" s="92">
        <v>45870</v>
      </c>
      <c r="C200" s="91" t="s">
        <v>38</v>
      </c>
      <c r="D200" s="91" t="s">
        <v>2381</v>
      </c>
      <c r="E200" s="93" t="s">
        <v>40</v>
      </c>
      <c r="F200" s="94" t="s">
        <v>41</v>
      </c>
      <c r="G200" s="94">
        <v>645600</v>
      </c>
      <c r="H200" s="92">
        <v>45876</v>
      </c>
      <c r="I200" s="94">
        <v>6205462</v>
      </c>
      <c r="J200" s="95" t="s">
        <v>2382</v>
      </c>
      <c r="K200" s="92">
        <v>45931</v>
      </c>
      <c r="L200" s="92">
        <v>46295</v>
      </c>
      <c r="M200" s="95" t="s">
        <v>2383</v>
      </c>
      <c r="N200" s="400"/>
      <c r="O200" s="97">
        <f>P200*7.89</f>
        <v>645974.73509999993</v>
      </c>
      <c r="P200" s="98">
        <v>81872.59</v>
      </c>
      <c r="Q200" s="99">
        <v>45931</v>
      </c>
      <c r="R200" s="100">
        <v>46295</v>
      </c>
      <c r="S200" s="101" t="s">
        <v>538</v>
      </c>
      <c r="T200" s="102" t="s">
        <v>2384</v>
      </c>
      <c r="U200" s="103" t="s">
        <v>609</v>
      </c>
      <c r="V200" s="104"/>
      <c r="W200" s="105"/>
      <c r="X200" s="106">
        <v>642683.46</v>
      </c>
      <c r="Y200" s="101" t="s">
        <v>299</v>
      </c>
      <c r="Z200" s="107" t="s">
        <v>1546</v>
      </c>
      <c r="AA200" s="108"/>
      <c r="AB200" s="109">
        <v>45870</v>
      </c>
      <c r="AC200" s="94" t="s">
        <v>2385</v>
      </c>
      <c r="AD200" s="138"/>
      <c r="AE200" s="110" t="s">
        <v>2386</v>
      </c>
      <c r="AF200" s="81"/>
      <c r="AG200" s="142"/>
    </row>
    <row r="201" spans="1:33" ht="27" customHeight="1">
      <c r="A201" s="15">
        <f t="shared" si="11"/>
        <v>198</v>
      </c>
      <c r="B201" s="81">
        <v>45870</v>
      </c>
      <c r="C201" s="15" t="s">
        <v>38</v>
      </c>
      <c r="D201" s="15" t="s">
        <v>2387</v>
      </c>
      <c r="E201" s="26" t="s">
        <v>70</v>
      </c>
      <c r="F201" s="27" t="s">
        <v>277</v>
      </c>
      <c r="G201" s="27">
        <v>645600</v>
      </c>
      <c r="H201" s="81">
        <v>45877</v>
      </c>
      <c r="I201" s="27">
        <v>6205936</v>
      </c>
      <c r="J201" s="28" t="s">
        <v>1358</v>
      </c>
      <c r="K201" s="81">
        <v>45889</v>
      </c>
      <c r="L201" s="81">
        <v>46253</v>
      </c>
      <c r="M201" s="28" t="s">
        <v>1359</v>
      </c>
      <c r="N201" s="400">
        <v>459200</v>
      </c>
      <c r="O201" s="29">
        <v>8850</v>
      </c>
      <c r="P201" s="30"/>
      <c r="Q201" s="31">
        <v>45889</v>
      </c>
      <c r="R201" s="32">
        <v>46253</v>
      </c>
      <c r="S201" s="20" t="s">
        <v>399</v>
      </c>
      <c r="T201" s="33" t="s">
        <v>2388</v>
      </c>
      <c r="U201" s="16">
        <v>45902</v>
      </c>
      <c r="V201" s="17">
        <v>1552812</v>
      </c>
      <c r="W201" s="18">
        <v>46001</v>
      </c>
      <c r="X201" s="19">
        <v>8850</v>
      </c>
      <c r="Y201" s="20" t="s">
        <v>123</v>
      </c>
      <c r="Z201" s="21" t="s">
        <v>1554</v>
      </c>
      <c r="AA201" s="22"/>
      <c r="AB201" s="23">
        <v>45870</v>
      </c>
      <c r="AC201" s="27" t="s">
        <v>1363</v>
      </c>
      <c r="AD201" s="80"/>
      <c r="AE201" s="24"/>
      <c r="AF201" s="81"/>
      <c r="AG201" s="142"/>
    </row>
    <row r="202" spans="1:33" ht="27" customHeight="1">
      <c r="A202" s="15">
        <f t="shared" si="11"/>
        <v>199</v>
      </c>
      <c r="B202" s="81">
        <v>45887</v>
      </c>
      <c r="C202" s="15" t="s">
        <v>38</v>
      </c>
      <c r="D202" s="15" t="s">
        <v>2389</v>
      </c>
      <c r="E202" s="26" t="s">
        <v>70</v>
      </c>
      <c r="F202" s="27" t="s">
        <v>277</v>
      </c>
      <c r="G202" s="27">
        <v>645600</v>
      </c>
      <c r="H202" s="81">
        <v>45877</v>
      </c>
      <c r="I202" s="27">
        <v>6205937</v>
      </c>
      <c r="J202" s="28" t="s">
        <v>1358</v>
      </c>
      <c r="K202" s="81">
        <v>45889</v>
      </c>
      <c r="L202" s="81">
        <v>46253</v>
      </c>
      <c r="M202" s="28" t="s">
        <v>1359</v>
      </c>
      <c r="N202" s="400">
        <v>459200</v>
      </c>
      <c r="O202" s="29">
        <v>7780</v>
      </c>
      <c r="P202" s="30"/>
      <c r="Q202" s="31">
        <v>45889</v>
      </c>
      <c r="R202" s="32">
        <v>46253</v>
      </c>
      <c r="S202" s="20" t="s">
        <v>1299</v>
      </c>
      <c r="T202" s="33" t="s">
        <v>2390</v>
      </c>
      <c r="U202" s="16">
        <v>45902</v>
      </c>
      <c r="V202" s="17">
        <v>1552811</v>
      </c>
      <c r="W202" s="18"/>
      <c r="X202" s="19">
        <v>7780</v>
      </c>
      <c r="Y202" s="20" t="s">
        <v>123</v>
      </c>
      <c r="Z202" s="21" t="s">
        <v>1554</v>
      </c>
      <c r="AA202" s="22"/>
      <c r="AB202" s="23">
        <v>45870</v>
      </c>
      <c r="AC202" s="27" t="s">
        <v>1363</v>
      </c>
      <c r="AD202" s="80"/>
      <c r="AE202" s="24" t="s">
        <v>2391</v>
      </c>
      <c r="AF202" s="81"/>
      <c r="AG202" s="142"/>
    </row>
    <row r="203" spans="1:33" ht="27" customHeight="1">
      <c r="A203" s="15">
        <f t="shared" si="11"/>
        <v>200</v>
      </c>
      <c r="B203" s="81">
        <v>45887</v>
      </c>
      <c r="C203" s="15" t="s">
        <v>38</v>
      </c>
      <c r="D203" s="15" t="s">
        <v>2392</v>
      </c>
      <c r="E203" s="26" t="s">
        <v>70</v>
      </c>
      <c r="F203" s="27" t="s">
        <v>41</v>
      </c>
      <c r="G203" s="27">
        <v>645600</v>
      </c>
      <c r="H203" s="81">
        <v>45877</v>
      </c>
      <c r="I203" s="27">
        <v>6205941</v>
      </c>
      <c r="J203" s="28" t="s">
        <v>1358</v>
      </c>
      <c r="K203" s="81">
        <v>45889</v>
      </c>
      <c r="L203" s="81">
        <v>46253</v>
      </c>
      <c r="M203" s="28" t="s">
        <v>1359</v>
      </c>
      <c r="N203" s="400">
        <v>459200</v>
      </c>
      <c r="O203" s="29">
        <f t="shared" ref="O203:O205" si="12">P203*7.89</f>
        <v>35966.801699999996</v>
      </c>
      <c r="P203" s="30">
        <v>4558.53</v>
      </c>
      <c r="Q203" s="31">
        <v>45931</v>
      </c>
      <c r="R203" s="32">
        <v>46295</v>
      </c>
      <c r="S203" s="20" t="s">
        <v>473</v>
      </c>
      <c r="T203" s="33" t="s">
        <v>2393</v>
      </c>
      <c r="U203" s="16">
        <v>45901</v>
      </c>
      <c r="V203" s="17">
        <v>1552710</v>
      </c>
      <c r="W203" s="18">
        <v>46027</v>
      </c>
      <c r="X203" s="19">
        <v>35783.550000000003</v>
      </c>
      <c r="Y203" s="20" t="s">
        <v>123</v>
      </c>
      <c r="Z203" s="21" t="s">
        <v>1554</v>
      </c>
      <c r="AA203" s="22"/>
      <c r="AB203" s="23">
        <v>45870</v>
      </c>
      <c r="AC203" s="27" t="s">
        <v>1363</v>
      </c>
      <c r="AD203" s="80"/>
      <c r="AE203" s="24" t="s">
        <v>2391</v>
      </c>
      <c r="AF203" s="167" t="s">
        <v>2394</v>
      </c>
      <c r="AG203" s="142">
        <v>45950</v>
      </c>
    </row>
    <row r="204" spans="1:33" ht="27" customHeight="1">
      <c r="A204" s="15">
        <f t="shared" si="11"/>
        <v>201</v>
      </c>
      <c r="B204" s="81">
        <v>45877</v>
      </c>
      <c r="C204" s="15" t="s">
        <v>38</v>
      </c>
      <c r="D204" s="15" t="s">
        <v>2395</v>
      </c>
      <c r="E204" s="26" t="s">
        <v>40</v>
      </c>
      <c r="F204" s="27" t="s">
        <v>41</v>
      </c>
      <c r="G204" s="27">
        <v>645600</v>
      </c>
      <c r="H204" s="81">
        <v>45883</v>
      </c>
      <c r="I204" s="27">
        <v>6207760</v>
      </c>
      <c r="J204" s="28" t="s">
        <v>2396</v>
      </c>
      <c r="K204" s="81">
        <v>42695</v>
      </c>
      <c r="L204" s="81">
        <v>45981</v>
      </c>
      <c r="M204" s="28" t="s">
        <v>2397</v>
      </c>
      <c r="N204" s="400">
        <v>9165820</v>
      </c>
      <c r="O204" s="29">
        <v>52500</v>
      </c>
      <c r="P204" s="30"/>
      <c r="Q204" s="31">
        <v>45617</v>
      </c>
      <c r="R204" s="32">
        <v>45981</v>
      </c>
      <c r="S204" s="20" t="s">
        <v>514</v>
      </c>
      <c r="T204" s="33" t="s">
        <v>2398</v>
      </c>
      <c r="U204" s="16">
        <v>45889</v>
      </c>
      <c r="V204" s="17">
        <v>1550889</v>
      </c>
      <c r="W204" s="18">
        <v>46163</v>
      </c>
      <c r="X204" s="19">
        <v>52500</v>
      </c>
      <c r="Y204" s="20" t="s">
        <v>105</v>
      </c>
      <c r="Z204" s="20" t="s">
        <v>1934</v>
      </c>
      <c r="AA204" s="22"/>
      <c r="AB204" s="23">
        <v>45870</v>
      </c>
      <c r="AC204" s="27" t="s">
        <v>2361</v>
      </c>
      <c r="AD204" s="80"/>
      <c r="AE204" s="24"/>
      <c r="AF204" s="81"/>
      <c r="AG204" s="142"/>
    </row>
    <row r="205" spans="1:33" ht="27" customHeight="1">
      <c r="A205" s="15">
        <f t="shared" si="11"/>
        <v>202</v>
      </c>
      <c r="B205" s="81">
        <v>45887</v>
      </c>
      <c r="C205" s="15" t="s">
        <v>38</v>
      </c>
      <c r="D205" s="15" t="s">
        <v>2399</v>
      </c>
      <c r="E205" s="26" t="s">
        <v>40</v>
      </c>
      <c r="F205" s="27" t="s">
        <v>41</v>
      </c>
      <c r="G205" s="27">
        <v>645600</v>
      </c>
      <c r="H205" s="81">
        <v>45888</v>
      </c>
      <c r="I205" s="27">
        <v>6208791</v>
      </c>
      <c r="J205" s="28" t="s">
        <v>1310</v>
      </c>
      <c r="K205" s="81">
        <v>45882</v>
      </c>
      <c r="L205" s="81">
        <v>46246</v>
      </c>
      <c r="M205" s="28" t="s">
        <v>2400</v>
      </c>
      <c r="N205" s="400">
        <v>4338000</v>
      </c>
      <c r="O205" s="29">
        <f t="shared" si="12"/>
        <v>2908627.3547999999</v>
      </c>
      <c r="P205" s="30">
        <v>368647.32</v>
      </c>
      <c r="Q205" s="31">
        <v>45882</v>
      </c>
      <c r="R205" s="32">
        <v>46246</v>
      </c>
      <c r="S205" s="20" t="s">
        <v>394</v>
      </c>
      <c r="T205" s="33" t="s">
        <v>2401</v>
      </c>
      <c r="U205" s="16">
        <v>45891</v>
      </c>
      <c r="V205" s="17">
        <v>1551270</v>
      </c>
      <c r="W205" s="18">
        <v>45958</v>
      </c>
      <c r="X205" s="19">
        <v>2893807.73</v>
      </c>
      <c r="Y205" s="20" t="s">
        <v>1588</v>
      </c>
      <c r="Z205" s="20" t="s">
        <v>1058</v>
      </c>
      <c r="AA205" s="22"/>
      <c r="AB205" s="23">
        <v>45870</v>
      </c>
      <c r="AC205" s="27" t="s">
        <v>2402</v>
      </c>
      <c r="AD205" s="80" t="s">
        <v>1803</v>
      </c>
      <c r="AE205" s="24" t="s">
        <v>2403</v>
      </c>
      <c r="AF205" s="167" t="s">
        <v>2404</v>
      </c>
      <c r="AG205" s="142">
        <v>45898</v>
      </c>
    </row>
    <row r="206" spans="1:33" ht="27" customHeight="1">
      <c r="A206" s="15">
        <f t="shared" si="11"/>
        <v>203</v>
      </c>
      <c r="B206" s="81">
        <v>45887</v>
      </c>
      <c r="C206" s="15" t="s">
        <v>38</v>
      </c>
      <c r="D206" s="15" t="s">
        <v>2405</v>
      </c>
      <c r="E206" s="26" t="s">
        <v>40</v>
      </c>
      <c r="F206" s="27" t="s">
        <v>41</v>
      </c>
      <c r="G206" s="27">
        <v>645600</v>
      </c>
      <c r="H206" s="81">
        <v>45889</v>
      </c>
      <c r="I206" s="27">
        <v>6209466</v>
      </c>
      <c r="J206" s="28" t="s">
        <v>2406</v>
      </c>
      <c r="K206" s="81">
        <v>45915</v>
      </c>
      <c r="L206" s="81">
        <v>46279</v>
      </c>
      <c r="M206" s="28" t="s">
        <v>2407</v>
      </c>
      <c r="N206" s="400">
        <v>28155</v>
      </c>
      <c r="O206" s="29">
        <v>2000</v>
      </c>
      <c r="P206" s="30"/>
      <c r="Q206" s="31">
        <v>45915</v>
      </c>
      <c r="R206" s="32">
        <v>46279</v>
      </c>
      <c r="S206" s="20" t="s">
        <v>666</v>
      </c>
      <c r="T206" s="33" t="s">
        <v>2408</v>
      </c>
      <c r="U206" s="16">
        <v>45894</v>
      </c>
      <c r="V206" s="17">
        <v>1551642</v>
      </c>
      <c r="W206" s="18"/>
      <c r="X206" s="19">
        <v>2000</v>
      </c>
      <c r="Y206" s="20" t="s">
        <v>245</v>
      </c>
      <c r="Z206" s="20" t="s">
        <v>1546</v>
      </c>
      <c r="AA206" s="22"/>
      <c r="AB206" s="23">
        <v>45870</v>
      </c>
      <c r="AC206" s="27" t="s">
        <v>2409</v>
      </c>
      <c r="AD206" s="80"/>
      <c r="AE206" s="24"/>
      <c r="AF206" s="81"/>
      <c r="AG206" s="142"/>
    </row>
    <row r="207" spans="1:33" ht="27" customHeight="1">
      <c r="A207" s="15">
        <f t="shared" si="11"/>
        <v>204</v>
      </c>
      <c r="B207" s="81">
        <v>45887</v>
      </c>
      <c r="C207" s="15" t="s">
        <v>38</v>
      </c>
      <c r="D207" s="15" t="s">
        <v>2410</v>
      </c>
      <c r="E207" s="26" t="s">
        <v>40</v>
      </c>
      <c r="F207" s="27" t="s">
        <v>41</v>
      </c>
      <c r="G207" s="27">
        <v>645600</v>
      </c>
      <c r="H207" s="81">
        <v>45888</v>
      </c>
      <c r="I207" s="27">
        <v>6209139</v>
      </c>
      <c r="J207" s="28" t="s">
        <v>61</v>
      </c>
      <c r="K207" s="81">
        <v>45870</v>
      </c>
      <c r="L207" s="81">
        <v>46965</v>
      </c>
      <c r="M207" s="28" t="s">
        <v>2411</v>
      </c>
      <c r="N207" s="400">
        <v>466500</v>
      </c>
      <c r="O207" s="29">
        <f t="shared" ref="O207" si="13">P207*7.89</f>
        <v>318154.07189999998</v>
      </c>
      <c r="P207" s="30">
        <v>40323.71</v>
      </c>
      <c r="Q207" s="31">
        <v>45870</v>
      </c>
      <c r="R207" s="32">
        <v>46965</v>
      </c>
      <c r="S207" s="20" t="s">
        <v>784</v>
      </c>
      <c r="T207" s="33" t="s">
        <v>2412</v>
      </c>
      <c r="U207" s="16">
        <v>45891</v>
      </c>
      <c r="V207" s="17">
        <v>1551347</v>
      </c>
      <c r="W207" s="18">
        <v>46073</v>
      </c>
      <c r="X207" s="19">
        <v>316533.06</v>
      </c>
      <c r="Y207" s="20" t="s">
        <v>66</v>
      </c>
      <c r="Z207" s="20" t="s">
        <v>1934</v>
      </c>
      <c r="AA207" s="22"/>
      <c r="AB207" s="23">
        <v>45870</v>
      </c>
      <c r="AC207" s="27" t="s">
        <v>2413</v>
      </c>
      <c r="AD207" s="80" t="s">
        <v>1803</v>
      </c>
      <c r="AE207" s="24" t="s">
        <v>2414</v>
      </c>
      <c r="AF207" s="81"/>
      <c r="AG207" s="142"/>
    </row>
    <row r="208" spans="1:33" ht="27" customHeight="1">
      <c r="A208" s="15">
        <f t="shared" si="11"/>
        <v>205</v>
      </c>
      <c r="B208" s="81">
        <v>45889</v>
      </c>
      <c r="C208" s="15" t="s">
        <v>38</v>
      </c>
      <c r="D208" s="15" t="s">
        <v>2415</v>
      </c>
      <c r="E208" s="26" t="s">
        <v>70</v>
      </c>
      <c r="F208" s="27" t="s">
        <v>41</v>
      </c>
      <c r="G208" s="27">
        <v>645600</v>
      </c>
      <c r="H208" s="81">
        <v>45889</v>
      </c>
      <c r="I208" s="27">
        <v>6209467</v>
      </c>
      <c r="J208" s="28" t="s">
        <v>1150</v>
      </c>
      <c r="K208" s="81">
        <v>45862</v>
      </c>
      <c r="L208" s="81">
        <v>46226</v>
      </c>
      <c r="M208" s="28" t="s">
        <v>2416</v>
      </c>
      <c r="N208" s="400">
        <v>103488</v>
      </c>
      <c r="O208" s="29">
        <f t="shared" ref="O208" si="14">P208*7.89</f>
        <v>28719.599999999999</v>
      </c>
      <c r="P208" s="30">
        <v>3640</v>
      </c>
      <c r="Q208" s="31">
        <v>45862</v>
      </c>
      <c r="R208" s="32">
        <v>46226</v>
      </c>
      <c r="S208" s="20" t="s">
        <v>905</v>
      </c>
      <c r="T208" s="33" t="s">
        <v>2417</v>
      </c>
      <c r="U208" s="16">
        <v>45894</v>
      </c>
      <c r="V208" s="17">
        <v>1551643</v>
      </c>
      <c r="W208" s="18">
        <v>45915</v>
      </c>
      <c r="X208" s="19">
        <v>28573.27</v>
      </c>
      <c r="Y208" s="20" t="s">
        <v>336</v>
      </c>
      <c r="Z208" s="20" t="s">
        <v>899</v>
      </c>
      <c r="AA208" s="22"/>
      <c r="AB208" s="23">
        <v>45870</v>
      </c>
      <c r="AC208" s="27" t="s">
        <v>2418</v>
      </c>
      <c r="AD208" s="80"/>
      <c r="AE208" s="24"/>
      <c r="AF208" s="81" t="s">
        <v>2419</v>
      </c>
      <c r="AG208" s="142">
        <v>45903</v>
      </c>
    </row>
    <row r="209" spans="1:33" ht="27" customHeight="1">
      <c r="A209" s="15">
        <f t="shared" si="11"/>
        <v>206</v>
      </c>
      <c r="B209" s="81">
        <v>45888</v>
      </c>
      <c r="C209" s="15" t="s">
        <v>38</v>
      </c>
      <c r="D209" s="15" t="s">
        <v>2420</v>
      </c>
      <c r="E209" s="26" t="s">
        <v>70</v>
      </c>
      <c r="F209" s="27" t="s">
        <v>41</v>
      </c>
      <c r="G209" s="27">
        <v>645600</v>
      </c>
      <c r="H209" s="81">
        <v>45889</v>
      </c>
      <c r="I209" s="27">
        <v>6209468</v>
      </c>
      <c r="J209" s="28" t="s">
        <v>2421</v>
      </c>
      <c r="K209" s="81">
        <v>45823</v>
      </c>
      <c r="L209" s="81">
        <v>46187</v>
      </c>
      <c r="M209" s="28" t="s">
        <v>2422</v>
      </c>
      <c r="N209" s="400">
        <v>920000</v>
      </c>
      <c r="O209" s="29">
        <f t="shared" ref="O209" si="15">P209*7.89</f>
        <v>37311.81</v>
      </c>
      <c r="P209" s="30">
        <v>4729</v>
      </c>
      <c r="Q209" s="31">
        <v>45856</v>
      </c>
      <c r="R209" s="32">
        <v>46220</v>
      </c>
      <c r="S209" s="20" t="s">
        <v>905</v>
      </c>
      <c r="T209" s="33" t="s">
        <v>2423</v>
      </c>
      <c r="U209" s="16">
        <v>45902</v>
      </c>
      <c r="V209" s="17">
        <v>1552810</v>
      </c>
      <c r="W209" s="18">
        <v>45912</v>
      </c>
      <c r="X209" s="19">
        <v>37121.699999999997</v>
      </c>
      <c r="Y209" s="20" t="s">
        <v>47</v>
      </c>
      <c r="Z209" s="20" t="s">
        <v>1554</v>
      </c>
      <c r="AA209" s="22"/>
      <c r="AB209" s="23">
        <v>45870</v>
      </c>
      <c r="AC209" s="27" t="s">
        <v>2424</v>
      </c>
      <c r="AD209" s="80"/>
      <c r="AE209" s="24"/>
      <c r="AF209" s="81" t="s">
        <v>2425</v>
      </c>
      <c r="AG209" s="142">
        <v>45903</v>
      </c>
    </row>
    <row r="210" spans="1:33" ht="27" customHeight="1">
      <c r="A210" s="15">
        <f t="shared" si="11"/>
        <v>207</v>
      </c>
      <c r="B210" s="81">
        <v>45890</v>
      </c>
      <c r="C210" s="15" t="s">
        <v>38</v>
      </c>
      <c r="D210" s="15" t="s">
        <v>2426</v>
      </c>
      <c r="E210" s="26" t="s">
        <v>40</v>
      </c>
      <c r="F210" s="27" t="s">
        <v>41</v>
      </c>
      <c r="G210" s="27">
        <v>645600</v>
      </c>
      <c r="H210" s="81">
        <v>45890</v>
      </c>
      <c r="I210" s="27">
        <v>6209809</v>
      </c>
      <c r="J210" s="28" t="s">
        <v>2427</v>
      </c>
      <c r="K210" s="81">
        <v>45883</v>
      </c>
      <c r="L210" s="81">
        <v>46247</v>
      </c>
      <c r="M210" s="28" t="s">
        <v>2428</v>
      </c>
      <c r="N210" s="400">
        <v>808180</v>
      </c>
      <c r="O210" s="29">
        <f t="shared" ref="O210" si="16">P210*7.89</f>
        <v>242306.63399999999</v>
      </c>
      <c r="P210" s="30">
        <v>30710.6</v>
      </c>
      <c r="Q210" s="31">
        <v>45883</v>
      </c>
      <c r="R210" s="32">
        <v>46249</v>
      </c>
      <c r="S210" s="20" t="s">
        <v>784</v>
      </c>
      <c r="T210" s="33" t="s">
        <v>2429</v>
      </c>
      <c r="U210" s="16">
        <v>45894</v>
      </c>
      <c r="V210" s="17">
        <v>1551558</v>
      </c>
      <c r="W210" s="18">
        <v>46079</v>
      </c>
      <c r="X210" s="19">
        <v>241072.07</v>
      </c>
      <c r="Y210" s="20" t="s">
        <v>66</v>
      </c>
      <c r="Z210" s="20"/>
      <c r="AA210" s="22"/>
      <c r="AB210" s="23">
        <v>45870</v>
      </c>
      <c r="AC210" s="27" t="s">
        <v>2430</v>
      </c>
      <c r="AD210" s="80"/>
      <c r="AE210" s="24" t="s">
        <v>2414</v>
      </c>
      <c r="AF210" s="81"/>
      <c r="AG210" s="142"/>
    </row>
    <row r="211" spans="1:33" ht="27" customHeight="1">
      <c r="A211" s="15">
        <f t="shared" si="11"/>
        <v>208</v>
      </c>
      <c r="B211" s="81">
        <v>45890</v>
      </c>
      <c r="C211" s="15" t="s">
        <v>38</v>
      </c>
      <c r="D211" s="15" t="s">
        <v>2431</v>
      </c>
      <c r="E211" s="26" t="s">
        <v>40</v>
      </c>
      <c r="F211" s="27" t="s">
        <v>41</v>
      </c>
      <c r="G211" s="27">
        <v>645600</v>
      </c>
      <c r="H211" s="81">
        <v>45890</v>
      </c>
      <c r="I211" s="27">
        <v>6209839</v>
      </c>
      <c r="J211" s="28" t="s">
        <v>2427</v>
      </c>
      <c r="K211" s="81">
        <v>45883</v>
      </c>
      <c r="L211" s="81">
        <v>46247</v>
      </c>
      <c r="M211" s="28" t="s">
        <v>2428</v>
      </c>
      <c r="N211" s="400">
        <v>808180</v>
      </c>
      <c r="O211" s="29">
        <f t="shared" ref="O211" si="17">P211*7.89</f>
        <v>57330.633599999994</v>
      </c>
      <c r="P211" s="30">
        <v>7266.24</v>
      </c>
      <c r="Q211" s="31">
        <v>45883</v>
      </c>
      <c r="R211" s="32">
        <v>46249</v>
      </c>
      <c r="S211" s="20" t="s">
        <v>394</v>
      </c>
      <c r="T211" s="33" t="s">
        <v>2432</v>
      </c>
      <c r="U211" s="16">
        <v>45894</v>
      </c>
      <c r="V211" s="17">
        <v>1551556</v>
      </c>
      <c r="W211" s="18">
        <v>45957</v>
      </c>
      <c r="X211" s="19">
        <v>57038.53</v>
      </c>
      <c r="Y211" s="20" t="s">
        <v>66</v>
      </c>
      <c r="Z211" s="20"/>
      <c r="AA211" s="22"/>
      <c r="AB211" s="23">
        <v>45870</v>
      </c>
      <c r="AC211" s="27" t="s">
        <v>2430</v>
      </c>
      <c r="AD211" s="80"/>
      <c r="AE211" s="24" t="s">
        <v>2414</v>
      </c>
      <c r="AF211" s="81"/>
      <c r="AG211" s="142"/>
    </row>
    <row r="212" spans="1:33" ht="27" customHeight="1">
      <c r="A212" s="15">
        <f t="shared" si="11"/>
        <v>209</v>
      </c>
      <c r="B212" s="81">
        <v>45891</v>
      </c>
      <c r="C212" s="15" t="s">
        <v>1498</v>
      </c>
      <c r="D212" s="15" t="s">
        <v>2433</v>
      </c>
      <c r="E212" s="26" t="s">
        <v>1500</v>
      </c>
      <c r="F212" s="27" t="s">
        <v>944</v>
      </c>
      <c r="G212" s="27">
        <v>645602</v>
      </c>
      <c r="H212" s="81">
        <v>45891</v>
      </c>
      <c r="I212" s="27">
        <v>6209907</v>
      </c>
      <c r="J212" s="28" t="s">
        <v>2434</v>
      </c>
      <c r="K212" s="81"/>
      <c r="L212" s="81"/>
      <c r="M212" s="28" t="s">
        <v>2435</v>
      </c>
      <c r="N212" s="400">
        <v>962640</v>
      </c>
      <c r="O212" s="29">
        <v>3000</v>
      </c>
      <c r="P212" s="30"/>
      <c r="Q212" s="31" t="s">
        <v>2075</v>
      </c>
      <c r="R212" s="32"/>
      <c r="S212" s="20" t="s">
        <v>1597</v>
      </c>
      <c r="T212" s="33" t="s">
        <v>2436</v>
      </c>
      <c r="U212" s="114">
        <v>45986</v>
      </c>
      <c r="V212" s="115">
        <v>1566663</v>
      </c>
      <c r="W212" s="18"/>
      <c r="X212" s="19">
        <v>3000</v>
      </c>
      <c r="Y212" s="20" t="s">
        <v>2437</v>
      </c>
      <c r="Z212" s="20" t="s">
        <v>1505</v>
      </c>
      <c r="AA212" s="22"/>
      <c r="AB212" s="23">
        <v>45870</v>
      </c>
      <c r="AC212" s="27" t="s">
        <v>888</v>
      </c>
      <c r="AD212" s="80"/>
      <c r="AE212" s="24"/>
      <c r="AF212" s="81"/>
      <c r="AG212" s="142"/>
    </row>
    <row r="213" spans="1:33" ht="27" customHeight="1">
      <c r="A213" s="15">
        <f t="shared" si="11"/>
        <v>210</v>
      </c>
      <c r="B213" s="81">
        <v>45891</v>
      </c>
      <c r="C213" s="15" t="s">
        <v>1498</v>
      </c>
      <c r="D213" s="15" t="s">
        <v>2438</v>
      </c>
      <c r="E213" s="26" t="s">
        <v>1500</v>
      </c>
      <c r="F213" s="27" t="s">
        <v>944</v>
      </c>
      <c r="G213" s="27">
        <v>645602</v>
      </c>
      <c r="H213" s="81">
        <v>45891</v>
      </c>
      <c r="I213" s="27">
        <v>6210173</v>
      </c>
      <c r="J213" s="28" t="s">
        <v>2421</v>
      </c>
      <c r="K213" s="81">
        <v>45823</v>
      </c>
      <c r="L213" s="81">
        <v>46187</v>
      </c>
      <c r="M213" s="28" t="s">
        <v>2439</v>
      </c>
      <c r="N213" s="400">
        <v>920000</v>
      </c>
      <c r="O213" s="29">
        <v>175570</v>
      </c>
      <c r="P213" s="30"/>
      <c r="Q213" s="31">
        <v>45823</v>
      </c>
      <c r="R213" s="32">
        <v>46187</v>
      </c>
      <c r="S213" s="20" t="s">
        <v>2440</v>
      </c>
      <c r="T213" s="33" t="s">
        <v>2441</v>
      </c>
      <c r="U213" s="114">
        <v>45916</v>
      </c>
      <c r="V213" s="115">
        <v>1555164</v>
      </c>
      <c r="W213" s="18"/>
      <c r="X213" s="19">
        <v>175570</v>
      </c>
      <c r="Y213" s="20" t="s">
        <v>47</v>
      </c>
      <c r="Z213" s="20" t="s">
        <v>1505</v>
      </c>
      <c r="AA213" s="22"/>
      <c r="AB213" s="23">
        <v>45870</v>
      </c>
      <c r="AC213" s="27" t="s">
        <v>2424</v>
      </c>
      <c r="AD213" s="80"/>
      <c r="AE213" s="24" t="s">
        <v>2414</v>
      </c>
      <c r="AF213" s="81"/>
      <c r="AG213" s="142"/>
    </row>
    <row r="214" spans="1:33" ht="27" customHeight="1">
      <c r="A214" s="15">
        <f t="shared" si="11"/>
        <v>211</v>
      </c>
      <c r="B214" s="81">
        <v>45890</v>
      </c>
      <c r="C214" s="15" t="s">
        <v>38</v>
      </c>
      <c r="D214" s="15" t="s">
        <v>2442</v>
      </c>
      <c r="E214" s="26" t="s">
        <v>40</v>
      </c>
      <c r="F214" s="27" t="s">
        <v>41</v>
      </c>
      <c r="G214" s="27">
        <v>645600</v>
      </c>
      <c r="H214" s="81">
        <v>45891</v>
      </c>
      <c r="I214" s="27">
        <v>6210193</v>
      </c>
      <c r="J214" s="28" t="s">
        <v>2443</v>
      </c>
      <c r="K214" s="81">
        <v>45925</v>
      </c>
      <c r="L214" s="81">
        <v>47020</v>
      </c>
      <c r="M214" s="28" t="s">
        <v>2444</v>
      </c>
      <c r="N214" s="400">
        <v>457499</v>
      </c>
      <c r="O214" s="29">
        <f t="shared" ref="O214:O215" si="18">P214*7.89</f>
        <v>149756.46059999999</v>
      </c>
      <c r="P214" s="30">
        <v>18980.54</v>
      </c>
      <c r="Q214" s="31">
        <v>45901</v>
      </c>
      <c r="R214" s="32">
        <v>46996</v>
      </c>
      <c r="S214" s="20" t="s">
        <v>784</v>
      </c>
      <c r="T214" s="33" t="s">
        <v>2445</v>
      </c>
      <c r="U214" s="16">
        <v>45897</v>
      </c>
      <c r="V214" s="17">
        <v>1552296</v>
      </c>
      <c r="W214" s="18">
        <v>46073</v>
      </c>
      <c r="X214" s="19">
        <v>148993.44</v>
      </c>
      <c r="Y214" s="20" t="s">
        <v>66</v>
      </c>
      <c r="Z214" s="20" t="s">
        <v>1546</v>
      </c>
      <c r="AA214" s="22"/>
      <c r="AB214" s="23">
        <v>45870</v>
      </c>
      <c r="AC214" s="27" t="s">
        <v>2446</v>
      </c>
      <c r="AD214" s="80"/>
      <c r="AE214" s="24"/>
      <c r="AF214" s="81" t="s">
        <v>2447</v>
      </c>
      <c r="AG214" s="142">
        <v>45904</v>
      </c>
    </row>
    <row r="215" spans="1:33" ht="38.25">
      <c r="A215" s="15">
        <f t="shared" si="11"/>
        <v>212</v>
      </c>
      <c r="B215" s="81">
        <v>45890</v>
      </c>
      <c r="C215" s="15" t="s">
        <v>38</v>
      </c>
      <c r="D215" s="15" t="s">
        <v>2448</v>
      </c>
      <c r="E215" s="26" t="s">
        <v>40</v>
      </c>
      <c r="F215" s="27" t="s">
        <v>41</v>
      </c>
      <c r="G215" s="27">
        <v>645600</v>
      </c>
      <c r="H215" s="81">
        <v>45891</v>
      </c>
      <c r="I215" s="27">
        <v>6210195</v>
      </c>
      <c r="J215" s="28" t="s">
        <v>2443</v>
      </c>
      <c r="K215" s="81">
        <v>45925</v>
      </c>
      <c r="L215" s="81">
        <v>47020</v>
      </c>
      <c r="M215" s="28" t="s">
        <v>2444</v>
      </c>
      <c r="N215" s="400">
        <v>457499</v>
      </c>
      <c r="O215" s="29">
        <f t="shared" si="18"/>
        <v>17085.006000000001</v>
      </c>
      <c r="P215" s="30">
        <v>2165.4</v>
      </c>
      <c r="Q215" s="31">
        <v>45901</v>
      </c>
      <c r="R215" s="32">
        <v>46996</v>
      </c>
      <c r="S215" s="20" t="s">
        <v>394</v>
      </c>
      <c r="T215" s="33" t="s">
        <v>2449</v>
      </c>
      <c r="U215" s="16">
        <v>45897</v>
      </c>
      <c r="V215" s="17">
        <v>1552200</v>
      </c>
      <c r="W215" s="137" t="s">
        <v>2450</v>
      </c>
      <c r="X215" s="19">
        <v>16997.96</v>
      </c>
      <c r="Y215" s="20" t="s">
        <v>66</v>
      </c>
      <c r="Z215" s="20" t="s">
        <v>1546</v>
      </c>
      <c r="AA215" s="22"/>
      <c r="AB215" s="23">
        <v>45870</v>
      </c>
      <c r="AC215" s="27" t="s">
        <v>2446</v>
      </c>
      <c r="AD215" s="80"/>
      <c r="AE215" s="24" t="s">
        <v>2451</v>
      </c>
      <c r="AF215" s="167" t="s">
        <v>2452</v>
      </c>
      <c r="AG215" s="142">
        <v>45901</v>
      </c>
    </row>
    <row r="216" spans="1:33" ht="27" customHeight="1">
      <c r="A216" s="15">
        <f t="shared" si="11"/>
        <v>213</v>
      </c>
      <c r="B216" s="81">
        <v>45894</v>
      </c>
      <c r="C216" s="15" t="s">
        <v>38</v>
      </c>
      <c r="D216" s="15" t="s">
        <v>2453</v>
      </c>
      <c r="E216" s="26" t="s">
        <v>70</v>
      </c>
      <c r="F216" s="27" t="s">
        <v>41</v>
      </c>
      <c r="G216" s="27">
        <v>645600</v>
      </c>
      <c r="H216" s="81">
        <v>45894</v>
      </c>
      <c r="I216" s="27">
        <v>6210525</v>
      </c>
      <c r="J216" s="28" t="s">
        <v>1389</v>
      </c>
      <c r="K216" s="81">
        <v>44197</v>
      </c>
      <c r="L216" s="81">
        <v>46387</v>
      </c>
      <c r="M216" s="28" t="s">
        <v>2454</v>
      </c>
      <c r="N216" s="400">
        <v>352747</v>
      </c>
      <c r="O216" s="29">
        <v>35606</v>
      </c>
      <c r="P216" s="30"/>
      <c r="Q216" s="31">
        <v>45885</v>
      </c>
      <c r="R216" s="32">
        <v>46249</v>
      </c>
      <c r="S216" s="20" t="s">
        <v>399</v>
      </c>
      <c r="T216" s="33" t="s">
        <v>2455</v>
      </c>
      <c r="U216" s="16">
        <v>45897</v>
      </c>
      <c r="V216" s="17">
        <v>1552317</v>
      </c>
      <c r="W216" s="18">
        <v>46001</v>
      </c>
      <c r="X216" s="19">
        <v>35606</v>
      </c>
      <c r="Y216" s="20" t="s">
        <v>123</v>
      </c>
      <c r="Z216" s="20" t="s">
        <v>1554</v>
      </c>
      <c r="AA216" s="22"/>
      <c r="AB216" s="23">
        <v>45870</v>
      </c>
      <c r="AC216" s="27" t="s">
        <v>845</v>
      </c>
      <c r="AD216" s="80" t="s">
        <v>1803</v>
      </c>
      <c r="AE216" s="24"/>
      <c r="AF216" s="81"/>
      <c r="AG216" s="142"/>
    </row>
    <row r="217" spans="1:33" ht="25.5" customHeight="1">
      <c r="A217" s="15">
        <f t="shared" si="11"/>
        <v>214</v>
      </c>
      <c r="B217" s="81">
        <v>45894</v>
      </c>
      <c r="C217" s="15" t="s">
        <v>38</v>
      </c>
      <c r="D217" s="15" t="s">
        <v>2456</v>
      </c>
      <c r="E217" s="26" t="s">
        <v>70</v>
      </c>
      <c r="F217" s="27" t="s">
        <v>41</v>
      </c>
      <c r="G217" s="27">
        <v>645600</v>
      </c>
      <c r="H217" s="81">
        <v>45894</v>
      </c>
      <c r="I217" s="27">
        <v>6210532</v>
      </c>
      <c r="J217" s="28" t="s">
        <v>1389</v>
      </c>
      <c r="K217" s="81">
        <v>44197</v>
      </c>
      <c r="L217" s="81">
        <v>46387</v>
      </c>
      <c r="M217" s="28" t="s">
        <v>2454</v>
      </c>
      <c r="N217" s="400">
        <v>352747</v>
      </c>
      <c r="O217" s="29">
        <v>8300</v>
      </c>
      <c r="P217" s="30"/>
      <c r="Q217" s="31">
        <v>45884</v>
      </c>
      <c r="R217" s="32">
        <v>46248</v>
      </c>
      <c r="S217" s="20" t="s">
        <v>514</v>
      </c>
      <c r="T217" s="33" t="s">
        <v>2457</v>
      </c>
      <c r="U217" s="16">
        <v>45897</v>
      </c>
      <c r="V217" s="17">
        <v>1552316</v>
      </c>
      <c r="W217" s="18"/>
      <c r="X217" s="19">
        <v>8300</v>
      </c>
      <c r="Y217" s="20" t="s">
        <v>123</v>
      </c>
      <c r="Z217" s="20" t="s">
        <v>1554</v>
      </c>
      <c r="AA217" s="22"/>
      <c r="AB217" s="23">
        <v>45870</v>
      </c>
      <c r="AC217" s="27" t="s">
        <v>845</v>
      </c>
      <c r="AD217" s="80" t="s">
        <v>1803</v>
      </c>
      <c r="AE217" s="24"/>
      <c r="AF217" s="81"/>
      <c r="AG217" s="142"/>
    </row>
    <row r="218" spans="1:33" ht="28.5" customHeight="1">
      <c r="A218" s="15">
        <f t="shared" si="11"/>
        <v>215</v>
      </c>
      <c r="B218" s="81">
        <v>45894</v>
      </c>
      <c r="C218" s="15" t="s">
        <v>38</v>
      </c>
      <c r="D218" s="15" t="s">
        <v>2458</v>
      </c>
      <c r="E218" s="26" t="s">
        <v>70</v>
      </c>
      <c r="F218" s="27" t="s">
        <v>41</v>
      </c>
      <c r="G218" s="27">
        <v>645600</v>
      </c>
      <c r="H218" s="81">
        <v>45894</v>
      </c>
      <c r="I218" s="27">
        <v>6210534</v>
      </c>
      <c r="J218" s="28" t="s">
        <v>1389</v>
      </c>
      <c r="K218" s="81">
        <v>44197</v>
      </c>
      <c r="L218" s="81">
        <v>46387</v>
      </c>
      <c r="M218" s="28" t="s">
        <v>2454</v>
      </c>
      <c r="N218" s="400">
        <v>352747</v>
      </c>
      <c r="O218" s="29">
        <v>4000</v>
      </c>
      <c r="P218" s="30"/>
      <c r="Q218" s="31">
        <v>45884</v>
      </c>
      <c r="R218" s="32">
        <v>46248</v>
      </c>
      <c r="S218" s="20" t="s">
        <v>514</v>
      </c>
      <c r="T218" s="33" t="s">
        <v>2459</v>
      </c>
      <c r="U218" s="16">
        <v>45902</v>
      </c>
      <c r="V218" s="17">
        <v>1552814</v>
      </c>
      <c r="W218" s="18">
        <v>46057</v>
      </c>
      <c r="X218" s="19">
        <v>4000</v>
      </c>
      <c r="Y218" s="20" t="s">
        <v>123</v>
      </c>
      <c r="Z218" s="20" t="s">
        <v>1554</v>
      </c>
      <c r="AA218" s="22"/>
      <c r="AB218" s="23">
        <v>45870</v>
      </c>
      <c r="AC218" s="27" t="s">
        <v>845</v>
      </c>
      <c r="AD218" s="80" t="s">
        <v>1803</v>
      </c>
      <c r="AE218" s="24" t="s">
        <v>2460</v>
      </c>
      <c r="AF218" s="81"/>
      <c r="AG218" s="142"/>
    </row>
    <row r="219" spans="1:33" ht="27" customHeight="1">
      <c r="A219" s="15">
        <f t="shared" si="11"/>
        <v>216</v>
      </c>
      <c r="B219" s="81">
        <v>45897</v>
      </c>
      <c r="C219" s="15" t="s">
        <v>38</v>
      </c>
      <c r="D219" s="15" t="s">
        <v>2461</v>
      </c>
      <c r="E219" s="26" t="s">
        <v>40</v>
      </c>
      <c r="F219" s="27" t="s">
        <v>41</v>
      </c>
      <c r="G219" s="27">
        <v>645600</v>
      </c>
      <c r="H219" s="81">
        <v>45897</v>
      </c>
      <c r="I219" s="27">
        <v>6211910</v>
      </c>
      <c r="J219" s="28" t="s">
        <v>2462</v>
      </c>
      <c r="K219" s="81">
        <v>45901</v>
      </c>
      <c r="L219" s="81">
        <v>46265</v>
      </c>
      <c r="M219" s="28" t="s">
        <v>2463</v>
      </c>
      <c r="N219" s="400">
        <v>38820</v>
      </c>
      <c r="O219" s="29">
        <v>2500</v>
      </c>
      <c r="P219" s="30"/>
      <c r="Q219" s="31">
        <v>45901</v>
      </c>
      <c r="R219" s="32">
        <v>46265</v>
      </c>
      <c r="S219" s="20" t="s">
        <v>666</v>
      </c>
      <c r="T219" s="33" t="s">
        <v>2464</v>
      </c>
      <c r="U219" s="16">
        <v>45902</v>
      </c>
      <c r="V219" s="17">
        <v>1552813</v>
      </c>
      <c r="W219" s="18"/>
      <c r="X219" s="19">
        <v>2500</v>
      </c>
      <c r="Y219" s="20" t="s">
        <v>56</v>
      </c>
      <c r="Z219" s="20" t="s">
        <v>1058</v>
      </c>
      <c r="AA219" s="22"/>
      <c r="AB219" s="23">
        <v>45870</v>
      </c>
      <c r="AC219" s="27" t="s">
        <v>2465</v>
      </c>
      <c r="AD219" s="80"/>
      <c r="AE219" s="24"/>
      <c r="AF219" s="81"/>
      <c r="AG219" s="142"/>
    </row>
    <row r="220" spans="1:33" ht="27" customHeight="1">
      <c r="A220" s="15">
        <f t="shared" si="11"/>
        <v>217</v>
      </c>
      <c r="B220" s="81">
        <v>45894</v>
      </c>
      <c r="C220" s="15" t="s">
        <v>1498</v>
      </c>
      <c r="D220" s="15" t="s">
        <v>2466</v>
      </c>
      <c r="E220" s="26" t="s">
        <v>1500</v>
      </c>
      <c r="F220" s="27" t="s">
        <v>1537</v>
      </c>
      <c r="G220" s="27">
        <v>645602</v>
      </c>
      <c r="H220" s="81">
        <v>45895</v>
      </c>
      <c r="I220" s="27">
        <v>6210730</v>
      </c>
      <c r="J220" s="28" t="s">
        <v>240</v>
      </c>
      <c r="K220" s="81">
        <v>45901</v>
      </c>
      <c r="L220" s="81">
        <v>46265</v>
      </c>
      <c r="M220" s="28" t="s">
        <v>2467</v>
      </c>
      <c r="N220" s="400">
        <v>872649.99</v>
      </c>
      <c r="O220" s="29">
        <v>135386</v>
      </c>
      <c r="P220" s="30"/>
      <c r="Q220" s="31">
        <v>45901</v>
      </c>
      <c r="R220" s="32">
        <v>46265</v>
      </c>
      <c r="S220" s="20" t="s">
        <v>2468</v>
      </c>
      <c r="T220" s="33" t="s">
        <v>2469</v>
      </c>
      <c r="U220" s="114">
        <v>45916</v>
      </c>
      <c r="V220" s="115">
        <v>1555219</v>
      </c>
      <c r="W220" s="18"/>
      <c r="X220" s="19">
        <v>135386</v>
      </c>
      <c r="Y220" s="20" t="s">
        <v>2470</v>
      </c>
      <c r="Z220" s="20" t="s">
        <v>1505</v>
      </c>
      <c r="AA220" s="22"/>
      <c r="AB220" s="23">
        <v>45870</v>
      </c>
      <c r="AC220" s="27" t="s">
        <v>2471</v>
      </c>
      <c r="AD220" s="80"/>
      <c r="AE220" s="24"/>
      <c r="AF220" s="81"/>
      <c r="AG220" s="142"/>
    </row>
    <row r="221" spans="1:33" ht="27" customHeight="1">
      <c r="A221" s="15">
        <f t="shared" si="11"/>
        <v>218</v>
      </c>
      <c r="B221" s="81">
        <v>45894</v>
      </c>
      <c r="C221" s="15" t="s">
        <v>1498</v>
      </c>
      <c r="D221" s="187" t="s">
        <v>2472</v>
      </c>
      <c r="E221" s="26" t="s">
        <v>1500</v>
      </c>
      <c r="F221" s="27" t="s">
        <v>1537</v>
      </c>
      <c r="G221" s="27">
        <v>645602</v>
      </c>
      <c r="H221" s="81">
        <v>45895</v>
      </c>
      <c r="I221" s="27">
        <v>6210734</v>
      </c>
      <c r="J221" s="28" t="s">
        <v>240</v>
      </c>
      <c r="K221" s="81">
        <v>45901</v>
      </c>
      <c r="L221" s="81">
        <v>46265</v>
      </c>
      <c r="M221" s="28" t="s">
        <v>2467</v>
      </c>
      <c r="N221" s="400">
        <v>872649.99</v>
      </c>
      <c r="O221" s="29">
        <v>680000</v>
      </c>
      <c r="P221" s="30"/>
      <c r="Q221" s="31">
        <v>45921</v>
      </c>
      <c r="R221" s="32">
        <v>46285</v>
      </c>
      <c r="S221" s="20" t="s">
        <v>2473</v>
      </c>
      <c r="T221" s="33" t="s">
        <v>2474</v>
      </c>
      <c r="U221" s="114">
        <v>45916</v>
      </c>
      <c r="V221" s="115">
        <v>1556310</v>
      </c>
      <c r="W221" s="18"/>
      <c r="X221" s="19">
        <v>680000</v>
      </c>
      <c r="Y221" s="20" t="s">
        <v>2470</v>
      </c>
      <c r="Z221" s="20" t="s">
        <v>1505</v>
      </c>
      <c r="AA221" s="22"/>
      <c r="AB221" s="23">
        <v>45870</v>
      </c>
      <c r="AC221" s="27" t="s">
        <v>2471</v>
      </c>
      <c r="AD221" s="80"/>
      <c r="AE221" s="24" t="s">
        <v>2475</v>
      </c>
      <c r="AF221" s="81"/>
      <c r="AG221" s="142"/>
    </row>
    <row r="222" spans="1:33" ht="27" customHeight="1">
      <c r="A222" s="15">
        <f t="shared" si="11"/>
        <v>219</v>
      </c>
      <c r="B222" s="81">
        <v>45896</v>
      </c>
      <c r="C222" s="15" t="s">
        <v>38</v>
      </c>
      <c r="D222" s="15" t="s">
        <v>2476</v>
      </c>
      <c r="E222" s="26" t="s">
        <v>40</v>
      </c>
      <c r="F222" s="27" t="s">
        <v>41</v>
      </c>
      <c r="G222" s="27">
        <v>645600</v>
      </c>
      <c r="H222" s="81">
        <v>45896</v>
      </c>
      <c r="I222" s="27">
        <v>6211196</v>
      </c>
      <c r="J222" s="28" t="s">
        <v>187</v>
      </c>
      <c r="K222" s="81">
        <v>45896</v>
      </c>
      <c r="L222" s="81">
        <v>46260</v>
      </c>
      <c r="M222" s="28" t="s">
        <v>2477</v>
      </c>
      <c r="N222" s="400">
        <v>17870</v>
      </c>
      <c r="O222" s="29">
        <f t="shared" ref="O222" si="19">P222*7.89</f>
        <v>5716.8573000000006</v>
      </c>
      <c r="P222" s="30">
        <v>724.57</v>
      </c>
      <c r="Q222" s="31">
        <v>45901</v>
      </c>
      <c r="R222" s="32">
        <v>46265</v>
      </c>
      <c r="S222" s="20" t="s">
        <v>784</v>
      </c>
      <c r="T222" s="33" t="s">
        <v>2478</v>
      </c>
      <c r="U222" s="16">
        <v>45898</v>
      </c>
      <c r="V222" s="17">
        <v>1552332</v>
      </c>
      <c r="W222" s="18">
        <v>46073</v>
      </c>
      <c r="X222" s="19">
        <v>5687.73</v>
      </c>
      <c r="Y222" s="20" t="s">
        <v>1813</v>
      </c>
      <c r="Z222" s="20" t="s">
        <v>1546</v>
      </c>
      <c r="AA222" s="22"/>
      <c r="AB222" s="23">
        <v>45870</v>
      </c>
      <c r="AC222" s="27" t="s">
        <v>2479</v>
      </c>
      <c r="AD222" s="80" t="s">
        <v>1803</v>
      </c>
      <c r="AE222" s="24"/>
      <c r="AF222" s="81" t="s">
        <v>2480</v>
      </c>
      <c r="AG222" s="142">
        <v>45903</v>
      </c>
    </row>
    <row r="223" spans="1:33" ht="27" customHeight="1">
      <c r="A223" s="15">
        <f t="shared" si="11"/>
        <v>220</v>
      </c>
      <c r="B223" s="81">
        <v>45896</v>
      </c>
      <c r="C223" s="15" t="s">
        <v>38</v>
      </c>
      <c r="D223" s="15" t="s">
        <v>2481</v>
      </c>
      <c r="E223" s="26" t="s">
        <v>40</v>
      </c>
      <c r="F223" s="27" t="s">
        <v>41</v>
      </c>
      <c r="G223" s="27">
        <v>645600</v>
      </c>
      <c r="H223" s="81">
        <v>45896</v>
      </c>
      <c r="I223" s="27">
        <v>6211393</v>
      </c>
      <c r="J223" s="28" t="s">
        <v>411</v>
      </c>
      <c r="K223" s="81">
        <v>45839</v>
      </c>
      <c r="L223" s="81">
        <v>46203</v>
      </c>
      <c r="M223" s="28" t="s">
        <v>2482</v>
      </c>
      <c r="N223" s="400">
        <v>287345</v>
      </c>
      <c r="O223" s="29">
        <v>95490</v>
      </c>
      <c r="P223" s="30"/>
      <c r="Q223" s="31">
        <v>45829</v>
      </c>
      <c r="R223" s="32">
        <v>46193</v>
      </c>
      <c r="S223" s="20" t="s">
        <v>399</v>
      </c>
      <c r="T223" s="33" t="s">
        <v>2483</v>
      </c>
      <c r="U223" s="16">
        <v>45898</v>
      </c>
      <c r="V223" s="17">
        <v>1552387</v>
      </c>
      <c r="W223" s="18">
        <v>45996</v>
      </c>
      <c r="X223" s="19">
        <v>95490</v>
      </c>
      <c r="Y223" s="20" t="s">
        <v>245</v>
      </c>
      <c r="Z223" s="20" t="s">
        <v>1058</v>
      </c>
      <c r="AA223" s="22"/>
      <c r="AB223" s="23">
        <v>45870</v>
      </c>
      <c r="AC223" s="27" t="s">
        <v>1955</v>
      </c>
      <c r="AD223" s="80" t="s">
        <v>1803</v>
      </c>
      <c r="AE223" s="24" t="s">
        <v>2484</v>
      </c>
      <c r="AF223" s="81"/>
      <c r="AG223" s="142"/>
    </row>
    <row r="224" spans="1:33" ht="27" customHeight="1">
      <c r="A224" s="15">
        <f t="shared" si="11"/>
        <v>221</v>
      </c>
      <c r="B224" s="81">
        <v>45898</v>
      </c>
      <c r="C224" s="15" t="s">
        <v>1498</v>
      </c>
      <c r="D224" s="15" t="s">
        <v>2485</v>
      </c>
      <c r="E224" s="26" t="s">
        <v>1500</v>
      </c>
      <c r="F224" s="27" t="s">
        <v>944</v>
      </c>
      <c r="G224" s="27">
        <v>645602</v>
      </c>
      <c r="H224" s="81">
        <v>45901</v>
      </c>
      <c r="I224" s="27">
        <v>6212599</v>
      </c>
      <c r="J224" s="28" t="s">
        <v>2486</v>
      </c>
      <c r="K224" s="81" t="s">
        <v>2075</v>
      </c>
      <c r="L224" s="81"/>
      <c r="M224" s="28" t="s">
        <v>2487</v>
      </c>
      <c r="N224" s="400">
        <v>6786</v>
      </c>
      <c r="O224" s="29">
        <v>5220</v>
      </c>
      <c r="P224" s="30"/>
      <c r="Q224" s="31" t="s">
        <v>2075</v>
      </c>
      <c r="R224" s="32"/>
      <c r="S224" s="20" t="s">
        <v>2488</v>
      </c>
      <c r="T224" s="33" t="s">
        <v>2489</v>
      </c>
      <c r="U224" s="114">
        <v>45911</v>
      </c>
      <c r="V224" s="115">
        <v>1554352</v>
      </c>
      <c r="W224" s="18">
        <v>45918</v>
      </c>
      <c r="X224" s="19">
        <v>5220</v>
      </c>
      <c r="Y224" s="20" t="s">
        <v>1504</v>
      </c>
      <c r="Z224" s="20" t="s">
        <v>1505</v>
      </c>
      <c r="AA224" s="22"/>
      <c r="AB224" s="23">
        <v>45870</v>
      </c>
      <c r="AC224" s="27" t="s">
        <v>2490</v>
      </c>
      <c r="AD224" s="80"/>
      <c r="AE224" s="24"/>
      <c r="AF224" s="81"/>
      <c r="AG224" s="142"/>
    </row>
    <row r="225" spans="1:33" ht="27" customHeight="1">
      <c r="A225" s="15">
        <f t="shared" si="11"/>
        <v>222</v>
      </c>
      <c r="B225" s="81">
        <v>45898</v>
      </c>
      <c r="C225" s="15" t="s">
        <v>38</v>
      </c>
      <c r="D225" s="15" t="s">
        <v>2491</v>
      </c>
      <c r="E225" s="26" t="s">
        <v>70</v>
      </c>
      <c r="F225" s="27" t="s">
        <v>277</v>
      </c>
      <c r="G225" s="27">
        <v>645600</v>
      </c>
      <c r="H225" s="81">
        <v>45902</v>
      </c>
      <c r="I225" s="27">
        <v>6213069</v>
      </c>
      <c r="J225" s="28" t="s">
        <v>2492</v>
      </c>
      <c r="K225" s="81">
        <v>45901</v>
      </c>
      <c r="L225" s="81">
        <v>46630</v>
      </c>
      <c r="M225" s="28" t="s">
        <v>2493</v>
      </c>
      <c r="N225" s="400">
        <v>954411</v>
      </c>
      <c r="O225" s="29">
        <v>87980</v>
      </c>
      <c r="P225" s="30"/>
      <c r="Q225" s="31">
        <v>45901</v>
      </c>
      <c r="R225" s="32">
        <v>46630</v>
      </c>
      <c r="S225" s="20" t="s">
        <v>399</v>
      </c>
      <c r="T225" s="33" t="s">
        <v>2494</v>
      </c>
      <c r="U225" s="16">
        <v>45904</v>
      </c>
      <c r="V225" s="17">
        <v>1553214</v>
      </c>
      <c r="W225" s="18">
        <v>46001</v>
      </c>
      <c r="X225" s="19">
        <v>87980</v>
      </c>
      <c r="Y225" s="20" t="s">
        <v>123</v>
      </c>
      <c r="Z225" s="20" t="s">
        <v>1554</v>
      </c>
      <c r="AA225" s="22"/>
      <c r="AB225" s="23">
        <v>45901</v>
      </c>
      <c r="AC225" s="27" t="s">
        <v>2495</v>
      </c>
      <c r="AD225" s="80"/>
      <c r="AE225" s="24"/>
      <c r="AF225" s="81"/>
      <c r="AG225" s="142"/>
    </row>
    <row r="226" spans="1:33" ht="27" customHeight="1">
      <c r="A226" s="15">
        <f t="shared" si="11"/>
        <v>223</v>
      </c>
      <c r="B226" s="81">
        <v>45898</v>
      </c>
      <c r="C226" s="15" t="s">
        <v>38</v>
      </c>
      <c r="D226" s="15" t="s">
        <v>2496</v>
      </c>
      <c r="E226" s="26" t="s">
        <v>70</v>
      </c>
      <c r="F226" s="27" t="s">
        <v>277</v>
      </c>
      <c r="G226" s="27">
        <v>645600</v>
      </c>
      <c r="H226" s="81">
        <v>45902</v>
      </c>
      <c r="I226" s="27">
        <v>6213076</v>
      </c>
      <c r="J226" s="28" t="s">
        <v>1038</v>
      </c>
      <c r="K226" s="81">
        <v>45748</v>
      </c>
      <c r="L226" s="81">
        <v>46112</v>
      </c>
      <c r="M226" s="28" t="s">
        <v>2497</v>
      </c>
      <c r="N226" s="400">
        <v>737370</v>
      </c>
      <c r="O226" s="29">
        <v>36100</v>
      </c>
      <c r="P226" s="30"/>
      <c r="Q226" s="31">
        <v>45839</v>
      </c>
      <c r="R226" s="32">
        <v>46203</v>
      </c>
      <c r="S226" s="20" t="s">
        <v>399</v>
      </c>
      <c r="T226" s="33" t="s">
        <v>2498</v>
      </c>
      <c r="U226" s="16">
        <v>45915</v>
      </c>
      <c r="V226" s="17">
        <v>1554907</v>
      </c>
      <c r="W226" s="18">
        <v>46001</v>
      </c>
      <c r="X226" s="19">
        <v>36100</v>
      </c>
      <c r="Y226" s="20" t="s">
        <v>123</v>
      </c>
      <c r="Z226" s="20" t="s">
        <v>1554</v>
      </c>
      <c r="AA226" s="22"/>
      <c r="AB226" s="23">
        <v>45901</v>
      </c>
      <c r="AC226" s="27" t="s">
        <v>2499</v>
      </c>
      <c r="AD226" s="80"/>
      <c r="AE226" s="24"/>
      <c r="AF226" s="81"/>
      <c r="AG226" s="142"/>
    </row>
    <row r="227" spans="1:33" ht="27" customHeight="1">
      <c r="A227" s="91">
        <f t="shared" si="11"/>
        <v>224</v>
      </c>
      <c r="B227" s="92">
        <v>45898</v>
      </c>
      <c r="C227" s="91" t="s">
        <v>38</v>
      </c>
      <c r="D227" s="91" t="s">
        <v>2500</v>
      </c>
      <c r="E227" s="93" t="s">
        <v>70</v>
      </c>
      <c r="F227" s="94" t="s">
        <v>277</v>
      </c>
      <c r="G227" s="94">
        <v>645600</v>
      </c>
      <c r="H227" s="92">
        <v>45902</v>
      </c>
      <c r="I227" s="94">
        <v>6213077</v>
      </c>
      <c r="J227" s="95" t="s">
        <v>1038</v>
      </c>
      <c r="K227" s="92">
        <v>45748</v>
      </c>
      <c r="L227" s="92">
        <v>46112</v>
      </c>
      <c r="M227" s="95" t="s">
        <v>2497</v>
      </c>
      <c r="N227" s="400">
        <v>737370</v>
      </c>
      <c r="O227" s="97">
        <f>11500*3</f>
        <v>34500</v>
      </c>
      <c r="P227" s="98"/>
      <c r="Q227" s="99">
        <v>45248</v>
      </c>
      <c r="R227" s="100">
        <v>46344</v>
      </c>
      <c r="S227" s="101" t="s">
        <v>514</v>
      </c>
      <c r="T227" s="102" t="s">
        <v>2501</v>
      </c>
      <c r="U227" s="103" t="s">
        <v>609</v>
      </c>
      <c r="V227" s="104"/>
      <c r="W227" s="105"/>
      <c r="X227" s="106">
        <v>34500</v>
      </c>
      <c r="Y227" s="101" t="s">
        <v>123</v>
      </c>
      <c r="Z227" s="107" t="s">
        <v>1554</v>
      </c>
      <c r="AA227" s="108"/>
      <c r="AB227" s="109">
        <v>45901</v>
      </c>
      <c r="AC227" s="94" t="s">
        <v>2499</v>
      </c>
      <c r="AD227" s="138"/>
      <c r="AE227" s="110" t="s">
        <v>2502</v>
      </c>
      <c r="AF227" s="81"/>
      <c r="AG227" s="142"/>
    </row>
    <row r="228" spans="1:33" ht="27" customHeight="1">
      <c r="A228" s="15">
        <f t="shared" si="11"/>
        <v>225</v>
      </c>
      <c r="B228" s="81">
        <v>45898</v>
      </c>
      <c r="C228" s="15" t="s">
        <v>38</v>
      </c>
      <c r="D228" s="15" t="s">
        <v>2503</v>
      </c>
      <c r="E228" s="26" t="s">
        <v>97</v>
      </c>
      <c r="F228" s="27" t="s">
        <v>944</v>
      </c>
      <c r="G228" s="27">
        <v>645602</v>
      </c>
      <c r="H228" s="81">
        <v>45903</v>
      </c>
      <c r="I228" s="27">
        <v>6213362</v>
      </c>
      <c r="J228" s="28" t="s">
        <v>1038</v>
      </c>
      <c r="K228" s="81">
        <v>45748</v>
      </c>
      <c r="L228" s="81">
        <v>46112</v>
      </c>
      <c r="M228" s="28" t="s">
        <v>2497</v>
      </c>
      <c r="N228" s="400">
        <v>737370</v>
      </c>
      <c r="O228" s="29">
        <v>54990</v>
      </c>
      <c r="P228" s="30"/>
      <c r="Q228" s="31" t="s">
        <v>2231</v>
      </c>
      <c r="R228" s="32"/>
      <c r="S228" s="20" t="s">
        <v>982</v>
      </c>
      <c r="T228" s="33" t="s">
        <v>2504</v>
      </c>
      <c r="U228" s="16">
        <v>45912</v>
      </c>
      <c r="V228" s="17">
        <v>1554724</v>
      </c>
      <c r="W228" s="18">
        <v>46148</v>
      </c>
      <c r="X228" s="19">
        <v>53928</v>
      </c>
      <c r="Y228" s="20" t="s">
        <v>123</v>
      </c>
      <c r="Z228" s="20" t="s">
        <v>1554</v>
      </c>
      <c r="AA228" s="22"/>
      <c r="AB228" s="23">
        <v>45901</v>
      </c>
      <c r="AC228" s="27" t="s">
        <v>2499</v>
      </c>
      <c r="AD228" s="80"/>
      <c r="AE228" s="24" t="s">
        <v>2505</v>
      </c>
      <c r="AF228" s="81"/>
      <c r="AG228" s="142"/>
    </row>
    <row r="229" spans="1:33" ht="27" customHeight="1">
      <c r="A229" s="15">
        <f t="shared" si="11"/>
        <v>226</v>
      </c>
      <c r="B229" s="81">
        <v>45901</v>
      </c>
      <c r="C229" s="15" t="s">
        <v>38</v>
      </c>
      <c r="D229" s="15" t="s">
        <v>2506</v>
      </c>
      <c r="E229" s="26" t="s">
        <v>70</v>
      </c>
      <c r="F229" s="27" t="s">
        <v>41</v>
      </c>
      <c r="G229" s="27">
        <v>645600</v>
      </c>
      <c r="H229" s="81">
        <v>45904</v>
      </c>
      <c r="I229" s="27">
        <v>6213863</v>
      </c>
      <c r="J229" s="28" t="s">
        <v>2507</v>
      </c>
      <c r="K229" s="81">
        <v>45834</v>
      </c>
      <c r="L229" s="81">
        <v>46198</v>
      </c>
      <c r="M229" s="28" t="s">
        <v>2508</v>
      </c>
      <c r="N229" s="400">
        <v>282730</v>
      </c>
      <c r="O229" s="29">
        <f t="shared" ref="O229:O230" si="20">P229*7.89</f>
        <v>25169.1</v>
      </c>
      <c r="P229" s="30">
        <v>3190</v>
      </c>
      <c r="Q229" s="31">
        <v>45834</v>
      </c>
      <c r="R229" s="32">
        <v>46198</v>
      </c>
      <c r="S229" s="20" t="s">
        <v>180</v>
      </c>
      <c r="T229" s="33" t="s">
        <v>2509</v>
      </c>
      <c r="U229" s="16">
        <v>45925</v>
      </c>
      <c r="V229" s="17">
        <v>1556298</v>
      </c>
      <c r="W229" s="18">
        <v>46010</v>
      </c>
      <c r="X229" s="19">
        <v>24882.639999999999</v>
      </c>
      <c r="Y229" s="20" t="s">
        <v>56</v>
      </c>
      <c r="Z229" s="20" t="s">
        <v>899</v>
      </c>
      <c r="AA229" s="22"/>
      <c r="AB229" s="23">
        <v>45901</v>
      </c>
      <c r="AC229" s="27" t="s">
        <v>2510</v>
      </c>
      <c r="AD229" s="80"/>
      <c r="AE229" s="24"/>
      <c r="AF229" s="81"/>
      <c r="AG229" s="142"/>
    </row>
    <row r="230" spans="1:33" ht="27" customHeight="1">
      <c r="A230" s="15">
        <f t="shared" si="11"/>
        <v>227</v>
      </c>
      <c r="B230" s="81">
        <v>45901</v>
      </c>
      <c r="C230" s="15" t="s">
        <v>38</v>
      </c>
      <c r="D230" s="15" t="s">
        <v>2511</v>
      </c>
      <c r="E230" s="26" t="s">
        <v>70</v>
      </c>
      <c r="F230" s="27" t="s">
        <v>41</v>
      </c>
      <c r="G230" s="27">
        <v>645600</v>
      </c>
      <c r="H230" s="81">
        <v>45904</v>
      </c>
      <c r="I230" s="27">
        <v>6213866</v>
      </c>
      <c r="J230" s="28" t="s">
        <v>2507</v>
      </c>
      <c r="K230" s="81">
        <v>45834</v>
      </c>
      <c r="L230" s="81">
        <v>46198</v>
      </c>
      <c r="M230" s="28" t="s">
        <v>2508</v>
      </c>
      <c r="N230" s="400">
        <v>282730</v>
      </c>
      <c r="O230" s="29">
        <f t="shared" si="20"/>
        <v>34913.25</v>
      </c>
      <c r="P230" s="30">
        <v>4425</v>
      </c>
      <c r="Q230" s="31">
        <v>45834</v>
      </c>
      <c r="R230" s="32">
        <v>46198</v>
      </c>
      <c r="S230" s="20" t="s">
        <v>905</v>
      </c>
      <c r="T230" s="33" t="s">
        <v>2512</v>
      </c>
      <c r="U230" s="16">
        <v>45925</v>
      </c>
      <c r="V230" s="17">
        <v>1556295</v>
      </c>
      <c r="W230" s="18">
        <v>45932</v>
      </c>
      <c r="X230" s="19">
        <v>34515.89</v>
      </c>
      <c r="Y230" s="20" t="s">
        <v>56</v>
      </c>
      <c r="Z230" s="20" t="s">
        <v>899</v>
      </c>
      <c r="AA230" s="22"/>
      <c r="AB230" s="23">
        <v>45901</v>
      </c>
      <c r="AC230" s="27" t="s">
        <v>2510</v>
      </c>
      <c r="AD230" s="80"/>
      <c r="AE230" s="24"/>
      <c r="AF230" s="81" t="s">
        <v>2513</v>
      </c>
      <c r="AG230" s="142">
        <v>45926</v>
      </c>
    </row>
    <row r="231" spans="1:33" ht="27" customHeight="1">
      <c r="A231" s="15">
        <f t="shared" si="11"/>
        <v>228</v>
      </c>
      <c r="B231" s="81">
        <v>45901</v>
      </c>
      <c r="C231" s="15" t="s">
        <v>38</v>
      </c>
      <c r="D231" s="15" t="s">
        <v>2514</v>
      </c>
      <c r="E231" s="26" t="s">
        <v>40</v>
      </c>
      <c r="F231" s="27" t="s">
        <v>41</v>
      </c>
      <c r="G231" s="27">
        <v>645600</v>
      </c>
      <c r="H231" s="81">
        <v>45904</v>
      </c>
      <c r="I231" s="27">
        <v>6213871</v>
      </c>
      <c r="J231" s="28" t="s">
        <v>1262</v>
      </c>
      <c r="K231" s="81">
        <v>45928</v>
      </c>
      <c r="L231" s="81">
        <v>46292</v>
      </c>
      <c r="M231" s="28" t="s">
        <v>2515</v>
      </c>
      <c r="N231" s="400">
        <v>227000</v>
      </c>
      <c r="O231" s="29">
        <f t="shared" ref="O231" si="21">P231*7.89</f>
        <v>95082.153299999991</v>
      </c>
      <c r="P231" s="30">
        <v>12050.97</v>
      </c>
      <c r="Q231" s="31">
        <v>45931</v>
      </c>
      <c r="R231" s="32">
        <v>46295</v>
      </c>
      <c r="S231" s="20" t="s">
        <v>784</v>
      </c>
      <c r="T231" s="33" t="s">
        <v>2516</v>
      </c>
      <c r="U231" s="16">
        <v>45911</v>
      </c>
      <c r="V231" s="17">
        <v>1554438</v>
      </c>
      <c r="W231" s="18">
        <v>45957</v>
      </c>
      <c r="X231" s="19">
        <v>93999.98</v>
      </c>
      <c r="Y231" s="20" t="s">
        <v>66</v>
      </c>
      <c r="Z231" s="20" t="s">
        <v>1058</v>
      </c>
      <c r="AA231" s="22"/>
      <c r="AB231" s="23">
        <v>45901</v>
      </c>
      <c r="AC231" s="27" t="s">
        <v>2517</v>
      </c>
      <c r="AD231" s="80"/>
      <c r="AE231" s="24"/>
      <c r="AF231" s="81"/>
      <c r="AG231" s="142"/>
    </row>
    <row r="232" spans="1:33" ht="27" customHeight="1">
      <c r="A232" s="15">
        <f t="shared" si="11"/>
        <v>229</v>
      </c>
      <c r="B232" s="81">
        <v>45901</v>
      </c>
      <c r="C232" s="15" t="s">
        <v>38</v>
      </c>
      <c r="D232" s="15" t="s">
        <v>2518</v>
      </c>
      <c r="E232" s="26" t="s">
        <v>70</v>
      </c>
      <c r="F232" s="27" t="s">
        <v>41</v>
      </c>
      <c r="G232" s="27">
        <v>645600</v>
      </c>
      <c r="H232" s="81">
        <v>45904</v>
      </c>
      <c r="I232" s="27">
        <v>6213875</v>
      </c>
      <c r="J232" s="28" t="s">
        <v>517</v>
      </c>
      <c r="K232" s="81">
        <v>45413</v>
      </c>
      <c r="L232" s="81">
        <v>46507</v>
      </c>
      <c r="M232" s="28" t="s">
        <v>518</v>
      </c>
      <c r="N232" s="400">
        <v>1329483</v>
      </c>
      <c r="O232" s="29">
        <f t="shared" ref="O232" si="22">P232*7.89</f>
        <v>45233.527800000003</v>
      </c>
      <c r="P232" s="30">
        <v>5733.02</v>
      </c>
      <c r="Q232" s="31">
        <v>45748</v>
      </c>
      <c r="R232" s="32">
        <v>46112</v>
      </c>
      <c r="S232" s="20" t="s">
        <v>473</v>
      </c>
      <c r="T232" s="33" t="s">
        <v>2519</v>
      </c>
      <c r="U232" s="16">
        <v>45912</v>
      </c>
      <c r="V232" s="17">
        <v>1554771</v>
      </c>
      <c r="W232" s="18"/>
      <c r="X232" s="19">
        <v>44718.7</v>
      </c>
      <c r="Y232" s="20" t="s">
        <v>47</v>
      </c>
      <c r="Z232" s="20" t="s">
        <v>1554</v>
      </c>
      <c r="AA232" s="22"/>
      <c r="AB232" s="23">
        <v>45901</v>
      </c>
      <c r="AC232" s="27" t="s">
        <v>521</v>
      </c>
      <c r="AD232" s="80"/>
      <c r="AE232" s="24" t="s">
        <v>2520</v>
      </c>
      <c r="AF232" s="81"/>
      <c r="AG232" s="142"/>
    </row>
    <row r="233" spans="1:33" ht="27" customHeight="1">
      <c r="A233" s="15">
        <f t="shared" si="11"/>
        <v>230</v>
      </c>
      <c r="B233" s="81">
        <v>45904</v>
      </c>
      <c r="C233" s="15" t="s">
        <v>1498</v>
      </c>
      <c r="D233" s="15" t="s">
        <v>2521</v>
      </c>
      <c r="E233" s="26" t="s">
        <v>1500</v>
      </c>
      <c r="F233" s="27" t="s">
        <v>944</v>
      </c>
      <c r="G233" s="27">
        <v>645602</v>
      </c>
      <c r="H233" s="81">
        <v>45905</v>
      </c>
      <c r="I233" s="27">
        <v>6213902</v>
      </c>
      <c r="J233" s="28" t="s">
        <v>2522</v>
      </c>
      <c r="K233" s="81">
        <v>45748</v>
      </c>
      <c r="L233" s="81">
        <v>46279</v>
      </c>
      <c r="M233" s="28" t="s">
        <v>2523</v>
      </c>
      <c r="N233" s="400">
        <v>483793</v>
      </c>
      <c r="O233" s="29">
        <v>290398.40000000002</v>
      </c>
      <c r="P233" s="30"/>
      <c r="Q233" s="31">
        <v>45748</v>
      </c>
      <c r="R233" s="32">
        <v>46279</v>
      </c>
      <c r="S233" s="20" t="s">
        <v>2524</v>
      </c>
      <c r="T233" s="33" t="s">
        <v>2525</v>
      </c>
      <c r="U233" s="114">
        <v>45908</v>
      </c>
      <c r="V233" s="115">
        <v>1553633</v>
      </c>
      <c r="W233" s="18"/>
      <c r="X233" s="19">
        <v>290398.40000000002</v>
      </c>
      <c r="Y233" s="20" t="s">
        <v>1813</v>
      </c>
      <c r="Z233" s="20" t="s">
        <v>1505</v>
      </c>
      <c r="AA233" s="22"/>
      <c r="AB233" s="23">
        <v>45901</v>
      </c>
      <c r="AC233" s="27" t="s">
        <v>2526</v>
      </c>
      <c r="AD233" s="80"/>
      <c r="AE233" s="24" t="s">
        <v>2527</v>
      </c>
      <c r="AF233" s="81"/>
      <c r="AG233" s="142"/>
    </row>
    <row r="234" spans="1:33" ht="27" customHeight="1">
      <c r="A234" s="15">
        <f t="shared" si="11"/>
        <v>231</v>
      </c>
      <c r="B234" s="81">
        <v>45910</v>
      </c>
      <c r="C234" s="15" t="s">
        <v>38</v>
      </c>
      <c r="D234" s="15" t="s">
        <v>2528</v>
      </c>
      <c r="E234" s="26" t="s">
        <v>70</v>
      </c>
      <c r="F234" s="27" t="s">
        <v>277</v>
      </c>
      <c r="G234" s="27">
        <v>645600</v>
      </c>
      <c r="H234" s="81">
        <v>45912</v>
      </c>
      <c r="I234" s="27">
        <v>6215950</v>
      </c>
      <c r="J234" s="28" t="s">
        <v>1335</v>
      </c>
      <c r="K234" s="81">
        <v>45918</v>
      </c>
      <c r="L234" s="81">
        <v>46282</v>
      </c>
      <c r="M234" s="28" t="s">
        <v>2529</v>
      </c>
      <c r="N234" s="400">
        <v>122585</v>
      </c>
      <c r="O234" s="29">
        <v>17010</v>
      </c>
      <c r="P234" s="30"/>
      <c r="Q234" s="31">
        <v>45920</v>
      </c>
      <c r="R234" s="32">
        <v>46284</v>
      </c>
      <c r="S234" s="20" t="s">
        <v>399</v>
      </c>
      <c r="T234" s="33" t="s">
        <v>2530</v>
      </c>
      <c r="U234" s="16">
        <v>45925</v>
      </c>
      <c r="V234" s="17">
        <v>1556531</v>
      </c>
      <c r="W234" s="18">
        <v>46001</v>
      </c>
      <c r="X234" s="19">
        <v>17010</v>
      </c>
      <c r="Y234" s="20" t="s">
        <v>47</v>
      </c>
      <c r="Z234" s="20" t="s">
        <v>1554</v>
      </c>
      <c r="AA234" s="22"/>
      <c r="AB234" s="23">
        <v>45901</v>
      </c>
      <c r="AC234" s="27" t="s">
        <v>855</v>
      </c>
      <c r="AD234" s="80"/>
      <c r="AE234" s="24"/>
      <c r="AF234" s="81"/>
      <c r="AG234" s="142"/>
    </row>
    <row r="235" spans="1:33" ht="27" customHeight="1">
      <c r="A235" s="15">
        <f>A234+1</f>
        <v>232</v>
      </c>
      <c r="B235" s="81">
        <v>45910</v>
      </c>
      <c r="C235" s="15" t="s">
        <v>38</v>
      </c>
      <c r="D235" s="15" t="s">
        <v>2531</v>
      </c>
      <c r="E235" s="26" t="s">
        <v>70</v>
      </c>
      <c r="F235" s="27" t="s">
        <v>277</v>
      </c>
      <c r="G235" s="27">
        <v>645600</v>
      </c>
      <c r="H235" s="81">
        <v>45912</v>
      </c>
      <c r="I235" s="27">
        <v>6215956</v>
      </c>
      <c r="J235" s="28" t="s">
        <v>1335</v>
      </c>
      <c r="K235" s="81">
        <v>45918</v>
      </c>
      <c r="L235" s="81">
        <v>46282</v>
      </c>
      <c r="M235" s="28" t="s">
        <v>2529</v>
      </c>
      <c r="N235" s="400">
        <v>122585</v>
      </c>
      <c r="O235" s="29">
        <v>6350</v>
      </c>
      <c r="P235" s="30"/>
      <c r="Q235" s="31">
        <v>45920</v>
      </c>
      <c r="R235" s="32">
        <v>46284</v>
      </c>
      <c r="S235" s="20" t="s">
        <v>2295</v>
      </c>
      <c r="T235" s="33" t="s">
        <v>2532</v>
      </c>
      <c r="U235" s="16">
        <v>45925</v>
      </c>
      <c r="V235" s="17">
        <v>1556532</v>
      </c>
      <c r="W235" s="18">
        <v>46001</v>
      </c>
      <c r="X235" s="19">
        <v>6350</v>
      </c>
      <c r="Y235" s="20" t="s">
        <v>47</v>
      </c>
      <c r="Z235" s="20" t="s">
        <v>1554</v>
      </c>
      <c r="AA235" s="22"/>
      <c r="AB235" s="23">
        <v>45901</v>
      </c>
      <c r="AC235" s="27" t="s">
        <v>855</v>
      </c>
      <c r="AD235" s="80"/>
      <c r="AE235" s="24"/>
      <c r="AF235" s="81"/>
      <c r="AG235" s="142"/>
    </row>
    <row r="236" spans="1:33" ht="27" customHeight="1">
      <c r="A236" s="15">
        <f t="shared" si="11"/>
        <v>233</v>
      </c>
      <c r="B236" s="81">
        <v>45910</v>
      </c>
      <c r="C236" s="15" t="s">
        <v>38</v>
      </c>
      <c r="D236" s="15" t="s">
        <v>2533</v>
      </c>
      <c r="E236" s="26" t="s">
        <v>70</v>
      </c>
      <c r="F236" s="27" t="s">
        <v>277</v>
      </c>
      <c r="G236" s="27">
        <v>645600</v>
      </c>
      <c r="H236" s="81">
        <v>45912</v>
      </c>
      <c r="I236" s="27">
        <v>6216012</v>
      </c>
      <c r="J236" s="28" t="s">
        <v>1335</v>
      </c>
      <c r="K236" s="81">
        <v>45918</v>
      </c>
      <c r="L236" s="81">
        <v>46282</v>
      </c>
      <c r="M236" s="28" t="s">
        <v>2529</v>
      </c>
      <c r="N236" s="400">
        <v>122585</v>
      </c>
      <c r="O236" s="29">
        <v>4000</v>
      </c>
      <c r="P236" s="30"/>
      <c r="Q236" s="31">
        <v>45918</v>
      </c>
      <c r="R236" s="32">
        <v>45917</v>
      </c>
      <c r="S236" s="20" t="s">
        <v>514</v>
      </c>
      <c r="T236" s="33" t="s">
        <v>2534</v>
      </c>
      <c r="U236" s="16">
        <v>45925</v>
      </c>
      <c r="V236" s="17">
        <v>1556529</v>
      </c>
      <c r="W236" s="18">
        <v>46057</v>
      </c>
      <c r="X236" s="19">
        <v>4000</v>
      </c>
      <c r="Y236" s="20" t="s">
        <v>47</v>
      </c>
      <c r="Z236" s="20" t="s">
        <v>1554</v>
      </c>
      <c r="AA236" s="22"/>
      <c r="AB236" s="23">
        <v>45901</v>
      </c>
      <c r="AC236" s="27" t="s">
        <v>855</v>
      </c>
      <c r="AD236" s="80"/>
      <c r="AE236" s="24"/>
      <c r="AF236" s="81"/>
      <c r="AG236" s="142"/>
    </row>
    <row r="237" spans="1:33" ht="27" customHeight="1">
      <c r="A237" s="15">
        <f t="shared" si="11"/>
        <v>234</v>
      </c>
      <c r="B237" s="81">
        <v>45910</v>
      </c>
      <c r="C237" s="15" t="s">
        <v>38</v>
      </c>
      <c r="D237" s="15" t="s">
        <v>2535</v>
      </c>
      <c r="E237" s="26" t="s">
        <v>70</v>
      </c>
      <c r="F237" s="27" t="s">
        <v>277</v>
      </c>
      <c r="G237" s="27">
        <v>645600</v>
      </c>
      <c r="H237" s="81">
        <v>45912</v>
      </c>
      <c r="I237" s="27">
        <v>6216017</v>
      </c>
      <c r="J237" s="28" t="s">
        <v>1335</v>
      </c>
      <c r="K237" s="81">
        <v>45918</v>
      </c>
      <c r="L237" s="81">
        <v>46282</v>
      </c>
      <c r="M237" s="28" t="s">
        <v>2529</v>
      </c>
      <c r="N237" s="400">
        <v>122585</v>
      </c>
      <c r="O237" s="29">
        <v>8300</v>
      </c>
      <c r="P237" s="30"/>
      <c r="Q237" s="31">
        <v>45918</v>
      </c>
      <c r="R237" s="32">
        <v>45917</v>
      </c>
      <c r="S237" s="20" t="s">
        <v>514</v>
      </c>
      <c r="T237" s="33" t="s">
        <v>2536</v>
      </c>
      <c r="U237" s="16">
        <v>45925</v>
      </c>
      <c r="V237" s="17">
        <v>1556530</v>
      </c>
      <c r="W237" s="18">
        <v>46057</v>
      </c>
      <c r="X237" s="19">
        <v>8300</v>
      </c>
      <c r="Y237" s="20" t="s">
        <v>47</v>
      </c>
      <c r="Z237" s="20" t="s">
        <v>1554</v>
      </c>
      <c r="AA237" s="22"/>
      <c r="AB237" s="23">
        <v>45901</v>
      </c>
      <c r="AC237" s="27" t="s">
        <v>855</v>
      </c>
      <c r="AD237" s="80"/>
      <c r="AE237" s="24" t="s">
        <v>2148</v>
      </c>
      <c r="AF237" s="81"/>
      <c r="AG237" s="142"/>
    </row>
    <row r="238" spans="1:33" ht="38.25">
      <c r="A238" s="15">
        <f t="shared" si="11"/>
        <v>235</v>
      </c>
      <c r="B238" s="81">
        <v>45910</v>
      </c>
      <c r="C238" s="15" t="s">
        <v>38</v>
      </c>
      <c r="D238" s="15" t="s">
        <v>2537</v>
      </c>
      <c r="E238" s="26" t="s">
        <v>70</v>
      </c>
      <c r="F238" s="27" t="s">
        <v>277</v>
      </c>
      <c r="G238" s="27">
        <v>645600</v>
      </c>
      <c r="H238" s="81">
        <v>45912</v>
      </c>
      <c r="I238" s="27">
        <v>6216097</v>
      </c>
      <c r="J238" s="28" t="s">
        <v>2538</v>
      </c>
      <c r="K238" s="81">
        <v>45886</v>
      </c>
      <c r="L238" s="81">
        <v>46250</v>
      </c>
      <c r="M238" s="28" t="s">
        <v>2539</v>
      </c>
      <c r="N238" s="400">
        <v>164370</v>
      </c>
      <c r="O238" s="29">
        <v>12690</v>
      </c>
      <c r="P238" s="30"/>
      <c r="Q238" s="31" t="s">
        <v>2231</v>
      </c>
      <c r="R238" s="32"/>
      <c r="S238" s="199" t="s">
        <v>2540</v>
      </c>
      <c r="T238" s="33" t="s">
        <v>2541</v>
      </c>
      <c r="U238" s="16">
        <v>45965</v>
      </c>
      <c r="V238" s="17">
        <v>1563053</v>
      </c>
      <c r="W238" s="18">
        <v>46020</v>
      </c>
      <c r="X238" s="19">
        <v>11790</v>
      </c>
      <c r="Y238" s="20" t="s">
        <v>56</v>
      </c>
      <c r="Z238" s="20" t="s">
        <v>1554</v>
      </c>
      <c r="AA238" s="22"/>
      <c r="AB238" s="23">
        <v>45901</v>
      </c>
      <c r="AC238" s="27" t="s">
        <v>2542</v>
      </c>
      <c r="AD238" s="80"/>
      <c r="AE238" s="24" t="s">
        <v>2543</v>
      </c>
      <c r="AF238" s="81"/>
      <c r="AG238" s="142"/>
    </row>
    <row r="239" spans="1:33" ht="27" customHeight="1">
      <c r="A239" s="15">
        <f t="shared" si="11"/>
        <v>236</v>
      </c>
      <c r="B239" s="81">
        <v>45911</v>
      </c>
      <c r="C239" s="15" t="s">
        <v>38</v>
      </c>
      <c r="D239" s="15" t="s">
        <v>2544</v>
      </c>
      <c r="E239" s="26" t="s">
        <v>40</v>
      </c>
      <c r="F239" s="27" t="s">
        <v>41</v>
      </c>
      <c r="G239" s="27">
        <v>645600</v>
      </c>
      <c r="H239" s="81">
        <v>45912</v>
      </c>
      <c r="I239" s="27">
        <v>6216098</v>
      </c>
      <c r="J239" s="28" t="s">
        <v>2243</v>
      </c>
      <c r="K239" s="81">
        <v>46000</v>
      </c>
      <c r="L239" s="81">
        <v>47095</v>
      </c>
      <c r="M239" s="28" t="s">
        <v>2545</v>
      </c>
      <c r="N239" s="400">
        <v>247008</v>
      </c>
      <c r="O239" s="29">
        <f t="shared" ref="O239" si="23">P239*7.89</f>
        <v>84948.474000000002</v>
      </c>
      <c r="P239" s="30">
        <v>10766.6</v>
      </c>
      <c r="Q239" s="31">
        <v>46023</v>
      </c>
      <c r="R239" s="32">
        <v>47118</v>
      </c>
      <c r="S239" s="20" t="s">
        <v>784</v>
      </c>
      <c r="T239" s="33" t="s">
        <v>2546</v>
      </c>
      <c r="U239" s="16">
        <v>45925</v>
      </c>
      <c r="V239" s="17">
        <v>1556297</v>
      </c>
      <c r="W239" s="18">
        <v>46135</v>
      </c>
      <c r="X239" s="19">
        <v>83981.63</v>
      </c>
      <c r="Y239" s="20" t="s">
        <v>336</v>
      </c>
      <c r="Z239" s="20" t="s">
        <v>1058</v>
      </c>
      <c r="AA239" s="22"/>
      <c r="AB239" s="23">
        <v>45901</v>
      </c>
      <c r="AC239" s="27" t="s">
        <v>2547</v>
      </c>
      <c r="AD239" s="80"/>
      <c r="AE239" s="24"/>
      <c r="AF239" s="81"/>
      <c r="AG239" s="142"/>
    </row>
    <row r="240" spans="1:33" s="34" customFormat="1" ht="27" customHeight="1">
      <c r="A240" s="15">
        <f t="shared" si="11"/>
        <v>237</v>
      </c>
      <c r="B240" s="169">
        <v>45916</v>
      </c>
      <c r="C240" s="168" t="s">
        <v>95</v>
      </c>
      <c r="D240" s="168" t="s">
        <v>2548</v>
      </c>
      <c r="E240" s="170" t="s">
        <v>97</v>
      </c>
      <c r="F240" s="27" t="s">
        <v>944</v>
      </c>
      <c r="G240" s="168">
        <v>645602</v>
      </c>
      <c r="H240" s="169">
        <v>45916</v>
      </c>
      <c r="I240" s="27">
        <v>6216861</v>
      </c>
      <c r="J240" s="171" t="s">
        <v>2549</v>
      </c>
      <c r="K240" s="169">
        <v>45989</v>
      </c>
      <c r="L240" s="169">
        <v>47084</v>
      </c>
      <c r="M240" s="171" t="s">
        <v>2550</v>
      </c>
      <c r="N240" s="400">
        <v>1181280</v>
      </c>
      <c r="O240" s="172">
        <v>185400</v>
      </c>
      <c r="P240" s="173" t="s">
        <v>2551</v>
      </c>
      <c r="Q240" s="174">
        <v>45989</v>
      </c>
      <c r="R240" s="175">
        <v>47084</v>
      </c>
      <c r="S240" s="176" t="s">
        <v>1325</v>
      </c>
      <c r="T240" s="177" t="s">
        <v>2552</v>
      </c>
      <c r="U240" s="200">
        <v>45922</v>
      </c>
      <c r="V240" s="201">
        <v>1556000</v>
      </c>
      <c r="W240" s="18"/>
      <c r="X240" s="180">
        <v>185400</v>
      </c>
      <c r="Y240" s="176" t="s">
        <v>259</v>
      </c>
      <c r="Z240" s="176" t="s">
        <v>106</v>
      </c>
      <c r="AA240" s="181"/>
      <c r="AB240" s="182">
        <v>45925</v>
      </c>
      <c r="AC240" s="186" t="s">
        <v>2553</v>
      </c>
      <c r="AD240" s="183"/>
      <c r="AE240" s="184"/>
      <c r="AF240" s="169"/>
      <c r="AG240" s="185"/>
    </row>
    <row r="241" spans="1:33" s="34" customFormat="1" ht="27" customHeight="1">
      <c r="A241" s="15">
        <f t="shared" si="11"/>
        <v>238</v>
      </c>
      <c r="B241" s="169">
        <v>45916</v>
      </c>
      <c r="C241" s="168" t="s">
        <v>95</v>
      </c>
      <c r="D241" s="168" t="s">
        <v>2554</v>
      </c>
      <c r="E241" s="170" t="s">
        <v>97</v>
      </c>
      <c r="F241" s="27" t="s">
        <v>944</v>
      </c>
      <c r="G241" s="168">
        <v>645602</v>
      </c>
      <c r="H241" s="169">
        <v>45916</v>
      </c>
      <c r="I241" s="27">
        <v>6216868</v>
      </c>
      <c r="J241" s="171" t="s">
        <v>2549</v>
      </c>
      <c r="K241" s="169">
        <v>45989</v>
      </c>
      <c r="L241" s="169">
        <v>47084</v>
      </c>
      <c r="M241" s="171" t="s">
        <v>2550</v>
      </c>
      <c r="N241" s="400">
        <v>1181280</v>
      </c>
      <c r="O241" s="172">
        <v>870600</v>
      </c>
      <c r="P241" s="173" t="s">
        <v>2551</v>
      </c>
      <c r="Q241" s="174">
        <v>45989</v>
      </c>
      <c r="R241" s="175">
        <v>47084</v>
      </c>
      <c r="S241" s="176" t="s">
        <v>586</v>
      </c>
      <c r="T241" s="177" t="s">
        <v>2555</v>
      </c>
      <c r="U241" s="200">
        <v>45932</v>
      </c>
      <c r="V241" s="201">
        <v>1557499</v>
      </c>
      <c r="W241" s="18"/>
      <c r="X241" s="180">
        <v>870600</v>
      </c>
      <c r="Y241" s="176" t="s">
        <v>259</v>
      </c>
      <c r="Z241" s="176" t="s">
        <v>106</v>
      </c>
      <c r="AA241" s="181"/>
      <c r="AB241" s="182">
        <v>45925</v>
      </c>
      <c r="AC241" s="186" t="s">
        <v>2553</v>
      </c>
      <c r="AD241" s="183"/>
      <c r="AE241" s="184"/>
      <c r="AF241" s="169"/>
      <c r="AG241" s="185"/>
    </row>
    <row r="242" spans="1:33" s="34" customFormat="1" ht="27" customHeight="1">
      <c r="A242" s="15">
        <f t="shared" si="11"/>
        <v>239</v>
      </c>
      <c r="B242" s="169">
        <v>45916</v>
      </c>
      <c r="C242" s="168" t="s">
        <v>95</v>
      </c>
      <c r="D242" s="168" t="s">
        <v>2556</v>
      </c>
      <c r="E242" s="170" t="s">
        <v>97</v>
      </c>
      <c r="F242" s="27" t="s">
        <v>944</v>
      </c>
      <c r="G242" s="168">
        <v>645602</v>
      </c>
      <c r="H242" s="169">
        <v>45916</v>
      </c>
      <c r="I242" s="27">
        <v>6217009</v>
      </c>
      <c r="J242" s="171" t="s">
        <v>2557</v>
      </c>
      <c r="K242" s="169">
        <v>46013</v>
      </c>
      <c r="L242" s="169">
        <v>46742</v>
      </c>
      <c r="M242" s="171" t="s">
        <v>2558</v>
      </c>
      <c r="N242" s="400">
        <v>9484</v>
      </c>
      <c r="O242" s="172">
        <v>4289.4799999999996</v>
      </c>
      <c r="P242" s="173">
        <v>543.66</v>
      </c>
      <c r="Q242" s="174">
        <v>46013</v>
      </c>
      <c r="R242" s="175">
        <v>46742</v>
      </c>
      <c r="S242" s="176" t="s">
        <v>2559</v>
      </c>
      <c r="T242" s="177" t="s">
        <v>2560</v>
      </c>
      <c r="U242" s="200">
        <v>46007</v>
      </c>
      <c r="V242" s="201">
        <v>1570018</v>
      </c>
      <c r="W242" s="18"/>
      <c r="X242" s="180">
        <v>4240.66</v>
      </c>
      <c r="Y242" s="176" t="s">
        <v>230</v>
      </c>
      <c r="Z242" s="176" t="s">
        <v>106</v>
      </c>
      <c r="AA242" s="181"/>
      <c r="AB242" s="182">
        <v>45925</v>
      </c>
      <c r="AC242" s="186" t="s">
        <v>2561</v>
      </c>
      <c r="AD242" s="183"/>
      <c r="AE242" s="184"/>
      <c r="AF242" s="169"/>
      <c r="AG242" s="185"/>
    </row>
    <row r="243" spans="1:33" s="34" customFormat="1" ht="27" customHeight="1">
      <c r="A243" s="15">
        <f t="shared" si="11"/>
        <v>240</v>
      </c>
      <c r="B243" s="81">
        <v>45915</v>
      </c>
      <c r="C243" s="15" t="s">
        <v>38</v>
      </c>
      <c r="D243" s="15" t="s">
        <v>2562</v>
      </c>
      <c r="E243" s="26" t="s">
        <v>40</v>
      </c>
      <c r="F243" s="27" t="s">
        <v>41</v>
      </c>
      <c r="G243" s="27">
        <v>645600</v>
      </c>
      <c r="H243" s="81">
        <v>45916</v>
      </c>
      <c r="I243" s="27">
        <v>6217146</v>
      </c>
      <c r="J243" s="28" t="s">
        <v>2563</v>
      </c>
      <c r="K243" s="81">
        <v>45856</v>
      </c>
      <c r="L243" s="81">
        <v>46220</v>
      </c>
      <c r="M243" s="28" t="s">
        <v>2564</v>
      </c>
      <c r="N243" s="400">
        <v>752973</v>
      </c>
      <c r="O243" s="29">
        <v>16300</v>
      </c>
      <c r="P243" s="30" t="s">
        <v>2565</v>
      </c>
      <c r="Q243" s="31">
        <v>45856</v>
      </c>
      <c r="R243" s="32">
        <v>46220</v>
      </c>
      <c r="S243" s="20" t="s">
        <v>514</v>
      </c>
      <c r="T243" s="33" t="s">
        <v>2566</v>
      </c>
      <c r="U243" s="16">
        <v>45919</v>
      </c>
      <c r="V243" s="17">
        <v>1555816</v>
      </c>
      <c r="W243" s="18">
        <v>46062</v>
      </c>
      <c r="X243" s="19">
        <v>16300</v>
      </c>
      <c r="Y243" s="20" t="s">
        <v>541</v>
      </c>
      <c r="Z243" s="20" t="s">
        <v>1546</v>
      </c>
      <c r="AA243" s="22"/>
      <c r="AB243" s="23">
        <v>45925</v>
      </c>
      <c r="AC243" s="27" t="s">
        <v>2567</v>
      </c>
      <c r="AD243" s="80" t="s">
        <v>1803</v>
      </c>
      <c r="AE243" s="24" t="s">
        <v>2568</v>
      </c>
      <c r="AF243" s="81"/>
      <c r="AG243" s="142"/>
    </row>
    <row r="244" spans="1:33" s="34" customFormat="1" ht="27" customHeight="1">
      <c r="A244" s="15">
        <f t="shared" si="11"/>
        <v>241</v>
      </c>
      <c r="B244" s="81">
        <v>45916</v>
      </c>
      <c r="C244" s="15" t="s">
        <v>38</v>
      </c>
      <c r="D244" s="15" t="s">
        <v>2569</v>
      </c>
      <c r="E244" s="26" t="s">
        <v>59</v>
      </c>
      <c r="F244" s="27" t="s">
        <v>41</v>
      </c>
      <c r="G244" s="27">
        <v>645600</v>
      </c>
      <c r="H244" s="81">
        <v>45916</v>
      </c>
      <c r="I244" s="27">
        <v>6217147</v>
      </c>
      <c r="J244" s="28" t="s">
        <v>2570</v>
      </c>
      <c r="K244" s="81">
        <v>45872</v>
      </c>
      <c r="L244" s="81">
        <v>46061</v>
      </c>
      <c r="M244" s="28" t="s">
        <v>2571</v>
      </c>
      <c r="N244" s="400">
        <v>8420</v>
      </c>
      <c r="O244" s="29">
        <v>1939</v>
      </c>
      <c r="P244" s="30"/>
      <c r="Q244" s="31" t="s">
        <v>2572</v>
      </c>
      <c r="R244" s="32"/>
      <c r="S244" s="20" t="s">
        <v>341</v>
      </c>
      <c r="T244" s="33" t="s">
        <v>2573</v>
      </c>
      <c r="U244" s="16">
        <v>45925</v>
      </c>
      <c r="V244" s="17">
        <v>1556374</v>
      </c>
      <c r="W244" s="18"/>
      <c r="X244" s="19">
        <v>1939</v>
      </c>
      <c r="Y244" s="20" t="s">
        <v>47</v>
      </c>
      <c r="Z244" s="20" t="s">
        <v>1703</v>
      </c>
      <c r="AA244" s="22"/>
      <c r="AB244" s="23">
        <v>45901</v>
      </c>
      <c r="AC244" s="27" t="s">
        <v>2574</v>
      </c>
      <c r="AD244" s="80"/>
      <c r="AE244" s="24"/>
      <c r="AF244" s="81"/>
      <c r="AG244" s="142"/>
    </row>
    <row r="245" spans="1:33" s="34" customFormat="1" ht="27" customHeight="1">
      <c r="A245" s="15">
        <f t="shared" si="11"/>
        <v>242</v>
      </c>
      <c r="B245" s="81">
        <v>45919</v>
      </c>
      <c r="C245" s="15" t="s">
        <v>38</v>
      </c>
      <c r="D245" s="15" t="s">
        <v>2575</v>
      </c>
      <c r="E245" s="26" t="s">
        <v>70</v>
      </c>
      <c r="F245" s="27" t="s">
        <v>41</v>
      </c>
      <c r="G245" s="27">
        <v>645600</v>
      </c>
      <c r="H245" s="81">
        <v>45922</v>
      </c>
      <c r="I245" s="27">
        <v>6219128</v>
      </c>
      <c r="J245" s="28" t="s">
        <v>2576</v>
      </c>
      <c r="K245" s="81">
        <v>45931</v>
      </c>
      <c r="L245" s="81">
        <v>46295</v>
      </c>
      <c r="M245" s="28" t="s">
        <v>2577</v>
      </c>
      <c r="N245" s="400">
        <v>58800</v>
      </c>
      <c r="O245" s="29">
        <v>22000</v>
      </c>
      <c r="P245" s="30"/>
      <c r="Q245" s="31">
        <v>45931</v>
      </c>
      <c r="R245" s="32">
        <v>46295</v>
      </c>
      <c r="S245" s="20" t="s">
        <v>666</v>
      </c>
      <c r="T245" s="33" t="s">
        <v>2578</v>
      </c>
      <c r="U245" s="16">
        <v>45939</v>
      </c>
      <c r="V245" s="17">
        <v>1558486</v>
      </c>
      <c r="W245" s="18">
        <v>46066</v>
      </c>
      <c r="X245" s="19">
        <v>22000</v>
      </c>
      <c r="Y245" s="20" t="s">
        <v>56</v>
      </c>
      <c r="Z245" s="20" t="s">
        <v>1554</v>
      </c>
      <c r="AA245" s="22"/>
      <c r="AB245" s="23">
        <v>45925</v>
      </c>
      <c r="AC245" s="27" t="s">
        <v>2579</v>
      </c>
      <c r="AD245" s="80"/>
      <c r="AE245" s="24" t="s">
        <v>2350</v>
      </c>
      <c r="AF245" s="81"/>
      <c r="AG245" s="142"/>
    </row>
    <row r="246" spans="1:33" s="34" customFormat="1" ht="27" customHeight="1">
      <c r="A246" s="15">
        <f t="shared" si="11"/>
        <v>243</v>
      </c>
      <c r="B246" s="81">
        <v>45919</v>
      </c>
      <c r="C246" s="15" t="s">
        <v>38</v>
      </c>
      <c r="D246" s="15" t="s">
        <v>2580</v>
      </c>
      <c r="E246" s="26" t="s">
        <v>70</v>
      </c>
      <c r="F246" s="27" t="s">
        <v>41</v>
      </c>
      <c r="G246" s="27">
        <v>645600</v>
      </c>
      <c r="H246" s="81">
        <v>45922</v>
      </c>
      <c r="I246" s="27">
        <v>6219130</v>
      </c>
      <c r="J246" s="28" t="s">
        <v>2576</v>
      </c>
      <c r="K246" s="81">
        <v>45931</v>
      </c>
      <c r="L246" s="81">
        <v>46295</v>
      </c>
      <c r="M246" s="28" t="s">
        <v>2577</v>
      </c>
      <c r="N246" s="400">
        <v>58800</v>
      </c>
      <c r="O246" s="29">
        <v>3750</v>
      </c>
      <c r="P246" s="30"/>
      <c r="Q246" s="31" t="s">
        <v>2231</v>
      </c>
      <c r="R246" s="32"/>
      <c r="S246" s="20" t="s">
        <v>505</v>
      </c>
      <c r="T246" s="33" t="s">
        <v>2581</v>
      </c>
      <c r="U246" s="16">
        <v>45940</v>
      </c>
      <c r="V246" s="17">
        <v>1558811</v>
      </c>
      <c r="W246" s="18">
        <v>46002</v>
      </c>
      <c r="X246" s="19">
        <v>3750</v>
      </c>
      <c r="Y246" s="20" t="s">
        <v>56</v>
      </c>
      <c r="Z246" s="20" t="s">
        <v>1554</v>
      </c>
      <c r="AA246" s="22"/>
      <c r="AB246" s="23">
        <v>45925</v>
      </c>
      <c r="AC246" s="27" t="s">
        <v>2579</v>
      </c>
      <c r="AD246" s="80"/>
      <c r="AE246" s="24"/>
      <c r="AF246" s="81"/>
      <c r="AG246" s="142"/>
    </row>
    <row r="247" spans="1:33" s="34" customFormat="1" ht="27" customHeight="1">
      <c r="A247" s="15">
        <f t="shared" ref="A247:A256" si="24">A246+1</f>
        <v>244</v>
      </c>
      <c r="B247" s="81">
        <v>45922</v>
      </c>
      <c r="C247" s="15" t="s">
        <v>38</v>
      </c>
      <c r="D247" s="15" t="s">
        <v>2582</v>
      </c>
      <c r="E247" s="26" t="s">
        <v>40</v>
      </c>
      <c r="F247" s="27" t="s">
        <v>41</v>
      </c>
      <c r="G247" s="27">
        <v>645600</v>
      </c>
      <c r="H247" s="81">
        <v>45922</v>
      </c>
      <c r="I247" s="27">
        <v>6219131</v>
      </c>
      <c r="J247" s="28" t="s">
        <v>2583</v>
      </c>
      <c r="K247" s="81">
        <v>45923</v>
      </c>
      <c r="L247" s="81">
        <v>47018</v>
      </c>
      <c r="M247" s="28" t="s">
        <v>2584</v>
      </c>
      <c r="N247" s="400">
        <v>1829274</v>
      </c>
      <c r="O247" s="29">
        <v>988619.21</v>
      </c>
      <c r="P247" s="30">
        <v>125300.28</v>
      </c>
      <c r="Q247" s="31">
        <v>45870</v>
      </c>
      <c r="R247" s="32">
        <v>47026</v>
      </c>
      <c r="S247" s="20" t="s">
        <v>538</v>
      </c>
      <c r="T247" s="33" t="s">
        <v>2585</v>
      </c>
      <c r="U247" s="16">
        <v>45925</v>
      </c>
      <c r="V247" s="17">
        <v>1556294</v>
      </c>
      <c r="W247" s="137" t="s">
        <v>2586</v>
      </c>
      <c r="X247" s="19">
        <v>977367.24</v>
      </c>
      <c r="Y247" s="20" t="s">
        <v>541</v>
      </c>
      <c r="Z247" s="20" t="s">
        <v>1546</v>
      </c>
      <c r="AA247" s="22"/>
      <c r="AB247" s="23">
        <v>45925</v>
      </c>
      <c r="AC247" s="27" t="s">
        <v>2587</v>
      </c>
      <c r="AD247" s="80" t="s">
        <v>1803</v>
      </c>
      <c r="AE247" s="24" t="s">
        <v>2588</v>
      </c>
      <c r="AF247" s="81"/>
      <c r="AG247" s="142"/>
    </row>
    <row r="248" spans="1:33" s="34" customFormat="1" ht="27" customHeight="1">
      <c r="A248" s="15">
        <f t="shared" si="24"/>
        <v>245</v>
      </c>
      <c r="B248" s="81">
        <v>45922</v>
      </c>
      <c r="C248" s="15" t="s">
        <v>38</v>
      </c>
      <c r="D248" s="15" t="s">
        <v>2589</v>
      </c>
      <c r="E248" s="26" t="s">
        <v>70</v>
      </c>
      <c r="F248" s="27" t="s">
        <v>277</v>
      </c>
      <c r="G248" s="27">
        <v>645600</v>
      </c>
      <c r="H248" s="81">
        <v>45925</v>
      </c>
      <c r="I248" s="27">
        <v>6220272</v>
      </c>
      <c r="J248" s="28" t="s">
        <v>835</v>
      </c>
      <c r="K248" s="81">
        <v>45898</v>
      </c>
      <c r="L248" s="81">
        <v>46262</v>
      </c>
      <c r="M248" s="28" t="s">
        <v>2590</v>
      </c>
      <c r="N248" s="400">
        <v>346057</v>
      </c>
      <c r="O248" s="29">
        <v>12923</v>
      </c>
      <c r="P248" s="30" t="s">
        <v>2565</v>
      </c>
      <c r="Q248" s="31">
        <v>45899</v>
      </c>
      <c r="R248" s="32">
        <v>46263</v>
      </c>
      <c r="S248" s="20" t="s">
        <v>399</v>
      </c>
      <c r="T248" s="33" t="s">
        <v>2591</v>
      </c>
      <c r="U248" s="16">
        <v>45939</v>
      </c>
      <c r="V248" s="17">
        <v>1558484</v>
      </c>
      <c r="W248" s="18">
        <v>46002</v>
      </c>
      <c r="X248" s="19">
        <v>12923</v>
      </c>
      <c r="Y248" s="20" t="s">
        <v>123</v>
      </c>
      <c r="Z248" s="20" t="s">
        <v>1554</v>
      </c>
      <c r="AA248" s="22"/>
      <c r="AB248" s="23">
        <v>45925</v>
      </c>
      <c r="AC248" s="27" t="s">
        <v>839</v>
      </c>
      <c r="AD248" s="80"/>
      <c r="AE248" s="24"/>
      <c r="AF248" s="81"/>
      <c r="AG248" s="142"/>
    </row>
    <row r="249" spans="1:33" s="34" customFormat="1" ht="27" customHeight="1">
      <c r="A249" s="15">
        <f t="shared" si="24"/>
        <v>246</v>
      </c>
      <c r="B249" s="81">
        <v>45922</v>
      </c>
      <c r="C249" s="15" t="s">
        <v>38</v>
      </c>
      <c r="D249" s="15" t="s">
        <v>2592</v>
      </c>
      <c r="E249" s="26" t="s">
        <v>70</v>
      </c>
      <c r="F249" s="27" t="s">
        <v>277</v>
      </c>
      <c r="G249" s="27">
        <v>645600</v>
      </c>
      <c r="H249" s="81">
        <v>45925</v>
      </c>
      <c r="I249" s="27">
        <v>6220276</v>
      </c>
      <c r="J249" s="28" t="s">
        <v>835</v>
      </c>
      <c r="K249" s="81">
        <v>45898</v>
      </c>
      <c r="L249" s="81">
        <v>46262</v>
      </c>
      <c r="M249" s="28" t="s">
        <v>2590</v>
      </c>
      <c r="N249" s="400">
        <v>346057</v>
      </c>
      <c r="O249" s="29">
        <v>21151</v>
      </c>
      <c r="P249" s="30" t="s">
        <v>2565</v>
      </c>
      <c r="Q249" s="31">
        <v>45899</v>
      </c>
      <c r="R249" s="32">
        <v>46263</v>
      </c>
      <c r="S249" s="20" t="s">
        <v>399</v>
      </c>
      <c r="T249" s="33" t="s">
        <v>2593</v>
      </c>
      <c r="U249" s="16">
        <v>45940</v>
      </c>
      <c r="V249" s="17">
        <v>1559007</v>
      </c>
      <c r="W249" s="18">
        <v>46001</v>
      </c>
      <c r="X249" s="19">
        <v>21151</v>
      </c>
      <c r="Y249" s="20" t="s">
        <v>123</v>
      </c>
      <c r="Z249" s="20" t="s">
        <v>1554</v>
      </c>
      <c r="AA249" s="22"/>
      <c r="AB249" s="23">
        <v>45925</v>
      </c>
      <c r="AC249" s="27" t="s">
        <v>839</v>
      </c>
      <c r="AD249" s="80"/>
      <c r="AE249" s="24"/>
      <c r="AF249" s="81"/>
      <c r="AG249" s="142"/>
    </row>
    <row r="250" spans="1:33" s="34" customFormat="1" ht="27" customHeight="1">
      <c r="A250" s="15">
        <f t="shared" si="24"/>
        <v>247</v>
      </c>
      <c r="B250" s="81">
        <v>45922</v>
      </c>
      <c r="C250" s="15" t="s">
        <v>38</v>
      </c>
      <c r="D250" s="15" t="s">
        <v>2594</v>
      </c>
      <c r="E250" s="26" t="s">
        <v>70</v>
      </c>
      <c r="F250" s="27" t="s">
        <v>277</v>
      </c>
      <c r="G250" s="27">
        <v>645600</v>
      </c>
      <c r="H250" s="81">
        <v>45925</v>
      </c>
      <c r="I250" s="27">
        <v>6220279</v>
      </c>
      <c r="J250" s="28" t="s">
        <v>835</v>
      </c>
      <c r="K250" s="81">
        <v>45898</v>
      </c>
      <c r="L250" s="81">
        <v>46262</v>
      </c>
      <c r="M250" s="28" t="s">
        <v>2590</v>
      </c>
      <c r="N250" s="400">
        <v>346057</v>
      </c>
      <c r="O250" s="29">
        <v>8300</v>
      </c>
      <c r="P250" s="30" t="s">
        <v>2565</v>
      </c>
      <c r="Q250" s="31">
        <v>45898</v>
      </c>
      <c r="R250" s="32">
        <v>46262</v>
      </c>
      <c r="S250" s="20" t="s">
        <v>514</v>
      </c>
      <c r="T250" s="33" t="s">
        <v>2595</v>
      </c>
      <c r="U250" s="16">
        <v>45939</v>
      </c>
      <c r="V250" s="17">
        <v>1558483</v>
      </c>
      <c r="W250" s="18">
        <v>46253</v>
      </c>
      <c r="X250" s="19">
        <v>8300</v>
      </c>
      <c r="Y250" s="20" t="s">
        <v>123</v>
      </c>
      <c r="Z250" s="20" t="s">
        <v>1554</v>
      </c>
      <c r="AA250" s="22"/>
      <c r="AB250" s="23">
        <v>45925</v>
      </c>
      <c r="AC250" s="27" t="s">
        <v>839</v>
      </c>
      <c r="AD250" s="80"/>
      <c r="AE250" s="24"/>
      <c r="AF250" s="81"/>
      <c r="AG250" s="142"/>
    </row>
    <row r="251" spans="1:33" s="34" customFormat="1" ht="27" customHeight="1">
      <c r="A251" s="15">
        <f t="shared" si="24"/>
        <v>248</v>
      </c>
      <c r="B251" s="81">
        <v>45922</v>
      </c>
      <c r="C251" s="15" t="s">
        <v>38</v>
      </c>
      <c r="D251" s="15" t="s">
        <v>2596</v>
      </c>
      <c r="E251" s="26" t="s">
        <v>70</v>
      </c>
      <c r="F251" s="27" t="s">
        <v>277</v>
      </c>
      <c r="G251" s="27">
        <v>645600</v>
      </c>
      <c r="H251" s="81">
        <v>45925</v>
      </c>
      <c r="I251" s="27">
        <v>6220282</v>
      </c>
      <c r="J251" s="28" t="s">
        <v>835</v>
      </c>
      <c r="K251" s="81">
        <v>45898</v>
      </c>
      <c r="L251" s="81">
        <v>46262</v>
      </c>
      <c r="M251" s="28" t="s">
        <v>2590</v>
      </c>
      <c r="N251" s="400">
        <v>346057</v>
      </c>
      <c r="O251" s="29">
        <v>4000</v>
      </c>
      <c r="P251" s="30" t="s">
        <v>2565</v>
      </c>
      <c r="Q251" s="31">
        <v>45898</v>
      </c>
      <c r="R251" s="32">
        <v>46262</v>
      </c>
      <c r="S251" s="20" t="s">
        <v>514</v>
      </c>
      <c r="T251" s="33" t="s">
        <v>2597</v>
      </c>
      <c r="U251" s="16">
        <v>45939</v>
      </c>
      <c r="V251" s="17">
        <v>1558487</v>
      </c>
      <c r="W251" s="18">
        <v>46057</v>
      </c>
      <c r="X251" s="19">
        <v>4000</v>
      </c>
      <c r="Y251" s="20" t="s">
        <v>123</v>
      </c>
      <c r="Z251" s="20" t="s">
        <v>1554</v>
      </c>
      <c r="AA251" s="22"/>
      <c r="AB251" s="23">
        <v>45925</v>
      </c>
      <c r="AC251" s="27" t="s">
        <v>839</v>
      </c>
      <c r="AD251" s="80"/>
      <c r="AE251" s="24" t="s">
        <v>2148</v>
      </c>
      <c r="AF251" s="81"/>
      <c r="AG251" s="142"/>
    </row>
    <row r="252" spans="1:33" s="34" customFormat="1" ht="27" customHeight="1">
      <c r="A252" s="15">
        <f t="shared" si="24"/>
        <v>249</v>
      </c>
      <c r="B252" s="81">
        <v>45905</v>
      </c>
      <c r="C252" s="15" t="s">
        <v>38</v>
      </c>
      <c r="D252" s="15" t="s">
        <v>2598</v>
      </c>
      <c r="E252" s="26" t="s">
        <v>70</v>
      </c>
      <c r="F252" s="27" t="s">
        <v>277</v>
      </c>
      <c r="G252" s="27">
        <v>645600</v>
      </c>
      <c r="H252" s="81">
        <v>45926</v>
      </c>
      <c r="I252" s="27">
        <v>6221015</v>
      </c>
      <c r="J252" s="28" t="s">
        <v>2599</v>
      </c>
      <c r="K252" s="81">
        <v>45165</v>
      </c>
      <c r="L252" s="81">
        <v>46260</v>
      </c>
      <c r="M252" s="28" t="s">
        <v>481</v>
      </c>
      <c r="N252" s="400">
        <v>592038</v>
      </c>
      <c r="O252" s="29">
        <v>7720</v>
      </c>
      <c r="P252" s="30" t="s">
        <v>2565</v>
      </c>
      <c r="Q252" s="31">
        <v>45896</v>
      </c>
      <c r="R252" s="32">
        <v>46260</v>
      </c>
      <c r="S252" s="20" t="s">
        <v>399</v>
      </c>
      <c r="T252" s="33" t="s">
        <v>2600</v>
      </c>
      <c r="U252" s="16">
        <v>45936</v>
      </c>
      <c r="V252" s="17">
        <v>1558149</v>
      </c>
      <c r="W252" s="18"/>
      <c r="X252" s="19">
        <v>7720</v>
      </c>
      <c r="Y252" s="20" t="s">
        <v>123</v>
      </c>
      <c r="Z252" s="20" t="s">
        <v>1554</v>
      </c>
      <c r="AA252" s="22"/>
      <c r="AB252" s="23">
        <v>45925</v>
      </c>
      <c r="AC252" s="27" t="s">
        <v>484</v>
      </c>
      <c r="AD252" s="80"/>
      <c r="AE252" s="24"/>
      <c r="AF252" s="81"/>
      <c r="AG252" s="142"/>
    </row>
    <row r="253" spans="1:33" s="34" customFormat="1" ht="27" customHeight="1">
      <c r="A253" s="15">
        <f t="shared" si="24"/>
        <v>250</v>
      </c>
      <c r="B253" s="81">
        <v>45926</v>
      </c>
      <c r="C253" s="15" t="s">
        <v>38</v>
      </c>
      <c r="D253" s="15" t="s">
        <v>2601</v>
      </c>
      <c r="E253" s="26" t="s">
        <v>70</v>
      </c>
      <c r="F253" s="27" t="s">
        <v>41</v>
      </c>
      <c r="G253" s="27">
        <v>645600</v>
      </c>
      <c r="H253" s="81">
        <v>45926</v>
      </c>
      <c r="I253" s="27">
        <v>6221017</v>
      </c>
      <c r="J253" s="28" t="s">
        <v>1435</v>
      </c>
      <c r="K253" s="81">
        <v>45541</v>
      </c>
      <c r="L253" s="81">
        <v>46270</v>
      </c>
      <c r="M253" s="28" t="s">
        <v>2602</v>
      </c>
      <c r="N253" s="400">
        <v>831819</v>
      </c>
      <c r="O253" s="29">
        <v>98221.35</v>
      </c>
      <c r="P253" s="30">
        <v>12448.84</v>
      </c>
      <c r="Q253" s="31">
        <v>45931</v>
      </c>
      <c r="R253" s="32">
        <v>46295</v>
      </c>
      <c r="S253" s="20" t="s">
        <v>473</v>
      </c>
      <c r="T253" s="33" t="s">
        <v>2603</v>
      </c>
      <c r="U253" s="16">
        <v>45953</v>
      </c>
      <c r="V253" s="17">
        <v>1561185</v>
      </c>
      <c r="W253" s="18"/>
      <c r="X253" s="19">
        <v>97103.44</v>
      </c>
      <c r="Y253" s="20" t="s">
        <v>123</v>
      </c>
      <c r="Z253" s="20" t="s">
        <v>1554</v>
      </c>
      <c r="AA253" s="22"/>
      <c r="AB253" s="23">
        <v>45925</v>
      </c>
      <c r="AC253" s="27" t="s">
        <v>2604</v>
      </c>
      <c r="AD253" s="80"/>
      <c r="AE253" s="24"/>
      <c r="AF253" s="27">
        <v>404377603</v>
      </c>
      <c r="AG253" s="142"/>
    </row>
    <row r="254" spans="1:33" s="34" customFormat="1" ht="27" customHeight="1">
      <c r="A254" s="15">
        <f t="shared" si="24"/>
        <v>251</v>
      </c>
      <c r="B254" s="81">
        <v>45926</v>
      </c>
      <c r="C254" s="15" t="s">
        <v>38</v>
      </c>
      <c r="D254" s="15" t="s">
        <v>2605</v>
      </c>
      <c r="E254" s="26" t="s">
        <v>70</v>
      </c>
      <c r="F254" s="27" t="s">
        <v>277</v>
      </c>
      <c r="G254" s="27">
        <v>645600</v>
      </c>
      <c r="H254" s="81">
        <v>45926</v>
      </c>
      <c r="I254" s="27">
        <v>6221018</v>
      </c>
      <c r="J254" s="28" t="s">
        <v>1435</v>
      </c>
      <c r="K254" s="81">
        <v>45541</v>
      </c>
      <c r="L254" s="81">
        <v>46270</v>
      </c>
      <c r="M254" s="28" t="s">
        <v>2602</v>
      </c>
      <c r="N254" s="400">
        <v>831819</v>
      </c>
      <c r="O254" s="29">
        <v>43798</v>
      </c>
      <c r="P254" s="30" t="s">
        <v>2565</v>
      </c>
      <c r="Q254" s="31">
        <v>45906</v>
      </c>
      <c r="R254" s="32">
        <v>46270</v>
      </c>
      <c r="S254" s="20" t="s">
        <v>399</v>
      </c>
      <c r="T254" s="33" t="s">
        <v>2606</v>
      </c>
      <c r="U254" s="16">
        <v>45950</v>
      </c>
      <c r="V254" s="17">
        <v>1560492</v>
      </c>
      <c r="W254" s="18">
        <v>46002</v>
      </c>
      <c r="X254" s="19">
        <v>43798</v>
      </c>
      <c r="Y254" s="20" t="s">
        <v>123</v>
      </c>
      <c r="Z254" s="20" t="s">
        <v>1554</v>
      </c>
      <c r="AA254" s="22"/>
      <c r="AB254" s="23">
        <v>45925</v>
      </c>
      <c r="AC254" s="27" t="s">
        <v>2604</v>
      </c>
      <c r="AD254" s="80"/>
      <c r="AE254" s="24"/>
      <c r="AF254" s="81"/>
      <c r="AG254" s="142"/>
    </row>
    <row r="255" spans="1:33" s="34" customFormat="1" ht="27" customHeight="1">
      <c r="A255" s="15">
        <f t="shared" si="24"/>
        <v>252</v>
      </c>
      <c r="B255" s="81">
        <v>45926</v>
      </c>
      <c r="C255" s="15" t="s">
        <v>38</v>
      </c>
      <c r="D255" s="15" t="s">
        <v>2607</v>
      </c>
      <c r="E255" s="26" t="s">
        <v>70</v>
      </c>
      <c r="F255" s="27" t="s">
        <v>277</v>
      </c>
      <c r="G255" s="27">
        <v>645600</v>
      </c>
      <c r="H255" s="81">
        <v>45926</v>
      </c>
      <c r="I255" s="27">
        <v>6221019</v>
      </c>
      <c r="J255" s="28" t="s">
        <v>1435</v>
      </c>
      <c r="K255" s="81">
        <v>45541</v>
      </c>
      <c r="L255" s="81">
        <v>46270</v>
      </c>
      <c r="M255" s="28" t="s">
        <v>2602</v>
      </c>
      <c r="N255" s="400">
        <v>831819</v>
      </c>
      <c r="O255" s="29">
        <v>86000</v>
      </c>
      <c r="P255" s="30" t="s">
        <v>2565</v>
      </c>
      <c r="Q255" s="31">
        <v>45906</v>
      </c>
      <c r="R255" s="32">
        <v>46270</v>
      </c>
      <c r="S255" s="20" t="s">
        <v>2608</v>
      </c>
      <c r="T255" s="33" t="s">
        <v>2609</v>
      </c>
      <c r="U255" s="16">
        <v>45950</v>
      </c>
      <c r="V255" s="17">
        <v>1560633</v>
      </c>
      <c r="W255" s="18">
        <v>46002</v>
      </c>
      <c r="X255" s="19">
        <v>86000</v>
      </c>
      <c r="Y255" s="20" t="s">
        <v>123</v>
      </c>
      <c r="Z255" s="20" t="s">
        <v>1554</v>
      </c>
      <c r="AA255" s="22"/>
      <c r="AB255" s="23">
        <v>45925</v>
      </c>
      <c r="AC255" s="27" t="s">
        <v>2604</v>
      </c>
      <c r="AD255" s="80"/>
      <c r="AE255" s="24"/>
      <c r="AF255" s="81"/>
      <c r="AG255" s="142"/>
    </row>
    <row r="256" spans="1:33" s="34" customFormat="1" ht="27" customHeight="1">
      <c r="A256" s="15">
        <f t="shared" si="24"/>
        <v>253</v>
      </c>
      <c r="B256" s="81">
        <v>45926</v>
      </c>
      <c r="C256" s="15" t="s">
        <v>38</v>
      </c>
      <c r="D256" s="187" t="s">
        <v>2610</v>
      </c>
      <c r="E256" s="26" t="s">
        <v>70</v>
      </c>
      <c r="F256" s="27" t="s">
        <v>277</v>
      </c>
      <c r="G256" s="27">
        <v>645600</v>
      </c>
      <c r="H256" s="81">
        <v>45926</v>
      </c>
      <c r="I256" s="27">
        <v>6221020</v>
      </c>
      <c r="J256" s="28" t="s">
        <v>1435</v>
      </c>
      <c r="K256" s="81">
        <v>45541</v>
      </c>
      <c r="L256" s="81">
        <v>46270</v>
      </c>
      <c r="M256" s="28" t="s">
        <v>2602</v>
      </c>
      <c r="N256" s="400">
        <v>831819</v>
      </c>
      <c r="O256" s="29">
        <v>228723</v>
      </c>
      <c r="P256" s="30" t="s">
        <v>2565</v>
      </c>
      <c r="Q256" s="31">
        <v>45996</v>
      </c>
      <c r="R256" s="32">
        <v>46360</v>
      </c>
      <c r="S256" s="20" t="s">
        <v>2608</v>
      </c>
      <c r="T256" s="33" t="s">
        <v>2611</v>
      </c>
      <c r="U256" s="16">
        <v>46063</v>
      </c>
      <c r="V256" s="17" t="s">
        <v>2612</v>
      </c>
      <c r="W256" s="18"/>
      <c r="X256" s="19">
        <v>228723</v>
      </c>
      <c r="Y256" s="20" t="s">
        <v>123</v>
      </c>
      <c r="Z256" s="20" t="s">
        <v>1554</v>
      </c>
      <c r="AA256" s="22"/>
      <c r="AB256" s="23">
        <v>45925</v>
      </c>
      <c r="AC256" s="27" t="s">
        <v>2604</v>
      </c>
      <c r="AD256" s="80"/>
      <c r="AE256" s="24" t="s">
        <v>2613</v>
      </c>
      <c r="AF256" s="81"/>
      <c r="AG256" s="142"/>
    </row>
    <row r="257" spans="1:33" s="34" customFormat="1" ht="27" customHeight="1">
      <c r="A257" s="15">
        <v>254</v>
      </c>
      <c r="B257" s="81">
        <v>45930</v>
      </c>
      <c r="C257" s="15" t="s">
        <v>95</v>
      </c>
      <c r="D257" s="15" t="s">
        <v>2614</v>
      </c>
      <c r="E257" s="26" t="s">
        <v>97</v>
      </c>
      <c r="F257" s="27" t="s">
        <v>98</v>
      </c>
      <c r="G257" s="27">
        <v>645602</v>
      </c>
      <c r="H257" s="81">
        <v>45933</v>
      </c>
      <c r="I257" s="27">
        <v>6223283</v>
      </c>
      <c r="J257" s="28" t="s">
        <v>2615</v>
      </c>
      <c r="K257" s="81">
        <v>45879</v>
      </c>
      <c r="L257" s="81">
        <v>46243</v>
      </c>
      <c r="M257" s="28" t="s">
        <v>2616</v>
      </c>
      <c r="N257" s="400">
        <v>2800</v>
      </c>
      <c r="O257" s="29">
        <v>1893.6</v>
      </c>
      <c r="P257" s="30">
        <v>240</v>
      </c>
      <c r="Q257" s="31">
        <v>45879</v>
      </c>
      <c r="R257" s="32">
        <v>46243</v>
      </c>
      <c r="S257" s="20" t="s">
        <v>305</v>
      </c>
      <c r="T257" s="33" t="s">
        <v>2617</v>
      </c>
      <c r="U257" s="114">
        <v>45945</v>
      </c>
      <c r="V257" s="115">
        <v>1559580</v>
      </c>
      <c r="W257" s="18"/>
      <c r="X257" s="19">
        <v>1893.6</v>
      </c>
      <c r="Y257" s="20" t="s">
        <v>245</v>
      </c>
      <c r="Z257" s="20" t="s">
        <v>106</v>
      </c>
      <c r="AA257" s="22"/>
      <c r="AB257" s="23">
        <v>45925</v>
      </c>
      <c r="AC257" s="27" t="s">
        <v>2618</v>
      </c>
      <c r="AD257" s="80"/>
      <c r="AE257" s="24"/>
      <c r="AF257" s="81"/>
      <c r="AG257" s="142"/>
    </row>
    <row r="258" spans="1:33" s="34" customFormat="1" ht="27" customHeight="1">
      <c r="A258" s="15">
        <v>255</v>
      </c>
      <c r="B258" s="81">
        <v>45926</v>
      </c>
      <c r="C258" s="15" t="s">
        <v>95</v>
      </c>
      <c r="D258" s="15" t="s">
        <v>2619</v>
      </c>
      <c r="E258" s="26" t="s">
        <v>97</v>
      </c>
      <c r="F258" s="27" t="s">
        <v>98</v>
      </c>
      <c r="G258" s="27">
        <v>645602</v>
      </c>
      <c r="H258" s="81">
        <v>45933</v>
      </c>
      <c r="I258" s="27">
        <v>6223286</v>
      </c>
      <c r="J258" s="28" t="s">
        <v>2620</v>
      </c>
      <c r="K258" s="81">
        <v>45931</v>
      </c>
      <c r="L258" s="81">
        <v>46295</v>
      </c>
      <c r="M258" s="28" t="s">
        <v>2621</v>
      </c>
      <c r="N258" s="400">
        <v>89718</v>
      </c>
      <c r="O258" s="29">
        <v>67000</v>
      </c>
      <c r="P258" s="30" t="s">
        <v>2551</v>
      </c>
      <c r="Q258" s="31">
        <v>45931</v>
      </c>
      <c r="R258" s="32">
        <v>46295</v>
      </c>
      <c r="S258" s="20" t="s">
        <v>594</v>
      </c>
      <c r="T258" s="33" t="s">
        <v>2622</v>
      </c>
      <c r="U258" s="114">
        <v>45945</v>
      </c>
      <c r="V258" s="115">
        <v>1559706</v>
      </c>
      <c r="W258" s="18"/>
      <c r="X258" s="19">
        <v>67000</v>
      </c>
      <c r="Y258" s="20" t="s">
        <v>191</v>
      </c>
      <c r="Z258" s="20" t="s">
        <v>106</v>
      </c>
      <c r="AA258" s="22"/>
      <c r="AB258" s="23">
        <v>45925</v>
      </c>
      <c r="AC258" s="27" t="s">
        <v>2623</v>
      </c>
      <c r="AD258" s="80"/>
      <c r="AE258" s="24"/>
      <c r="AF258" s="81"/>
      <c r="AG258" s="142"/>
    </row>
    <row r="259" spans="1:33" s="34" customFormat="1" ht="27" customHeight="1">
      <c r="A259" s="15">
        <v>256</v>
      </c>
      <c r="B259" s="81">
        <v>45932</v>
      </c>
      <c r="C259" s="15" t="s">
        <v>38</v>
      </c>
      <c r="D259" s="15" t="s">
        <v>2624</v>
      </c>
      <c r="E259" s="26" t="s">
        <v>40</v>
      </c>
      <c r="F259" s="27" t="s">
        <v>41</v>
      </c>
      <c r="G259" s="27">
        <v>645600</v>
      </c>
      <c r="H259" s="81">
        <v>45933</v>
      </c>
      <c r="I259" s="27">
        <v>6223287</v>
      </c>
      <c r="J259" s="28" t="s">
        <v>2625</v>
      </c>
      <c r="K259" s="81">
        <v>46000</v>
      </c>
      <c r="L259" s="81">
        <v>46364</v>
      </c>
      <c r="M259" s="28" t="s">
        <v>2626</v>
      </c>
      <c r="N259" s="400">
        <v>260162.17</v>
      </c>
      <c r="O259" s="29">
        <f>P259*7.9</f>
        <v>36946.404000000002</v>
      </c>
      <c r="P259" s="30">
        <v>4676.76</v>
      </c>
      <c r="Q259" s="31">
        <v>46023</v>
      </c>
      <c r="R259" s="32">
        <v>46387</v>
      </c>
      <c r="S259" s="20" t="s">
        <v>394</v>
      </c>
      <c r="T259" s="33" t="s">
        <v>2627</v>
      </c>
      <c r="U259" s="16">
        <v>45985</v>
      </c>
      <c r="V259" s="17" t="s">
        <v>2628</v>
      </c>
      <c r="W259" s="18">
        <v>46035</v>
      </c>
      <c r="X259" s="19">
        <v>36375.839999999997</v>
      </c>
      <c r="Y259" s="20" t="s">
        <v>299</v>
      </c>
      <c r="Z259" s="20" t="s">
        <v>1934</v>
      </c>
      <c r="AA259" s="22"/>
      <c r="AB259" s="23">
        <v>45925</v>
      </c>
      <c r="AC259" s="27" t="s">
        <v>2629</v>
      </c>
      <c r="AD259" s="80"/>
      <c r="AE259" s="24"/>
      <c r="AF259" s="81"/>
      <c r="AG259" s="142"/>
    </row>
    <row r="260" spans="1:33" s="34" customFormat="1" ht="27" customHeight="1">
      <c r="A260" s="15">
        <v>257</v>
      </c>
      <c r="B260" s="81">
        <v>45932</v>
      </c>
      <c r="C260" s="15" t="s">
        <v>38</v>
      </c>
      <c r="D260" s="15" t="s">
        <v>2630</v>
      </c>
      <c r="E260" s="26" t="s">
        <v>40</v>
      </c>
      <c r="F260" s="27" t="s">
        <v>41</v>
      </c>
      <c r="G260" s="27">
        <v>645600</v>
      </c>
      <c r="H260" s="81">
        <v>45933</v>
      </c>
      <c r="I260" s="27">
        <v>6223288</v>
      </c>
      <c r="J260" s="28" t="s">
        <v>2625</v>
      </c>
      <c r="K260" s="81">
        <v>46000</v>
      </c>
      <c r="L260" s="81">
        <v>46364</v>
      </c>
      <c r="M260" s="28" t="s">
        <v>2626</v>
      </c>
      <c r="N260" s="400">
        <v>260162.17</v>
      </c>
      <c r="O260" s="29">
        <f>P260*7.9</f>
        <v>128922.31200000001</v>
      </c>
      <c r="P260" s="30">
        <v>16319.28</v>
      </c>
      <c r="Q260" s="31">
        <v>46023</v>
      </c>
      <c r="R260" s="32">
        <v>46387</v>
      </c>
      <c r="S260" s="20" t="s">
        <v>394</v>
      </c>
      <c r="T260" s="33" t="s">
        <v>2631</v>
      </c>
      <c r="U260" s="16">
        <v>45985</v>
      </c>
      <c r="V260" s="17" t="s">
        <v>2632</v>
      </c>
      <c r="W260" s="18">
        <v>46035</v>
      </c>
      <c r="X260" s="19">
        <v>126931.36</v>
      </c>
      <c r="Y260" s="20" t="s">
        <v>299</v>
      </c>
      <c r="Z260" s="20" t="s">
        <v>1934</v>
      </c>
      <c r="AA260" s="22"/>
      <c r="AB260" s="23">
        <v>45925</v>
      </c>
      <c r="AC260" s="27" t="s">
        <v>2629</v>
      </c>
      <c r="AD260" s="80"/>
      <c r="AE260" s="24"/>
      <c r="AF260" s="81"/>
      <c r="AG260" s="142"/>
    </row>
    <row r="261" spans="1:33" s="34" customFormat="1" ht="27" customHeight="1">
      <c r="A261" s="15">
        <v>258</v>
      </c>
      <c r="B261" s="81">
        <v>45933</v>
      </c>
      <c r="C261" s="15" t="s">
        <v>95</v>
      </c>
      <c r="D261" s="112" t="s">
        <v>2633</v>
      </c>
      <c r="E261" s="26" t="s">
        <v>97</v>
      </c>
      <c r="F261" s="27" t="s">
        <v>109</v>
      </c>
      <c r="G261" s="27">
        <v>645602</v>
      </c>
      <c r="H261" s="81">
        <v>45938</v>
      </c>
      <c r="I261" s="27">
        <v>6224408</v>
      </c>
      <c r="J261" s="28" t="s">
        <v>1855</v>
      </c>
      <c r="K261" s="81">
        <v>45962</v>
      </c>
      <c r="L261" s="81">
        <v>46326</v>
      </c>
      <c r="M261" s="28" t="s">
        <v>2634</v>
      </c>
      <c r="N261" s="400">
        <v>1020360</v>
      </c>
      <c r="O261" s="29">
        <v>81900</v>
      </c>
      <c r="P261" s="30" t="s">
        <v>2551</v>
      </c>
      <c r="Q261" s="31">
        <v>46005</v>
      </c>
      <c r="R261" s="32">
        <v>46369</v>
      </c>
      <c r="S261" s="20" t="s">
        <v>2635</v>
      </c>
      <c r="T261" s="33" t="s">
        <v>2636</v>
      </c>
      <c r="U261" s="114">
        <v>45967</v>
      </c>
      <c r="V261" s="115">
        <v>1563493</v>
      </c>
      <c r="W261" s="18"/>
      <c r="X261" s="19">
        <v>81900</v>
      </c>
      <c r="Y261" s="20" t="s">
        <v>183</v>
      </c>
      <c r="Z261" s="20" t="s">
        <v>106</v>
      </c>
      <c r="AA261" s="22"/>
      <c r="AB261" s="23">
        <v>45955</v>
      </c>
      <c r="AC261" s="27" t="s">
        <v>2637</v>
      </c>
      <c r="AD261" s="80"/>
      <c r="AE261" s="24"/>
      <c r="AF261" s="81"/>
      <c r="AG261" s="142"/>
    </row>
    <row r="262" spans="1:33" s="34" customFormat="1" ht="27" customHeight="1">
      <c r="A262" s="15">
        <v>259</v>
      </c>
      <c r="B262" s="81">
        <v>45933</v>
      </c>
      <c r="C262" s="15" t="s">
        <v>95</v>
      </c>
      <c r="D262" s="112" t="s">
        <v>2638</v>
      </c>
      <c r="E262" s="26" t="s">
        <v>97</v>
      </c>
      <c r="F262" s="27" t="s">
        <v>109</v>
      </c>
      <c r="G262" s="27">
        <v>645602</v>
      </c>
      <c r="H262" s="81">
        <v>45938</v>
      </c>
      <c r="I262" s="27">
        <v>6224413</v>
      </c>
      <c r="J262" s="28" t="s">
        <v>1855</v>
      </c>
      <c r="K262" s="81">
        <v>45962</v>
      </c>
      <c r="L262" s="81">
        <v>46326</v>
      </c>
      <c r="M262" s="28" t="s">
        <v>2634</v>
      </c>
      <c r="N262" s="400">
        <v>1020360</v>
      </c>
      <c r="O262" s="29">
        <v>19200</v>
      </c>
      <c r="P262" s="30" t="s">
        <v>2551</v>
      </c>
      <c r="Q262" s="31">
        <v>46023</v>
      </c>
      <c r="R262" s="32">
        <v>46387</v>
      </c>
      <c r="S262" s="20" t="s">
        <v>2639</v>
      </c>
      <c r="T262" s="33" t="s">
        <v>2640</v>
      </c>
      <c r="U262" s="114">
        <v>45954</v>
      </c>
      <c r="V262" s="115">
        <v>1561395</v>
      </c>
      <c r="W262" s="18"/>
      <c r="X262" s="19">
        <v>19200</v>
      </c>
      <c r="Y262" s="20" t="s">
        <v>183</v>
      </c>
      <c r="Z262" s="20" t="s">
        <v>106</v>
      </c>
      <c r="AA262" s="22"/>
      <c r="AB262" s="23">
        <v>45955</v>
      </c>
      <c r="AC262" s="27" t="s">
        <v>2637</v>
      </c>
      <c r="AD262" s="80"/>
      <c r="AE262" s="24"/>
      <c r="AF262" s="81"/>
      <c r="AG262" s="142"/>
    </row>
    <row r="263" spans="1:33" s="34" customFormat="1" ht="27" customHeight="1">
      <c r="A263" s="15">
        <v>260</v>
      </c>
      <c r="B263" s="81">
        <v>45933</v>
      </c>
      <c r="C263" s="15" t="s">
        <v>95</v>
      </c>
      <c r="D263" s="112" t="s">
        <v>2641</v>
      </c>
      <c r="E263" s="26" t="s">
        <v>97</v>
      </c>
      <c r="F263" s="27" t="s">
        <v>109</v>
      </c>
      <c r="G263" s="27">
        <v>645602</v>
      </c>
      <c r="H263" s="81">
        <v>45938</v>
      </c>
      <c r="I263" s="27">
        <v>6224435</v>
      </c>
      <c r="J263" s="28" t="s">
        <v>1855</v>
      </c>
      <c r="K263" s="81">
        <v>45962</v>
      </c>
      <c r="L263" s="81">
        <v>46326</v>
      </c>
      <c r="M263" s="28" t="s">
        <v>2634</v>
      </c>
      <c r="N263" s="400">
        <v>1020360</v>
      </c>
      <c r="O263" s="29">
        <v>298500</v>
      </c>
      <c r="P263" s="30" t="s">
        <v>2551</v>
      </c>
      <c r="Q263" s="31">
        <v>46005</v>
      </c>
      <c r="R263" s="32">
        <v>46369</v>
      </c>
      <c r="S263" s="20" t="s">
        <v>2642</v>
      </c>
      <c r="T263" s="33" t="s">
        <v>2643</v>
      </c>
      <c r="U263" s="114">
        <v>46000</v>
      </c>
      <c r="V263" s="115">
        <v>1568892</v>
      </c>
      <c r="W263" s="18"/>
      <c r="X263" s="19">
        <v>298500</v>
      </c>
      <c r="Y263" s="20" t="s">
        <v>183</v>
      </c>
      <c r="Z263" s="20" t="s">
        <v>106</v>
      </c>
      <c r="AA263" s="22"/>
      <c r="AB263" s="23">
        <v>45955</v>
      </c>
      <c r="AC263" s="27" t="s">
        <v>2637</v>
      </c>
      <c r="AD263" s="80"/>
      <c r="AE263" s="24"/>
      <c r="AF263" s="81"/>
      <c r="AG263" s="142"/>
    </row>
    <row r="264" spans="1:33" s="34" customFormat="1" ht="27" customHeight="1">
      <c r="A264" s="15">
        <v>261</v>
      </c>
      <c r="B264" s="81">
        <v>45933</v>
      </c>
      <c r="C264" s="15" t="s">
        <v>95</v>
      </c>
      <c r="D264" s="112" t="s">
        <v>2644</v>
      </c>
      <c r="E264" s="26" t="s">
        <v>97</v>
      </c>
      <c r="F264" s="27" t="s">
        <v>109</v>
      </c>
      <c r="G264" s="27">
        <v>645602</v>
      </c>
      <c r="H264" s="81">
        <v>45938</v>
      </c>
      <c r="I264" s="27">
        <v>6224439</v>
      </c>
      <c r="J264" s="28" t="s">
        <v>1855</v>
      </c>
      <c r="K264" s="81">
        <v>45962</v>
      </c>
      <c r="L264" s="81">
        <v>46326</v>
      </c>
      <c r="M264" s="28" t="s">
        <v>2634</v>
      </c>
      <c r="N264" s="400">
        <v>1020360</v>
      </c>
      <c r="O264" s="29">
        <v>153275.29</v>
      </c>
      <c r="P264" s="30" t="s">
        <v>2551</v>
      </c>
      <c r="Q264" s="31">
        <v>46047</v>
      </c>
      <c r="R264" s="32">
        <v>46411</v>
      </c>
      <c r="S264" s="20" t="s">
        <v>2645</v>
      </c>
      <c r="T264" s="33" t="s">
        <v>2646</v>
      </c>
      <c r="U264" s="114">
        <v>45986</v>
      </c>
      <c r="V264" s="115">
        <v>1565220</v>
      </c>
      <c r="W264" s="18"/>
      <c r="X264" s="19">
        <v>153275.29</v>
      </c>
      <c r="Y264" s="20" t="s">
        <v>183</v>
      </c>
      <c r="Z264" s="20" t="s">
        <v>106</v>
      </c>
      <c r="AA264" s="22"/>
      <c r="AB264" s="23">
        <v>45955</v>
      </c>
      <c r="AC264" s="27" t="s">
        <v>2637</v>
      </c>
      <c r="AD264" s="80"/>
      <c r="AE264" s="24"/>
      <c r="AF264" s="81"/>
      <c r="AG264" s="142"/>
    </row>
    <row r="265" spans="1:33" s="34" customFormat="1" ht="27" customHeight="1">
      <c r="A265" s="15">
        <v>262</v>
      </c>
      <c r="B265" s="81">
        <v>45933</v>
      </c>
      <c r="C265" s="15" t="s">
        <v>95</v>
      </c>
      <c r="D265" s="112" t="s">
        <v>2647</v>
      </c>
      <c r="E265" s="26" t="s">
        <v>97</v>
      </c>
      <c r="F265" s="27" t="s">
        <v>109</v>
      </c>
      <c r="G265" s="27">
        <v>645602</v>
      </c>
      <c r="H265" s="81">
        <v>45938</v>
      </c>
      <c r="I265" s="27">
        <v>6224440</v>
      </c>
      <c r="J265" s="28" t="s">
        <v>1855</v>
      </c>
      <c r="K265" s="81">
        <v>45962</v>
      </c>
      <c r="L265" s="81">
        <v>46326</v>
      </c>
      <c r="M265" s="28" t="s">
        <v>2634</v>
      </c>
      <c r="N265" s="400">
        <v>1020360</v>
      </c>
      <c r="O265" s="29">
        <v>31070</v>
      </c>
      <c r="P265" s="30" t="s">
        <v>2551</v>
      </c>
      <c r="Q265" s="31">
        <v>46027</v>
      </c>
      <c r="R265" s="32">
        <v>39086</v>
      </c>
      <c r="S265" s="20" t="s">
        <v>2648</v>
      </c>
      <c r="T265" s="33" t="s">
        <v>2649</v>
      </c>
      <c r="U265" s="114">
        <v>45954</v>
      </c>
      <c r="V265" s="115">
        <v>1561588</v>
      </c>
      <c r="W265" s="18"/>
      <c r="X265" s="19">
        <v>31070</v>
      </c>
      <c r="Y265" s="20" t="s">
        <v>183</v>
      </c>
      <c r="Z265" s="20" t="s">
        <v>106</v>
      </c>
      <c r="AA265" s="22"/>
      <c r="AB265" s="23">
        <v>45955</v>
      </c>
      <c r="AC265" s="27" t="s">
        <v>2637</v>
      </c>
      <c r="AD265" s="80"/>
      <c r="AE265" s="24"/>
      <c r="AF265" s="81"/>
      <c r="AG265" s="142"/>
    </row>
    <row r="266" spans="1:33" s="34" customFormat="1" ht="27" customHeight="1">
      <c r="A266" s="15">
        <v>263</v>
      </c>
      <c r="B266" s="81">
        <v>45933</v>
      </c>
      <c r="C266" s="15" t="s">
        <v>95</v>
      </c>
      <c r="D266" s="112" t="s">
        <v>2650</v>
      </c>
      <c r="E266" s="26" t="s">
        <v>97</v>
      </c>
      <c r="F266" s="27" t="s">
        <v>109</v>
      </c>
      <c r="G266" s="27">
        <v>645602</v>
      </c>
      <c r="H266" s="81">
        <v>45938</v>
      </c>
      <c r="I266" s="27">
        <v>6224441</v>
      </c>
      <c r="J266" s="28" t="s">
        <v>1855</v>
      </c>
      <c r="K266" s="81">
        <v>45962</v>
      </c>
      <c r="L266" s="81">
        <v>46326</v>
      </c>
      <c r="M266" s="28" t="s">
        <v>2634</v>
      </c>
      <c r="N266" s="400">
        <v>1020360</v>
      </c>
      <c r="O266" s="29">
        <v>35050.300000000003</v>
      </c>
      <c r="P266" s="30" t="s">
        <v>2551</v>
      </c>
      <c r="Q266" s="31" t="s">
        <v>280</v>
      </c>
      <c r="R266" s="32" t="s">
        <v>2551</v>
      </c>
      <c r="S266" s="20" t="s">
        <v>2645</v>
      </c>
      <c r="T266" s="33" t="s">
        <v>2651</v>
      </c>
      <c r="U266" s="114">
        <v>45950</v>
      </c>
      <c r="V266" s="115">
        <v>1560392</v>
      </c>
      <c r="W266" s="18"/>
      <c r="X266" s="19">
        <v>35050.300000000003</v>
      </c>
      <c r="Y266" s="20" t="s">
        <v>183</v>
      </c>
      <c r="Z266" s="20" t="s">
        <v>106</v>
      </c>
      <c r="AA266" s="22"/>
      <c r="AB266" s="23">
        <v>45955</v>
      </c>
      <c r="AC266" s="27" t="s">
        <v>2637</v>
      </c>
      <c r="AD266" s="80"/>
      <c r="AE266" s="24"/>
      <c r="AF266" s="81"/>
      <c r="AG266" s="142"/>
    </row>
    <row r="267" spans="1:33" s="34" customFormat="1" ht="27" customHeight="1">
      <c r="A267" s="15">
        <v>264</v>
      </c>
      <c r="B267" s="81">
        <v>45933</v>
      </c>
      <c r="C267" s="15" t="s">
        <v>95</v>
      </c>
      <c r="D267" s="112" t="s">
        <v>2652</v>
      </c>
      <c r="E267" s="26" t="s">
        <v>97</v>
      </c>
      <c r="F267" s="27" t="s">
        <v>98</v>
      </c>
      <c r="G267" s="27">
        <v>645602</v>
      </c>
      <c r="H267" s="81">
        <v>45938</v>
      </c>
      <c r="I267" s="27">
        <v>6224442</v>
      </c>
      <c r="J267" s="28" t="s">
        <v>1855</v>
      </c>
      <c r="K267" s="81">
        <v>45962</v>
      </c>
      <c r="L267" s="81">
        <v>46326</v>
      </c>
      <c r="M267" s="28" t="s">
        <v>2634</v>
      </c>
      <c r="N267" s="400">
        <v>1020360</v>
      </c>
      <c r="O267" s="29">
        <v>38000</v>
      </c>
      <c r="P267" s="30" t="s">
        <v>2551</v>
      </c>
      <c r="Q267" s="31">
        <v>45962</v>
      </c>
      <c r="R267" s="32">
        <v>46326</v>
      </c>
      <c r="S267" s="20" t="s">
        <v>2379</v>
      </c>
      <c r="T267" s="33" t="s">
        <v>2653</v>
      </c>
      <c r="U267" s="114">
        <v>45950</v>
      </c>
      <c r="V267" s="115">
        <v>1561392</v>
      </c>
      <c r="W267" s="18"/>
      <c r="X267" s="19">
        <v>38000</v>
      </c>
      <c r="Y267" s="20" t="s">
        <v>183</v>
      </c>
      <c r="Z267" s="20" t="s">
        <v>106</v>
      </c>
      <c r="AA267" s="22"/>
      <c r="AB267" s="23">
        <v>45955</v>
      </c>
      <c r="AC267" s="27" t="s">
        <v>2637</v>
      </c>
      <c r="AD267" s="80"/>
      <c r="AE267" s="24"/>
      <c r="AF267" s="81"/>
      <c r="AG267" s="142"/>
    </row>
    <row r="268" spans="1:33" s="34" customFormat="1" ht="27" customHeight="1">
      <c r="A268" s="15">
        <v>265</v>
      </c>
      <c r="B268" s="81">
        <v>45933</v>
      </c>
      <c r="C268" s="15" t="s">
        <v>95</v>
      </c>
      <c r="D268" s="112" t="s">
        <v>2654</v>
      </c>
      <c r="E268" s="26" t="s">
        <v>97</v>
      </c>
      <c r="F268" s="27" t="s">
        <v>109</v>
      </c>
      <c r="G268" s="27">
        <v>645602</v>
      </c>
      <c r="H268" s="81">
        <v>45938</v>
      </c>
      <c r="I268" s="27">
        <v>6224443</v>
      </c>
      <c r="J268" s="28" t="s">
        <v>1855</v>
      </c>
      <c r="K268" s="81">
        <v>45962</v>
      </c>
      <c r="L268" s="81">
        <v>46326</v>
      </c>
      <c r="M268" s="28" t="s">
        <v>2634</v>
      </c>
      <c r="N268" s="400">
        <v>1020360</v>
      </c>
      <c r="O268" s="29">
        <v>12035</v>
      </c>
      <c r="P268" s="30" t="s">
        <v>2551</v>
      </c>
      <c r="Q268" s="31" t="s">
        <v>805</v>
      </c>
      <c r="R268" s="32" t="s">
        <v>2551</v>
      </c>
      <c r="S268" s="20" t="s">
        <v>2655</v>
      </c>
      <c r="T268" s="33" t="s">
        <v>2656</v>
      </c>
      <c r="U268" s="114">
        <v>45954</v>
      </c>
      <c r="V268" s="115">
        <v>1561414</v>
      </c>
      <c r="W268" s="18"/>
      <c r="X268" s="19">
        <v>12035</v>
      </c>
      <c r="Y268" s="20" t="s">
        <v>183</v>
      </c>
      <c r="Z268" s="20" t="s">
        <v>106</v>
      </c>
      <c r="AA268" s="22"/>
      <c r="AB268" s="23">
        <v>45955</v>
      </c>
      <c r="AC268" s="27" t="s">
        <v>2637</v>
      </c>
      <c r="AD268" s="80"/>
      <c r="AE268" s="24"/>
      <c r="AF268" s="81"/>
      <c r="AG268" s="142"/>
    </row>
    <row r="269" spans="1:33" s="34" customFormat="1" ht="27" customHeight="1">
      <c r="A269" s="15">
        <v>266</v>
      </c>
      <c r="B269" s="81">
        <v>45938</v>
      </c>
      <c r="C269" s="15" t="s">
        <v>95</v>
      </c>
      <c r="D269" s="15" t="s">
        <v>2657</v>
      </c>
      <c r="E269" s="26" t="s">
        <v>97</v>
      </c>
      <c r="F269" s="27" t="s">
        <v>98</v>
      </c>
      <c r="G269" s="27">
        <v>645602</v>
      </c>
      <c r="H269" s="81">
        <v>45939</v>
      </c>
      <c r="I269" s="27">
        <v>6224911</v>
      </c>
      <c r="J269" s="28" t="s">
        <v>2658</v>
      </c>
      <c r="K269" s="81">
        <v>45931</v>
      </c>
      <c r="L269" s="81">
        <v>46295</v>
      </c>
      <c r="M269" s="28" t="s">
        <v>2659</v>
      </c>
      <c r="N269" s="400">
        <v>226575</v>
      </c>
      <c r="O269" s="29">
        <v>46000</v>
      </c>
      <c r="P269" s="30" t="s">
        <v>2551</v>
      </c>
      <c r="Q269" s="31">
        <v>45931</v>
      </c>
      <c r="R269" s="32">
        <v>46295</v>
      </c>
      <c r="S269" s="20" t="s">
        <v>2660</v>
      </c>
      <c r="T269" s="33" t="s">
        <v>2661</v>
      </c>
      <c r="U269" s="114">
        <v>45957</v>
      </c>
      <c r="V269" s="115">
        <v>1561717</v>
      </c>
      <c r="W269" s="18"/>
      <c r="X269" s="19">
        <v>46000</v>
      </c>
      <c r="Y269" s="20" t="s">
        <v>191</v>
      </c>
      <c r="Z269" s="20" t="s">
        <v>106</v>
      </c>
      <c r="AA269" s="22"/>
      <c r="AB269" s="23">
        <v>45955</v>
      </c>
      <c r="AC269" s="27" t="s">
        <v>2662</v>
      </c>
      <c r="AD269" s="80"/>
      <c r="AE269" s="24"/>
      <c r="AF269" s="81"/>
      <c r="AG269" s="142"/>
    </row>
    <row r="270" spans="1:33" s="34" customFormat="1" ht="27" customHeight="1">
      <c r="A270" s="15">
        <v>267</v>
      </c>
      <c r="B270" s="81">
        <v>45938</v>
      </c>
      <c r="C270" s="15" t="s">
        <v>95</v>
      </c>
      <c r="D270" s="112" t="s">
        <v>2663</v>
      </c>
      <c r="E270" s="26" t="s">
        <v>97</v>
      </c>
      <c r="F270" s="27" t="s">
        <v>98</v>
      </c>
      <c r="G270" s="27">
        <v>645602</v>
      </c>
      <c r="H270" s="81">
        <v>45939</v>
      </c>
      <c r="I270" s="27">
        <v>6224914</v>
      </c>
      <c r="J270" s="28" t="s">
        <v>2658</v>
      </c>
      <c r="K270" s="81">
        <v>45931</v>
      </c>
      <c r="L270" s="81">
        <v>46295</v>
      </c>
      <c r="M270" s="28" t="s">
        <v>2659</v>
      </c>
      <c r="N270" s="400">
        <v>226575</v>
      </c>
      <c r="O270" s="29">
        <v>45000</v>
      </c>
      <c r="P270" s="30" t="s">
        <v>2551</v>
      </c>
      <c r="Q270" s="31">
        <v>45931</v>
      </c>
      <c r="R270" s="32">
        <v>46295</v>
      </c>
      <c r="S270" s="20" t="s">
        <v>2201</v>
      </c>
      <c r="T270" s="33" t="s">
        <v>2664</v>
      </c>
      <c r="U270" s="114">
        <v>46013</v>
      </c>
      <c r="V270" s="115">
        <v>1571030</v>
      </c>
      <c r="W270" s="18"/>
      <c r="X270" s="19">
        <v>45000</v>
      </c>
      <c r="Y270" s="20" t="s">
        <v>191</v>
      </c>
      <c r="Z270" s="20" t="s">
        <v>106</v>
      </c>
      <c r="AA270" s="22"/>
      <c r="AB270" s="23">
        <v>45955</v>
      </c>
      <c r="AC270" s="27" t="s">
        <v>2662</v>
      </c>
      <c r="AD270" s="80"/>
      <c r="AE270" s="24"/>
      <c r="AF270" s="81"/>
      <c r="AG270" s="142"/>
    </row>
    <row r="271" spans="1:33" s="34" customFormat="1" ht="27" customHeight="1">
      <c r="A271" s="15">
        <v>268</v>
      </c>
      <c r="B271" s="81">
        <v>45933</v>
      </c>
      <c r="C271" s="15" t="s">
        <v>38</v>
      </c>
      <c r="D271" s="15" t="s">
        <v>2665</v>
      </c>
      <c r="E271" s="26" t="s">
        <v>40</v>
      </c>
      <c r="F271" s="27" t="s">
        <v>41</v>
      </c>
      <c r="G271" s="27">
        <v>645600</v>
      </c>
      <c r="H271" s="81">
        <v>45940</v>
      </c>
      <c r="I271" s="27">
        <v>6225353</v>
      </c>
      <c r="J271" s="28" t="s">
        <v>2666</v>
      </c>
      <c r="K271" s="81">
        <v>45931</v>
      </c>
      <c r="L271" s="81">
        <v>46295</v>
      </c>
      <c r="M271" s="28" t="s">
        <v>2667</v>
      </c>
      <c r="N271" s="400">
        <v>28950</v>
      </c>
      <c r="O271" s="29">
        <v>10460</v>
      </c>
      <c r="P271" s="30" t="s">
        <v>2565</v>
      </c>
      <c r="Q271" s="31" t="s">
        <v>2231</v>
      </c>
      <c r="R271" s="32" t="s">
        <v>2565</v>
      </c>
      <c r="S271" s="20" t="s">
        <v>505</v>
      </c>
      <c r="T271" s="33" t="s">
        <v>2668</v>
      </c>
      <c r="U271" s="16">
        <v>45946</v>
      </c>
      <c r="V271" s="17">
        <v>1560056</v>
      </c>
      <c r="W271" s="18">
        <v>46002</v>
      </c>
      <c r="X271" s="19">
        <v>10460</v>
      </c>
      <c r="Y271" s="20" t="s">
        <v>634</v>
      </c>
      <c r="Z271" s="20" t="s">
        <v>1554</v>
      </c>
      <c r="AA271" s="22"/>
      <c r="AB271" s="23">
        <v>45955</v>
      </c>
      <c r="AC271" s="27" t="s">
        <v>2669</v>
      </c>
      <c r="AD271" s="80"/>
      <c r="AE271" s="24"/>
      <c r="AF271" s="81"/>
      <c r="AG271" s="142"/>
    </row>
    <row r="272" spans="1:33" s="34" customFormat="1" ht="27" customHeight="1">
      <c r="A272" s="15">
        <v>269</v>
      </c>
      <c r="B272" s="81">
        <v>45940</v>
      </c>
      <c r="C272" s="15" t="s">
        <v>95</v>
      </c>
      <c r="D272" s="15" t="s">
        <v>2670</v>
      </c>
      <c r="E272" s="26" t="s">
        <v>97</v>
      </c>
      <c r="F272" s="27" t="s">
        <v>109</v>
      </c>
      <c r="G272" s="27">
        <v>645602</v>
      </c>
      <c r="H272" s="81">
        <v>45943</v>
      </c>
      <c r="I272" s="27">
        <v>6226717</v>
      </c>
      <c r="J272" s="28" t="s">
        <v>2671</v>
      </c>
      <c r="K272" s="81">
        <v>45870</v>
      </c>
      <c r="L272" s="81">
        <v>46234</v>
      </c>
      <c r="M272" s="28" t="s">
        <v>2672</v>
      </c>
      <c r="N272" s="400">
        <v>53200</v>
      </c>
      <c r="O272" s="29">
        <v>36000</v>
      </c>
      <c r="P272" s="30" t="s">
        <v>2551</v>
      </c>
      <c r="Q272" s="31">
        <v>45870</v>
      </c>
      <c r="R272" s="32">
        <v>46234</v>
      </c>
      <c r="S272" s="20" t="s">
        <v>2673</v>
      </c>
      <c r="T272" s="33" t="s">
        <v>2674</v>
      </c>
      <c r="U272" s="114">
        <v>45953</v>
      </c>
      <c r="V272" s="115">
        <v>1561175</v>
      </c>
      <c r="W272" s="18"/>
      <c r="X272" s="19">
        <v>36000</v>
      </c>
      <c r="Y272" s="20" t="s">
        <v>165</v>
      </c>
      <c r="Z272" s="20" t="s">
        <v>106</v>
      </c>
      <c r="AA272" s="22"/>
      <c r="AB272" s="23">
        <v>45955</v>
      </c>
      <c r="AC272" s="27" t="s">
        <v>2675</v>
      </c>
      <c r="AD272" s="80"/>
      <c r="AE272" s="24"/>
      <c r="AF272" s="81"/>
      <c r="AG272" s="142"/>
    </row>
    <row r="273" spans="1:33" s="34" customFormat="1" ht="27" customHeight="1">
      <c r="A273" s="15">
        <v>270</v>
      </c>
      <c r="B273" s="81">
        <v>45944</v>
      </c>
      <c r="C273" s="15" t="s">
        <v>38</v>
      </c>
      <c r="D273" s="15" t="s">
        <v>2676</v>
      </c>
      <c r="E273" s="26" t="s">
        <v>40</v>
      </c>
      <c r="F273" s="27" t="s">
        <v>41</v>
      </c>
      <c r="G273" s="27">
        <v>645600</v>
      </c>
      <c r="H273" s="81">
        <v>45946</v>
      </c>
      <c r="I273" s="27">
        <v>6226984</v>
      </c>
      <c r="J273" s="28" t="s">
        <v>2677</v>
      </c>
      <c r="K273" s="81">
        <v>45931</v>
      </c>
      <c r="L273" s="81">
        <v>46295</v>
      </c>
      <c r="M273" s="28" t="s">
        <v>2678</v>
      </c>
      <c r="N273" s="400">
        <v>1899000</v>
      </c>
      <c r="O273" s="29">
        <v>1599821.61</v>
      </c>
      <c r="P273" s="30">
        <v>202765.73</v>
      </c>
      <c r="Q273" s="31">
        <v>45962</v>
      </c>
      <c r="R273" s="32">
        <v>46326</v>
      </c>
      <c r="S273" s="20" t="s">
        <v>784</v>
      </c>
      <c r="T273" s="33" t="s">
        <v>2679</v>
      </c>
      <c r="U273" s="16">
        <v>45950</v>
      </c>
      <c r="V273" s="17">
        <v>1560315</v>
      </c>
      <c r="W273" s="18">
        <v>46073</v>
      </c>
      <c r="X273" s="19">
        <v>1577111.85</v>
      </c>
      <c r="Y273" s="20" t="s">
        <v>336</v>
      </c>
      <c r="Z273" s="20" t="s">
        <v>1058</v>
      </c>
      <c r="AA273" s="22"/>
      <c r="AB273" s="23">
        <v>45955</v>
      </c>
      <c r="AC273" s="27" t="s">
        <v>2680</v>
      </c>
      <c r="AD273" s="80"/>
      <c r="AE273" s="24"/>
      <c r="AF273" s="81"/>
      <c r="AG273" s="142"/>
    </row>
    <row r="274" spans="1:33" s="34" customFormat="1" ht="27" customHeight="1">
      <c r="A274" s="15">
        <v>271</v>
      </c>
      <c r="B274" s="81">
        <v>45944</v>
      </c>
      <c r="C274" s="15" t="s">
        <v>38</v>
      </c>
      <c r="D274" s="15" t="s">
        <v>2681</v>
      </c>
      <c r="E274" s="26" t="s">
        <v>70</v>
      </c>
      <c r="F274" s="27" t="s">
        <v>41</v>
      </c>
      <c r="G274" s="27">
        <v>645600</v>
      </c>
      <c r="H274" s="81">
        <v>45946</v>
      </c>
      <c r="I274" s="27">
        <v>6227341</v>
      </c>
      <c r="J274" s="28" t="s">
        <v>1785</v>
      </c>
      <c r="K274" s="81">
        <v>45659</v>
      </c>
      <c r="L274" s="81">
        <v>46753</v>
      </c>
      <c r="M274" s="28" t="s">
        <v>1786</v>
      </c>
      <c r="N274" s="400">
        <v>2645460</v>
      </c>
      <c r="O274" s="29">
        <v>310019.71999999997</v>
      </c>
      <c r="P274" s="30">
        <v>39292.74</v>
      </c>
      <c r="Q274" s="31">
        <v>45931</v>
      </c>
      <c r="R274" s="32">
        <v>46295</v>
      </c>
      <c r="S274" s="20" t="s">
        <v>473</v>
      </c>
      <c r="T274" s="33" t="s">
        <v>2682</v>
      </c>
      <c r="U274" s="16">
        <v>45954</v>
      </c>
      <c r="V274" s="17">
        <v>1561318</v>
      </c>
      <c r="W274" s="18">
        <v>46171</v>
      </c>
      <c r="X274" s="19">
        <v>305618.93</v>
      </c>
      <c r="Y274" s="20" t="s">
        <v>123</v>
      </c>
      <c r="Z274" s="20" t="s">
        <v>1554</v>
      </c>
      <c r="AA274" s="22"/>
      <c r="AB274" s="23">
        <v>45955</v>
      </c>
      <c r="AC274" s="27" t="s">
        <v>1790</v>
      </c>
      <c r="AD274" s="80"/>
      <c r="AE274" s="24"/>
      <c r="AF274" s="27">
        <v>404377603</v>
      </c>
      <c r="AG274" s="142"/>
    </row>
    <row r="275" spans="1:33" s="34" customFormat="1" ht="38.25">
      <c r="A275" s="15">
        <v>272</v>
      </c>
      <c r="B275" s="81">
        <v>45950</v>
      </c>
      <c r="C275" s="15" t="s">
        <v>38</v>
      </c>
      <c r="D275" s="15" t="s">
        <v>2683</v>
      </c>
      <c r="E275" s="26" t="s">
        <v>40</v>
      </c>
      <c r="F275" s="27" t="s">
        <v>41</v>
      </c>
      <c r="G275" s="27">
        <v>645600</v>
      </c>
      <c r="H275" s="81">
        <v>45950</v>
      </c>
      <c r="I275" s="27">
        <v>6228181</v>
      </c>
      <c r="J275" s="28" t="s">
        <v>2684</v>
      </c>
      <c r="K275" s="81">
        <v>45951</v>
      </c>
      <c r="L275" s="81">
        <v>47046</v>
      </c>
      <c r="M275" s="28" t="s">
        <v>2685</v>
      </c>
      <c r="N275" s="400">
        <v>1787709.4</v>
      </c>
      <c r="O275" s="29">
        <v>43273.49</v>
      </c>
      <c r="P275" s="30">
        <v>5484.6</v>
      </c>
      <c r="Q275" s="31">
        <v>45951</v>
      </c>
      <c r="R275" s="32">
        <v>47046</v>
      </c>
      <c r="S275" s="20" t="s">
        <v>394</v>
      </c>
      <c r="T275" s="33" t="s">
        <v>2686</v>
      </c>
      <c r="U275" s="16">
        <v>45952</v>
      </c>
      <c r="V275" s="17">
        <v>1560835</v>
      </c>
      <c r="W275" s="252" t="s">
        <v>2687</v>
      </c>
      <c r="X275" s="19">
        <v>42659.22</v>
      </c>
      <c r="Y275" s="20" t="s">
        <v>47</v>
      </c>
      <c r="Z275" s="20" t="s">
        <v>1546</v>
      </c>
      <c r="AA275" s="22"/>
      <c r="AB275" s="23">
        <v>45955</v>
      </c>
      <c r="AC275" s="27" t="s">
        <v>2688</v>
      </c>
      <c r="AD275" s="80" t="s">
        <v>1803</v>
      </c>
      <c r="AE275" s="24" t="s">
        <v>2689</v>
      </c>
      <c r="AF275" s="81"/>
      <c r="AG275" s="142"/>
    </row>
    <row r="276" spans="1:33" s="34" customFormat="1" ht="38.25">
      <c r="A276" s="15">
        <v>273</v>
      </c>
      <c r="B276" s="81">
        <v>45950</v>
      </c>
      <c r="C276" s="15" t="s">
        <v>38</v>
      </c>
      <c r="D276" s="15" t="s">
        <v>2690</v>
      </c>
      <c r="E276" s="26" t="s">
        <v>40</v>
      </c>
      <c r="F276" s="27" t="s">
        <v>41</v>
      </c>
      <c r="G276" s="27">
        <v>645600</v>
      </c>
      <c r="H276" s="81">
        <v>45950</v>
      </c>
      <c r="I276" s="27">
        <v>6228254</v>
      </c>
      <c r="J276" s="28" t="s">
        <v>2684</v>
      </c>
      <c r="K276" s="81">
        <v>45951</v>
      </c>
      <c r="L276" s="81">
        <v>47046</v>
      </c>
      <c r="M276" s="28" t="s">
        <v>2685</v>
      </c>
      <c r="N276" s="400">
        <v>1787709.4</v>
      </c>
      <c r="O276" s="29">
        <v>1370379.38</v>
      </c>
      <c r="P276" s="30">
        <v>173685.6</v>
      </c>
      <c r="Q276" s="31">
        <v>45951</v>
      </c>
      <c r="R276" s="32">
        <v>47046</v>
      </c>
      <c r="S276" s="20" t="s">
        <v>394</v>
      </c>
      <c r="T276" s="33" t="s">
        <v>2691</v>
      </c>
      <c r="U276" s="16">
        <v>45952</v>
      </c>
      <c r="V276" s="17">
        <v>1560838</v>
      </c>
      <c r="W276" s="252" t="s">
        <v>2687</v>
      </c>
      <c r="X276" s="19">
        <v>1350926.6</v>
      </c>
      <c r="Y276" s="20" t="s">
        <v>47</v>
      </c>
      <c r="Z276" s="20" t="s">
        <v>1546</v>
      </c>
      <c r="AA276" s="22"/>
      <c r="AB276" s="23">
        <v>45955</v>
      </c>
      <c r="AC276" s="27" t="s">
        <v>2688</v>
      </c>
      <c r="AD276" s="80" t="s">
        <v>1803</v>
      </c>
      <c r="AE276" s="24" t="s">
        <v>2692</v>
      </c>
      <c r="AF276" s="81"/>
      <c r="AG276" s="142"/>
    </row>
    <row r="277" spans="1:33" s="34" customFormat="1" ht="27" customHeight="1">
      <c r="A277" s="91">
        <v>274</v>
      </c>
      <c r="B277" s="92">
        <v>45944</v>
      </c>
      <c r="C277" s="91" t="s">
        <v>38</v>
      </c>
      <c r="D277" s="91" t="s">
        <v>2693</v>
      </c>
      <c r="E277" s="93" t="s">
        <v>40</v>
      </c>
      <c r="F277" s="94" t="s">
        <v>41</v>
      </c>
      <c r="G277" s="94">
        <v>645600</v>
      </c>
      <c r="H277" s="92">
        <v>45950</v>
      </c>
      <c r="I277" s="94">
        <v>6228276</v>
      </c>
      <c r="J277" s="95" t="s">
        <v>411</v>
      </c>
      <c r="K277" s="92">
        <v>45839</v>
      </c>
      <c r="L277" s="92">
        <v>46203</v>
      </c>
      <c r="M277" s="95" t="s">
        <v>683</v>
      </c>
      <c r="N277" s="400"/>
      <c r="O277" s="97">
        <v>544207.86</v>
      </c>
      <c r="P277" s="98">
        <v>68974.38</v>
      </c>
      <c r="Q277" s="99">
        <v>46023</v>
      </c>
      <c r="R277" s="100">
        <v>46387</v>
      </c>
      <c r="S277" s="101" t="s">
        <v>784</v>
      </c>
      <c r="T277" s="102" t="s">
        <v>2694</v>
      </c>
      <c r="U277" s="103" t="s">
        <v>609</v>
      </c>
      <c r="V277" s="104"/>
      <c r="W277" s="18" t="s">
        <v>609</v>
      </c>
      <c r="X277" s="106">
        <v>536482.73</v>
      </c>
      <c r="Y277" s="101" t="s">
        <v>245</v>
      </c>
      <c r="Z277" s="101" t="s">
        <v>1546</v>
      </c>
      <c r="AA277" s="108"/>
      <c r="AB277" s="109">
        <v>45955</v>
      </c>
      <c r="AC277" s="94" t="s">
        <v>687</v>
      </c>
      <c r="AD277" s="138"/>
      <c r="AE277" s="110" t="s">
        <v>2695</v>
      </c>
      <c r="AF277" s="81"/>
      <c r="AG277" s="142"/>
    </row>
    <row r="278" spans="1:33" s="34" customFormat="1" ht="27" customHeight="1">
      <c r="A278" s="15">
        <v>275</v>
      </c>
      <c r="B278" s="81">
        <v>45945</v>
      </c>
      <c r="C278" s="15" t="s">
        <v>38</v>
      </c>
      <c r="D278" s="15" t="s">
        <v>2696</v>
      </c>
      <c r="E278" s="26" t="s">
        <v>70</v>
      </c>
      <c r="F278" s="27" t="s">
        <v>41</v>
      </c>
      <c r="G278" s="27">
        <v>645600</v>
      </c>
      <c r="H278" s="81">
        <v>45950</v>
      </c>
      <c r="I278" s="27">
        <v>6228279</v>
      </c>
      <c r="J278" s="28" t="s">
        <v>720</v>
      </c>
      <c r="K278" s="81">
        <v>45371</v>
      </c>
      <c r="L278" s="81">
        <v>46100</v>
      </c>
      <c r="M278" s="28" t="s">
        <v>2697</v>
      </c>
      <c r="N278" s="400">
        <v>447000</v>
      </c>
      <c r="O278" s="29">
        <v>76650.64</v>
      </c>
      <c r="P278" s="30">
        <v>9714.91</v>
      </c>
      <c r="Q278" s="31">
        <v>45962</v>
      </c>
      <c r="R278" s="32">
        <v>46326</v>
      </c>
      <c r="S278" s="20" t="s">
        <v>473</v>
      </c>
      <c r="T278" s="33" t="s">
        <v>2698</v>
      </c>
      <c r="U278" s="16">
        <v>45957</v>
      </c>
      <c r="V278" s="17">
        <v>1561817</v>
      </c>
      <c r="W278" s="18">
        <v>46171</v>
      </c>
      <c r="X278" s="19">
        <v>75772.58</v>
      </c>
      <c r="Y278" s="20" t="s">
        <v>794</v>
      </c>
      <c r="Z278" s="20" t="s">
        <v>1554</v>
      </c>
      <c r="AA278" s="22"/>
      <c r="AB278" s="23">
        <v>45955</v>
      </c>
      <c r="AC278" s="27" t="s">
        <v>2699</v>
      </c>
      <c r="AD278" s="80" t="s">
        <v>1803</v>
      </c>
      <c r="AE278" s="24"/>
      <c r="AF278" s="81"/>
      <c r="AG278" s="142"/>
    </row>
    <row r="279" spans="1:33" s="34" customFormat="1" ht="27" customHeight="1">
      <c r="A279" s="15">
        <v>276</v>
      </c>
      <c r="B279" s="81">
        <v>45946</v>
      </c>
      <c r="C279" s="15" t="s">
        <v>38</v>
      </c>
      <c r="D279" s="15" t="s">
        <v>2700</v>
      </c>
      <c r="E279" s="26" t="s">
        <v>40</v>
      </c>
      <c r="F279" s="27" t="s">
        <v>277</v>
      </c>
      <c r="G279" s="27">
        <v>645600</v>
      </c>
      <c r="H279" s="81">
        <v>45950</v>
      </c>
      <c r="I279" s="27">
        <v>6228280</v>
      </c>
      <c r="J279" s="28" t="s">
        <v>2701</v>
      </c>
      <c r="K279" s="81">
        <v>46740</v>
      </c>
      <c r="L279" s="81">
        <v>46384</v>
      </c>
      <c r="M279" s="28" t="s">
        <v>1200</v>
      </c>
      <c r="N279" s="400">
        <f>9555003/9</f>
        <v>1061667</v>
      </c>
      <c r="O279" s="29">
        <v>70000</v>
      </c>
      <c r="P279" s="30"/>
      <c r="Q279" s="31" t="s">
        <v>927</v>
      </c>
      <c r="R279" s="32"/>
      <c r="S279" s="20" t="s">
        <v>514</v>
      </c>
      <c r="T279" s="33" t="s">
        <v>2702</v>
      </c>
      <c r="U279" s="16">
        <v>45954</v>
      </c>
      <c r="V279" s="17">
        <v>1561411</v>
      </c>
      <c r="W279" s="18"/>
      <c r="X279" s="19">
        <v>70000</v>
      </c>
      <c r="Y279" s="20" t="s">
        <v>105</v>
      </c>
      <c r="Z279" s="20" t="s">
        <v>1058</v>
      </c>
      <c r="AA279" s="22"/>
      <c r="AB279" s="23">
        <v>45955</v>
      </c>
      <c r="AC279" s="27" t="s">
        <v>2361</v>
      </c>
      <c r="AD279" s="80" t="s">
        <v>1803</v>
      </c>
      <c r="AE279" s="24"/>
      <c r="AF279" s="81"/>
      <c r="AG279" s="142"/>
    </row>
    <row r="280" spans="1:33" s="34" customFormat="1" ht="27" customHeight="1">
      <c r="A280" s="15">
        <v>277</v>
      </c>
      <c r="B280" s="81">
        <v>45950</v>
      </c>
      <c r="C280" s="15" t="s">
        <v>38</v>
      </c>
      <c r="D280" s="15" t="s">
        <v>2703</v>
      </c>
      <c r="E280" s="26" t="s">
        <v>40</v>
      </c>
      <c r="F280" s="27" t="s">
        <v>41</v>
      </c>
      <c r="G280" s="27">
        <v>645600</v>
      </c>
      <c r="H280" s="81">
        <v>45951</v>
      </c>
      <c r="I280" s="27">
        <v>6228401</v>
      </c>
      <c r="J280" s="28" t="s">
        <v>2684</v>
      </c>
      <c r="K280" s="81">
        <v>45951</v>
      </c>
      <c r="L280" s="81">
        <v>47046</v>
      </c>
      <c r="M280" s="28" t="s">
        <v>2685</v>
      </c>
      <c r="N280" s="402">
        <v>1787709.4</v>
      </c>
      <c r="O280" s="29">
        <v>21000</v>
      </c>
      <c r="P280" s="30"/>
      <c r="Q280" s="31">
        <v>45951</v>
      </c>
      <c r="R280" s="32">
        <v>47046</v>
      </c>
      <c r="S280" s="20" t="s">
        <v>505</v>
      </c>
      <c r="T280" s="33" t="s">
        <v>2704</v>
      </c>
      <c r="U280" s="16">
        <v>45953</v>
      </c>
      <c r="V280" s="17">
        <v>1561195</v>
      </c>
      <c r="W280" s="18">
        <v>46042</v>
      </c>
      <c r="X280" s="19">
        <v>21000</v>
      </c>
      <c r="Y280" s="20" t="s">
        <v>47</v>
      </c>
      <c r="Z280" s="20" t="s">
        <v>1546</v>
      </c>
      <c r="AA280" s="22"/>
      <c r="AB280" s="23">
        <v>45955</v>
      </c>
      <c r="AC280" s="27" t="s">
        <v>2688</v>
      </c>
      <c r="AD280" s="80" t="s">
        <v>1803</v>
      </c>
      <c r="AE280" s="24"/>
      <c r="AF280" s="81"/>
      <c r="AG280" s="142"/>
    </row>
    <row r="281" spans="1:33" s="34" customFormat="1" ht="27" customHeight="1">
      <c r="A281" s="15">
        <v>278</v>
      </c>
      <c r="B281" s="81">
        <v>45953</v>
      </c>
      <c r="C281" s="15" t="s">
        <v>38</v>
      </c>
      <c r="D281" s="15" t="s">
        <v>2705</v>
      </c>
      <c r="E281" s="26" t="s">
        <v>70</v>
      </c>
      <c r="F281" s="27" t="s">
        <v>41</v>
      </c>
      <c r="G281" s="27">
        <v>645600</v>
      </c>
      <c r="H281" s="81">
        <v>45953</v>
      </c>
      <c r="I281" s="27">
        <v>6229463</v>
      </c>
      <c r="J281" s="28" t="s">
        <v>2706</v>
      </c>
      <c r="K281" s="81">
        <v>45870</v>
      </c>
      <c r="L281" s="81">
        <v>46599</v>
      </c>
      <c r="M281" s="28" t="s">
        <v>2707</v>
      </c>
      <c r="N281" s="400">
        <v>620750</v>
      </c>
      <c r="O281" s="29"/>
      <c r="P281" s="30">
        <v>19000</v>
      </c>
      <c r="Q281" s="31">
        <v>45992</v>
      </c>
      <c r="R281" s="32">
        <v>46599</v>
      </c>
      <c r="S281" s="20" t="s">
        <v>905</v>
      </c>
      <c r="T281" s="33" t="s">
        <v>2708</v>
      </c>
      <c r="U281" s="16">
        <v>45966</v>
      </c>
      <c r="V281" s="17">
        <v>1563413</v>
      </c>
      <c r="W281" s="18">
        <v>45989</v>
      </c>
      <c r="X281" s="19">
        <v>147782</v>
      </c>
      <c r="Y281" s="20" t="s">
        <v>56</v>
      </c>
      <c r="Z281" s="20" t="s">
        <v>899</v>
      </c>
      <c r="AA281" s="22"/>
      <c r="AB281" s="23">
        <v>45955</v>
      </c>
      <c r="AC281" s="27" t="s">
        <v>2709</v>
      </c>
      <c r="AD281" s="80"/>
      <c r="AE281" s="24"/>
      <c r="AF281" s="81"/>
      <c r="AG281" s="142"/>
    </row>
    <row r="282" spans="1:33" s="34" customFormat="1" ht="27" customHeight="1">
      <c r="A282" s="15">
        <v>279</v>
      </c>
      <c r="B282" s="81">
        <v>45953</v>
      </c>
      <c r="C282" s="15" t="s">
        <v>38</v>
      </c>
      <c r="D282" s="15" t="s">
        <v>2710</v>
      </c>
      <c r="E282" s="26" t="s">
        <v>70</v>
      </c>
      <c r="F282" s="27" t="s">
        <v>41</v>
      </c>
      <c r="G282" s="27">
        <v>645600</v>
      </c>
      <c r="H282" s="81">
        <v>45953</v>
      </c>
      <c r="I282" s="27">
        <v>6229471</v>
      </c>
      <c r="J282" s="28" t="s">
        <v>2706</v>
      </c>
      <c r="K282" s="81">
        <v>45870</v>
      </c>
      <c r="L282" s="81">
        <v>46599</v>
      </c>
      <c r="M282" s="28" t="s">
        <v>2707</v>
      </c>
      <c r="N282" s="400">
        <v>620750</v>
      </c>
      <c r="O282" s="29"/>
      <c r="P282" s="30">
        <v>94822</v>
      </c>
      <c r="Q282" s="31">
        <v>46054</v>
      </c>
      <c r="R282" s="32">
        <v>46783</v>
      </c>
      <c r="S282" s="20" t="s">
        <v>180</v>
      </c>
      <c r="T282" s="33" t="s">
        <v>2711</v>
      </c>
      <c r="U282" s="16">
        <v>45966</v>
      </c>
      <c r="V282" s="17">
        <v>1563408</v>
      </c>
      <c r="W282" s="18">
        <v>46010</v>
      </c>
      <c r="X282" s="19">
        <v>94822</v>
      </c>
      <c r="Y282" s="20" t="s">
        <v>56</v>
      </c>
      <c r="Z282" s="20" t="s">
        <v>899</v>
      </c>
      <c r="AA282" s="22"/>
      <c r="AB282" s="23">
        <v>45955</v>
      </c>
      <c r="AC282" s="27" t="s">
        <v>2709</v>
      </c>
      <c r="AD282" s="80"/>
      <c r="AE282" s="24"/>
      <c r="AF282" s="81"/>
      <c r="AG282" s="142"/>
    </row>
    <row r="283" spans="1:33" s="34" customFormat="1" ht="27" customHeight="1">
      <c r="A283" s="15">
        <f>A282+1</f>
        <v>280</v>
      </c>
      <c r="B283" s="81">
        <v>45953</v>
      </c>
      <c r="C283" s="15" t="s">
        <v>38</v>
      </c>
      <c r="D283" s="15" t="s">
        <v>2712</v>
      </c>
      <c r="E283" s="26" t="s">
        <v>59</v>
      </c>
      <c r="F283" s="27" t="s">
        <v>41</v>
      </c>
      <c r="G283" s="27">
        <v>645600</v>
      </c>
      <c r="H283" s="81">
        <v>45953</v>
      </c>
      <c r="I283" s="27">
        <v>6229489</v>
      </c>
      <c r="J283" s="28" t="s">
        <v>2713</v>
      </c>
      <c r="K283" s="81">
        <v>45954</v>
      </c>
      <c r="L283" s="81">
        <v>46318</v>
      </c>
      <c r="M283" s="28" t="s">
        <v>2714</v>
      </c>
      <c r="N283" s="400">
        <v>1066209</v>
      </c>
      <c r="O283" s="29">
        <v>121212</v>
      </c>
      <c r="P283" s="30"/>
      <c r="Q283" s="31">
        <v>45954</v>
      </c>
      <c r="R283" s="32">
        <v>46318</v>
      </c>
      <c r="S283" s="20" t="s">
        <v>399</v>
      </c>
      <c r="T283" s="33" t="s">
        <v>2715</v>
      </c>
      <c r="U283" s="16">
        <v>45966</v>
      </c>
      <c r="V283" s="17">
        <v>1563412</v>
      </c>
      <c r="W283" s="18">
        <v>45986</v>
      </c>
      <c r="X283" s="19">
        <v>121212</v>
      </c>
      <c r="Y283" s="20" t="s">
        <v>245</v>
      </c>
      <c r="Z283" s="20" t="s">
        <v>1546</v>
      </c>
      <c r="AA283" s="22"/>
      <c r="AB283" s="23">
        <v>45955</v>
      </c>
      <c r="AC283" s="27" t="s">
        <v>2716</v>
      </c>
      <c r="AD283" s="80"/>
      <c r="AE283" s="24"/>
      <c r="AF283" s="81"/>
      <c r="AG283" s="142"/>
    </row>
    <row r="284" spans="1:33" s="34" customFormat="1" ht="27" customHeight="1">
      <c r="A284" s="15">
        <f>A283+1</f>
        <v>281</v>
      </c>
      <c r="B284" s="81">
        <v>45953</v>
      </c>
      <c r="C284" s="15" t="s">
        <v>38</v>
      </c>
      <c r="D284" s="187" t="s">
        <v>2717</v>
      </c>
      <c r="E284" s="26" t="s">
        <v>59</v>
      </c>
      <c r="F284" s="27" t="s">
        <v>41</v>
      </c>
      <c r="G284" s="27">
        <v>645600</v>
      </c>
      <c r="H284" s="81">
        <v>45953</v>
      </c>
      <c r="I284" s="27">
        <v>6229490</v>
      </c>
      <c r="J284" s="28" t="s">
        <v>2713</v>
      </c>
      <c r="K284" s="81">
        <v>45954</v>
      </c>
      <c r="L284" s="81">
        <v>46318</v>
      </c>
      <c r="M284" s="28" t="s">
        <v>2714</v>
      </c>
      <c r="N284" s="400">
        <v>1066209</v>
      </c>
      <c r="O284" s="29">
        <v>413112</v>
      </c>
      <c r="P284" s="30"/>
      <c r="Q284" s="31">
        <v>45962</v>
      </c>
      <c r="R284" s="32">
        <v>46326</v>
      </c>
      <c r="S284" s="20" t="s">
        <v>399</v>
      </c>
      <c r="T284" s="33" t="s">
        <v>2718</v>
      </c>
      <c r="U284" s="16">
        <v>45966</v>
      </c>
      <c r="V284" s="17">
        <v>1563414</v>
      </c>
      <c r="W284" s="18">
        <v>45986</v>
      </c>
      <c r="X284" s="19">
        <v>413112</v>
      </c>
      <c r="Y284" s="20" t="s">
        <v>245</v>
      </c>
      <c r="Z284" s="20" t="s">
        <v>1546</v>
      </c>
      <c r="AA284" s="22"/>
      <c r="AB284" s="23">
        <v>45955</v>
      </c>
      <c r="AC284" s="27" t="s">
        <v>2716</v>
      </c>
      <c r="AD284" s="80"/>
      <c r="AE284" s="24"/>
      <c r="AF284" s="81"/>
      <c r="AG284" s="142"/>
    </row>
    <row r="285" spans="1:33" s="34" customFormat="1" ht="27" customHeight="1">
      <c r="A285" s="15">
        <f>A284+1</f>
        <v>282</v>
      </c>
      <c r="B285" s="81">
        <v>45953</v>
      </c>
      <c r="C285" s="15" t="s">
        <v>38</v>
      </c>
      <c r="D285" s="187" t="s">
        <v>2719</v>
      </c>
      <c r="E285" s="26" t="s">
        <v>59</v>
      </c>
      <c r="F285" s="27" t="s">
        <v>41</v>
      </c>
      <c r="G285" s="27">
        <v>645600</v>
      </c>
      <c r="H285" s="81">
        <v>45953</v>
      </c>
      <c r="I285" s="27">
        <v>6229491</v>
      </c>
      <c r="J285" s="28" t="s">
        <v>2713</v>
      </c>
      <c r="K285" s="81">
        <v>45954</v>
      </c>
      <c r="L285" s="81">
        <v>46318</v>
      </c>
      <c r="M285" s="28" t="s">
        <v>2714</v>
      </c>
      <c r="N285" s="400">
        <v>1066209</v>
      </c>
      <c r="O285" s="29">
        <v>4030</v>
      </c>
      <c r="P285" s="30"/>
      <c r="Q285" s="31">
        <v>45962</v>
      </c>
      <c r="R285" s="32">
        <v>46326</v>
      </c>
      <c r="S285" s="20" t="s">
        <v>399</v>
      </c>
      <c r="T285" s="33" t="s">
        <v>2720</v>
      </c>
      <c r="U285" s="16">
        <v>45966</v>
      </c>
      <c r="V285" s="17">
        <v>1563410</v>
      </c>
      <c r="W285" s="18">
        <v>45986</v>
      </c>
      <c r="X285" s="19">
        <v>4030</v>
      </c>
      <c r="Y285" s="20" t="s">
        <v>245</v>
      </c>
      <c r="Z285" s="20" t="s">
        <v>1546</v>
      </c>
      <c r="AA285" s="22"/>
      <c r="AB285" s="23">
        <v>45955</v>
      </c>
      <c r="AC285" s="27" t="s">
        <v>2716</v>
      </c>
      <c r="AD285" s="80"/>
      <c r="AE285" s="24"/>
      <c r="AF285" s="81"/>
      <c r="AG285" s="142"/>
    </row>
    <row r="286" spans="1:33" s="34" customFormat="1" ht="27" customHeight="1">
      <c r="A286" s="15">
        <v>283</v>
      </c>
      <c r="B286" s="81">
        <v>45957</v>
      </c>
      <c r="C286" s="15" t="s">
        <v>95</v>
      </c>
      <c r="D286" s="15" t="s">
        <v>2721</v>
      </c>
      <c r="E286" s="26" t="s">
        <v>97</v>
      </c>
      <c r="F286" s="27">
        <v>244746</v>
      </c>
      <c r="G286" s="27">
        <v>645602</v>
      </c>
      <c r="H286" s="81">
        <v>45957</v>
      </c>
      <c r="I286" s="27">
        <v>6230657</v>
      </c>
      <c r="J286" s="28" t="s">
        <v>2722</v>
      </c>
      <c r="K286" s="81">
        <v>45954</v>
      </c>
      <c r="L286" s="81">
        <v>46683</v>
      </c>
      <c r="M286" s="28" t="s">
        <v>2723</v>
      </c>
      <c r="N286" s="400">
        <v>460000</v>
      </c>
      <c r="O286" s="29">
        <v>391000</v>
      </c>
      <c r="P286" s="30" t="s">
        <v>2551</v>
      </c>
      <c r="Q286" s="31">
        <v>45954</v>
      </c>
      <c r="R286" s="32">
        <v>46683</v>
      </c>
      <c r="S286" s="20" t="s">
        <v>586</v>
      </c>
      <c r="T286" s="33" t="s">
        <v>2724</v>
      </c>
      <c r="U286" s="16">
        <v>45995</v>
      </c>
      <c r="V286" s="17">
        <v>1568209</v>
      </c>
      <c r="W286" s="18"/>
      <c r="X286" s="19">
        <v>391000</v>
      </c>
      <c r="Y286" s="20" t="s">
        <v>56</v>
      </c>
      <c r="Z286" s="20" t="s">
        <v>106</v>
      </c>
      <c r="AA286" s="22"/>
      <c r="AB286" s="23">
        <v>45955</v>
      </c>
      <c r="AC286" s="27" t="s">
        <v>2725</v>
      </c>
      <c r="AD286" s="80"/>
      <c r="AE286" s="24"/>
      <c r="AF286" s="81"/>
      <c r="AG286" s="142"/>
    </row>
    <row r="287" spans="1:33" s="34" customFormat="1" ht="27" customHeight="1">
      <c r="A287" s="15">
        <v>284</v>
      </c>
      <c r="B287" s="81">
        <v>45957</v>
      </c>
      <c r="C287" s="15" t="s">
        <v>38</v>
      </c>
      <c r="D287" s="15" t="s">
        <v>2726</v>
      </c>
      <c r="E287" s="26" t="s">
        <v>59</v>
      </c>
      <c r="F287" s="27" t="s">
        <v>41</v>
      </c>
      <c r="G287" s="27">
        <v>645600</v>
      </c>
      <c r="H287" s="81">
        <v>45957</v>
      </c>
      <c r="I287" s="27">
        <v>6230682</v>
      </c>
      <c r="J287" s="28" t="s">
        <v>2727</v>
      </c>
      <c r="K287" s="81">
        <v>45962</v>
      </c>
      <c r="L287" s="81">
        <v>46326</v>
      </c>
      <c r="M287" s="28" t="s">
        <v>2728</v>
      </c>
      <c r="N287" s="400">
        <v>890556</v>
      </c>
      <c r="O287" s="29">
        <v>9606</v>
      </c>
      <c r="P287" s="30" t="s">
        <v>2565</v>
      </c>
      <c r="Q287" s="31">
        <v>45962</v>
      </c>
      <c r="R287" s="32">
        <v>46326</v>
      </c>
      <c r="S287" s="20" t="s">
        <v>399</v>
      </c>
      <c r="T287" s="33" t="s">
        <v>2729</v>
      </c>
      <c r="U287" s="16">
        <v>45966</v>
      </c>
      <c r="V287" s="17" t="s">
        <v>2730</v>
      </c>
      <c r="W287" s="18">
        <v>45986</v>
      </c>
      <c r="X287" s="19">
        <v>9606</v>
      </c>
      <c r="Y287" s="20" t="s">
        <v>66</v>
      </c>
      <c r="Z287" s="20" t="s">
        <v>1703</v>
      </c>
      <c r="AA287" s="22"/>
      <c r="AB287" s="23">
        <v>45955</v>
      </c>
      <c r="AC287" s="27" t="s">
        <v>2731</v>
      </c>
      <c r="AD287" s="80" t="s">
        <v>1803</v>
      </c>
      <c r="AE287" s="24" t="s">
        <v>2732</v>
      </c>
      <c r="AF287" s="81"/>
      <c r="AG287" s="142"/>
    </row>
    <row r="288" spans="1:33" s="34" customFormat="1" ht="27" customHeight="1">
      <c r="A288" s="15">
        <v>285</v>
      </c>
      <c r="B288" s="81">
        <v>45954</v>
      </c>
      <c r="C288" s="15" t="s">
        <v>38</v>
      </c>
      <c r="D288" s="187" t="s">
        <v>2733</v>
      </c>
      <c r="E288" s="26" t="s">
        <v>70</v>
      </c>
      <c r="F288" s="27" t="s">
        <v>41</v>
      </c>
      <c r="G288" s="27">
        <v>645600</v>
      </c>
      <c r="H288" s="81">
        <v>45957</v>
      </c>
      <c r="I288" s="27">
        <v>6230685</v>
      </c>
      <c r="J288" s="28" t="s">
        <v>2734</v>
      </c>
      <c r="K288" s="81">
        <v>45977</v>
      </c>
      <c r="L288" s="81">
        <v>46341</v>
      </c>
      <c r="M288" s="28" t="s">
        <v>2735</v>
      </c>
      <c r="N288" s="400">
        <v>75388</v>
      </c>
      <c r="O288" s="29">
        <v>16473</v>
      </c>
      <c r="P288" s="30" t="s">
        <v>2565</v>
      </c>
      <c r="Q288" s="31">
        <v>46023</v>
      </c>
      <c r="R288" s="32">
        <v>46387</v>
      </c>
      <c r="S288" s="20" t="s">
        <v>180</v>
      </c>
      <c r="T288" s="33" t="s">
        <v>2736</v>
      </c>
      <c r="U288" s="16">
        <v>45966</v>
      </c>
      <c r="V288" s="17">
        <v>1563330</v>
      </c>
      <c r="W288" s="18">
        <v>46010</v>
      </c>
      <c r="X288" s="19">
        <v>16473</v>
      </c>
      <c r="Y288" s="20" t="s">
        <v>66</v>
      </c>
      <c r="Z288" s="20" t="s">
        <v>899</v>
      </c>
      <c r="AA288" s="22"/>
      <c r="AB288" s="23">
        <v>45955</v>
      </c>
      <c r="AC288" s="27" t="s">
        <v>2737</v>
      </c>
      <c r="AD288" s="80" t="s">
        <v>1803</v>
      </c>
      <c r="AE288" s="24"/>
      <c r="AF288" s="81"/>
      <c r="AG288" s="142"/>
    </row>
    <row r="289" spans="1:33" s="34" customFormat="1" ht="27" customHeight="1">
      <c r="A289" s="15">
        <v>286</v>
      </c>
      <c r="B289" s="81">
        <v>45954</v>
      </c>
      <c r="C289" s="15" t="s">
        <v>38</v>
      </c>
      <c r="D289" s="15" t="s">
        <v>2738</v>
      </c>
      <c r="E289" s="26" t="s">
        <v>70</v>
      </c>
      <c r="F289" s="27" t="s">
        <v>277</v>
      </c>
      <c r="G289" s="27">
        <v>645600</v>
      </c>
      <c r="H289" s="81">
        <v>45957</v>
      </c>
      <c r="I289" s="27">
        <v>6230686</v>
      </c>
      <c r="J289" s="28" t="s">
        <v>2734</v>
      </c>
      <c r="K289" s="81">
        <v>45977</v>
      </c>
      <c r="L289" s="81">
        <v>46341</v>
      </c>
      <c r="M289" s="28" t="s">
        <v>2735</v>
      </c>
      <c r="N289" s="400">
        <v>75388</v>
      </c>
      <c r="O289" s="29">
        <v>16569</v>
      </c>
      <c r="P289" s="30">
        <v>2100</v>
      </c>
      <c r="Q289" s="31">
        <v>45977</v>
      </c>
      <c r="R289" s="32">
        <v>46341</v>
      </c>
      <c r="S289" s="20" t="s">
        <v>905</v>
      </c>
      <c r="T289" s="33" t="s">
        <v>2739</v>
      </c>
      <c r="U289" s="16">
        <v>45966</v>
      </c>
      <c r="V289" s="17">
        <v>1563407</v>
      </c>
      <c r="W289" s="18">
        <v>45994</v>
      </c>
      <c r="X289" s="19">
        <v>16333.8</v>
      </c>
      <c r="Y289" s="20" t="s">
        <v>66</v>
      </c>
      <c r="Z289" s="20" t="s">
        <v>899</v>
      </c>
      <c r="AA289" s="22"/>
      <c r="AB289" s="23">
        <v>45955</v>
      </c>
      <c r="AC289" s="27" t="s">
        <v>2737</v>
      </c>
      <c r="AD289" s="80" t="s">
        <v>1803</v>
      </c>
      <c r="AE289" s="24"/>
      <c r="AF289" s="81"/>
      <c r="AG289" s="142"/>
    </row>
    <row r="290" spans="1:33" s="34" customFormat="1" ht="27" customHeight="1">
      <c r="A290" s="15">
        <v>287</v>
      </c>
      <c r="B290" s="81">
        <v>45954</v>
      </c>
      <c r="C290" s="15" t="s">
        <v>38</v>
      </c>
      <c r="D290" s="15" t="s">
        <v>2740</v>
      </c>
      <c r="E290" s="26" t="s">
        <v>70</v>
      </c>
      <c r="F290" s="27" t="s">
        <v>41</v>
      </c>
      <c r="G290" s="27">
        <v>645600</v>
      </c>
      <c r="H290" s="81">
        <v>45958</v>
      </c>
      <c r="I290" s="27">
        <v>6231095</v>
      </c>
      <c r="J290" s="28" t="s">
        <v>2741</v>
      </c>
      <c r="K290" s="81">
        <v>45870</v>
      </c>
      <c r="L290" s="81">
        <v>46234</v>
      </c>
      <c r="M290" s="28" t="s">
        <v>2742</v>
      </c>
      <c r="N290" s="400">
        <v>342360</v>
      </c>
      <c r="O290" s="29">
        <v>18620.400000000001</v>
      </c>
      <c r="P290" s="30">
        <v>2360</v>
      </c>
      <c r="Q290" s="31">
        <v>45911</v>
      </c>
      <c r="R290" s="32">
        <v>46275</v>
      </c>
      <c r="S290" s="20" t="s">
        <v>905</v>
      </c>
      <c r="T290" s="33" t="s">
        <v>2743</v>
      </c>
      <c r="U290" s="16">
        <v>45971</v>
      </c>
      <c r="V290" s="17">
        <v>1564062</v>
      </c>
      <c r="W290" s="18">
        <v>45993</v>
      </c>
      <c r="X290" s="19">
        <v>18356.080000000002</v>
      </c>
      <c r="Y290" s="20" t="s">
        <v>56</v>
      </c>
      <c r="Z290" s="20" t="s">
        <v>899</v>
      </c>
      <c r="AA290" s="22"/>
      <c r="AB290" s="23">
        <v>45955</v>
      </c>
      <c r="AC290" s="27" t="s">
        <v>2744</v>
      </c>
      <c r="AD290" s="80"/>
      <c r="AE290" s="24"/>
      <c r="AF290" s="81"/>
      <c r="AG290" s="142"/>
    </row>
    <row r="291" spans="1:33" s="34" customFormat="1" ht="27" customHeight="1">
      <c r="A291" s="15">
        <v>288</v>
      </c>
      <c r="B291" s="81">
        <v>45954</v>
      </c>
      <c r="C291" s="15" t="s">
        <v>38</v>
      </c>
      <c r="D291" s="15" t="s">
        <v>2745</v>
      </c>
      <c r="E291" s="26" t="s">
        <v>70</v>
      </c>
      <c r="F291" s="27" t="s">
        <v>41</v>
      </c>
      <c r="G291" s="27">
        <v>645600</v>
      </c>
      <c r="H291" s="81">
        <v>45958</v>
      </c>
      <c r="I291" s="27">
        <v>6231096</v>
      </c>
      <c r="J291" s="28" t="s">
        <v>2741</v>
      </c>
      <c r="K291" s="81">
        <v>45870</v>
      </c>
      <c r="L291" s="81">
        <v>46234</v>
      </c>
      <c r="M291" s="28" t="s">
        <v>2742</v>
      </c>
      <c r="N291" s="400">
        <v>342360</v>
      </c>
      <c r="O291" s="29">
        <v>19094</v>
      </c>
      <c r="P291" s="30" t="s">
        <v>2565</v>
      </c>
      <c r="Q291" s="31">
        <v>45931</v>
      </c>
      <c r="R291" s="32">
        <v>46356</v>
      </c>
      <c r="S291" s="20" t="s">
        <v>180</v>
      </c>
      <c r="T291" s="33" t="s">
        <v>2746</v>
      </c>
      <c r="U291" s="16">
        <v>45971</v>
      </c>
      <c r="V291" s="17">
        <v>1564115</v>
      </c>
      <c r="W291" s="18">
        <v>46010</v>
      </c>
      <c r="X291" s="19">
        <v>19094</v>
      </c>
      <c r="Y291" s="20" t="s">
        <v>56</v>
      </c>
      <c r="Z291" s="20" t="s">
        <v>899</v>
      </c>
      <c r="AA291" s="22"/>
      <c r="AB291" s="23">
        <v>45955</v>
      </c>
      <c r="AC291" s="27" t="s">
        <v>2744</v>
      </c>
      <c r="AD291" s="80"/>
      <c r="AE291" s="24"/>
      <c r="AF291" s="81"/>
      <c r="AG291" s="142"/>
    </row>
    <row r="292" spans="1:33" s="34" customFormat="1" ht="27" customHeight="1">
      <c r="A292" s="15">
        <v>289</v>
      </c>
      <c r="B292" s="81">
        <v>45954</v>
      </c>
      <c r="C292" s="15" t="s">
        <v>38</v>
      </c>
      <c r="D292" s="15" t="s">
        <v>2747</v>
      </c>
      <c r="E292" s="26" t="s">
        <v>40</v>
      </c>
      <c r="F292" s="27" t="s">
        <v>41</v>
      </c>
      <c r="G292" s="27">
        <v>645600</v>
      </c>
      <c r="H292" s="81">
        <v>45958</v>
      </c>
      <c r="I292" s="27">
        <v>6231098</v>
      </c>
      <c r="J292" s="28" t="s">
        <v>2748</v>
      </c>
      <c r="K292" s="81">
        <v>45954</v>
      </c>
      <c r="L292" s="81">
        <v>46045</v>
      </c>
      <c r="M292" s="28" t="s">
        <v>2749</v>
      </c>
      <c r="N292" s="400">
        <v>87500</v>
      </c>
      <c r="O292" s="29">
        <v>5361.81</v>
      </c>
      <c r="P292" s="30">
        <v>679.57</v>
      </c>
      <c r="Q292" s="31">
        <v>46023</v>
      </c>
      <c r="R292" s="32">
        <v>46387</v>
      </c>
      <c r="S292" s="20" t="s">
        <v>784</v>
      </c>
      <c r="T292" s="33" t="s">
        <v>2750</v>
      </c>
      <c r="U292" s="16">
        <v>45966</v>
      </c>
      <c r="V292" s="17">
        <v>1563320</v>
      </c>
      <c r="W292" s="18"/>
      <c r="X292" s="19">
        <v>5635.71</v>
      </c>
      <c r="Y292" s="20" t="s">
        <v>56</v>
      </c>
      <c r="Z292" s="20" t="s">
        <v>1546</v>
      </c>
      <c r="AA292" s="22"/>
      <c r="AB292" s="23">
        <v>45955</v>
      </c>
      <c r="AC292" s="27" t="s">
        <v>2751</v>
      </c>
      <c r="AD292" s="80"/>
      <c r="AE292" s="24"/>
      <c r="AF292" s="81"/>
      <c r="AG292" s="142"/>
    </row>
    <row r="293" spans="1:33" s="34" customFormat="1" ht="27" customHeight="1">
      <c r="A293" s="15">
        <v>290</v>
      </c>
      <c r="B293" s="81">
        <v>45958</v>
      </c>
      <c r="C293" s="15" t="s">
        <v>38</v>
      </c>
      <c r="D293" s="15" t="s">
        <v>2752</v>
      </c>
      <c r="E293" s="26" t="s">
        <v>40</v>
      </c>
      <c r="F293" s="27" t="s">
        <v>41</v>
      </c>
      <c r="G293" s="27">
        <v>645600</v>
      </c>
      <c r="H293" s="81">
        <v>45960</v>
      </c>
      <c r="I293" s="27">
        <v>6231599</v>
      </c>
      <c r="J293" s="28" t="s">
        <v>2323</v>
      </c>
      <c r="K293" s="81">
        <v>45899</v>
      </c>
      <c r="L293" s="81">
        <v>46263</v>
      </c>
      <c r="M293" s="28" t="s">
        <v>2753</v>
      </c>
      <c r="N293" s="402">
        <v>231600</v>
      </c>
      <c r="O293" s="29">
        <v>46800</v>
      </c>
      <c r="P293" s="30" t="s">
        <v>2565</v>
      </c>
      <c r="Q293" s="31">
        <v>45870</v>
      </c>
      <c r="R293" s="32">
        <v>46234</v>
      </c>
      <c r="S293" s="20" t="s">
        <v>180</v>
      </c>
      <c r="T293" s="33" t="s">
        <v>2754</v>
      </c>
      <c r="U293" s="16">
        <v>45985</v>
      </c>
      <c r="V293" s="17" t="s">
        <v>2755</v>
      </c>
      <c r="W293" s="18">
        <v>46052</v>
      </c>
      <c r="X293" s="19">
        <v>46800</v>
      </c>
      <c r="Y293" s="20" t="s">
        <v>47</v>
      </c>
      <c r="Z293" s="20" t="s">
        <v>899</v>
      </c>
      <c r="AA293" s="22"/>
      <c r="AB293" s="23">
        <v>45955</v>
      </c>
      <c r="AC293" s="27" t="s">
        <v>2756</v>
      </c>
      <c r="AD293" s="80"/>
      <c r="AE293" s="24"/>
      <c r="AF293" s="81"/>
      <c r="AG293" s="142"/>
    </row>
    <row r="294" spans="1:33" s="34" customFormat="1" ht="27" customHeight="1">
      <c r="A294" s="15">
        <v>291</v>
      </c>
      <c r="B294" s="81">
        <v>45958</v>
      </c>
      <c r="C294" s="15" t="s">
        <v>38</v>
      </c>
      <c r="D294" s="15" t="s">
        <v>2757</v>
      </c>
      <c r="E294" s="26" t="s">
        <v>40</v>
      </c>
      <c r="F294" s="27" t="s">
        <v>41</v>
      </c>
      <c r="G294" s="27">
        <v>645600</v>
      </c>
      <c r="H294" s="81">
        <v>45960</v>
      </c>
      <c r="I294" s="27">
        <v>6231600</v>
      </c>
      <c r="J294" s="28" t="s">
        <v>2323</v>
      </c>
      <c r="K294" s="81">
        <v>45899</v>
      </c>
      <c r="L294" s="81">
        <v>46263</v>
      </c>
      <c r="M294" s="28" t="s">
        <v>2753</v>
      </c>
      <c r="N294" s="402">
        <v>231600</v>
      </c>
      <c r="O294" s="29">
        <v>100000</v>
      </c>
      <c r="P294" s="30" t="s">
        <v>2565</v>
      </c>
      <c r="Q294" s="31">
        <v>45870</v>
      </c>
      <c r="R294" s="32">
        <v>46234</v>
      </c>
      <c r="S294" s="20" t="s">
        <v>180</v>
      </c>
      <c r="T294" s="33" t="s">
        <v>2758</v>
      </c>
      <c r="U294" s="16">
        <v>45995</v>
      </c>
      <c r="V294" s="17" t="s">
        <v>2759</v>
      </c>
      <c r="W294" s="18">
        <v>46042</v>
      </c>
      <c r="X294" s="19">
        <v>100000</v>
      </c>
      <c r="Y294" s="20" t="s">
        <v>47</v>
      </c>
      <c r="Z294" s="20" t="s">
        <v>899</v>
      </c>
      <c r="AA294" s="22"/>
      <c r="AB294" s="23">
        <v>45955</v>
      </c>
      <c r="AC294" s="27" t="s">
        <v>2756</v>
      </c>
      <c r="AD294" s="80"/>
      <c r="AE294" s="24"/>
      <c r="AF294" s="81"/>
      <c r="AG294" s="142"/>
    </row>
    <row r="295" spans="1:33" s="34" customFormat="1" ht="27" customHeight="1">
      <c r="A295" s="15">
        <v>292</v>
      </c>
      <c r="B295" s="81">
        <v>45965</v>
      </c>
      <c r="C295" s="15" t="s">
        <v>38</v>
      </c>
      <c r="D295" s="15" t="s">
        <v>2760</v>
      </c>
      <c r="E295" s="26" t="s">
        <v>40</v>
      </c>
      <c r="F295" s="27" t="s">
        <v>41</v>
      </c>
      <c r="G295" s="27">
        <v>645600</v>
      </c>
      <c r="H295" s="81">
        <v>45965</v>
      </c>
      <c r="I295" s="27">
        <v>6233383</v>
      </c>
      <c r="J295" s="28" t="s">
        <v>2761</v>
      </c>
      <c r="K295" s="81">
        <v>46013</v>
      </c>
      <c r="L295" s="81">
        <v>46377</v>
      </c>
      <c r="M295" s="28" t="s">
        <v>2762</v>
      </c>
      <c r="N295" s="400">
        <v>60060</v>
      </c>
      <c r="O295" s="29">
        <v>4555.92</v>
      </c>
      <c r="P295" s="30">
        <v>577.42999999999995</v>
      </c>
      <c r="Q295" s="31">
        <v>45992</v>
      </c>
      <c r="R295" s="32">
        <v>46356</v>
      </c>
      <c r="S295" s="20" t="s">
        <v>784</v>
      </c>
      <c r="T295" s="33" t="s">
        <v>2763</v>
      </c>
      <c r="U295" s="16">
        <v>45971</v>
      </c>
      <c r="V295" s="17">
        <v>1564058</v>
      </c>
      <c r="W295" s="18">
        <v>46022</v>
      </c>
      <c r="X295" s="19">
        <v>4486.34</v>
      </c>
      <c r="Y295" s="20" t="s">
        <v>541</v>
      </c>
      <c r="Z295" s="20" t="s">
        <v>1546</v>
      </c>
      <c r="AA295" s="22"/>
      <c r="AB295" s="23">
        <v>45986</v>
      </c>
      <c r="AC295" s="27" t="s">
        <v>2764</v>
      </c>
      <c r="AD295" s="80" t="s">
        <v>1803</v>
      </c>
      <c r="AE295" s="24" t="s">
        <v>2765</v>
      </c>
      <c r="AF295" s="81"/>
      <c r="AG295" s="142"/>
    </row>
    <row r="296" spans="1:33" s="34" customFormat="1" ht="27" customHeight="1">
      <c r="A296" s="15">
        <v>293</v>
      </c>
      <c r="B296" s="81">
        <v>45966</v>
      </c>
      <c r="C296" s="15" t="s">
        <v>38</v>
      </c>
      <c r="D296" s="15" t="s">
        <v>2766</v>
      </c>
      <c r="E296" s="26" t="s">
        <v>40</v>
      </c>
      <c r="F296" s="27" t="s">
        <v>41</v>
      </c>
      <c r="G296" s="27">
        <v>645600</v>
      </c>
      <c r="H296" s="81">
        <v>45966</v>
      </c>
      <c r="I296" s="27">
        <v>6233772</v>
      </c>
      <c r="J296" s="28" t="s">
        <v>2767</v>
      </c>
      <c r="K296" s="81">
        <v>45959</v>
      </c>
      <c r="L296" s="81">
        <v>46688</v>
      </c>
      <c r="M296" s="28" t="s">
        <v>2768</v>
      </c>
      <c r="N296" s="400">
        <v>64902</v>
      </c>
      <c r="O296" s="29">
        <v>5719.93</v>
      </c>
      <c r="P296" s="30">
        <v>724.96</v>
      </c>
      <c r="Q296" s="31">
        <v>45962</v>
      </c>
      <c r="R296" s="32">
        <v>46691</v>
      </c>
      <c r="S296" s="20" t="s">
        <v>784</v>
      </c>
      <c r="T296" s="33" t="s">
        <v>2769</v>
      </c>
      <c r="U296" s="16">
        <v>45968</v>
      </c>
      <c r="V296" s="17">
        <v>1563879</v>
      </c>
      <c r="W296" s="18">
        <v>46009</v>
      </c>
      <c r="X296" s="19">
        <v>5632.58</v>
      </c>
      <c r="Y296" s="20" t="s">
        <v>1813</v>
      </c>
      <c r="Z296" s="20" t="s">
        <v>1546</v>
      </c>
      <c r="AA296" s="22"/>
      <c r="AB296" s="23">
        <v>45986</v>
      </c>
      <c r="AC296" s="27" t="s">
        <v>2770</v>
      </c>
      <c r="AD296" s="80" t="s">
        <v>1803</v>
      </c>
      <c r="AE296" s="24"/>
      <c r="AF296" s="81"/>
      <c r="AG296" s="142"/>
    </row>
    <row r="297" spans="1:33" s="34" customFormat="1" ht="27" customHeight="1">
      <c r="A297" s="15">
        <v>294</v>
      </c>
      <c r="B297" s="81">
        <v>45965</v>
      </c>
      <c r="C297" s="15" t="s">
        <v>95</v>
      </c>
      <c r="D297" s="15" t="s">
        <v>2771</v>
      </c>
      <c r="E297" s="26" t="s">
        <v>97</v>
      </c>
      <c r="F297" s="27">
        <v>244825</v>
      </c>
      <c r="G297" s="27">
        <v>645602</v>
      </c>
      <c r="H297" s="81">
        <v>45968</v>
      </c>
      <c r="I297" s="27">
        <v>6234267</v>
      </c>
      <c r="J297" s="28" t="s">
        <v>2772</v>
      </c>
      <c r="K297" s="81">
        <v>45992</v>
      </c>
      <c r="L297" s="81">
        <v>45991</v>
      </c>
      <c r="M297" s="198" t="s">
        <v>2773</v>
      </c>
      <c r="N297" s="400">
        <v>199090</v>
      </c>
      <c r="O297" s="29">
        <v>4300</v>
      </c>
      <c r="P297" s="30"/>
      <c r="Q297" s="31">
        <v>45992</v>
      </c>
      <c r="R297" s="32">
        <v>45991</v>
      </c>
      <c r="S297" s="20" t="s">
        <v>2774</v>
      </c>
      <c r="T297" s="33" t="s">
        <v>2775</v>
      </c>
      <c r="U297" s="16">
        <v>45974</v>
      </c>
      <c r="V297" s="17">
        <v>1564565</v>
      </c>
      <c r="W297" s="18"/>
      <c r="X297" s="19">
        <v>4300</v>
      </c>
      <c r="Y297" s="20" t="s">
        <v>1462</v>
      </c>
      <c r="Z297" s="20" t="s">
        <v>106</v>
      </c>
      <c r="AA297" s="22"/>
      <c r="AB297" s="23">
        <v>45986</v>
      </c>
      <c r="AC297" s="27" t="s">
        <v>2776</v>
      </c>
      <c r="AD297" s="80" t="s">
        <v>1803</v>
      </c>
      <c r="AE297" s="24"/>
      <c r="AF297" s="81"/>
      <c r="AG297" s="142"/>
    </row>
    <row r="298" spans="1:33" s="34" customFormat="1" ht="27" customHeight="1">
      <c r="A298" s="15">
        <v>295</v>
      </c>
      <c r="B298" s="81">
        <v>45971</v>
      </c>
      <c r="C298" s="15" t="s">
        <v>38</v>
      </c>
      <c r="D298" s="15" t="s">
        <v>2777</v>
      </c>
      <c r="E298" s="26" t="s">
        <v>40</v>
      </c>
      <c r="F298" s="27" t="s">
        <v>41</v>
      </c>
      <c r="G298" s="27">
        <v>645600</v>
      </c>
      <c r="H298" s="81">
        <v>45971</v>
      </c>
      <c r="I298" s="27">
        <v>6235166</v>
      </c>
      <c r="J298" s="28" t="s">
        <v>437</v>
      </c>
      <c r="K298" s="81">
        <v>45931</v>
      </c>
      <c r="L298" s="81">
        <v>46295</v>
      </c>
      <c r="M298" s="28" t="s">
        <v>2778</v>
      </c>
      <c r="N298" s="400">
        <v>899530</v>
      </c>
      <c r="O298" s="29">
        <v>721811.84</v>
      </c>
      <c r="P298" s="30">
        <v>91484.39</v>
      </c>
      <c r="Q298" s="31">
        <v>45931</v>
      </c>
      <c r="R298" s="32">
        <v>46295</v>
      </c>
      <c r="S298" s="20" t="s">
        <v>538</v>
      </c>
      <c r="T298" s="33" t="s">
        <v>2779</v>
      </c>
      <c r="U298" s="16">
        <v>45972</v>
      </c>
      <c r="V298" s="17">
        <v>1564221</v>
      </c>
      <c r="W298" s="18">
        <v>46062</v>
      </c>
      <c r="X298" s="19">
        <v>710787.97</v>
      </c>
      <c r="Y298" s="20" t="s">
        <v>541</v>
      </c>
      <c r="Z298" s="20" t="s">
        <v>1546</v>
      </c>
      <c r="AA298" s="22"/>
      <c r="AB298" s="23">
        <v>45986</v>
      </c>
      <c r="AC298" s="27" t="s">
        <v>2780</v>
      </c>
      <c r="AD298" s="80" t="s">
        <v>1803</v>
      </c>
      <c r="AE298" s="24" t="s">
        <v>2781</v>
      </c>
      <c r="AF298" s="81"/>
      <c r="AG298" s="142"/>
    </row>
    <row r="299" spans="1:33" s="34" customFormat="1" ht="27" customHeight="1">
      <c r="A299" s="15">
        <v>296</v>
      </c>
      <c r="B299" s="81">
        <v>45971</v>
      </c>
      <c r="C299" s="15" t="s">
        <v>38</v>
      </c>
      <c r="D299" s="15" t="s">
        <v>2782</v>
      </c>
      <c r="E299" s="26" t="s">
        <v>40</v>
      </c>
      <c r="F299" s="27" t="s">
        <v>41</v>
      </c>
      <c r="G299" s="27">
        <v>645600</v>
      </c>
      <c r="H299" s="81">
        <v>45971</v>
      </c>
      <c r="I299" s="27">
        <v>6235169</v>
      </c>
      <c r="J299" s="28" t="s">
        <v>437</v>
      </c>
      <c r="K299" s="81">
        <v>45931</v>
      </c>
      <c r="L299" s="81">
        <v>46295</v>
      </c>
      <c r="M299" s="28" t="s">
        <v>2778</v>
      </c>
      <c r="N299" s="400">
        <v>899530</v>
      </c>
      <c r="O299" s="29">
        <v>123384.14</v>
      </c>
      <c r="P299" s="30">
        <v>15638.04</v>
      </c>
      <c r="Q299" s="31" t="s">
        <v>2565</v>
      </c>
      <c r="R299" s="32">
        <v>46295</v>
      </c>
      <c r="S299" s="20" t="s">
        <v>538</v>
      </c>
      <c r="T299" s="33" t="s">
        <v>2783</v>
      </c>
      <c r="U299" s="16">
        <v>45971</v>
      </c>
      <c r="V299" s="17">
        <v>1564109</v>
      </c>
      <c r="W299" s="18">
        <v>46062</v>
      </c>
      <c r="X299" s="19">
        <v>121499.76</v>
      </c>
      <c r="Y299" s="20" t="s">
        <v>541</v>
      </c>
      <c r="Z299" s="20" t="s">
        <v>1546</v>
      </c>
      <c r="AA299" s="22"/>
      <c r="AB299" s="23">
        <v>45986</v>
      </c>
      <c r="AC299" s="27" t="s">
        <v>2780</v>
      </c>
      <c r="AD299" s="80" t="s">
        <v>1803</v>
      </c>
      <c r="AE299" s="24" t="s">
        <v>2781</v>
      </c>
      <c r="AF299" s="81"/>
      <c r="AG299" s="142"/>
    </row>
    <row r="300" spans="1:33" s="34" customFormat="1" ht="27" customHeight="1">
      <c r="A300" s="15">
        <v>297</v>
      </c>
      <c r="B300" s="81">
        <v>45968</v>
      </c>
      <c r="C300" s="15" t="s">
        <v>95</v>
      </c>
      <c r="D300" s="15" t="s">
        <v>2784</v>
      </c>
      <c r="E300" s="26" t="s">
        <v>97</v>
      </c>
      <c r="F300" s="27">
        <v>244746</v>
      </c>
      <c r="G300" s="27">
        <v>645602</v>
      </c>
      <c r="H300" s="81">
        <v>45971</v>
      </c>
      <c r="I300" s="27">
        <v>6235268</v>
      </c>
      <c r="J300" s="28" t="s">
        <v>2785</v>
      </c>
      <c r="K300" s="81">
        <v>45761</v>
      </c>
      <c r="L300" s="81">
        <v>46125</v>
      </c>
      <c r="M300" s="28" t="s">
        <v>2786</v>
      </c>
      <c r="N300" s="400">
        <v>61273.25</v>
      </c>
      <c r="O300" s="29">
        <v>5250</v>
      </c>
      <c r="P300" s="30"/>
      <c r="Q300" s="31">
        <v>45761</v>
      </c>
      <c r="R300" s="32">
        <v>46125</v>
      </c>
      <c r="S300" s="20" t="s">
        <v>2787</v>
      </c>
      <c r="T300" s="33" t="s">
        <v>2788</v>
      </c>
      <c r="U300" s="276">
        <v>45981</v>
      </c>
      <c r="V300" s="275">
        <v>1565818</v>
      </c>
      <c r="W300" s="18"/>
      <c r="X300" s="19">
        <v>5250</v>
      </c>
      <c r="Y300" s="20" t="s">
        <v>245</v>
      </c>
      <c r="Z300" s="20" t="s">
        <v>106</v>
      </c>
      <c r="AA300" s="22"/>
      <c r="AB300" s="23">
        <v>45986</v>
      </c>
      <c r="AC300" s="27" t="s">
        <v>2789</v>
      </c>
      <c r="AD300" s="80"/>
      <c r="AE300" s="24"/>
      <c r="AF300" s="81"/>
      <c r="AG300" s="142"/>
    </row>
    <row r="301" spans="1:33" s="34" customFormat="1" ht="27" customHeight="1">
      <c r="A301" s="15">
        <v>298</v>
      </c>
      <c r="B301" s="81">
        <v>45972</v>
      </c>
      <c r="C301" s="15" t="s">
        <v>38</v>
      </c>
      <c r="D301" s="168" t="s">
        <v>2790</v>
      </c>
      <c r="E301" s="26" t="s">
        <v>40</v>
      </c>
      <c r="F301" s="27" t="s">
        <v>41</v>
      </c>
      <c r="G301" s="27">
        <v>645600</v>
      </c>
      <c r="H301" s="81">
        <v>45972</v>
      </c>
      <c r="I301" s="27">
        <v>6235560</v>
      </c>
      <c r="J301" s="28" t="s">
        <v>2791</v>
      </c>
      <c r="K301" s="81">
        <v>46082</v>
      </c>
      <c r="L301" s="81">
        <v>46446</v>
      </c>
      <c r="M301" s="28" t="s">
        <v>2792</v>
      </c>
      <c r="N301" s="402">
        <v>120235</v>
      </c>
      <c r="O301" s="29">
        <v>48344</v>
      </c>
      <c r="P301" s="30">
        <v>6127.25</v>
      </c>
      <c r="Q301" s="31">
        <v>45962</v>
      </c>
      <c r="R301" s="32">
        <v>46446</v>
      </c>
      <c r="S301" s="20" t="s">
        <v>538</v>
      </c>
      <c r="T301" s="33" t="s">
        <v>2793</v>
      </c>
      <c r="U301" s="16">
        <v>45995</v>
      </c>
      <c r="V301" s="17" t="s">
        <v>2794</v>
      </c>
      <c r="W301" s="18"/>
      <c r="X301" s="19">
        <v>47605.67</v>
      </c>
      <c r="Y301" s="20" t="s">
        <v>541</v>
      </c>
      <c r="Z301" s="20" t="s">
        <v>1546</v>
      </c>
      <c r="AA301" s="22"/>
      <c r="AB301" s="23">
        <v>45986</v>
      </c>
      <c r="AC301" s="27" t="s">
        <v>2795</v>
      </c>
      <c r="AD301" s="80" t="s">
        <v>1803</v>
      </c>
      <c r="AE301" s="24" t="s">
        <v>2796</v>
      </c>
      <c r="AF301" s="81"/>
      <c r="AG301" s="142"/>
    </row>
    <row r="302" spans="1:33" s="34" customFormat="1" ht="27" customHeight="1">
      <c r="A302" s="15">
        <v>299</v>
      </c>
      <c r="B302" s="81">
        <v>45972</v>
      </c>
      <c r="C302" s="15" t="s">
        <v>38</v>
      </c>
      <c r="D302" s="15" t="s">
        <v>2797</v>
      </c>
      <c r="E302" s="26" t="s">
        <v>70</v>
      </c>
      <c r="F302" s="27" t="s">
        <v>41</v>
      </c>
      <c r="G302" s="27">
        <v>645600</v>
      </c>
      <c r="H302" s="81">
        <v>45972</v>
      </c>
      <c r="I302" s="27">
        <v>6235724</v>
      </c>
      <c r="J302" s="28" t="s">
        <v>2798</v>
      </c>
      <c r="K302" s="81">
        <v>45988</v>
      </c>
      <c r="L302" s="81">
        <v>46352</v>
      </c>
      <c r="M302" s="28" t="s">
        <v>2799</v>
      </c>
      <c r="N302" s="400">
        <v>31650</v>
      </c>
      <c r="O302" s="29">
        <v>2250.0700000000002</v>
      </c>
      <c r="P302" s="30">
        <v>285.18</v>
      </c>
      <c r="Q302" s="31">
        <v>46038</v>
      </c>
      <c r="R302" s="32">
        <v>46402</v>
      </c>
      <c r="S302" s="20" t="s">
        <v>1800</v>
      </c>
      <c r="T302" s="33" t="s">
        <v>2800</v>
      </c>
      <c r="U302" s="16">
        <v>45979</v>
      </c>
      <c r="V302" s="17" t="s">
        <v>2801</v>
      </c>
      <c r="W302" s="18">
        <v>46028</v>
      </c>
      <c r="X302" s="19">
        <v>2215.71</v>
      </c>
      <c r="Y302" s="20" t="s">
        <v>89</v>
      </c>
      <c r="Z302" s="20" t="s">
        <v>1554</v>
      </c>
      <c r="AA302" s="22"/>
      <c r="AB302" s="23">
        <v>45986</v>
      </c>
      <c r="AC302" s="27" t="s">
        <v>2802</v>
      </c>
      <c r="AD302" s="80"/>
      <c r="AE302" s="24"/>
      <c r="AF302" s="81"/>
      <c r="AG302" s="142"/>
    </row>
    <row r="303" spans="1:33" s="34" customFormat="1" ht="27" customHeight="1">
      <c r="A303" s="15">
        <v>300</v>
      </c>
      <c r="B303" s="81">
        <v>45973</v>
      </c>
      <c r="C303" s="15" t="s">
        <v>38</v>
      </c>
      <c r="D303" s="15" t="s">
        <v>2803</v>
      </c>
      <c r="E303" s="26" t="s">
        <v>70</v>
      </c>
      <c r="F303" s="27" t="s">
        <v>41</v>
      </c>
      <c r="G303" s="27">
        <v>645600</v>
      </c>
      <c r="H303" s="81">
        <v>45974</v>
      </c>
      <c r="I303" s="27">
        <v>6236446</v>
      </c>
      <c r="J303" s="28" t="s">
        <v>2804</v>
      </c>
      <c r="K303" s="81">
        <v>45985</v>
      </c>
      <c r="L303" s="81">
        <v>46349</v>
      </c>
      <c r="M303" s="28" t="s">
        <v>2805</v>
      </c>
      <c r="N303" s="400">
        <v>162200</v>
      </c>
      <c r="O303" s="29">
        <v>18776</v>
      </c>
      <c r="P303" s="30" t="s">
        <v>2565</v>
      </c>
      <c r="Q303" s="31">
        <v>46023</v>
      </c>
      <c r="R303" s="32">
        <v>46387</v>
      </c>
      <c r="S303" s="20" t="s">
        <v>180</v>
      </c>
      <c r="T303" s="33" t="s">
        <v>2806</v>
      </c>
      <c r="U303" s="16">
        <v>45995</v>
      </c>
      <c r="V303" s="17" t="s">
        <v>2807</v>
      </c>
      <c r="W303" s="18"/>
      <c r="X303" s="19">
        <v>18776</v>
      </c>
      <c r="Y303" s="20" t="s">
        <v>56</v>
      </c>
      <c r="Z303" s="20" t="s">
        <v>899</v>
      </c>
      <c r="AA303" s="22"/>
      <c r="AB303" s="23">
        <v>45986</v>
      </c>
      <c r="AC303" s="27" t="s">
        <v>2808</v>
      </c>
      <c r="AD303" s="80"/>
      <c r="AE303" s="24"/>
      <c r="AF303" s="81"/>
      <c r="AG303" s="142"/>
    </row>
    <row r="304" spans="1:33" s="34" customFormat="1" ht="27" customHeight="1">
      <c r="A304" s="15">
        <v>301</v>
      </c>
      <c r="B304" s="81">
        <v>45974</v>
      </c>
      <c r="C304" s="15" t="s">
        <v>38</v>
      </c>
      <c r="D304" s="15" t="s">
        <v>2809</v>
      </c>
      <c r="E304" s="26" t="s">
        <v>59</v>
      </c>
      <c r="F304" s="27" t="s">
        <v>277</v>
      </c>
      <c r="G304" s="27">
        <v>645600</v>
      </c>
      <c r="H304" s="81">
        <v>45974</v>
      </c>
      <c r="I304" s="27">
        <v>6236470</v>
      </c>
      <c r="J304" s="28" t="s">
        <v>2810</v>
      </c>
      <c r="K304" s="81">
        <v>45986</v>
      </c>
      <c r="L304" s="81">
        <v>46350</v>
      </c>
      <c r="M304" s="28" t="s">
        <v>2811</v>
      </c>
      <c r="N304" s="400">
        <v>28200</v>
      </c>
      <c r="O304" s="29">
        <v>22540</v>
      </c>
      <c r="P304" s="30" t="s">
        <v>2565</v>
      </c>
      <c r="Q304" s="31">
        <v>45986</v>
      </c>
      <c r="R304" s="32">
        <v>46350</v>
      </c>
      <c r="S304" s="20" t="s">
        <v>2295</v>
      </c>
      <c r="T304" s="33" t="s">
        <v>2812</v>
      </c>
      <c r="U304" s="16">
        <v>45979</v>
      </c>
      <c r="V304" s="17" t="s">
        <v>2813</v>
      </c>
      <c r="W304" s="18">
        <v>46021</v>
      </c>
      <c r="X304" s="19">
        <v>22540</v>
      </c>
      <c r="Y304" s="20" t="s">
        <v>47</v>
      </c>
      <c r="Z304" s="20" t="s">
        <v>1703</v>
      </c>
      <c r="AA304" s="22"/>
      <c r="AB304" s="23">
        <v>45986</v>
      </c>
      <c r="AC304" s="27" t="s">
        <v>2814</v>
      </c>
      <c r="AD304" s="80"/>
      <c r="AE304" s="24"/>
      <c r="AF304" s="81"/>
      <c r="AG304" s="142"/>
    </row>
    <row r="305" spans="1:33" s="34" customFormat="1" ht="27" customHeight="1">
      <c r="A305" s="15">
        <v>302</v>
      </c>
      <c r="B305" s="81">
        <v>45974</v>
      </c>
      <c r="C305" s="15" t="s">
        <v>38</v>
      </c>
      <c r="D305" s="15" t="s">
        <v>2815</v>
      </c>
      <c r="E305" s="26" t="s">
        <v>59</v>
      </c>
      <c r="F305" s="27" t="s">
        <v>41</v>
      </c>
      <c r="G305" s="27">
        <v>645600</v>
      </c>
      <c r="H305" s="81">
        <v>45974</v>
      </c>
      <c r="I305" s="27">
        <v>6236477</v>
      </c>
      <c r="J305" s="28" t="s">
        <v>1700</v>
      </c>
      <c r="K305" s="81">
        <v>46054</v>
      </c>
      <c r="L305" s="81">
        <v>46418</v>
      </c>
      <c r="M305" s="28" t="s">
        <v>2816</v>
      </c>
      <c r="N305" s="400">
        <v>34697</v>
      </c>
      <c r="O305" s="29">
        <v>14058</v>
      </c>
      <c r="P305" s="30" t="s">
        <v>2565</v>
      </c>
      <c r="Q305" s="31">
        <v>46054</v>
      </c>
      <c r="R305" s="32">
        <v>46418</v>
      </c>
      <c r="S305" s="20" t="s">
        <v>399</v>
      </c>
      <c r="T305" s="33" t="s">
        <v>2817</v>
      </c>
      <c r="U305" s="16">
        <v>45979</v>
      </c>
      <c r="V305" s="17" t="s">
        <v>2818</v>
      </c>
      <c r="W305" s="18"/>
      <c r="X305" s="19">
        <v>14058</v>
      </c>
      <c r="Y305" s="20" t="s">
        <v>299</v>
      </c>
      <c r="Z305" s="20" t="s">
        <v>1703</v>
      </c>
      <c r="AA305" s="22"/>
      <c r="AB305" s="23">
        <v>45986</v>
      </c>
      <c r="AC305" s="27" t="s">
        <v>2819</v>
      </c>
      <c r="AD305" s="80"/>
      <c r="AE305" s="24"/>
      <c r="AF305" s="81"/>
      <c r="AG305" s="142"/>
    </row>
    <row r="306" spans="1:33" s="34" customFormat="1" ht="27" customHeight="1">
      <c r="A306" s="15">
        <v>303</v>
      </c>
      <c r="B306" s="81">
        <v>45978</v>
      </c>
      <c r="C306" s="15" t="s">
        <v>38</v>
      </c>
      <c r="D306" s="15" t="s">
        <v>2820</v>
      </c>
      <c r="E306" s="26" t="s">
        <v>70</v>
      </c>
      <c r="F306" s="27" t="s">
        <v>277</v>
      </c>
      <c r="G306" s="27">
        <v>645600</v>
      </c>
      <c r="H306" s="81">
        <v>45978</v>
      </c>
      <c r="I306" s="27">
        <v>6237417</v>
      </c>
      <c r="J306" s="28" t="s">
        <v>2821</v>
      </c>
      <c r="K306" s="81">
        <v>45992</v>
      </c>
      <c r="L306" s="81">
        <v>46721</v>
      </c>
      <c r="M306" s="28" t="s">
        <v>2822</v>
      </c>
      <c r="N306" s="400">
        <v>338408</v>
      </c>
      <c r="O306" s="29">
        <v>281664</v>
      </c>
      <c r="P306" s="30" t="s">
        <v>2565</v>
      </c>
      <c r="Q306" s="31">
        <v>45992</v>
      </c>
      <c r="R306" s="32">
        <v>46721</v>
      </c>
      <c r="S306" s="20" t="s">
        <v>2823</v>
      </c>
      <c r="T306" s="33" t="s">
        <v>2824</v>
      </c>
      <c r="U306" s="16">
        <v>46024</v>
      </c>
      <c r="V306" s="17" t="s">
        <v>2825</v>
      </c>
      <c r="W306" s="137" t="s">
        <v>2826</v>
      </c>
      <c r="X306" s="19">
        <v>281664</v>
      </c>
      <c r="Y306" s="20" t="s">
        <v>56</v>
      </c>
      <c r="Z306" s="20" t="s">
        <v>1554</v>
      </c>
      <c r="AA306" s="22"/>
      <c r="AB306" s="23">
        <v>45986</v>
      </c>
      <c r="AC306" s="27" t="s">
        <v>2827</v>
      </c>
      <c r="AD306" s="80"/>
      <c r="AE306" s="24" t="s">
        <v>2828</v>
      </c>
      <c r="AF306" s="81"/>
      <c r="AG306" s="142"/>
    </row>
    <row r="307" spans="1:33" s="34" customFormat="1" ht="27" customHeight="1">
      <c r="A307" s="15">
        <v>304</v>
      </c>
      <c r="B307" s="81">
        <v>45978</v>
      </c>
      <c r="C307" s="15" t="s">
        <v>38</v>
      </c>
      <c r="D307" s="15" t="s">
        <v>2829</v>
      </c>
      <c r="E307" s="26" t="s">
        <v>70</v>
      </c>
      <c r="F307" s="27" t="s">
        <v>41</v>
      </c>
      <c r="G307" s="27">
        <v>645600</v>
      </c>
      <c r="H307" s="81">
        <v>45978</v>
      </c>
      <c r="I307" s="27">
        <v>6237418</v>
      </c>
      <c r="J307" s="28" t="s">
        <v>2821</v>
      </c>
      <c r="K307" s="81">
        <v>45992</v>
      </c>
      <c r="L307" s="81">
        <v>46721</v>
      </c>
      <c r="M307" s="28" t="s">
        <v>2822</v>
      </c>
      <c r="N307" s="400">
        <v>338408</v>
      </c>
      <c r="O307" s="29">
        <v>25300</v>
      </c>
      <c r="P307" s="30" t="s">
        <v>2565</v>
      </c>
      <c r="Q307" s="31" t="s">
        <v>2231</v>
      </c>
      <c r="R307" s="32" t="s">
        <v>2565</v>
      </c>
      <c r="S307" s="20" t="s">
        <v>505</v>
      </c>
      <c r="T307" s="33" t="s">
        <v>2830</v>
      </c>
      <c r="U307" s="16">
        <v>46148</v>
      </c>
      <c r="V307" s="17" t="s">
        <v>2831</v>
      </c>
      <c r="W307" s="18"/>
      <c r="X307" s="19">
        <v>25300</v>
      </c>
      <c r="Y307" s="20" t="s">
        <v>56</v>
      </c>
      <c r="Z307" s="20" t="s">
        <v>1554</v>
      </c>
      <c r="AA307" s="22"/>
      <c r="AB307" s="23">
        <v>45986</v>
      </c>
      <c r="AC307" s="27" t="s">
        <v>2827</v>
      </c>
      <c r="AD307" s="80"/>
      <c r="AE307" s="24"/>
      <c r="AF307" s="81"/>
      <c r="AG307" s="142"/>
    </row>
    <row r="308" spans="1:33" s="34" customFormat="1" ht="27" customHeight="1">
      <c r="A308" s="15">
        <v>305</v>
      </c>
      <c r="B308" s="81">
        <v>45979</v>
      </c>
      <c r="C308" s="15" t="s">
        <v>2109</v>
      </c>
      <c r="D308" s="15" t="s">
        <v>2832</v>
      </c>
      <c r="E308" s="26" t="s">
        <v>40</v>
      </c>
      <c r="F308" s="27">
        <v>244741</v>
      </c>
      <c r="G308" s="27">
        <v>645600</v>
      </c>
      <c r="H308" s="81">
        <v>45980</v>
      </c>
      <c r="I308" s="27">
        <v>6238045</v>
      </c>
      <c r="J308" s="28" t="s">
        <v>1053</v>
      </c>
      <c r="K308" s="81">
        <v>46023</v>
      </c>
      <c r="L308" s="81">
        <v>46387</v>
      </c>
      <c r="M308" s="28" t="s">
        <v>2833</v>
      </c>
      <c r="N308" s="400"/>
      <c r="O308" s="29">
        <v>298442.09000000003</v>
      </c>
      <c r="P308" s="30">
        <v>37825.360000000001</v>
      </c>
      <c r="Q308" s="31">
        <v>46023</v>
      </c>
      <c r="R308" s="32">
        <v>46387</v>
      </c>
      <c r="S308" s="20" t="s">
        <v>784</v>
      </c>
      <c r="T308" s="33" t="s">
        <v>2834</v>
      </c>
      <c r="U308" s="16">
        <v>45985</v>
      </c>
      <c r="V308" s="17" t="s">
        <v>2835</v>
      </c>
      <c r="W308" s="18"/>
      <c r="X308" s="19">
        <v>298442.09000000003</v>
      </c>
      <c r="Y308" s="20" t="s">
        <v>66</v>
      </c>
      <c r="Z308" s="20" t="s">
        <v>1934</v>
      </c>
      <c r="AA308" s="22"/>
      <c r="AB308" s="23">
        <v>45925</v>
      </c>
      <c r="AC308" s="27" t="s">
        <v>2836</v>
      </c>
      <c r="AD308" s="80"/>
      <c r="AE308" s="24"/>
      <c r="AF308" s="81"/>
      <c r="AG308" s="142"/>
    </row>
    <row r="309" spans="1:33" s="34" customFormat="1" ht="27" customHeight="1">
      <c r="A309" s="15">
        <v>306</v>
      </c>
      <c r="B309" s="81">
        <v>45979</v>
      </c>
      <c r="C309" s="15" t="s">
        <v>2109</v>
      </c>
      <c r="D309" s="15" t="s">
        <v>2837</v>
      </c>
      <c r="E309" s="26" t="s">
        <v>40</v>
      </c>
      <c r="F309" s="27">
        <v>244741</v>
      </c>
      <c r="G309" s="27">
        <v>645600</v>
      </c>
      <c r="H309" s="81">
        <v>45980</v>
      </c>
      <c r="I309" s="27">
        <v>6238118</v>
      </c>
      <c r="J309" s="28" t="s">
        <v>1053</v>
      </c>
      <c r="K309" s="81">
        <v>46023</v>
      </c>
      <c r="L309" s="81">
        <v>46387</v>
      </c>
      <c r="M309" s="28" t="s">
        <v>2833</v>
      </c>
      <c r="N309" s="400"/>
      <c r="O309" s="29">
        <v>1189.81</v>
      </c>
      <c r="P309" s="30">
        <v>150.80000000000001</v>
      </c>
      <c r="Q309" s="31">
        <v>46052</v>
      </c>
      <c r="R309" s="32">
        <v>46416</v>
      </c>
      <c r="S309" s="20" t="s">
        <v>1807</v>
      </c>
      <c r="T309" s="33" t="s">
        <v>2838</v>
      </c>
      <c r="U309" s="16">
        <v>45995</v>
      </c>
      <c r="V309" s="17" t="s">
        <v>2839</v>
      </c>
      <c r="W309" s="18"/>
      <c r="X309" s="19">
        <v>1171.6400000000001</v>
      </c>
      <c r="Y309" s="20" t="s">
        <v>66</v>
      </c>
      <c r="Z309" s="20" t="s">
        <v>1703</v>
      </c>
      <c r="AA309" s="22"/>
      <c r="AB309" s="23">
        <v>45925</v>
      </c>
      <c r="AC309" s="27" t="s">
        <v>2836</v>
      </c>
      <c r="AD309" s="80"/>
      <c r="AE309" s="24" t="s">
        <v>2840</v>
      </c>
      <c r="AF309" s="81"/>
      <c r="AG309" s="142"/>
    </row>
    <row r="310" spans="1:33" s="34" customFormat="1" ht="27" customHeight="1">
      <c r="A310" s="15">
        <v>307</v>
      </c>
      <c r="B310" s="81">
        <v>45979</v>
      </c>
      <c r="C310" s="15" t="s">
        <v>2109</v>
      </c>
      <c r="D310" s="15" t="s">
        <v>2841</v>
      </c>
      <c r="E310" s="26" t="s">
        <v>40</v>
      </c>
      <c r="F310" s="27">
        <v>244741</v>
      </c>
      <c r="G310" s="27">
        <v>645600</v>
      </c>
      <c r="H310" s="81">
        <v>45980</v>
      </c>
      <c r="I310" s="27">
        <v>6238133</v>
      </c>
      <c r="J310" s="28" t="s">
        <v>2842</v>
      </c>
      <c r="K310" s="81">
        <v>45931</v>
      </c>
      <c r="L310" s="81">
        <v>47026</v>
      </c>
      <c r="M310" s="28" t="s">
        <v>2843</v>
      </c>
      <c r="N310" s="400"/>
      <c r="O310" s="29">
        <v>75460.91</v>
      </c>
      <c r="P310" s="30">
        <v>9564.1200000000008</v>
      </c>
      <c r="Q310" s="31">
        <v>45962</v>
      </c>
      <c r="R310" s="32">
        <v>47057</v>
      </c>
      <c r="S310" s="20" t="s">
        <v>784</v>
      </c>
      <c r="T310" s="33" t="s">
        <v>2844</v>
      </c>
      <c r="U310" s="16">
        <v>45988</v>
      </c>
      <c r="V310" s="17" t="s">
        <v>2845</v>
      </c>
      <c r="W310" s="18"/>
      <c r="X310" s="19">
        <v>74308.429999999993</v>
      </c>
      <c r="Y310" s="20" t="s">
        <v>336</v>
      </c>
      <c r="Z310" s="20" t="s">
        <v>1546</v>
      </c>
      <c r="AA310" s="22"/>
      <c r="AB310" s="23">
        <v>45925</v>
      </c>
      <c r="AC310" s="27" t="s">
        <v>2846</v>
      </c>
      <c r="AD310" s="80"/>
      <c r="AE310" s="24"/>
      <c r="AF310" s="81"/>
      <c r="AG310" s="142"/>
    </row>
    <row r="311" spans="1:33" s="34" customFormat="1" ht="27" customHeight="1">
      <c r="A311" s="15">
        <v>308</v>
      </c>
      <c r="B311" s="81">
        <v>45979</v>
      </c>
      <c r="C311" s="15" t="s">
        <v>95</v>
      </c>
      <c r="D311" s="15" t="s">
        <v>2847</v>
      </c>
      <c r="E311" s="26" t="s">
        <v>97</v>
      </c>
      <c r="F311" s="27">
        <v>244825</v>
      </c>
      <c r="G311" s="27">
        <v>645602</v>
      </c>
      <c r="H311" s="81">
        <v>45980</v>
      </c>
      <c r="I311" s="27">
        <v>6238363</v>
      </c>
      <c r="J311" s="28" t="s">
        <v>2848</v>
      </c>
      <c r="K311" s="81">
        <v>45913</v>
      </c>
      <c r="L311" s="81">
        <v>46277</v>
      </c>
      <c r="M311" s="28" t="s">
        <v>2849</v>
      </c>
      <c r="N311" s="400">
        <v>25875</v>
      </c>
      <c r="O311" s="29">
        <v>22500</v>
      </c>
      <c r="P311" s="30"/>
      <c r="Q311" s="31">
        <v>45913</v>
      </c>
      <c r="R311" s="32">
        <v>46277</v>
      </c>
      <c r="S311" s="20" t="s">
        <v>586</v>
      </c>
      <c r="T311" s="33" t="s">
        <v>2850</v>
      </c>
      <c r="U311" s="249">
        <v>45986</v>
      </c>
      <c r="V311" s="250">
        <v>1566673</v>
      </c>
      <c r="W311" s="18"/>
      <c r="X311" s="19">
        <v>22500</v>
      </c>
      <c r="Y311" s="20" t="s">
        <v>2320</v>
      </c>
      <c r="Z311" s="20" t="s">
        <v>106</v>
      </c>
      <c r="AA311" s="22"/>
      <c r="AB311" s="23">
        <v>45986</v>
      </c>
      <c r="AC311" s="27" t="s">
        <v>2851</v>
      </c>
      <c r="AD311" s="80"/>
      <c r="AE311" s="24"/>
      <c r="AF311" s="81"/>
      <c r="AG311" s="142"/>
    </row>
    <row r="312" spans="1:33" s="34" customFormat="1" ht="27" customHeight="1">
      <c r="A312" s="15">
        <v>309</v>
      </c>
      <c r="B312" s="81">
        <v>45980</v>
      </c>
      <c r="C312" s="15" t="s">
        <v>95</v>
      </c>
      <c r="D312" s="15" t="s">
        <v>2852</v>
      </c>
      <c r="E312" s="26" t="s">
        <v>97</v>
      </c>
      <c r="F312" s="27">
        <v>244825</v>
      </c>
      <c r="G312" s="27">
        <v>645602</v>
      </c>
      <c r="H312" s="81">
        <v>45980</v>
      </c>
      <c r="I312" s="27">
        <v>6238369</v>
      </c>
      <c r="J312" s="28" t="s">
        <v>490</v>
      </c>
      <c r="K312" s="81">
        <v>45931</v>
      </c>
      <c r="L312" s="81">
        <v>46295</v>
      </c>
      <c r="M312" s="28" t="s">
        <v>2853</v>
      </c>
      <c r="N312" s="400">
        <v>199090</v>
      </c>
      <c r="O312" s="29">
        <v>10160</v>
      </c>
      <c r="P312" s="30"/>
      <c r="Q312" s="31">
        <v>45931</v>
      </c>
      <c r="R312" s="32">
        <v>46295</v>
      </c>
      <c r="S312" s="20" t="s">
        <v>492</v>
      </c>
      <c r="T312" s="33" t="s">
        <v>2854</v>
      </c>
      <c r="U312" s="249">
        <v>45988</v>
      </c>
      <c r="V312" s="250">
        <v>1566965</v>
      </c>
      <c r="W312" s="18" t="s">
        <v>1788</v>
      </c>
      <c r="X312" s="19">
        <v>10160</v>
      </c>
      <c r="Y312" s="20" t="s">
        <v>115</v>
      </c>
      <c r="Z312" s="20" t="s">
        <v>106</v>
      </c>
      <c r="AA312" s="22"/>
      <c r="AB312" s="23">
        <v>45986</v>
      </c>
      <c r="AC312" s="27" t="s">
        <v>2855</v>
      </c>
      <c r="AD312" s="80"/>
      <c r="AE312" s="24" t="s">
        <v>2856</v>
      </c>
      <c r="AF312" s="81"/>
      <c r="AG312" s="142"/>
    </row>
    <row r="313" spans="1:33" s="34" customFormat="1" ht="27" customHeight="1">
      <c r="A313" s="15">
        <v>310</v>
      </c>
      <c r="B313" s="81">
        <v>45980</v>
      </c>
      <c r="C313" s="15" t="s">
        <v>95</v>
      </c>
      <c r="D313" s="15" t="s">
        <v>2857</v>
      </c>
      <c r="E313" s="26" t="s">
        <v>97</v>
      </c>
      <c r="F313" s="27">
        <v>244825</v>
      </c>
      <c r="G313" s="27">
        <v>645602</v>
      </c>
      <c r="H313" s="81">
        <v>45980</v>
      </c>
      <c r="I313" s="27">
        <v>6238395</v>
      </c>
      <c r="J313" s="28" t="s">
        <v>2858</v>
      </c>
      <c r="K313" s="81">
        <v>45901</v>
      </c>
      <c r="L313" s="81">
        <v>46265</v>
      </c>
      <c r="M313" s="28" t="s">
        <v>2859</v>
      </c>
      <c r="N313" s="400">
        <v>27000</v>
      </c>
      <c r="O313" s="29">
        <v>25000</v>
      </c>
      <c r="P313" s="30" t="s">
        <v>2565</v>
      </c>
      <c r="Q313" s="31">
        <v>45901</v>
      </c>
      <c r="R313" s="32">
        <v>46265</v>
      </c>
      <c r="S313" s="20" t="s">
        <v>586</v>
      </c>
      <c r="T313" s="33" t="s">
        <v>2860</v>
      </c>
      <c r="U313" s="249">
        <v>45986</v>
      </c>
      <c r="V313" s="250">
        <v>1566703</v>
      </c>
      <c r="W313" s="18" t="s">
        <v>2565</v>
      </c>
      <c r="X313" s="19">
        <v>25000</v>
      </c>
      <c r="Y313" s="20" t="s">
        <v>165</v>
      </c>
      <c r="Z313" s="20" t="s">
        <v>106</v>
      </c>
      <c r="AA313" s="22"/>
      <c r="AB313" s="23">
        <v>45986</v>
      </c>
      <c r="AC313" s="27" t="s">
        <v>2861</v>
      </c>
      <c r="AD313" s="80"/>
      <c r="AE313" s="24"/>
      <c r="AF313" s="81"/>
      <c r="AG313" s="142"/>
    </row>
    <row r="314" spans="1:33" s="34" customFormat="1" ht="27" customHeight="1">
      <c r="A314" s="15">
        <v>311</v>
      </c>
      <c r="B314" s="81">
        <v>45986</v>
      </c>
      <c r="C314" s="15" t="s">
        <v>95</v>
      </c>
      <c r="D314" s="15" t="s">
        <v>2862</v>
      </c>
      <c r="E314" s="26" t="s">
        <v>97</v>
      </c>
      <c r="F314" s="27">
        <v>244825</v>
      </c>
      <c r="G314" s="27">
        <v>645602</v>
      </c>
      <c r="H314" s="81">
        <v>45986</v>
      </c>
      <c r="I314" s="27">
        <v>6240102</v>
      </c>
      <c r="J314" s="28" t="s">
        <v>1538</v>
      </c>
      <c r="K314" s="81">
        <v>45979</v>
      </c>
      <c r="L314" s="81">
        <v>46343</v>
      </c>
      <c r="M314" s="28" t="s">
        <v>2863</v>
      </c>
      <c r="N314" s="400">
        <v>25000</v>
      </c>
      <c r="O314" s="29">
        <v>18000</v>
      </c>
      <c r="P314" s="30" t="s">
        <v>2565</v>
      </c>
      <c r="Q314" s="31">
        <v>45979</v>
      </c>
      <c r="R314" s="32">
        <v>46343</v>
      </c>
      <c r="S314" s="20" t="s">
        <v>586</v>
      </c>
      <c r="T314" s="33" t="s">
        <v>2864</v>
      </c>
      <c r="U314" s="249">
        <v>45993</v>
      </c>
      <c r="V314" s="250">
        <v>1567962</v>
      </c>
      <c r="W314" s="18" t="s">
        <v>2565</v>
      </c>
      <c r="X314" s="19">
        <v>18000</v>
      </c>
      <c r="Y314" s="20" t="s">
        <v>165</v>
      </c>
      <c r="Z314" s="20" t="s">
        <v>106</v>
      </c>
      <c r="AA314" s="22"/>
      <c r="AB314" s="23">
        <v>45986</v>
      </c>
      <c r="AC314" s="27" t="s">
        <v>2865</v>
      </c>
      <c r="AD314" s="80"/>
      <c r="AE314" s="24" t="s">
        <v>2866</v>
      </c>
      <c r="AF314" s="81"/>
      <c r="AG314" s="142"/>
    </row>
    <row r="315" spans="1:33" s="34" customFormat="1" ht="27" customHeight="1">
      <c r="A315" s="15">
        <v>312</v>
      </c>
      <c r="B315" s="81">
        <v>45979</v>
      </c>
      <c r="C315" s="15" t="s">
        <v>38</v>
      </c>
      <c r="D315" s="15" t="s">
        <v>2867</v>
      </c>
      <c r="E315" s="26" t="s">
        <v>70</v>
      </c>
      <c r="F315" s="27" t="s">
        <v>41</v>
      </c>
      <c r="G315" s="27">
        <v>645600</v>
      </c>
      <c r="H315" s="81">
        <v>45986</v>
      </c>
      <c r="I315" s="27">
        <v>6240136</v>
      </c>
      <c r="J315" s="28" t="s">
        <v>2868</v>
      </c>
      <c r="K315" s="81">
        <v>45904</v>
      </c>
      <c r="L315" s="81">
        <v>46268</v>
      </c>
      <c r="M315" s="28" t="s">
        <v>2869</v>
      </c>
      <c r="N315" s="400">
        <v>373800</v>
      </c>
      <c r="O315" s="29">
        <v>25927</v>
      </c>
      <c r="P315" s="30"/>
      <c r="Q315" s="31">
        <v>46057</v>
      </c>
      <c r="R315" s="32">
        <v>46421</v>
      </c>
      <c r="S315" s="20" t="s">
        <v>180</v>
      </c>
      <c r="T315" s="33" t="s">
        <v>2870</v>
      </c>
      <c r="U315" s="16">
        <v>45995</v>
      </c>
      <c r="V315" s="17" t="s">
        <v>2871</v>
      </c>
      <c r="W315" s="18">
        <v>46042</v>
      </c>
      <c r="X315" s="19">
        <v>25927</v>
      </c>
      <c r="Y315" s="20" t="s">
        <v>56</v>
      </c>
      <c r="Z315" s="20" t="s">
        <v>899</v>
      </c>
      <c r="AA315" s="22"/>
      <c r="AB315" s="23">
        <v>45986</v>
      </c>
      <c r="AC315" s="27" t="s">
        <v>2872</v>
      </c>
      <c r="AD315" s="80"/>
      <c r="AE315" s="24"/>
      <c r="AF315" s="81"/>
      <c r="AG315" s="142"/>
    </row>
    <row r="316" spans="1:33" s="34" customFormat="1" ht="27" customHeight="1">
      <c r="A316" s="15">
        <v>313</v>
      </c>
      <c r="B316" s="81">
        <v>45979</v>
      </c>
      <c r="C316" s="15" t="s">
        <v>38</v>
      </c>
      <c r="D316" s="15" t="s">
        <v>2873</v>
      </c>
      <c r="E316" s="26" t="s">
        <v>70</v>
      </c>
      <c r="F316" s="27" t="s">
        <v>41</v>
      </c>
      <c r="G316" s="27">
        <v>645600</v>
      </c>
      <c r="H316" s="81">
        <v>45986</v>
      </c>
      <c r="I316" s="27">
        <v>6240137</v>
      </c>
      <c r="J316" s="28" t="s">
        <v>2868</v>
      </c>
      <c r="K316" s="81">
        <v>45904</v>
      </c>
      <c r="L316" s="81">
        <v>46268</v>
      </c>
      <c r="M316" s="28" t="s">
        <v>2869</v>
      </c>
      <c r="N316" s="400">
        <v>373800</v>
      </c>
      <c r="O316" s="29">
        <v>34716</v>
      </c>
      <c r="P316" s="30">
        <v>4400</v>
      </c>
      <c r="Q316" s="31">
        <v>45904</v>
      </c>
      <c r="R316" s="32">
        <v>46268</v>
      </c>
      <c r="S316" s="20" t="s">
        <v>905</v>
      </c>
      <c r="T316" s="33" t="s">
        <v>2874</v>
      </c>
      <c r="U316" s="16">
        <v>45995</v>
      </c>
      <c r="V316" s="17" t="s">
        <v>2875</v>
      </c>
      <c r="W316" s="18">
        <v>46002</v>
      </c>
      <c r="X316" s="19">
        <v>34185.800000000003</v>
      </c>
      <c r="Y316" s="20" t="s">
        <v>56</v>
      </c>
      <c r="Z316" s="20" t="s">
        <v>899</v>
      </c>
      <c r="AA316" s="22"/>
      <c r="AB316" s="23">
        <v>45986</v>
      </c>
      <c r="AC316" s="27" t="s">
        <v>2872</v>
      </c>
      <c r="AD316" s="80"/>
      <c r="AE316" s="24"/>
      <c r="AF316" s="81"/>
      <c r="AG316" s="142"/>
    </row>
    <row r="317" spans="1:33" s="34" customFormat="1" ht="27" customHeight="1">
      <c r="A317" s="15">
        <v>314</v>
      </c>
      <c r="B317" s="81">
        <v>45985</v>
      </c>
      <c r="C317" s="15" t="s">
        <v>38</v>
      </c>
      <c r="D317" s="15" t="s">
        <v>2876</v>
      </c>
      <c r="E317" s="26" t="s">
        <v>70</v>
      </c>
      <c r="F317" s="27" t="s">
        <v>277</v>
      </c>
      <c r="G317" s="27">
        <v>645600</v>
      </c>
      <c r="H317" s="81">
        <v>45988</v>
      </c>
      <c r="I317" s="27">
        <v>6240962</v>
      </c>
      <c r="J317" s="28" t="s">
        <v>2877</v>
      </c>
      <c r="K317" s="81">
        <v>46012</v>
      </c>
      <c r="L317" s="81">
        <v>46193</v>
      </c>
      <c r="M317" s="28" t="s">
        <v>2878</v>
      </c>
      <c r="N317" s="400">
        <v>999800</v>
      </c>
      <c r="O317" s="29">
        <v>22443.5</v>
      </c>
      <c r="P317" s="30" t="s">
        <v>2565</v>
      </c>
      <c r="Q317" s="31">
        <v>46012</v>
      </c>
      <c r="R317" s="32">
        <v>46193</v>
      </c>
      <c r="S317" s="20" t="s">
        <v>399</v>
      </c>
      <c r="T317" s="33" t="s">
        <v>2879</v>
      </c>
      <c r="U317" s="16">
        <v>46014</v>
      </c>
      <c r="V317" s="17" t="s">
        <v>2880</v>
      </c>
      <c r="W317" s="18">
        <v>46057</v>
      </c>
      <c r="X317" s="19">
        <v>22443.5</v>
      </c>
      <c r="Y317" s="20" t="s">
        <v>123</v>
      </c>
      <c r="Z317" s="20" t="s">
        <v>1554</v>
      </c>
      <c r="AA317" s="22"/>
      <c r="AB317" s="23">
        <v>45986</v>
      </c>
      <c r="AC317" s="27" t="s">
        <v>2881</v>
      </c>
      <c r="AD317" s="80"/>
      <c r="AE317" s="24" t="s">
        <v>2148</v>
      </c>
      <c r="AF317" s="81"/>
      <c r="AG317" s="142"/>
    </row>
    <row r="318" spans="1:33" s="34" customFormat="1" ht="27" customHeight="1">
      <c r="A318" s="15">
        <v>315</v>
      </c>
      <c r="B318" s="81">
        <v>45985</v>
      </c>
      <c r="C318" s="15" t="s">
        <v>38</v>
      </c>
      <c r="D318" s="15" t="s">
        <v>2882</v>
      </c>
      <c r="E318" s="26" t="s">
        <v>70</v>
      </c>
      <c r="F318" s="27" t="s">
        <v>277</v>
      </c>
      <c r="G318" s="27">
        <v>645600</v>
      </c>
      <c r="H318" s="81">
        <v>45988</v>
      </c>
      <c r="I318" s="27">
        <v>6240965</v>
      </c>
      <c r="J318" s="28" t="s">
        <v>2877</v>
      </c>
      <c r="K318" s="81">
        <v>46012</v>
      </c>
      <c r="L318" s="81">
        <v>46193</v>
      </c>
      <c r="M318" s="28" t="s">
        <v>2878</v>
      </c>
      <c r="N318" s="400">
        <v>999800</v>
      </c>
      <c r="O318" s="29">
        <v>4150</v>
      </c>
      <c r="P318" s="30" t="s">
        <v>2565</v>
      </c>
      <c r="Q318" s="31">
        <v>46012</v>
      </c>
      <c r="R318" s="32">
        <v>46193</v>
      </c>
      <c r="S318" s="20" t="s">
        <v>2883</v>
      </c>
      <c r="T318" s="33" t="s">
        <v>2884</v>
      </c>
      <c r="U318" s="16">
        <v>46020</v>
      </c>
      <c r="V318" s="17" t="s">
        <v>2885</v>
      </c>
      <c r="W318" s="18">
        <v>46069</v>
      </c>
      <c r="X318" s="19">
        <v>4150</v>
      </c>
      <c r="Y318" s="20" t="s">
        <v>123</v>
      </c>
      <c r="Z318" s="20" t="s">
        <v>1554</v>
      </c>
      <c r="AA318" s="22"/>
      <c r="AB318" s="23">
        <v>45986</v>
      </c>
      <c r="AC318" s="27" t="s">
        <v>2881</v>
      </c>
      <c r="AD318" s="80"/>
      <c r="AE318" s="24" t="s">
        <v>2886</v>
      </c>
      <c r="AF318" s="81"/>
      <c r="AG318" s="142"/>
    </row>
    <row r="319" spans="1:33" s="34" customFormat="1" ht="27" customHeight="1">
      <c r="A319" s="15">
        <v>316</v>
      </c>
      <c r="B319" s="81">
        <v>45985</v>
      </c>
      <c r="C319" s="15" t="s">
        <v>38</v>
      </c>
      <c r="D319" s="15" t="s">
        <v>2887</v>
      </c>
      <c r="E319" s="26" t="s">
        <v>70</v>
      </c>
      <c r="F319" s="27" t="s">
        <v>277</v>
      </c>
      <c r="G319" s="27">
        <v>645600</v>
      </c>
      <c r="H319" s="81">
        <v>45988</v>
      </c>
      <c r="I319" s="27">
        <v>6240968</v>
      </c>
      <c r="J319" s="28" t="s">
        <v>2877</v>
      </c>
      <c r="K319" s="81">
        <v>46012</v>
      </c>
      <c r="L319" s="81">
        <v>46193</v>
      </c>
      <c r="M319" s="28" t="s">
        <v>2878</v>
      </c>
      <c r="N319" s="400">
        <v>999800</v>
      </c>
      <c r="O319" s="29">
        <v>2500</v>
      </c>
      <c r="P319" s="30" t="s">
        <v>2565</v>
      </c>
      <c r="Q319" s="31">
        <v>46012</v>
      </c>
      <c r="R319" s="32">
        <v>46193</v>
      </c>
      <c r="S319" s="20" t="s">
        <v>2883</v>
      </c>
      <c r="T319" s="33" t="s">
        <v>2888</v>
      </c>
      <c r="U319" s="16">
        <v>46014</v>
      </c>
      <c r="V319" s="17" t="s">
        <v>2889</v>
      </c>
      <c r="W319" s="18"/>
      <c r="X319" s="19">
        <v>2500</v>
      </c>
      <c r="Y319" s="20" t="s">
        <v>123</v>
      </c>
      <c r="Z319" s="20" t="s">
        <v>1554</v>
      </c>
      <c r="AA319" s="22"/>
      <c r="AB319" s="23">
        <v>45986</v>
      </c>
      <c r="AC319" s="27" t="s">
        <v>2881</v>
      </c>
      <c r="AD319" s="80"/>
      <c r="AE319" s="24"/>
      <c r="AF319" s="81"/>
      <c r="AG319" s="142"/>
    </row>
    <row r="320" spans="1:33" s="34" customFormat="1" ht="27" customHeight="1">
      <c r="A320" s="15">
        <v>317</v>
      </c>
      <c r="B320" s="81">
        <v>45985</v>
      </c>
      <c r="C320" s="15" t="s">
        <v>38</v>
      </c>
      <c r="D320" s="15" t="s">
        <v>2890</v>
      </c>
      <c r="E320" s="26" t="s">
        <v>70</v>
      </c>
      <c r="F320" s="27" t="s">
        <v>277</v>
      </c>
      <c r="G320" s="27">
        <v>645600</v>
      </c>
      <c r="H320" s="81">
        <v>46001</v>
      </c>
      <c r="I320" s="27">
        <v>6245885</v>
      </c>
      <c r="J320" s="28" t="s">
        <v>2877</v>
      </c>
      <c r="K320" s="81">
        <v>46012</v>
      </c>
      <c r="L320" s="81">
        <v>46193</v>
      </c>
      <c r="M320" s="28" t="s">
        <v>2878</v>
      </c>
      <c r="N320" s="400">
        <v>999800</v>
      </c>
      <c r="O320" s="29">
        <v>247002.6</v>
      </c>
      <c r="P320" s="30">
        <v>31305.78</v>
      </c>
      <c r="Q320" s="31">
        <v>46023</v>
      </c>
      <c r="R320" s="32">
        <v>46387</v>
      </c>
      <c r="S320" s="20" t="s">
        <v>525</v>
      </c>
      <c r="T320" s="33" t="s">
        <v>2891</v>
      </c>
      <c r="U320" s="16">
        <v>46038</v>
      </c>
      <c r="V320" s="17" t="s">
        <v>2892</v>
      </c>
      <c r="W320" s="18">
        <v>46148</v>
      </c>
      <c r="X320" s="19">
        <v>243571.49</v>
      </c>
      <c r="Y320" s="20" t="s">
        <v>123</v>
      </c>
      <c r="Z320" s="20" t="s">
        <v>1554</v>
      </c>
      <c r="AA320" s="22"/>
      <c r="AB320" s="23">
        <v>45986</v>
      </c>
      <c r="AC320" s="27" t="s">
        <v>2881</v>
      </c>
      <c r="AD320" s="80"/>
      <c r="AE320" s="24" t="s">
        <v>2893</v>
      </c>
      <c r="AF320" s="27">
        <v>404394612</v>
      </c>
      <c r="AG320" s="142"/>
    </row>
    <row r="321" spans="1:33" s="34" customFormat="1" ht="27" customHeight="1">
      <c r="A321" s="15">
        <v>318</v>
      </c>
      <c r="B321" s="81">
        <v>45985</v>
      </c>
      <c r="C321" s="15" t="s">
        <v>38</v>
      </c>
      <c r="D321" s="15" t="s">
        <v>2894</v>
      </c>
      <c r="E321" s="26" t="s">
        <v>70</v>
      </c>
      <c r="F321" s="27" t="s">
        <v>277</v>
      </c>
      <c r="G321" s="27">
        <v>645600</v>
      </c>
      <c r="H321" s="81">
        <v>46001</v>
      </c>
      <c r="I321" s="27">
        <v>6245886</v>
      </c>
      <c r="J321" s="28" t="s">
        <v>2877</v>
      </c>
      <c r="K321" s="81">
        <v>46012</v>
      </c>
      <c r="L321" s="81">
        <v>46193</v>
      </c>
      <c r="M321" s="28" t="s">
        <v>2878</v>
      </c>
      <c r="N321" s="400">
        <v>999800</v>
      </c>
      <c r="O321" s="29">
        <v>52254.6</v>
      </c>
      <c r="P321" s="30">
        <v>6622.89</v>
      </c>
      <c r="Q321" s="31">
        <v>46054</v>
      </c>
      <c r="R321" s="32">
        <v>46418</v>
      </c>
      <c r="S321" s="20" t="s">
        <v>473</v>
      </c>
      <c r="T321" s="33" t="s">
        <v>2895</v>
      </c>
      <c r="U321" s="16">
        <v>46027</v>
      </c>
      <c r="V321" s="17" t="s">
        <v>2896</v>
      </c>
      <c r="W321" s="18"/>
      <c r="X321" s="19">
        <v>51528.73</v>
      </c>
      <c r="Y321" s="20" t="s">
        <v>123</v>
      </c>
      <c r="Z321" s="20" t="s">
        <v>1554</v>
      </c>
      <c r="AA321" s="22"/>
      <c r="AB321" s="23">
        <v>45986</v>
      </c>
      <c r="AC321" s="27" t="s">
        <v>2881</v>
      </c>
      <c r="AD321" s="80"/>
      <c r="AE321" s="24"/>
      <c r="AF321" s="81"/>
      <c r="AG321" s="142"/>
    </row>
    <row r="322" spans="1:33" s="34" customFormat="1" ht="27" customHeight="1">
      <c r="A322" s="15">
        <v>319</v>
      </c>
      <c r="B322" s="81">
        <v>45985</v>
      </c>
      <c r="C322" s="15" t="s">
        <v>38</v>
      </c>
      <c r="D322" s="15" t="s">
        <v>2897</v>
      </c>
      <c r="E322" s="26" t="s">
        <v>70</v>
      </c>
      <c r="F322" s="27" t="s">
        <v>277</v>
      </c>
      <c r="G322" s="27">
        <v>645600</v>
      </c>
      <c r="H322" s="81">
        <v>46001</v>
      </c>
      <c r="I322" s="27">
        <v>6245888</v>
      </c>
      <c r="J322" s="28" t="s">
        <v>2877</v>
      </c>
      <c r="K322" s="81">
        <v>46012</v>
      </c>
      <c r="L322" s="81">
        <v>46193</v>
      </c>
      <c r="M322" s="28" t="s">
        <v>2878</v>
      </c>
      <c r="N322" s="400">
        <v>999800</v>
      </c>
      <c r="O322" s="29">
        <v>28062.52</v>
      </c>
      <c r="P322" s="30">
        <v>3556.72</v>
      </c>
      <c r="Q322" s="31">
        <v>46054</v>
      </c>
      <c r="R322" s="32">
        <v>46418</v>
      </c>
      <c r="S322" s="20" t="s">
        <v>473</v>
      </c>
      <c r="T322" s="33" t="s">
        <v>2898</v>
      </c>
      <c r="U322" s="16">
        <v>46014</v>
      </c>
      <c r="V322" s="17" t="s">
        <v>2899</v>
      </c>
      <c r="W322" s="18"/>
      <c r="X322" s="19">
        <v>27672.7</v>
      </c>
      <c r="Y322" s="20" t="s">
        <v>123</v>
      </c>
      <c r="Z322" s="20" t="s">
        <v>1554</v>
      </c>
      <c r="AA322" s="22"/>
      <c r="AB322" s="23">
        <v>45986</v>
      </c>
      <c r="AC322" s="27" t="s">
        <v>2881</v>
      </c>
      <c r="AD322" s="80"/>
      <c r="AE322" s="24"/>
      <c r="AF322" s="81"/>
      <c r="AG322" s="142"/>
    </row>
    <row r="323" spans="1:33" s="34" customFormat="1" ht="27" customHeight="1">
      <c r="A323" s="168">
        <v>320</v>
      </c>
      <c r="B323" s="169">
        <v>45988</v>
      </c>
      <c r="C323" s="168" t="s">
        <v>95</v>
      </c>
      <c r="D323" s="168" t="s">
        <v>2900</v>
      </c>
      <c r="E323" s="170" t="s">
        <v>97</v>
      </c>
      <c r="F323" s="186" t="s">
        <v>109</v>
      </c>
      <c r="G323" s="168">
        <v>645602</v>
      </c>
      <c r="H323" s="169">
        <v>45988</v>
      </c>
      <c r="I323" s="168">
        <v>6240950</v>
      </c>
      <c r="J323" s="171" t="s">
        <v>2901</v>
      </c>
      <c r="K323" s="169">
        <v>45901</v>
      </c>
      <c r="L323" s="169">
        <v>46265</v>
      </c>
      <c r="M323" s="171" t="s">
        <v>2902</v>
      </c>
      <c r="N323" s="400">
        <v>22480.799999999999</v>
      </c>
      <c r="O323" s="172">
        <v>20000</v>
      </c>
      <c r="P323" s="173"/>
      <c r="Q323" s="174">
        <v>45962</v>
      </c>
      <c r="R323" s="175">
        <v>46326</v>
      </c>
      <c r="S323" s="176" t="s">
        <v>500</v>
      </c>
      <c r="T323" s="177" t="s">
        <v>2903</v>
      </c>
      <c r="U323" s="200">
        <v>46013</v>
      </c>
      <c r="V323" s="201">
        <v>1571035</v>
      </c>
      <c r="W323" s="18"/>
      <c r="X323" s="180">
        <v>20000</v>
      </c>
      <c r="Y323" s="176" t="s">
        <v>1410</v>
      </c>
      <c r="Z323" s="176" t="s">
        <v>106</v>
      </c>
      <c r="AA323" s="181"/>
      <c r="AB323" s="182">
        <v>45986</v>
      </c>
      <c r="AC323" s="186" t="s">
        <v>2904</v>
      </c>
      <c r="AD323" s="183"/>
      <c r="AE323" s="184" t="s">
        <v>2856</v>
      </c>
      <c r="AF323" s="169"/>
      <c r="AG323" s="185"/>
    </row>
    <row r="324" spans="1:33" s="34" customFormat="1" ht="27" customHeight="1">
      <c r="A324" s="15">
        <v>321</v>
      </c>
      <c r="B324" s="81">
        <v>45987</v>
      </c>
      <c r="C324" s="15" t="s">
        <v>38</v>
      </c>
      <c r="D324" s="15" t="s">
        <v>2905</v>
      </c>
      <c r="E324" s="26" t="s">
        <v>40</v>
      </c>
      <c r="F324" s="27" t="s">
        <v>41</v>
      </c>
      <c r="G324" s="27">
        <v>645600</v>
      </c>
      <c r="H324" s="81">
        <v>45988</v>
      </c>
      <c r="I324" s="27">
        <v>6240969</v>
      </c>
      <c r="J324" s="28" t="s">
        <v>2906</v>
      </c>
      <c r="K324" s="81">
        <v>45979</v>
      </c>
      <c r="L324" s="81">
        <v>46343</v>
      </c>
      <c r="M324" s="28" t="s">
        <v>2907</v>
      </c>
      <c r="N324" s="400">
        <v>37610</v>
      </c>
      <c r="O324" s="29">
        <v>3099.74</v>
      </c>
      <c r="P324" s="30">
        <v>392.87</v>
      </c>
      <c r="Q324" s="31">
        <v>45992</v>
      </c>
      <c r="R324" s="32">
        <v>46356</v>
      </c>
      <c r="S324" s="20" t="s">
        <v>784</v>
      </c>
      <c r="T324" s="33" t="s">
        <v>2908</v>
      </c>
      <c r="U324" s="16">
        <v>45999</v>
      </c>
      <c r="V324" s="17" t="s">
        <v>2909</v>
      </c>
      <c r="W324" s="18"/>
      <c r="X324" s="19">
        <v>3052.4</v>
      </c>
      <c r="Y324" s="20" t="s">
        <v>56</v>
      </c>
      <c r="Z324" s="20" t="s">
        <v>1546</v>
      </c>
      <c r="AA324" s="22"/>
      <c r="AB324" s="23">
        <v>45986</v>
      </c>
      <c r="AC324" s="27" t="s">
        <v>252</v>
      </c>
      <c r="AD324" s="80"/>
      <c r="AE324" s="24"/>
      <c r="AF324" s="81"/>
      <c r="AG324" s="142"/>
    </row>
    <row r="325" spans="1:33" s="34" customFormat="1" ht="27" customHeight="1">
      <c r="A325" s="15">
        <v>322</v>
      </c>
      <c r="B325" s="81">
        <v>45987</v>
      </c>
      <c r="C325" s="15" t="s">
        <v>38</v>
      </c>
      <c r="D325" s="15" t="s">
        <v>2910</v>
      </c>
      <c r="E325" s="26" t="s">
        <v>70</v>
      </c>
      <c r="F325" s="27" t="s">
        <v>277</v>
      </c>
      <c r="G325" s="27">
        <v>645600</v>
      </c>
      <c r="H325" s="81">
        <v>45989</v>
      </c>
      <c r="I325" s="27">
        <v>6241322</v>
      </c>
      <c r="J325" s="28" t="s">
        <v>2911</v>
      </c>
      <c r="K325" s="81">
        <v>46079</v>
      </c>
      <c r="L325" s="81">
        <v>46443</v>
      </c>
      <c r="M325" s="28" t="s">
        <v>2912</v>
      </c>
      <c r="N325" s="400">
        <v>504888</v>
      </c>
      <c r="O325" s="29">
        <v>31872</v>
      </c>
      <c r="P325" s="30" t="s">
        <v>2565</v>
      </c>
      <c r="Q325" s="31">
        <v>46078</v>
      </c>
      <c r="R325" s="32">
        <v>46443</v>
      </c>
      <c r="S325" s="20" t="s">
        <v>399</v>
      </c>
      <c r="T325" s="33" t="s">
        <v>2913</v>
      </c>
      <c r="U325" s="16">
        <v>46014</v>
      </c>
      <c r="V325" s="17" t="s">
        <v>2914</v>
      </c>
      <c r="W325" s="18"/>
      <c r="X325" s="19">
        <v>31872</v>
      </c>
      <c r="Y325" s="20" t="s">
        <v>123</v>
      </c>
      <c r="Z325" s="20" t="s">
        <v>1554</v>
      </c>
      <c r="AA325" s="22"/>
      <c r="AB325" s="23">
        <v>45986</v>
      </c>
      <c r="AC325" s="27" t="s">
        <v>2915</v>
      </c>
      <c r="AD325" s="80"/>
      <c r="AE325" s="24" t="s">
        <v>2148</v>
      </c>
      <c r="AF325" s="81"/>
      <c r="AG325" s="142"/>
    </row>
    <row r="326" spans="1:33" s="34" customFormat="1" ht="27" customHeight="1">
      <c r="A326" s="15">
        <v>323</v>
      </c>
      <c r="B326" s="81">
        <v>45987</v>
      </c>
      <c r="C326" s="15" t="s">
        <v>38</v>
      </c>
      <c r="D326" s="15" t="s">
        <v>2916</v>
      </c>
      <c r="E326" s="26" t="s">
        <v>70</v>
      </c>
      <c r="F326" s="27" t="s">
        <v>277</v>
      </c>
      <c r="G326" s="27">
        <v>645600</v>
      </c>
      <c r="H326" s="81">
        <v>45989</v>
      </c>
      <c r="I326" s="27">
        <v>6241324</v>
      </c>
      <c r="J326" s="28" t="s">
        <v>2911</v>
      </c>
      <c r="K326" s="81">
        <v>46079</v>
      </c>
      <c r="L326" s="81">
        <v>46443</v>
      </c>
      <c r="M326" s="28" t="s">
        <v>2912</v>
      </c>
      <c r="N326" s="400">
        <v>504888</v>
      </c>
      <c r="O326" s="29">
        <v>8300</v>
      </c>
      <c r="P326" s="30" t="s">
        <v>2565</v>
      </c>
      <c r="Q326" s="31">
        <v>46079</v>
      </c>
      <c r="R326" s="32">
        <v>46443</v>
      </c>
      <c r="S326" s="20" t="s">
        <v>2883</v>
      </c>
      <c r="T326" s="33" t="s">
        <v>2917</v>
      </c>
      <c r="U326" s="16">
        <v>46020</v>
      </c>
      <c r="V326" s="17" t="s">
        <v>2918</v>
      </c>
      <c r="W326" s="18"/>
      <c r="X326" s="19">
        <v>8300</v>
      </c>
      <c r="Y326" s="20" t="s">
        <v>123</v>
      </c>
      <c r="Z326" s="20" t="s">
        <v>1554</v>
      </c>
      <c r="AA326" s="22"/>
      <c r="AB326" s="23">
        <v>45986</v>
      </c>
      <c r="AC326" s="27" t="s">
        <v>2915</v>
      </c>
      <c r="AD326" s="80"/>
      <c r="AE326" s="24" t="s">
        <v>2148</v>
      </c>
      <c r="AF326" s="81"/>
      <c r="AG326" s="142"/>
    </row>
    <row r="327" spans="1:33" s="34" customFormat="1" ht="27" customHeight="1">
      <c r="A327" s="15">
        <v>324</v>
      </c>
      <c r="B327" s="81">
        <v>45987</v>
      </c>
      <c r="C327" s="15" t="s">
        <v>38</v>
      </c>
      <c r="D327" s="15" t="s">
        <v>2919</v>
      </c>
      <c r="E327" s="26" t="s">
        <v>70</v>
      </c>
      <c r="F327" s="27" t="s">
        <v>277</v>
      </c>
      <c r="G327" s="27">
        <v>645600</v>
      </c>
      <c r="H327" s="81">
        <v>45989</v>
      </c>
      <c r="I327" s="27">
        <v>6241330</v>
      </c>
      <c r="J327" s="28" t="s">
        <v>2911</v>
      </c>
      <c r="K327" s="81">
        <v>46079</v>
      </c>
      <c r="L327" s="81">
        <v>46443</v>
      </c>
      <c r="M327" s="28" t="s">
        <v>2912</v>
      </c>
      <c r="N327" s="400">
        <v>504888</v>
      </c>
      <c r="O327" s="29">
        <v>5000</v>
      </c>
      <c r="P327" s="30" t="s">
        <v>2565</v>
      </c>
      <c r="Q327" s="31">
        <v>46079</v>
      </c>
      <c r="R327" s="32">
        <v>46443</v>
      </c>
      <c r="S327" s="20" t="s">
        <v>2883</v>
      </c>
      <c r="T327" s="33" t="s">
        <v>2920</v>
      </c>
      <c r="U327" s="16">
        <v>46014</v>
      </c>
      <c r="V327" s="17" t="s">
        <v>2921</v>
      </c>
      <c r="W327" s="18"/>
      <c r="X327" s="19">
        <v>5000</v>
      </c>
      <c r="Y327" s="20" t="s">
        <v>123</v>
      </c>
      <c r="Z327" s="20" t="s">
        <v>1554</v>
      </c>
      <c r="AA327" s="22"/>
      <c r="AB327" s="23">
        <v>45986</v>
      </c>
      <c r="AC327" s="27" t="s">
        <v>2915</v>
      </c>
      <c r="AD327" s="80"/>
      <c r="AE327" s="24" t="s">
        <v>2148</v>
      </c>
      <c r="AF327" s="81"/>
      <c r="AG327" s="142"/>
    </row>
    <row r="328" spans="1:33" s="34" customFormat="1" ht="27" customHeight="1">
      <c r="A328" s="15">
        <v>325</v>
      </c>
      <c r="B328" s="81">
        <v>45987</v>
      </c>
      <c r="C328" s="15" t="s">
        <v>38</v>
      </c>
      <c r="D328" s="15" t="s">
        <v>2922</v>
      </c>
      <c r="E328" s="26" t="s">
        <v>70</v>
      </c>
      <c r="F328" s="27" t="s">
        <v>41</v>
      </c>
      <c r="G328" s="27">
        <v>645600</v>
      </c>
      <c r="H328" s="81">
        <v>45989</v>
      </c>
      <c r="I328" s="27">
        <v>6241336</v>
      </c>
      <c r="J328" s="28" t="s">
        <v>2911</v>
      </c>
      <c r="K328" s="81">
        <v>46079</v>
      </c>
      <c r="L328" s="81">
        <v>46443</v>
      </c>
      <c r="M328" s="28" t="s">
        <v>2912</v>
      </c>
      <c r="N328" s="400">
        <v>504888</v>
      </c>
      <c r="O328" s="29">
        <v>38603.800000000003</v>
      </c>
      <c r="P328" s="30">
        <v>4892.75</v>
      </c>
      <c r="Q328" s="31">
        <v>46054</v>
      </c>
      <c r="R328" s="32">
        <v>46418</v>
      </c>
      <c r="S328" s="20" t="s">
        <v>473</v>
      </c>
      <c r="T328" s="33" t="s">
        <v>2923</v>
      </c>
      <c r="U328" s="16">
        <v>46014</v>
      </c>
      <c r="V328" s="17" t="s">
        <v>2924</v>
      </c>
      <c r="W328" s="18"/>
      <c r="X328" s="19">
        <v>38014.22</v>
      </c>
      <c r="Y328" s="20" t="s">
        <v>123</v>
      </c>
      <c r="Z328" s="20" t="s">
        <v>1554</v>
      </c>
      <c r="AA328" s="22"/>
      <c r="AB328" s="23">
        <v>45986</v>
      </c>
      <c r="AC328" s="27" t="s">
        <v>2915</v>
      </c>
      <c r="AD328" s="80"/>
      <c r="AE328" s="24"/>
      <c r="AF328" s="81"/>
      <c r="AG328" s="142"/>
    </row>
    <row r="329" spans="1:33" s="34" customFormat="1" ht="27" customHeight="1">
      <c r="A329" s="15">
        <v>326</v>
      </c>
      <c r="B329" s="81">
        <v>45987</v>
      </c>
      <c r="C329" s="15" t="s">
        <v>38</v>
      </c>
      <c r="D329" s="168" t="s">
        <v>2925</v>
      </c>
      <c r="E329" s="26" t="s">
        <v>70</v>
      </c>
      <c r="F329" s="27" t="s">
        <v>41</v>
      </c>
      <c r="G329" s="27">
        <v>645600</v>
      </c>
      <c r="H329" s="81">
        <v>45989</v>
      </c>
      <c r="I329" s="27">
        <v>6241337</v>
      </c>
      <c r="J329" s="28" t="s">
        <v>2926</v>
      </c>
      <c r="K329" s="81">
        <v>45992</v>
      </c>
      <c r="L329" s="81">
        <v>46721</v>
      </c>
      <c r="M329" s="28" t="s">
        <v>2927</v>
      </c>
      <c r="N329" s="400">
        <v>598779</v>
      </c>
      <c r="O329" s="29">
        <v>76767</v>
      </c>
      <c r="P329" s="30" t="s">
        <v>2565</v>
      </c>
      <c r="Q329" s="31">
        <v>46054</v>
      </c>
      <c r="R329" s="32">
        <v>46783</v>
      </c>
      <c r="S329" s="20" t="s">
        <v>180</v>
      </c>
      <c r="T329" s="33" t="s">
        <v>2928</v>
      </c>
      <c r="U329" s="16">
        <v>46000</v>
      </c>
      <c r="V329" s="17" t="s">
        <v>2929</v>
      </c>
      <c r="W329" s="18"/>
      <c r="X329" s="19">
        <v>76767</v>
      </c>
      <c r="Y329" s="20" t="s">
        <v>56</v>
      </c>
      <c r="Z329" s="20" t="s">
        <v>899</v>
      </c>
      <c r="AA329" s="22"/>
      <c r="AB329" s="23">
        <v>45986</v>
      </c>
      <c r="AC329" s="27" t="s">
        <v>2930</v>
      </c>
      <c r="AD329" s="80"/>
      <c r="AE329" s="184" t="s">
        <v>2931</v>
      </c>
      <c r="AF329" s="81"/>
      <c r="AG329" s="142"/>
    </row>
    <row r="330" spans="1:33" s="34" customFormat="1" ht="27" customHeight="1">
      <c r="A330" s="15">
        <v>327</v>
      </c>
      <c r="B330" s="81">
        <v>45987</v>
      </c>
      <c r="C330" s="15" t="s">
        <v>38</v>
      </c>
      <c r="D330" s="15" t="s">
        <v>2932</v>
      </c>
      <c r="E330" s="26" t="s">
        <v>70</v>
      </c>
      <c r="F330" s="27" t="s">
        <v>41</v>
      </c>
      <c r="G330" s="27">
        <v>645600</v>
      </c>
      <c r="H330" s="81">
        <v>45989</v>
      </c>
      <c r="I330" s="27">
        <v>6241338</v>
      </c>
      <c r="J330" s="28" t="s">
        <v>2926</v>
      </c>
      <c r="K330" s="81">
        <v>45992</v>
      </c>
      <c r="L330" s="81">
        <v>46721</v>
      </c>
      <c r="M330" s="28" t="s">
        <v>2927</v>
      </c>
      <c r="N330" s="400">
        <v>598779</v>
      </c>
      <c r="O330" s="29">
        <v>101018</v>
      </c>
      <c r="P330" s="30" t="s">
        <v>2565</v>
      </c>
      <c r="Q330" s="31">
        <v>45992</v>
      </c>
      <c r="R330" s="32">
        <v>46721</v>
      </c>
      <c r="S330" s="20" t="s">
        <v>180</v>
      </c>
      <c r="T330" s="33" t="s">
        <v>2933</v>
      </c>
      <c r="U330" s="16">
        <v>46000</v>
      </c>
      <c r="V330" s="17" t="s">
        <v>2934</v>
      </c>
      <c r="W330" s="18">
        <v>46024</v>
      </c>
      <c r="X330" s="19">
        <v>101018</v>
      </c>
      <c r="Y330" s="20" t="s">
        <v>56</v>
      </c>
      <c r="Z330" s="20" t="s">
        <v>899</v>
      </c>
      <c r="AA330" s="22"/>
      <c r="AB330" s="23">
        <v>45986</v>
      </c>
      <c r="AC330" s="27" t="s">
        <v>2930</v>
      </c>
      <c r="AD330" s="80"/>
      <c r="AE330" s="24"/>
      <c r="AF330" s="81"/>
      <c r="AG330" s="142"/>
    </row>
    <row r="331" spans="1:33" s="34" customFormat="1" ht="27" customHeight="1">
      <c r="A331" s="15">
        <v>328</v>
      </c>
      <c r="B331" s="81">
        <v>45987</v>
      </c>
      <c r="C331" s="15" t="s">
        <v>38</v>
      </c>
      <c r="D331" s="15" t="s">
        <v>2935</v>
      </c>
      <c r="E331" s="26" t="s">
        <v>70</v>
      </c>
      <c r="F331" s="27" t="s">
        <v>41</v>
      </c>
      <c r="G331" s="27">
        <v>645600</v>
      </c>
      <c r="H331" s="81">
        <v>45989</v>
      </c>
      <c r="I331" s="27">
        <v>6241339</v>
      </c>
      <c r="J331" s="28" t="s">
        <v>2926</v>
      </c>
      <c r="K331" s="81">
        <v>45992</v>
      </c>
      <c r="L331" s="81">
        <v>46721</v>
      </c>
      <c r="M331" s="28" t="s">
        <v>2927</v>
      </c>
      <c r="N331" s="400">
        <v>598779</v>
      </c>
      <c r="O331" s="29">
        <v>184878.48</v>
      </c>
      <c r="P331" s="30">
        <v>23432</v>
      </c>
      <c r="Q331" s="31">
        <v>45992</v>
      </c>
      <c r="R331" s="32">
        <v>46721</v>
      </c>
      <c r="S331" s="20" t="s">
        <v>905</v>
      </c>
      <c r="T331" s="33" t="s">
        <v>2936</v>
      </c>
      <c r="U331" s="16">
        <v>46000</v>
      </c>
      <c r="V331" s="17" t="s">
        <v>2937</v>
      </c>
      <c r="W331" s="137" t="s">
        <v>2938</v>
      </c>
      <c r="X331" s="19">
        <v>182310.33</v>
      </c>
      <c r="Y331" s="20" t="s">
        <v>56</v>
      </c>
      <c r="Z331" s="20" t="s">
        <v>899</v>
      </c>
      <c r="AA331" s="22"/>
      <c r="AB331" s="23">
        <v>45986</v>
      </c>
      <c r="AC331" s="27" t="s">
        <v>2930</v>
      </c>
      <c r="AD331" s="80"/>
      <c r="AE331" s="24"/>
      <c r="AF331" s="81"/>
      <c r="AG331" s="142"/>
    </row>
    <row r="332" spans="1:33" s="34" customFormat="1" ht="27" customHeight="1">
      <c r="A332" s="15">
        <v>329</v>
      </c>
      <c r="B332" s="81">
        <v>45993</v>
      </c>
      <c r="C332" s="15" t="s">
        <v>38</v>
      </c>
      <c r="D332" s="15" t="s">
        <v>2939</v>
      </c>
      <c r="E332" s="26" t="s">
        <v>40</v>
      </c>
      <c r="F332" s="27" t="s">
        <v>41</v>
      </c>
      <c r="G332" s="27">
        <v>645600</v>
      </c>
      <c r="H332" s="81">
        <v>45993</v>
      </c>
      <c r="I332" s="27">
        <v>6242143</v>
      </c>
      <c r="J332" s="28" t="s">
        <v>2940</v>
      </c>
      <c r="K332" s="81">
        <v>45870</v>
      </c>
      <c r="L332" s="81">
        <v>46599</v>
      </c>
      <c r="M332" s="28" t="s">
        <v>2941</v>
      </c>
      <c r="N332" s="400">
        <v>11802786.199999999</v>
      </c>
      <c r="O332" s="29">
        <v>143684.95000000001</v>
      </c>
      <c r="P332" s="30">
        <v>18211.02</v>
      </c>
      <c r="Q332" s="31">
        <v>46023</v>
      </c>
      <c r="R332" s="32">
        <v>46387</v>
      </c>
      <c r="S332" s="20" t="s">
        <v>538</v>
      </c>
      <c r="T332" s="33" t="s">
        <v>2942</v>
      </c>
      <c r="U332" s="16">
        <v>46000</v>
      </c>
      <c r="V332" s="17" t="s">
        <v>2943</v>
      </c>
      <c r="W332" s="18">
        <v>46062</v>
      </c>
      <c r="X332" s="19">
        <v>141689.01999999999</v>
      </c>
      <c r="Y332" s="20" t="s">
        <v>541</v>
      </c>
      <c r="Z332" s="20" t="s">
        <v>1546</v>
      </c>
      <c r="AA332" s="22"/>
      <c r="AB332" s="23">
        <v>46016</v>
      </c>
      <c r="AC332" s="27" t="s">
        <v>542</v>
      </c>
      <c r="AD332" s="80"/>
      <c r="AE332" s="24"/>
      <c r="AF332" s="81"/>
      <c r="AG332" s="142"/>
    </row>
    <row r="333" spans="1:33" s="34" customFormat="1" ht="27" customHeight="1">
      <c r="A333" s="15">
        <v>330</v>
      </c>
      <c r="B333" s="81">
        <v>45992</v>
      </c>
      <c r="C333" s="15" t="s">
        <v>95</v>
      </c>
      <c r="D333" s="15" t="s">
        <v>2944</v>
      </c>
      <c r="E333" s="26" t="s">
        <v>97</v>
      </c>
      <c r="F333" s="27" t="s">
        <v>109</v>
      </c>
      <c r="G333" s="27">
        <v>645602</v>
      </c>
      <c r="H333" s="81">
        <v>45993</v>
      </c>
      <c r="I333" s="27">
        <v>6242320</v>
      </c>
      <c r="J333" s="28" t="s">
        <v>2945</v>
      </c>
      <c r="K333" s="81">
        <v>45992</v>
      </c>
      <c r="L333" s="81">
        <v>46356</v>
      </c>
      <c r="M333" s="28" t="s">
        <v>2946</v>
      </c>
      <c r="N333" s="400">
        <v>195990</v>
      </c>
      <c r="O333" s="29">
        <v>47700</v>
      </c>
      <c r="P333" s="30" t="s">
        <v>2565</v>
      </c>
      <c r="Q333" s="31">
        <v>45992</v>
      </c>
      <c r="R333" s="32">
        <v>46356</v>
      </c>
      <c r="S333" s="20" t="s">
        <v>2774</v>
      </c>
      <c r="T333" s="33" t="s">
        <v>2947</v>
      </c>
      <c r="U333" s="114">
        <v>45995</v>
      </c>
      <c r="V333" s="115">
        <v>1568137</v>
      </c>
      <c r="W333" s="18"/>
      <c r="X333" s="19">
        <v>47700</v>
      </c>
      <c r="Y333" s="20" t="s">
        <v>1462</v>
      </c>
      <c r="Z333" s="20" t="s">
        <v>106</v>
      </c>
      <c r="AA333" s="22"/>
      <c r="AB333" s="23">
        <v>46016</v>
      </c>
      <c r="AC333" s="27" t="s">
        <v>2948</v>
      </c>
      <c r="AD333" s="80"/>
      <c r="AE333" s="24" t="s">
        <v>2949</v>
      </c>
      <c r="AF333" s="81"/>
      <c r="AG333" s="142"/>
    </row>
    <row r="334" spans="1:33" s="333" customFormat="1" ht="27" customHeight="1">
      <c r="A334" s="314">
        <v>331</v>
      </c>
      <c r="B334" s="315">
        <v>45993</v>
      </c>
      <c r="C334" s="314" t="s">
        <v>95</v>
      </c>
      <c r="D334" s="316" t="s">
        <v>2950</v>
      </c>
      <c r="E334" s="317" t="s">
        <v>97</v>
      </c>
      <c r="F334" s="318" t="s">
        <v>98</v>
      </c>
      <c r="G334" s="318">
        <v>645602</v>
      </c>
      <c r="H334" s="315">
        <v>45993</v>
      </c>
      <c r="I334" s="318">
        <v>6242363</v>
      </c>
      <c r="J334" s="319" t="s">
        <v>592</v>
      </c>
      <c r="K334" s="315">
        <v>46010</v>
      </c>
      <c r="L334" s="315">
        <v>46374</v>
      </c>
      <c r="M334" s="319" t="s">
        <v>2951</v>
      </c>
      <c r="N334" s="400"/>
      <c r="O334" s="320">
        <v>29500</v>
      </c>
      <c r="P334" s="321" t="s">
        <v>2565</v>
      </c>
      <c r="Q334" s="322">
        <v>45992</v>
      </c>
      <c r="R334" s="323">
        <v>46374</v>
      </c>
      <c r="S334" s="324" t="s">
        <v>2952</v>
      </c>
      <c r="T334" s="325" t="s">
        <v>2953</v>
      </c>
      <c r="U334" s="326" t="s">
        <v>2565</v>
      </c>
      <c r="V334" s="327" t="s">
        <v>2565</v>
      </c>
      <c r="W334" s="328"/>
      <c r="X334" s="118">
        <v>29500</v>
      </c>
      <c r="Y334" s="324" t="s">
        <v>2954</v>
      </c>
      <c r="Z334" s="324" t="s">
        <v>106</v>
      </c>
      <c r="AA334" s="119"/>
      <c r="AB334" s="329">
        <v>46016</v>
      </c>
      <c r="AC334" s="318" t="s">
        <v>2955</v>
      </c>
      <c r="AD334" s="330"/>
      <c r="AE334" s="331"/>
      <c r="AF334" s="315"/>
      <c r="AG334" s="332"/>
    </row>
    <row r="335" spans="1:33" s="34" customFormat="1" ht="27" customHeight="1">
      <c r="A335" s="15">
        <v>332</v>
      </c>
      <c r="B335" s="81">
        <v>45994</v>
      </c>
      <c r="C335" s="15" t="s">
        <v>38</v>
      </c>
      <c r="D335" s="15" t="s">
        <v>2956</v>
      </c>
      <c r="E335" s="26" t="s">
        <v>59</v>
      </c>
      <c r="F335" s="27" t="s">
        <v>277</v>
      </c>
      <c r="G335" s="27">
        <v>645600</v>
      </c>
      <c r="H335" s="81">
        <v>45994</v>
      </c>
      <c r="I335" s="27">
        <v>6242989</v>
      </c>
      <c r="J335" s="28" t="s">
        <v>2957</v>
      </c>
      <c r="K335" s="81">
        <v>45992</v>
      </c>
      <c r="L335" s="81">
        <v>46356</v>
      </c>
      <c r="M335" s="28" t="s">
        <v>2958</v>
      </c>
      <c r="N335" s="400">
        <v>550518</v>
      </c>
      <c r="O335" s="29">
        <v>508800</v>
      </c>
      <c r="P335" s="30" t="s">
        <v>2565</v>
      </c>
      <c r="Q335" s="31">
        <v>45992</v>
      </c>
      <c r="R335" s="32">
        <v>46356</v>
      </c>
      <c r="S335" s="20" t="s">
        <v>2959</v>
      </c>
      <c r="T335" s="33" t="s">
        <v>2960</v>
      </c>
      <c r="U335" s="16">
        <v>46001</v>
      </c>
      <c r="V335" s="17" t="s">
        <v>2961</v>
      </c>
      <c r="W335" s="18">
        <v>46042</v>
      </c>
      <c r="X335" s="19">
        <v>508800</v>
      </c>
      <c r="Y335" s="20" t="s">
        <v>731</v>
      </c>
      <c r="Z335" s="20" t="s">
        <v>1703</v>
      </c>
      <c r="AA335" s="22"/>
      <c r="AB335" s="23">
        <v>46016</v>
      </c>
      <c r="AC335" s="27" t="s">
        <v>2962</v>
      </c>
      <c r="AD335" s="80"/>
      <c r="AE335" s="24"/>
      <c r="AF335" s="81"/>
      <c r="AG335" s="142"/>
    </row>
    <row r="336" spans="1:33" s="34" customFormat="1" ht="27" customHeight="1">
      <c r="A336" s="15">
        <v>333</v>
      </c>
      <c r="B336" s="81">
        <v>45996</v>
      </c>
      <c r="C336" s="15" t="s">
        <v>38</v>
      </c>
      <c r="D336" s="187" t="s">
        <v>2963</v>
      </c>
      <c r="E336" s="26" t="s">
        <v>40</v>
      </c>
      <c r="F336" s="27" t="s">
        <v>41</v>
      </c>
      <c r="G336" s="27">
        <v>645600</v>
      </c>
      <c r="H336" s="81">
        <v>46000</v>
      </c>
      <c r="I336" s="27">
        <v>6245478</v>
      </c>
      <c r="J336" s="28" t="s">
        <v>2964</v>
      </c>
      <c r="K336" s="81">
        <v>46007</v>
      </c>
      <c r="L336" s="81">
        <v>46006</v>
      </c>
      <c r="M336" s="28" t="s">
        <v>2965</v>
      </c>
      <c r="N336" s="400">
        <v>99534</v>
      </c>
      <c r="O336" s="29">
        <v>10043.34</v>
      </c>
      <c r="P336" s="30">
        <v>1272.92</v>
      </c>
      <c r="Q336" s="31">
        <v>45717</v>
      </c>
      <c r="R336" s="32">
        <v>46371</v>
      </c>
      <c r="S336" s="20" t="s">
        <v>394</v>
      </c>
      <c r="T336" s="33" t="s">
        <v>2966</v>
      </c>
      <c r="U336" s="16">
        <v>46009</v>
      </c>
      <c r="V336" s="17" t="s">
        <v>2967</v>
      </c>
      <c r="W336" s="18">
        <v>46150</v>
      </c>
      <c r="X336" s="19">
        <v>9903.83</v>
      </c>
      <c r="Y336" s="20" t="s">
        <v>47</v>
      </c>
      <c r="Z336" s="20" t="s">
        <v>1546</v>
      </c>
      <c r="AA336" s="22"/>
      <c r="AB336" s="23">
        <v>46016</v>
      </c>
      <c r="AC336" s="27" t="s">
        <v>2968</v>
      </c>
      <c r="AD336" s="80"/>
      <c r="AE336" s="24"/>
      <c r="AF336" s="81"/>
      <c r="AG336" s="142"/>
    </row>
    <row r="337" spans="1:33" s="34" customFormat="1" ht="27" customHeight="1">
      <c r="A337" s="15">
        <v>334</v>
      </c>
      <c r="B337" s="81">
        <v>45989</v>
      </c>
      <c r="C337" s="15" t="s">
        <v>38</v>
      </c>
      <c r="D337" s="15" t="s">
        <v>2969</v>
      </c>
      <c r="E337" s="26" t="s">
        <v>59</v>
      </c>
      <c r="F337" s="27" t="s">
        <v>277</v>
      </c>
      <c r="G337" s="27">
        <v>645600</v>
      </c>
      <c r="H337" s="81">
        <v>46000</v>
      </c>
      <c r="I337" s="27">
        <v>6245480</v>
      </c>
      <c r="J337" s="28" t="s">
        <v>2970</v>
      </c>
      <c r="K337" s="81">
        <v>46006</v>
      </c>
      <c r="L337" s="81">
        <v>46370</v>
      </c>
      <c r="M337" s="28" t="s">
        <v>2971</v>
      </c>
      <c r="N337" s="400">
        <v>63980</v>
      </c>
      <c r="O337" s="29">
        <v>14622</v>
      </c>
      <c r="P337" s="30" t="s">
        <v>2565</v>
      </c>
      <c r="Q337" s="31">
        <v>46006</v>
      </c>
      <c r="R337" s="32">
        <v>46370</v>
      </c>
      <c r="S337" s="20" t="s">
        <v>399</v>
      </c>
      <c r="T337" s="33" t="s">
        <v>2972</v>
      </c>
      <c r="U337" s="16">
        <v>46002</v>
      </c>
      <c r="V337" s="17" t="s">
        <v>2973</v>
      </c>
      <c r="W337" s="18">
        <v>46034</v>
      </c>
      <c r="X337" s="19">
        <v>14622</v>
      </c>
      <c r="Y337" s="20" t="s">
        <v>259</v>
      </c>
      <c r="Z337" s="20" t="s">
        <v>1703</v>
      </c>
      <c r="AA337" s="22"/>
      <c r="AB337" s="23">
        <v>46016</v>
      </c>
      <c r="AC337" s="27" t="s">
        <v>2974</v>
      </c>
      <c r="AD337" s="80"/>
      <c r="AE337" s="24"/>
      <c r="AF337" s="81"/>
      <c r="AG337" s="142"/>
    </row>
    <row r="338" spans="1:33" s="34" customFormat="1" ht="27" customHeight="1">
      <c r="A338" s="15">
        <v>335</v>
      </c>
      <c r="B338" s="81">
        <v>46006</v>
      </c>
      <c r="C338" s="15" t="s">
        <v>38</v>
      </c>
      <c r="D338" s="15" t="s">
        <v>2975</v>
      </c>
      <c r="E338" s="26" t="s">
        <v>70</v>
      </c>
      <c r="F338" s="27" t="s">
        <v>277</v>
      </c>
      <c r="G338" s="27">
        <v>645600</v>
      </c>
      <c r="H338" s="81">
        <v>46007</v>
      </c>
      <c r="I338" s="27">
        <v>6247737</v>
      </c>
      <c r="J338" s="28" t="s">
        <v>650</v>
      </c>
      <c r="K338" s="81">
        <v>45992</v>
      </c>
      <c r="L338" s="81">
        <v>46356</v>
      </c>
      <c r="M338" s="28" t="s">
        <v>2976</v>
      </c>
      <c r="N338" s="400">
        <v>217746</v>
      </c>
      <c r="O338" s="29">
        <v>257801</v>
      </c>
      <c r="P338" s="30"/>
      <c r="Q338" s="31">
        <v>45992</v>
      </c>
      <c r="R338" s="32">
        <v>46356</v>
      </c>
      <c r="S338" s="20" t="s">
        <v>2295</v>
      </c>
      <c r="T338" s="33" t="s">
        <v>2977</v>
      </c>
      <c r="U338" s="16">
        <v>46010</v>
      </c>
      <c r="V338" s="17" t="s">
        <v>2978</v>
      </c>
      <c r="W338" s="18"/>
      <c r="X338" s="19">
        <v>27801</v>
      </c>
      <c r="Y338" s="20" t="s">
        <v>123</v>
      </c>
      <c r="Z338" s="20" t="s">
        <v>1554</v>
      </c>
      <c r="AA338" s="22"/>
      <c r="AB338" s="23">
        <v>46016</v>
      </c>
      <c r="AC338" s="27" t="s">
        <v>655</v>
      </c>
      <c r="AD338" s="80"/>
      <c r="AE338" s="24" t="s">
        <v>2979</v>
      </c>
      <c r="AF338" s="81"/>
      <c r="AG338" s="142"/>
    </row>
    <row r="339" spans="1:33" s="34" customFormat="1" ht="27" customHeight="1">
      <c r="A339" s="15">
        <v>336</v>
      </c>
      <c r="B339" s="81">
        <v>46006</v>
      </c>
      <c r="C339" s="15" t="s">
        <v>38</v>
      </c>
      <c r="D339" s="15" t="s">
        <v>2980</v>
      </c>
      <c r="E339" s="26" t="s">
        <v>70</v>
      </c>
      <c r="F339" s="27" t="s">
        <v>277</v>
      </c>
      <c r="G339" s="27">
        <v>645600</v>
      </c>
      <c r="H339" s="81">
        <v>46007</v>
      </c>
      <c r="I339" s="27">
        <v>6247757</v>
      </c>
      <c r="J339" s="28" t="s">
        <v>650</v>
      </c>
      <c r="K339" s="81">
        <v>45992</v>
      </c>
      <c r="L339" s="81">
        <v>46356</v>
      </c>
      <c r="M339" s="28" t="s">
        <v>2976</v>
      </c>
      <c r="N339" s="400">
        <v>217746</v>
      </c>
      <c r="O339" s="29">
        <v>7500</v>
      </c>
      <c r="P339" s="30"/>
      <c r="Q339" s="31">
        <v>45992</v>
      </c>
      <c r="R339" s="32">
        <v>46356</v>
      </c>
      <c r="S339" s="20" t="s">
        <v>2981</v>
      </c>
      <c r="T339" s="33" t="s">
        <v>2982</v>
      </c>
      <c r="U339" s="16">
        <v>46010</v>
      </c>
      <c r="V339" s="17" t="s">
        <v>2983</v>
      </c>
      <c r="W339" s="18"/>
      <c r="X339" s="19">
        <v>7500</v>
      </c>
      <c r="Y339" s="20" t="s">
        <v>123</v>
      </c>
      <c r="Z339" s="20" t="s">
        <v>1554</v>
      </c>
      <c r="AA339" s="22"/>
      <c r="AB339" s="23">
        <v>46016</v>
      </c>
      <c r="AC339" s="27" t="s">
        <v>655</v>
      </c>
      <c r="AD339" s="80"/>
      <c r="AE339" s="24" t="s">
        <v>2979</v>
      </c>
      <c r="AF339" s="81"/>
      <c r="AG339" s="142"/>
    </row>
    <row r="340" spans="1:33" s="34" customFormat="1" ht="27" customHeight="1">
      <c r="A340" s="15">
        <v>337</v>
      </c>
      <c r="B340" s="81">
        <v>46007</v>
      </c>
      <c r="C340" s="15" t="s">
        <v>38</v>
      </c>
      <c r="D340" s="15" t="s">
        <v>2984</v>
      </c>
      <c r="E340" s="26" t="s">
        <v>40</v>
      </c>
      <c r="F340" s="27" t="s">
        <v>41</v>
      </c>
      <c r="G340" s="27">
        <v>645600</v>
      </c>
      <c r="H340" s="81">
        <v>46007</v>
      </c>
      <c r="I340" s="27">
        <v>6247764</v>
      </c>
      <c r="J340" s="28" t="s">
        <v>411</v>
      </c>
      <c r="K340" s="81">
        <v>46023</v>
      </c>
      <c r="L340" s="81">
        <v>46387</v>
      </c>
      <c r="M340" s="28" t="s">
        <v>2985</v>
      </c>
      <c r="N340" s="400">
        <v>1687021</v>
      </c>
      <c r="O340" s="29">
        <v>1133183.1000000001</v>
      </c>
      <c r="P340" s="30">
        <v>143622.70000000001</v>
      </c>
      <c r="Q340" s="31">
        <v>46023</v>
      </c>
      <c r="R340" s="32">
        <v>46387</v>
      </c>
      <c r="S340" s="20" t="s">
        <v>784</v>
      </c>
      <c r="T340" s="33" t="s">
        <v>2986</v>
      </c>
      <c r="U340" s="16">
        <v>46009</v>
      </c>
      <c r="V340" s="17" t="s">
        <v>2987</v>
      </c>
      <c r="W340" s="18">
        <v>46087</v>
      </c>
      <c r="X340" s="19">
        <v>1117442.06</v>
      </c>
      <c r="Y340" s="20" t="s">
        <v>245</v>
      </c>
      <c r="Z340" s="20" t="s">
        <v>1546</v>
      </c>
      <c r="AA340" s="22"/>
      <c r="AB340" s="23">
        <v>46016</v>
      </c>
      <c r="AC340" s="27" t="s">
        <v>2988</v>
      </c>
      <c r="AD340" s="80"/>
      <c r="AE340" s="24"/>
      <c r="AF340" s="81"/>
      <c r="AG340" s="142"/>
    </row>
    <row r="341" spans="1:33" s="34" customFormat="1" ht="27" customHeight="1">
      <c r="A341" s="168">
        <v>338</v>
      </c>
      <c r="B341" s="169">
        <v>45999</v>
      </c>
      <c r="C341" s="168" t="s">
        <v>95</v>
      </c>
      <c r="D341" s="168" t="s">
        <v>2989</v>
      </c>
      <c r="E341" s="170" t="s">
        <v>97</v>
      </c>
      <c r="F341" s="186" t="s">
        <v>98</v>
      </c>
      <c r="G341" s="168">
        <v>645602</v>
      </c>
      <c r="H341" s="169">
        <v>46007</v>
      </c>
      <c r="I341" s="334">
        <v>6247761</v>
      </c>
      <c r="J341" s="171" t="s">
        <v>1020</v>
      </c>
      <c r="K341" s="169">
        <v>45962</v>
      </c>
      <c r="L341" s="169">
        <v>46690</v>
      </c>
      <c r="M341" s="171" t="s">
        <v>885</v>
      </c>
      <c r="N341" s="400">
        <v>962640</v>
      </c>
      <c r="O341" s="172">
        <v>3000</v>
      </c>
      <c r="P341" s="173" t="s">
        <v>2565</v>
      </c>
      <c r="Q341" s="174" t="s">
        <v>805</v>
      </c>
      <c r="R341" s="175" t="s">
        <v>2565</v>
      </c>
      <c r="S341" s="176" t="s">
        <v>586</v>
      </c>
      <c r="T341" s="177" t="s">
        <v>2990</v>
      </c>
      <c r="U341" s="200">
        <v>46013</v>
      </c>
      <c r="V341" s="201">
        <v>1571114</v>
      </c>
      <c r="W341" s="251"/>
      <c r="X341" s="180">
        <v>3000</v>
      </c>
      <c r="Y341" s="176" t="s">
        <v>2991</v>
      </c>
      <c r="Z341" s="176" t="s">
        <v>106</v>
      </c>
      <c r="AA341" s="181"/>
      <c r="AB341" s="182">
        <v>46016</v>
      </c>
      <c r="AC341" s="186" t="s">
        <v>888</v>
      </c>
      <c r="AD341" s="183"/>
      <c r="AE341" s="184"/>
      <c r="AF341" s="169"/>
      <c r="AG341" s="185"/>
    </row>
    <row r="342" spans="1:33" s="34" customFormat="1" ht="27" customHeight="1">
      <c r="A342" s="168">
        <v>339</v>
      </c>
      <c r="B342" s="169">
        <v>46002</v>
      </c>
      <c r="C342" s="168" t="s">
        <v>95</v>
      </c>
      <c r="D342" s="168" t="s">
        <v>2992</v>
      </c>
      <c r="E342" s="170" t="s">
        <v>97</v>
      </c>
      <c r="F342" s="186" t="s">
        <v>109</v>
      </c>
      <c r="G342" s="168">
        <v>645602</v>
      </c>
      <c r="H342" s="169">
        <v>46007</v>
      </c>
      <c r="I342" s="277">
        <v>6247781</v>
      </c>
      <c r="J342" s="171" t="s">
        <v>1839</v>
      </c>
      <c r="K342" s="169">
        <v>46025</v>
      </c>
      <c r="L342" s="169">
        <v>46389</v>
      </c>
      <c r="M342" s="171" t="s">
        <v>2993</v>
      </c>
      <c r="N342" s="400">
        <v>20500</v>
      </c>
      <c r="O342" s="172">
        <v>18000</v>
      </c>
      <c r="P342" s="173" t="s">
        <v>2565</v>
      </c>
      <c r="Q342" s="174">
        <v>46025</v>
      </c>
      <c r="R342" s="175">
        <v>46389</v>
      </c>
      <c r="S342" s="176" t="s">
        <v>586</v>
      </c>
      <c r="T342" s="177" t="s">
        <v>2994</v>
      </c>
      <c r="U342" s="178">
        <v>46139</v>
      </c>
      <c r="V342" s="179">
        <v>1590099</v>
      </c>
      <c r="W342" s="251" t="s">
        <v>2565</v>
      </c>
      <c r="X342" s="180">
        <v>18000</v>
      </c>
      <c r="Y342" s="176" t="s">
        <v>237</v>
      </c>
      <c r="Z342" s="176" t="s">
        <v>106</v>
      </c>
      <c r="AA342" s="181"/>
      <c r="AB342" s="182">
        <v>46016</v>
      </c>
      <c r="AC342" s="186" t="s">
        <v>2995</v>
      </c>
      <c r="AD342" s="183"/>
      <c r="AE342" s="184"/>
      <c r="AF342" s="169"/>
      <c r="AG342" s="185"/>
    </row>
    <row r="343" spans="1:33" s="34" customFormat="1" ht="27" customHeight="1">
      <c r="A343" s="168">
        <v>340</v>
      </c>
      <c r="B343" s="169">
        <v>46003</v>
      </c>
      <c r="C343" s="168" t="s">
        <v>95</v>
      </c>
      <c r="D343" s="168" t="s">
        <v>2996</v>
      </c>
      <c r="E343" s="170" t="s">
        <v>97</v>
      </c>
      <c r="F343" s="186" t="s">
        <v>98</v>
      </c>
      <c r="G343" s="168">
        <v>645602</v>
      </c>
      <c r="H343" s="169">
        <v>46007</v>
      </c>
      <c r="I343" s="334">
        <v>6247789</v>
      </c>
      <c r="J343" s="171" t="s">
        <v>2997</v>
      </c>
      <c r="K343" s="169">
        <v>45930</v>
      </c>
      <c r="L343" s="169">
        <v>46294</v>
      </c>
      <c r="M343" s="171" t="s">
        <v>2998</v>
      </c>
      <c r="N343" s="400">
        <v>42000</v>
      </c>
      <c r="O343" s="172">
        <v>37800</v>
      </c>
      <c r="P343" s="173" t="s">
        <v>2565</v>
      </c>
      <c r="Q343" s="174">
        <v>45930</v>
      </c>
      <c r="R343" s="175">
        <v>46294</v>
      </c>
      <c r="S343" s="176" t="s">
        <v>2999</v>
      </c>
      <c r="T343" s="177" t="s">
        <v>3000</v>
      </c>
      <c r="U343" s="200">
        <v>46043</v>
      </c>
      <c r="V343" s="201" t="s">
        <v>3001</v>
      </c>
      <c r="W343" s="251" t="s">
        <v>2565</v>
      </c>
      <c r="X343" s="180">
        <v>37800</v>
      </c>
      <c r="Y343" s="176" t="s">
        <v>237</v>
      </c>
      <c r="Z343" s="176" t="s">
        <v>106</v>
      </c>
      <c r="AA343" s="181"/>
      <c r="AB343" s="182">
        <v>46016</v>
      </c>
      <c r="AC343" s="186" t="s">
        <v>3002</v>
      </c>
      <c r="AD343" s="183"/>
      <c r="AE343" s="184"/>
      <c r="AF343" s="169"/>
      <c r="AG343" s="185"/>
    </row>
    <row r="344" spans="1:33" s="34" customFormat="1" ht="27" customHeight="1">
      <c r="A344" s="168">
        <v>341</v>
      </c>
      <c r="B344" s="169">
        <v>46006</v>
      </c>
      <c r="C344" s="168" t="s">
        <v>95</v>
      </c>
      <c r="D344" s="168" t="s">
        <v>3003</v>
      </c>
      <c r="E344" s="170" t="s">
        <v>97</v>
      </c>
      <c r="F344" s="186" t="s">
        <v>98</v>
      </c>
      <c r="G344" s="168">
        <v>645602</v>
      </c>
      <c r="H344" s="169">
        <v>46008</v>
      </c>
      <c r="I344" s="334">
        <v>6248334</v>
      </c>
      <c r="J344" s="171" t="s">
        <v>2549</v>
      </c>
      <c r="K344" s="169">
        <v>45941</v>
      </c>
      <c r="L344" s="169">
        <v>45942</v>
      </c>
      <c r="M344" s="171" t="s">
        <v>3004</v>
      </c>
      <c r="N344" s="400">
        <v>28000</v>
      </c>
      <c r="O344" s="172">
        <v>25000</v>
      </c>
      <c r="P344" s="173"/>
      <c r="Q344" s="174" t="s">
        <v>805</v>
      </c>
      <c r="R344" s="175"/>
      <c r="S344" s="253" t="s">
        <v>1325</v>
      </c>
      <c r="T344" s="177" t="s">
        <v>3005</v>
      </c>
      <c r="U344" s="200">
        <v>46025</v>
      </c>
      <c r="V344" s="201" t="s">
        <v>3006</v>
      </c>
      <c r="W344" s="251"/>
      <c r="X344" s="180">
        <v>25000</v>
      </c>
      <c r="Y344" s="176" t="s">
        <v>259</v>
      </c>
      <c r="Z344" s="176" t="s">
        <v>106</v>
      </c>
      <c r="AA344" s="181"/>
      <c r="AB344" s="182">
        <v>46016</v>
      </c>
      <c r="AC344" s="186" t="s">
        <v>3007</v>
      </c>
      <c r="AD344" s="183"/>
      <c r="AE344" s="184"/>
      <c r="AF344" s="169"/>
      <c r="AG344" s="185"/>
    </row>
    <row r="345" spans="1:33" s="34" customFormat="1" ht="27" customHeight="1">
      <c r="A345" s="15">
        <v>342</v>
      </c>
      <c r="B345" s="81">
        <v>46008</v>
      </c>
      <c r="C345" s="15" t="s">
        <v>38</v>
      </c>
      <c r="D345" s="15" t="s">
        <v>3008</v>
      </c>
      <c r="E345" s="26" t="s">
        <v>59</v>
      </c>
      <c r="F345" s="27" t="s">
        <v>277</v>
      </c>
      <c r="G345" s="27">
        <v>645600</v>
      </c>
      <c r="H345" s="81">
        <v>46008</v>
      </c>
      <c r="I345" s="27">
        <v>6248374</v>
      </c>
      <c r="J345" s="28" t="s">
        <v>1564</v>
      </c>
      <c r="K345" s="81">
        <v>46023</v>
      </c>
      <c r="L345" s="81">
        <v>46387</v>
      </c>
      <c r="M345" s="28" t="s">
        <v>3009</v>
      </c>
      <c r="N345" s="400">
        <v>99941</v>
      </c>
      <c r="O345" s="29">
        <v>42167.67</v>
      </c>
      <c r="P345" s="30" t="s">
        <v>2565</v>
      </c>
      <c r="Q345" s="31">
        <v>46023</v>
      </c>
      <c r="R345" s="32">
        <v>46387</v>
      </c>
      <c r="S345" s="20" t="s">
        <v>1807</v>
      </c>
      <c r="T345" s="33" t="s">
        <v>3010</v>
      </c>
      <c r="U345" s="16">
        <v>46014</v>
      </c>
      <c r="V345" s="17" t="s">
        <v>3011</v>
      </c>
      <c r="W345" s="251"/>
      <c r="X345" s="19">
        <v>42167.67</v>
      </c>
      <c r="Y345" s="20" t="s">
        <v>191</v>
      </c>
      <c r="Z345" s="20" t="s">
        <v>1703</v>
      </c>
      <c r="AA345" s="22"/>
      <c r="AB345" s="23">
        <v>46016</v>
      </c>
      <c r="AC345" s="27" t="s">
        <v>3012</v>
      </c>
      <c r="AD345" s="80"/>
      <c r="AE345" s="24"/>
      <c r="AF345" s="81"/>
      <c r="AG345" s="142"/>
    </row>
    <row r="346" spans="1:33" s="34" customFormat="1" ht="27" customHeight="1">
      <c r="A346" s="168">
        <v>343</v>
      </c>
      <c r="B346" s="169">
        <v>46008</v>
      </c>
      <c r="C346" s="168" t="s">
        <v>95</v>
      </c>
      <c r="D346" s="168" t="s">
        <v>3013</v>
      </c>
      <c r="E346" s="170" t="s">
        <v>97</v>
      </c>
      <c r="F346" s="186" t="s">
        <v>98</v>
      </c>
      <c r="G346" s="168">
        <v>645602</v>
      </c>
      <c r="H346" s="169">
        <v>46008</v>
      </c>
      <c r="I346" s="335">
        <v>6248382</v>
      </c>
      <c r="J346" s="171" t="s">
        <v>3014</v>
      </c>
      <c r="K346" s="169">
        <v>45992</v>
      </c>
      <c r="L346" s="169">
        <v>46356</v>
      </c>
      <c r="M346" s="171" t="s">
        <v>3015</v>
      </c>
      <c r="N346" s="400">
        <v>653594</v>
      </c>
      <c r="O346" s="172">
        <v>160000</v>
      </c>
      <c r="P346" s="173" t="s">
        <v>2565</v>
      </c>
      <c r="Q346" s="174">
        <v>45992</v>
      </c>
      <c r="R346" s="175">
        <v>46356</v>
      </c>
      <c r="S346" s="176" t="s">
        <v>3016</v>
      </c>
      <c r="T346" s="177" t="s">
        <v>3017</v>
      </c>
      <c r="U346" s="178">
        <v>46169</v>
      </c>
      <c r="V346" s="179" t="s">
        <v>3018</v>
      </c>
      <c r="W346" s="251"/>
      <c r="X346" s="180">
        <v>160000</v>
      </c>
      <c r="Y346" s="176" t="s">
        <v>183</v>
      </c>
      <c r="Z346" s="176" t="s">
        <v>106</v>
      </c>
      <c r="AA346" s="181"/>
      <c r="AB346" s="182">
        <v>46016</v>
      </c>
      <c r="AC346" s="186" t="s">
        <v>3019</v>
      </c>
      <c r="AD346" s="183"/>
      <c r="AE346" s="184"/>
      <c r="AF346" s="169"/>
      <c r="AG346" s="185"/>
    </row>
    <row r="347" spans="1:33" s="34" customFormat="1" ht="27" customHeight="1">
      <c r="A347" s="168">
        <v>344</v>
      </c>
      <c r="B347" s="169">
        <v>46008</v>
      </c>
      <c r="C347" s="168" t="s">
        <v>95</v>
      </c>
      <c r="D347" s="168" t="s">
        <v>3020</v>
      </c>
      <c r="E347" s="170" t="s">
        <v>97</v>
      </c>
      <c r="F347" s="186" t="s">
        <v>98</v>
      </c>
      <c r="G347" s="168">
        <v>645602</v>
      </c>
      <c r="H347" s="169">
        <v>46008</v>
      </c>
      <c r="I347" s="335">
        <v>6248384</v>
      </c>
      <c r="J347" s="171" t="s">
        <v>3014</v>
      </c>
      <c r="K347" s="169">
        <v>45992</v>
      </c>
      <c r="L347" s="169">
        <v>46356</v>
      </c>
      <c r="M347" s="171" t="s">
        <v>3015</v>
      </c>
      <c r="N347" s="400">
        <v>653594</v>
      </c>
      <c r="O347" s="172">
        <v>12069.96</v>
      </c>
      <c r="P347" s="173" t="s">
        <v>2565</v>
      </c>
      <c r="Q347" s="174" t="s">
        <v>280</v>
      </c>
      <c r="R347" s="175" t="s">
        <v>2565</v>
      </c>
      <c r="S347" s="176" t="s">
        <v>2645</v>
      </c>
      <c r="T347" s="177" t="s">
        <v>3021</v>
      </c>
      <c r="U347" s="178">
        <v>46160</v>
      </c>
      <c r="V347" s="179" t="s">
        <v>3022</v>
      </c>
      <c r="W347" s="251"/>
      <c r="X347" s="180">
        <v>12069.96</v>
      </c>
      <c r="Y347" s="176" t="s">
        <v>183</v>
      </c>
      <c r="Z347" s="176" t="s">
        <v>106</v>
      </c>
      <c r="AA347" s="181"/>
      <c r="AB347" s="182">
        <v>46016</v>
      </c>
      <c r="AC347" s="186" t="s">
        <v>3019</v>
      </c>
      <c r="AD347" s="183"/>
      <c r="AE347" s="184"/>
      <c r="AF347" s="169"/>
      <c r="AG347" s="185"/>
    </row>
    <row r="348" spans="1:33" s="34" customFormat="1" ht="27" customHeight="1">
      <c r="A348" s="15">
        <v>345</v>
      </c>
      <c r="B348" s="81">
        <v>46009</v>
      </c>
      <c r="C348" s="15" t="s">
        <v>38</v>
      </c>
      <c r="D348" s="15" t="s">
        <v>3023</v>
      </c>
      <c r="E348" s="26" t="s">
        <v>40</v>
      </c>
      <c r="F348" s="27" t="s">
        <v>41</v>
      </c>
      <c r="G348" s="27">
        <v>645600</v>
      </c>
      <c r="H348" s="81">
        <v>46009</v>
      </c>
      <c r="I348" s="27">
        <v>6248473</v>
      </c>
      <c r="J348" s="28" t="s">
        <v>1310</v>
      </c>
      <c r="K348" s="81">
        <v>46026</v>
      </c>
      <c r="L348" s="81">
        <v>46390</v>
      </c>
      <c r="M348" s="28" t="s">
        <v>3024</v>
      </c>
      <c r="N348" s="400">
        <v>2800000</v>
      </c>
      <c r="O348" s="29">
        <v>1196092.3600000001</v>
      </c>
      <c r="P348" s="30">
        <v>151595.99</v>
      </c>
      <c r="Q348" s="31">
        <v>46023</v>
      </c>
      <c r="R348" s="32">
        <v>46390</v>
      </c>
      <c r="S348" s="20" t="s">
        <v>394</v>
      </c>
      <c r="T348" s="33" t="s">
        <v>3025</v>
      </c>
      <c r="U348" s="16">
        <v>46010</v>
      </c>
      <c r="V348" s="17" t="s">
        <v>3026</v>
      </c>
      <c r="W348" s="18">
        <v>46212</v>
      </c>
      <c r="X348" s="19">
        <v>1179477.44</v>
      </c>
      <c r="Y348" s="20" t="s">
        <v>299</v>
      </c>
      <c r="Z348" s="20" t="s">
        <v>1058</v>
      </c>
      <c r="AA348" s="22"/>
      <c r="AB348" s="23">
        <v>46016</v>
      </c>
      <c r="AC348" s="27" t="s">
        <v>3027</v>
      </c>
      <c r="AD348" s="80" t="s">
        <v>1803</v>
      </c>
      <c r="AE348" s="24"/>
      <c r="AF348" s="81"/>
      <c r="AG348" s="142"/>
    </row>
    <row r="349" spans="1:33" s="34" customFormat="1" ht="27" customHeight="1">
      <c r="A349" s="257">
        <v>346</v>
      </c>
      <c r="B349" s="258">
        <v>46009</v>
      </c>
      <c r="C349" s="257" t="s">
        <v>38</v>
      </c>
      <c r="D349" s="257" t="s">
        <v>3028</v>
      </c>
      <c r="E349" s="259" t="s">
        <v>40</v>
      </c>
      <c r="F349" s="260" t="s">
        <v>41</v>
      </c>
      <c r="G349" s="260">
        <v>645600</v>
      </c>
      <c r="H349" s="258">
        <v>46009</v>
      </c>
      <c r="I349" s="260">
        <v>6248483</v>
      </c>
      <c r="J349" s="261" t="s">
        <v>1310</v>
      </c>
      <c r="K349" s="258">
        <v>46026</v>
      </c>
      <c r="L349" s="258">
        <v>46390</v>
      </c>
      <c r="M349" s="261" t="s">
        <v>3024</v>
      </c>
      <c r="N349" s="400"/>
      <c r="O349" s="262"/>
      <c r="P349" s="263">
        <v>19860</v>
      </c>
      <c r="Q349" s="264">
        <v>46023</v>
      </c>
      <c r="R349" s="265">
        <v>46390</v>
      </c>
      <c r="S349" s="266" t="s">
        <v>380</v>
      </c>
      <c r="T349" s="267" t="s">
        <v>3029</v>
      </c>
      <c r="U349" s="268" t="s">
        <v>3030</v>
      </c>
      <c r="V349" s="269"/>
      <c r="W349" s="270"/>
      <c r="X349" s="271">
        <v>19860</v>
      </c>
      <c r="Y349" s="266" t="s">
        <v>299</v>
      </c>
      <c r="Z349" s="266" t="s">
        <v>1058</v>
      </c>
      <c r="AA349" s="272"/>
      <c r="AB349" s="273">
        <v>46016</v>
      </c>
      <c r="AC349" s="260" t="s">
        <v>3027</v>
      </c>
      <c r="AD349" s="274" t="s">
        <v>1803</v>
      </c>
      <c r="AE349" s="24" t="s">
        <v>3031</v>
      </c>
      <c r="AF349" s="81"/>
      <c r="AG349" s="142"/>
    </row>
    <row r="350" spans="1:33" s="34" customFormat="1" ht="27" customHeight="1">
      <c r="A350" s="15">
        <v>347</v>
      </c>
      <c r="B350" s="81">
        <v>46010</v>
      </c>
      <c r="C350" s="15" t="s">
        <v>38</v>
      </c>
      <c r="D350" s="15" t="s">
        <v>3032</v>
      </c>
      <c r="E350" s="26" t="s">
        <v>40</v>
      </c>
      <c r="F350" s="27" t="s">
        <v>41</v>
      </c>
      <c r="G350" s="27">
        <v>645600</v>
      </c>
      <c r="H350" s="81">
        <v>46010</v>
      </c>
      <c r="I350" s="27">
        <v>6249030</v>
      </c>
      <c r="J350" s="28" t="s">
        <v>1564</v>
      </c>
      <c r="K350" s="81">
        <v>46023</v>
      </c>
      <c r="L350" s="81">
        <v>46387</v>
      </c>
      <c r="M350" s="28" t="s">
        <v>3033</v>
      </c>
      <c r="N350" s="400">
        <v>1011227</v>
      </c>
      <c r="O350" s="29">
        <v>559948.88</v>
      </c>
      <c r="P350" s="30">
        <v>70969.440000000002</v>
      </c>
      <c r="Q350" s="31">
        <v>46023</v>
      </c>
      <c r="R350" s="32">
        <v>46387</v>
      </c>
      <c r="S350" s="20" t="s">
        <v>394</v>
      </c>
      <c r="T350" s="33" t="s">
        <v>3034</v>
      </c>
      <c r="U350" s="16">
        <v>46013</v>
      </c>
      <c r="V350" s="17" t="s">
        <v>3035</v>
      </c>
      <c r="W350" s="18">
        <v>46035</v>
      </c>
      <c r="X350" s="19">
        <v>552170.63</v>
      </c>
      <c r="Y350" s="20" t="s">
        <v>191</v>
      </c>
      <c r="Z350" s="20" t="s">
        <v>1058</v>
      </c>
      <c r="AA350" s="22"/>
      <c r="AB350" s="23">
        <v>46016</v>
      </c>
      <c r="AC350" s="27" t="s">
        <v>3036</v>
      </c>
      <c r="AD350" s="80" t="s">
        <v>1803</v>
      </c>
      <c r="AE350" s="24" t="s">
        <v>3037</v>
      </c>
      <c r="AF350" s="81"/>
      <c r="AG350" s="142"/>
    </row>
    <row r="351" spans="1:33" s="34" customFormat="1" ht="27" customHeight="1">
      <c r="A351" s="15">
        <v>348</v>
      </c>
      <c r="B351" s="81">
        <v>46010</v>
      </c>
      <c r="C351" s="15" t="s">
        <v>38</v>
      </c>
      <c r="D351" s="15" t="s">
        <v>3038</v>
      </c>
      <c r="E351" s="26" t="s">
        <v>40</v>
      </c>
      <c r="F351" s="27" t="s">
        <v>41</v>
      </c>
      <c r="G351" s="27">
        <v>645600</v>
      </c>
      <c r="H351" s="81">
        <v>46010</v>
      </c>
      <c r="I351" s="27">
        <v>6249033</v>
      </c>
      <c r="J351" s="28" t="s">
        <v>1564</v>
      </c>
      <c r="K351" s="81">
        <v>46023</v>
      </c>
      <c r="L351" s="81">
        <v>46387</v>
      </c>
      <c r="M351" s="28" t="s">
        <v>3033</v>
      </c>
      <c r="N351" s="400">
        <v>1011227</v>
      </c>
      <c r="O351" s="29">
        <v>40236.160000000003</v>
      </c>
      <c r="P351" s="30">
        <v>5099.6400000000003</v>
      </c>
      <c r="Q351" s="31">
        <v>46023</v>
      </c>
      <c r="R351" s="32">
        <v>46387</v>
      </c>
      <c r="S351" s="20" t="s">
        <v>394</v>
      </c>
      <c r="T351" s="33" t="s">
        <v>3039</v>
      </c>
      <c r="U351" s="16">
        <v>46013</v>
      </c>
      <c r="V351" s="17" t="s">
        <v>3040</v>
      </c>
      <c r="W351" s="18"/>
      <c r="X351" s="19">
        <v>39677.24</v>
      </c>
      <c r="Y351" s="20" t="s">
        <v>191</v>
      </c>
      <c r="Z351" s="20" t="s">
        <v>1058</v>
      </c>
      <c r="AA351" s="22"/>
      <c r="AB351" s="23">
        <v>46016</v>
      </c>
      <c r="AC351" s="27" t="s">
        <v>3036</v>
      </c>
      <c r="AD351" s="80" t="s">
        <v>1803</v>
      </c>
      <c r="AE351" s="24" t="s">
        <v>3037</v>
      </c>
      <c r="AF351" s="81"/>
      <c r="AG351" s="142"/>
    </row>
    <row r="352" spans="1:33" s="34" customFormat="1" ht="27" customHeight="1">
      <c r="A352" s="15">
        <v>349</v>
      </c>
      <c r="B352" s="81">
        <v>46009</v>
      </c>
      <c r="C352" s="15" t="s">
        <v>38</v>
      </c>
      <c r="D352" s="15" t="s">
        <v>3041</v>
      </c>
      <c r="E352" s="26" t="s">
        <v>70</v>
      </c>
      <c r="F352" s="27" t="s">
        <v>277</v>
      </c>
      <c r="G352" s="27">
        <v>645600</v>
      </c>
      <c r="H352" s="81">
        <v>46010</v>
      </c>
      <c r="I352" s="27">
        <v>6249194</v>
      </c>
      <c r="J352" s="28" t="s">
        <v>3042</v>
      </c>
      <c r="K352" s="81">
        <v>45313</v>
      </c>
      <c r="L352" s="81">
        <v>46408</v>
      </c>
      <c r="M352" s="28" t="s">
        <v>3043</v>
      </c>
      <c r="N352" s="400">
        <v>678800</v>
      </c>
      <c r="O352" s="29">
        <v>7757</v>
      </c>
      <c r="P352" s="30"/>
      <c r="Q352" s="31">
        <v>46043</v>
      </c>
      <c r="R352" s="32">
        <v>46407</v>
      </c>
      <c r="S352" s="20" t="s">
        <v>399</v>
      </c>
      <c r="T352" s="33" t="s">
        <v>3044</v>
      </c>
      <c r="U352" s="16">
        <v>46021</v>
      </c>
      <c r="V352" s="17" t="s">
        <v>3045</v>
      </c>
      <c r="W352" s="18">
        <v>46057</v>
      </c>
      <c r="X352" s="19">
        <v>7757</v>
      </c>
      <c r="Y352" s="20" t="s">
        <v>123</v>
      </c>
      <c r="Z352" s="20" t="s">
        <v>1554</v>
      </c>
      <c r="AA352" s="22"/>
      <c r="AB352" s="23">
        <v>46016</v>
      </c>
      <c r="AC352" s="27" t="s">
        <v>3046</v>
      </c>
      <c r="AD352" s="80"/>
      <c r="AE352" s="24"/>
      <c r="AF352" s="81"/>
      <c r="AG352" s="142"/>
    </row>
    <row r="353" spans="1:33" s="34" customFormat="1" ht="27" customHeight="1">
      <c r="A353" s="15">
        <v>350</v>
      </c>
      <c r="B353" s="81">
        <v>46009</v>
      </c>
      <c r="C353" s="15" t="s">
        <v>38</v>
      </c>
      <c r="D353" s="15" t="s">
        <v>3047</v>
      </c>
      <c r="E353" s="26" t="s">
        <v>70</v>
      </c>
      <c r="F353" s="27" t="s">
        <v>277</v>
      </c>
      <c r="G353" s="27">
        <v>645600</v>
      </c>
      <c r="H353" s="81">
        <v>46010</v>
      </c>
      <c r="I353" s="27">
        <v>6249196</v>
      </c>
      <c r="J353" s="28" t="s">
        <v>3042</v>
      </c>
      <c r="K353" s="81">
        <v>45313</v>
      </c>
      <c r="L353" s="81">
        <v>46408</v>
      </c>
      <c r="M353" s="28" t="s">
        <v>3043</v>
      </c>
      <c r="N353" s="400">
        <v>678800</v>
      </c>
      <c r="O353" s="29">
        <v>8300</v>
      </c>
      <c r="P353" s="30"/>
      <c r="Q353" s="31">
        <v>46044</v>
      </c>
      <c r="R353" s="32">
        <v>46408</v>
      </c>
      <c r="S353" s="20" t="s">
        <v>2883</v>
      </c>
      <c r="T353" s="33" t="s">
        <v>3048</v>
      </c>
      <c r="U353" s="16">
        <v>46031</v>
      </c>
      <c r="V353" s="17" t="s">
        <v>3049</v>
      </c>
      <c r="W353" s="18"/>
      <c r="X353" s="19">
        <v>8300</v>
      </c>
      <c r="Y353" s="20" t="s">
        <v>123</v>
      </c>
      <c r="Z353" s="20" t="s">
        <v>1554</v>
      </c>
      <c r="AA353" s="22"/>
      <c r="AB353" s="23">
        <v>46016</v>
      </c>
      <c r="AC353" s="27" t="s">
        <v>3046</v>
      </c>
      <c r="AD353" s="80"/>
      <c r="AE353" s="24"/>
      <c r="AF353" s="81"/>
      <c r="AG353" s="142"/>
    </row>
    <row r="354" spans="1:33" s="34" customFormat="1" ht="27" customHeight="1">
      <c r="A354" s="15">
        <v>351</v>
      </c>
      <c r="B354" s="81">
        <v>46009</v>
      </c>
      <c r="C354" s="15" t="s">
        <v>38</v>
      </c>
      <c r="D354" s="15" t="s">
        <v>3050</v>
      </c>
      <c r="E354" s="26" t="s">
        <v>70</v>
      </c>
      <c r="F354" s="27" t="s">
        <v>277</v>
      </c>
      <c r="G354" s="27">
        <v>645600</v>
      </c>
      <c r="H354" s="81">
        <v>46010</v>
      </c>
      <c r="I354" s="27">
        <v>6249207</v>
      </c>
      <c r="J354" s="28" t="s">
        <v>3042</v>
      </c>
      <c r="K354" s="81">
        <v>45313</v>
      </c>
      <c r="L354" s="81">
        <v>46408</v>
      </c>
      <c r="M354" s="28" t="s">
        <v>3043</v>
      </c>
      <c r="N354" s="400">
        <v>678800</v>
      </c>
      <c r="O354" s="29">
        <v>5000</v>
      </c>
      <c r="P354" s="30"/>
      <c r="Q354" s="31">
        <v>46044</v>
      </c>
      <c r="R354" s="32">
        <v>46408</v>
      </c>
      <c r="S354" s="20" t="s">
        <v>2883</v>
      </c>
      <c r="T354" s="33" t="s">
        <v>3051</v>
      </c>
      <c r="U354" s="16">
        <v>46021</v>
      </c>
      <c r="V354" s="17" t="s">
        <v>3052</v>
      </c>
      <c r="W354" s="18"/>
      <c r="X354" s="19">
        <v>5000</v>
      </c>
      <c r="Y354" s="20" t="s">
        <v>123</v>
      </c>
      <c r="Z354" s="20" t="s">
        <v>1554</v>
      </c>
      <c r="AA354" s="22"/>
      <c r="AB354" s="23">
        <v>46016</v>
      </c>
      <c r="AC354" s="27" t="s">
        <v>3046</v>
      </c>
      <c r="AD354" s="80"/>
      <c r="AE354" s="24" t="s">
        <v>2979</v>
      </c>
      <c r="AF354" s="81"/>
      <c r="AG354" s="142"/>
    </row>
    <row r="355" spans="1:33" s="34" customFormat="1" ht="27" customHeight="1">
      <c r="A355" s="15">
        <v>352</v>
      </c>
      <c r="B355" s="81">
        <v>46009</v>
      </c>
      <c r="C355" s="15" t="s">
        <v>38</v>
      </c>
      <c r="D355" s="15" t="s">
        <v>3053</v>
      </c>
      <c r="E355" s="26" t="s">
        <v>70</v>
      </c>
      <c r="F355" s="27" t="s">
        <v>277</v>
      </c>
      <c r="G355" s="27">
        <v>645600</v>
      </c>
      <c r="H355" s="81">
        <v>46010</v>
      </c>
      <c r="I355" s="27">
        <v>6249211</v>
      </c>
      <c r="J355" s="28" t="s">
        <v>3042</v>
      </c>
      <c r="K355" s="81">
        <v>45313</v>
      </c>
      <c r="L355" s="81">
        <v>46408</v>
      </c>
      <c r="M355" s="28" t="s">
        <v>3043</v>
      </c>
      <c r="N355" s="400">
        <v>678800</v>
      </c>
      <c r="O355" s="29">
        <v>18642.02</v>
      </c>
      <c r="P355" s="30">
        <v>2362.7399999999998</v>
      </c>
      <c r="Q355" s="31">
        <v>46023</v>
      </c>
      <c r="R355" s="32">
        <v>46387</v>
      </c>
      <c r="S355" s="20" t="s">
        <v>473</v>
      </c>
      <c r="T355" s="33" t="s">
        <v>3054</v>
      </c>
      <c r="U355" s="16">
        <v>46021</v>
      </c>
      <c r="V355" s="17" t="s">
        <v>3055</v>
      </c>
      <c r="W355" s="18"/>
      <c r="X355" s="19">
        <v>18383.060000000001</v>
      </c>
      <c r="Y355" s="20" t="s">
        <v>123</v>
      </c>
      <c r="Z355" s="20" t="s">
        <v>1554</v>
      </c>
      <c r="AA355" s="22"/>
      <c r="AB355" s="23">
        <v>46016</v>
      </c>
      <c r="AC355" s="27" t="s">
        <v>3046</v>
      </c>
      <c r="AD355" s="80"/>
      <c r="AE355" s="24"/>
      <c r="AF355" s="81"/>
      <c r="AG355" s="142"/>
    </row>
    <row r="356" spans="1:33" s="34" customFormat="1" ht="27" customHeight="1">
      <c r="A356" s="15">
        <v>352</v>
      </c>
      <c r="B356" s="81">
        <v>46009</v>
      </c>
      <c r="C356" s="15" t="s">
        <v>95</v>
      </c>
      <c r="D356" s="168" t="s">
        <v>3056</v>
      </c>
      <c r="E356" s="26" t="s">
        <v>97</v>
      </c>
      <c r="F356" s="27" t="s">
        <v>109</v>
      </c>
      <c r="G356" s="15">
        <v>645602</v>
      </c>
      <c r="H356" s="81">
        <v>46010</v>
      </c>
      <c r="I356" s="15">
        <v>6249200</v>
      </c>
      <c r="J356" s="171" t="s">
        <v>2128</v>
      </c>
      <c r="K356" s="81">
        <v>45962</v>
      </c>
      <c r="L356" s="81">
        <v>46326</v>
      </c>
      <c r="M356" s="28" t="s">
        <v>3057</v>
      </c>
      <c r="N356" s="400">
        <v>271295</v>
      </c>
      <c r="O356" s="29">
        <v>138678</v>
      </c>
      <c r="P356" s="30"/>
      <c r="Q356" s="31">
        <v>45998</v>
      </c>
      <c r="R356" s="32">
        <v>46362</v>
      </c>
      <c r="S356" s="176" t="s">
        <v>2295</v>
      </c>
      <c r="T356" s="33" t="s">
        <v>3058</v>
      </c>
      <c r="U356" s="200">
        <v>46029</v>
      </c>
      <c r="V356" s="201" t="s">
        <v>3059</v>
      </c>
      <c r="W356" s="18"/>
      <c r="X356" s="19">
        <v>138678</v>
      </c>
      <c r="Y356" s="20" t="s">
        <v>336</v>
      </c>
      <c r="Z356" s="20" t="s">
        <v>106</v>
      </c>
      <c r="AA356" s="22"/>
      <c r="AB356" s="23">
        <v>46016</v>
      </c>
      <c r="AC356" s="27" t="s">
        <v>3060</v>
      </c>
      <c r="AD356" s="80"/>
      <c r="AE356" s="24"/>
      <c r="AF356" s="81"/>
      <c r="AG356" s="142"/>
    </row>
    <row r="357" spans="1:33" s="34" customFormat="1" ht="27" customHeight="1">
      <c r="A357" s="15">
        <v>354</v>
      </c>
      <c r="B357" s="81">
        <v>46010</v>
      </c>
      <c r="C357" s="15" t="s">
        <v>38</v>
      </c>
      <c r="D357" s="168" t="s">
        <v>3061</v>
      </c>
      <c r="E357" s="26" t="s">
        <v>70</v>
      </c>
      <c r="F357" s="27" t="s">
        <v>277</v>
      </c>
      <c r="G357" s="27">
        <v>645600</v>
      </c>
      <c r="H357" s="81">
        <v>46010</v>
      </c>
      <c r="I357" s="27">
        <v>6249220</v>
      </c>
      <c r="J357" s="28" t="s">
        <v>3062</v>
      </c>
      <c r="K357" s="81">
        <v>45976</v>
      </c>
      <c r="L357" s="81">
        <v>46340</v>
      </c>
      <c r="M357" s="28" t="s">
        <v>3063</v>
      </c>
      <c r="N357" s="400">
        <v>182808.2</v>
      </c>
      <c r="O357" s="29">
        <v>12255</v>
      </c>
      <c r="P357" s="30"/>
      <c r="Q357" s="31">
        <v>46054</v>
      </c>
      <c r="R357" s="32">
        <v>46340</v>
      </c>
      <c r="S357" s="20" t="s">
        <v>120</v>
      </c>
      <c r="T357" s="33" t="s">
        <v>3064</v>
      </c>
      <c r="U357" s="16">
        <v>46038</v>
      </c>
      <c r="V357" s="17" t="s">
        <v>3065</v>
      </c>
      <c r="W357" s="18"/>
      <c r="X357" s="19">
        <v>12255</v>
      </c>
      <c r="Y357" s="20" t="s">
        <v>123</v>
      </c>
      <c r="Z357" s="20" t="s">
        <v>1554</v>
      </c>
      <c r="AA357" s="22"/>
      <c r="AB357" s="23">
        <v>46016</v>
      </c>
      <c r="AC357" s="27" t="s">
        <v>3066</v>
      </c>
      <c r="AD357" s="80"/>
      <c r="AE357" s="24" t="s">
        <v>3067</v>
      </c>
      <c r="AF357" s="81"/>
      <c r="AG357" s="142"/>
    </row>
    <row r="358" spans="1:33" s="34" customFormat="1" ht="27" customHeight="1">
      <c r="A358" s="15">
        <v>355</v>
      </c>
      <c r="B358" s="81">
        <v>46010</v>
      </c>
      <c r="C358" s="15" t="s">
        <v>38</v>
      </c>
      <c r="D358" s="15" t="s">
        <v>3068</v>
      </c>
      <c r="E358" s="26" t="s">
        <v>70</v>
      </c>
      <c r="F358" s="27" t="s">
        <v>277</v>
      </c>
      <c r="G358" s="27">
        <v>645600</v>
      </c>
      <c r="H358" s="81">
        <v>46010</v>
      </c>
      <c r="I358" s="27">
        <v>6249223</v>
      </c>
      <c r="J358" s="28" t="s">
        <v>3062</v>
      </c>
      <c r="K358" s="81">
        <v>45976</v>
      </c>
      <c r="L358" s="81">
        <v>46340</v>
      </c>
      <c r="M358" s="28" t="s">
        <v>3063</v>
      </c>
      <c r="N358" s="400">
        <v>182808.2</v>
      </c>
      <c r="O358" s="29">
        <v>44786.09</v>
      </c>
      <c r="P358" s="30">
        <v>5676.31</v>
      </c>
      <c r="Q358" s="31">
        <v>46023</v>
      </c>
      <c r="R358" s="32">
        <v>46387</v>
      </c>
      <c r="S358" s="20" t="s">
        <v>473</v>
      </c>
      <c r="T358" s="33" t="s">
        <v>3069</v>
      </c>
      <c r="U358" s="16">
        <v>46024</v>
      </c>
      <c r="V358" s="17" t="s">
        <v>3070</v>
      </c>
      <c r="W358" s="18"/>
      <c r="X358" s="19">
        <v>44163.96</v>
      </c>
      <c r="Y358" s="20" t="s">
        <v>123</v>
      </c>
      <c r="Z358" s="20" t="s">
        <v>1554</v>
      </c>
      <c r="AA358" s="22"/>
      <c r="AB358" s="23">
        <v>46016</v>
      </c>
      <c r="AC358" s="27" t="s">
        <v>3066</v>
      </c>
      <c r="AD358" s="80"/>
      <c r="AE358" s="24"/>
      <c r="AF358" s="27">
        <v>404401733</v>
      </c>
      <c r="AG358" s="142">
        <v>46073</v>
      </c>
    </row>
    <row r="359" spans="1:33" s="34" customFormat="1" ht="27" customHeight="1">
      <c r="A359" s="15">
        <v>356</v>
      </c>
      <c r="B359" s="81">
        <v>46002</v>
      </c>
      <c r="C359" s="15" t="s">
        <v>95</v>
      </c>
      <c r="D359" s="15" t="s">
        <v>3071</v>
      </c>
      <c r="E359" s="26" t="s">
        <v>97</v>
      </c>
      <c r="F359" s="27" t="s">
        <v>98</v>
      </c>
      <c r="G359" s="15">
        <v>645602</v>
      </c>
      <c r="H359" s="81">
        <v>46013</v>
      </c>
      <c r="I359" s="336">
        <v>6249742</v>
      </c>
      <c r="J359" s="171" t="s">
        <v>1734</v>
      </c>
      <c r="K359" s="81">
        <v>46023</v>
      </c>
      <c r="L359" s="81">
        <v>46387</v>
      </c>
      <c r="M359" s="28" t="s">
        <v>3072</v>
      </c>
      <c r="N359" s="400">
        <v>25775</v>
      </c>
      <c r="O359" s="29">
        <v>15000</v>
      </c>
      <c r="P359" s="30"/>
      <c r="Q359" s="31">
        <v>46023</v>
      </c>
      <c r="R359" s="32">
        <v>46387</v>
      </c>
      <c r="S359" s="176" t="s">
        <v>3073</v>
      </c>
      <c r="T359" s="33" t="s">
        <v>3074</v>
      </c>
      <c r="U359" s="114">
        <v>46086</v>
      </c>
      <c r="V359" s="115" t="s">
        <v>3075</v>
      </c>
      <c r="W359" s="18"/>
      <c r="X359" s="19">
        <v>15000</v>
      </c>
      <c r="Y359" s="20" t="s">
        <v>56</v>
      </c>
      <c r="Z359" s="20" t="s">
        <v>106</v>
      </c>
      <c r="AA359" s="22"/>
      <c r="AB359" s="23">
        <v>46016</v>
      </c>
      <c r="AC359" s="27" t="s">
        <v>3076</v>
      </c>
      <c r="AD359" s="80"/>
      <c r="AE359" s="24"/>
      <c r="AF359" s="81"/>
      <c r="AG359" s="142"/>
    </row>
    <row r="360" spans="1:33" s="34" customFormat="1" ht="27" customHeight="1">
      <c r="A360" s="91">
        <v>357</v>
      </c>
      <c r="B360" s="92">
        <v>46010</v>
      </c>
      <c r="C360" s="91" t="s">
        <v>38</v>
      </c>
      <c r="D360" s="91" t="s">
        <v>3077</v>
      </c>
      <c r="E360" s="93" t="s">
        <v>40</v>
      </c>
      <c r="F360" s="94" t="s">
        <v>41</v>
      </c>
      <c r="G360" s="94">
        <v>645600</v>
      </c>
      <c r="H360" s="92">
        <v>46014</v>
      </c>
      <c r="I360" s="94">
        <v>6250158</v>
      </c>
      <c r="J360" s="95" t="s">
        <v>1564</v>
      </c>
      <c r="K360" s="92">
        <v>46023</v>
      </c>
      <c r="L360" s="92">
        <v>46387</v>
      </c>
      <c r="M360" s="95" t="s">
        <v>3078</v>
      </c>
      <c r="N360" s="400"/>
      <c r="O360" s="97">
        <v>33043.32</v>
      </c>
      <c r="P360" s="98">
        <v>4188</v>
      </c>
      <c r="Q360" s="99">
        <v>46023</v>
      </c>
      <c r="R360" s="100">
        <v>46387</v>
      </c>
      <c r="S360" s="101" t="s">
        <v>394</v>
      </c>
      <c r="T360" s="102" t="s">
        <v>3079</v>
      </c>
      <c r="U360" s="103"/>
      <c r="V360" s="104"/>
      <c r="W360" s="18"/>
      <c r="X360" s="106">
        <v>32584.32</v>
      </c>
      <c r="Y360" s="101" t="s">
        <v>191</v>
      </c>
      <c r="Z360" s="101" t="s">
        <v>1058</v>
      </c>
      <c r="AA360" s="108"/>
      <c r="AB360" s="109">
        <v>46016</v>
      </c>
      <c r="AC360" s="94" t="s">
        <v>3036</v>
      </c>
      <c r="AD360" s="138"/>
      <c r="AE360" s="110" t="s">
        <v>3080</v>
      </c>
      <c r="AF360" s="81"/>
      <c r="AG360" s="142"/>
    </row>
    <row r="361" spans="1:33" s="34" customFormat="1" ht="27" customHeight="1">
      <c r="A361" s="15">
        <v>358</v>
      </c>
      <c r="B361" s="81">
        <v>46014</v>
      </c>
      <c r="C361" s="15" t="s">
        <v>38</v>
      </c>
      <c r="D361" s="15" t="s">
        <v>3081</v>
      </c>
      <c r="E361" s="26" t="s">
        <v>40</v>
      </c>
      <c r="F361" s="27" t="s">
        <v>41</v>
      </c>
      <c r="G361" s="27">
        <v>645600</v>
      </c>
      <c r="H361" s="81">
        <v>46014</v>
      </c>
      <c r="I361" s="27">
        <v>6250202</v>
      </c>
      <c r="J361" s="28" t="s">
        <v>3082</v>
      </c>
      <c r="K361" s="81">
        <v>46023</v>
      </c>
      <c r="L361" s="81">
        <v>46387</v>
      </c>
      <c r="M361" s="28" t="s">
        <v>3083</v>
      </c>
      <c r="N361" s="400">
        <v>2208000</v>
      </c>
      <c r="O361" s="29">
        <v>57465.08</v>
      </c>
      <c r="P361" s="30">
        <v>7283.28</v>
      </c>
      <c r="Q361" s="31">
        <v>46023</v>
      </c>
      <c r="R361" s="32">
        <v>46387</v>
      </c>
      <c r="S361" s="20" t="s">
        <v>3084</v>
      </c>
      <c r="T361" s="33" t="s">
        <v>3085</v>
      </c>
      <c r="U361" s="16">
        <v>46015</v>
      </c>
      <c r="V361" s="17" t="s">
        <v>3086</v>
      </c>
      <c r="W361" s="18"/>
      <c r="X361" s="19">
        <v>56666.83</v>
      </c>
      <c r="Y361" s="20" t="s">
        <v>89</v>
      </c>
      <c r="Z361" s="20" t="s">
        <v>1058</v>
      </c>
      <c r="AA361" s="22"/>
      <c r="AB361" s="23">
        <v>46016</v>
      </c>
      <c r="AC361" s="27" t="s">
        <v>3087</v>
      </c>
      <c r="AD361" s="80"/>
      <c r="AE361" s="24"/>
      <c r="AF361" s="81"/>
      <c r="AG361" s="142"/>
    </row>
    <row r="362" spans="1:33" s="34" customFormat="1" ht="27" customHeight="1">
      <c r="A362" s="15">
        <v>359</v>
      </c>
      <c r="B362" s="81">
        <v>46014</v>
      </c>
      <c r="C362" s="15" t="s">
        <v>38</v>
      </c>
      <c r="D362" s="15" t="s">
        <v>3088</v>
      </c>
      <c r="E362" s="26" t="s">
        <v>40</v>
      </c>
      <c r="F362" s="27" t="s">
        <v>41</v>
      </c>
      <c r="G362" s="27">
        <v>645600</v>
      </c>
      <c r="H362" s="81">
        <v>46014</v>
      </c>
      <c r="I362" s="27">
        <v>6250208</v>
      </c>
      <c r="J362" s="28" t="s">
        <v>3082</v>
      </c>
      <c r="K362" s="81">
        <v>46023</v>
      </c>
      <c r="L362" s="81">
        <v>46387</v>
      </c>
      <c r="M362" s="28" t="s">
        <v>3083</v>
      </c>
      <c r="N362" s="400">
        <v>2208000</v>
      </c>
      <c r="O362" s="29">
        <v>49653.03</v>
      </c>
      <c r="P362" s="30">
        <v>6293.16</v>
      </c>
      <c r="Q362" s="31">
        <v>46023</v>
      </c>
      <c r="R362" s="32">
        <v>46387</v>
      </c>
      <c r="S362" s="20" t="s">
        <v>3084</v>
      </c>
      <c r="T362" s="33" t="s">
        <v>3089</v>
      </c>
      <c r="U362" s="16">
        <v>46015</v>
      </c>
      <c r="V362" s="17" t="s">
        <v>3090</v>
      </c>
      <c r="W362" s="18"/>
      <c r="X362" s="19">
        <v>48963.3</v>
      </c>
      <c r="Y362" s="20" t="s">
        <v>89</v>
      </c>
      <c r="Z362" s="20" t="s">
        <v>1058</v>
      </c>
      <c r="AA362" s="22"/>
      <c r="AB362" s="23">
        <v>46016</v>
      </c>
      <c r="AC362" s="27" t="s">
        <v>3087</v>
      </c>
      <c r="AD362" s="80"/>
      <c r="AE362" s="24"/>
      <c r="AF362" s="81"/>
      <c r="AG362" s="142"/>
    </row>
    <row r="363" spans="1:33" s="34" customFormat="1" ht="27" customHeight="1">
      <c r="A363" s="15">
        <v>360</v>
      </c>
      <c r="B363" s="81">
        <v>46014</v>
      </c>
      <c r="C363" s="15" t="s">
        <v>38</v>
      </c>
      <c r="D363" s="15" t="s">
        <v>3091</v>
      </c>
      <c r="E363" s="26" t="s">
        <v>40</v>
      </c>
      <c r="F363" s="27" t="s">
        <v>41</v>
      </c>
      <c r="G363" s="27">
        <v>645600</v>
      </c>
      <c r="H363" s="81">
        <v>46014</v>
      </c>
      <c r="I363" s="27">
        <v>6250215</v>
      </c>
      <c r="J363" s="28" t="s">
        <v>3082</v>
      </c>
      <c r="K363" s="81">
        <v>46023</v>
      </c>
      <c r="L363" s="81">
        <v>46387</v>
      </c>
      <c r="M363" s="28" t="s">
        <v>3083</v>
      </c>
      <c r="N363" s="400">
        <v>2208000</v>
      </c>
      <c r="O363" s="29">
        <v>163985.76</v>
      </c>
      <c r="P363" s="30">
        <v>20784</v>
      </c>
      <c r="Q363" s="31">
        <v>46023</v>
      </c>
      <c r="R363" s="32">
        <v>46387</v>
      </c>
      <c r="S363" s="20" t="s">
        <v>3092</v>
      </c>
      <c r="T363" s="33" t="s">
        <v>3093</v>
      </c>
      <c r="U363" s="16">
        <v>46015</v>
      </c>
      <c r="V363" s="17" t="s">
        <v>3094</v>
      </c>
      <c r="W363" s="18"/>
      <c r="X363" s="19">
        <v>161707.82999999999</v>
      </c>
      <c r="Y363" s="20" t="s">
        <v>89</v>
      </c>
      <c r="Z363" s="20" t="s">
        <v>1058</v>
      </c>
      <c r="AA363" s="22"/>
      <c r="AB363" s="23">
        <v>46016</v>
      </c>
      <c r="AC363" s="27" t="s">
        <v>3087</v>
      </c>
      <c r="AD363" s="80"/>
      <c r="AE363" s="24"/>
      <c r="AF363" s="81"/>
      <c r="AG363" s="142"/>
    </row>
    <row r="364" spans="1:33" s="34" customFormat="1" ht="27" customHeight="1">
      <c r="A364" s="15">
        <v>361</v>
      </c>
      <c r="B364" s="81">
        <v>46014</v>
      </c>
      <c r="C364" s="15" t="s">
        <v>38</v>
      </c>
      <c r="D364" s="15" t="s">
        <v>3095</v>
      </c>
      <c r="E364" s="26" t="s">
        <v>40</v>
      </c>
      <c r="F364" s="27" t="s">
        <v>41</v>
      </c>
      <c r="G364" s="27">
        <v>645600</v>
      </c>
      <c r="H364" s="81">
        <v>46014</v>
      </c>
      <c r="I364" s="27">
        <v>6250221</v>
      </c>
      <c r="J364" s="28" t="s">
        <v>3082</v>
      </c>
      <c r="K364" s="81">
        <v>46023</v>
      </c>
      <c r="L364" s="81">
        <v>46387</v>
      </c>
      <c r="M364" s="28" t="s">
        <v>3083</v>
      </c>
      <c r="N364" s="400">
        <v>2208000</v>
      </c>
      <c r="O364" s="29">
        <v>995973</v>
      </c>
      <c r="P364" s="30">
        <v>126232.32000000001</v>
      </c>
      <c r="Q364" s="31">
        <v>46023</v>
      </c>
      <c r="R364" s="32">
        <v>46387</v>
      </c>
      <c r="S364" s="20" t="s">
        <v>3092</v>
      </c>
      <c r="T364" s="33" t="s">
        <v>3096</v>
      </c>
      <c r="U364" s="16">
        <v>46015</v>
      </c>
      <c r="V364" s="17" t="s">
        <v>3097</v>
      </c>
      <c r="W364" s="18"/>
      <c r="X364" s="19">
        <v>982137.94</v>
      </c>
      <c r="Y364" s="20" t="s">
        <v>89</v>
      </c>
      <c r="Z364" s="20" t="s">
        <v>1058</v>
      </c>
      <c r="AA364" s="22"/>
      <c r="AB364" s="23">
        <v>46016</v>
      </c>
      <c r="AC364" s="27" t="s">
        <v>3087</v>
      </c>
      <c r="AD364" s="80"/>
      <c r="AE364" s="24"/>
      <c r="AF364" s="81"/>
      <c r="AG364" s="142"/>
    </row>
    <row r="365" spans="1:33" s="34" customFormat="1" ht="27" customHeight="1">
      <c r="A365" s="15">
        <v>362</v>
      </c>
      <c r="B365" s="81">
        <v>46014</v>
      </c>
      <c r="C365" s="15" t="s">
        <v>38</v>
      </c>
      <c r="D365" s="15" t="s">
        <v>3098</v>
      </c>
      <c r="E365" s="26" t="s">
        <v>40</v>
      </c>
      <c r="F365" s="27" t="s">
        <v>41</v>
      </c>
      <c r="G365" s="27">
        <v>645600</v>
      </c>
      <c r="H365" s="81">
        <v>46014</v>
      </c>
      <c r="I365" s="27">
        <v>6250229</v>
      </c>
      <c r="J365" s="28" t="s">
        <v>3082</v>
      </c>
      <c r="K365" s="81">
        <v>46023</v>
      </c>
      <c r="L365" s="81">
        <v>46387</v>
      </c>
      <c r="M365" s="28" t="s">
        <v>3083</v>
      </c>
      <c r="N365" s="400">
        <v>2208000</v>
      </c>
      <c r="O365" s="29">
        <v>58693.08</v>
      </c>
      <c r="P365" s="30">
        <v>7438.92</v>
      </c>
      <c r="Q365" s="31">
        <v>46023</v>
      </c>
      <c r="R365" s="32">
        <v>46387</v>
      </c>
      <c r="S365" s="20" t="s">
        <v>3084</v>
      </c>
      <c r="T365" s="33" t="s">
        <v>3099</v>
      </c>
      <c r="U365" s="16">
        <v>46015</v>
      </c>
      <c r="V365" s="17" t="s">
        <v>3100</v>
      </c>
      <c r="W365" s="18"/>
      <c r="X365" s="19">
        <v>57877.77</v>
      </c>
      <c r="Y365" s="20" t="s">
        <v>89</v>
      </c>
      <c r="Z365" s="20" t="s">
        <v>1058</v>
      </c>
      <c r="AA365" s="22"/>
      <c r="AB365" s="23">
        <v>46016</v>
      </c>
      <c r="AC365" s="27" t="s">
        <v>3087</v>
      </c>
      <c r="AD365" s="80"/>
      <c r="AE365" s="24"/>
      <c r="AF365" s="81"/>
      <c r="AG365" s="142"/>
    </row>
    <row r="366" spans="1:33" s="34" customFormat="1" ht="27" customHeight="1">
      <c r="A366" s="15">
        <v>363</v>
      </c>
      <c r="B366" s="81">
        <v>46014</v>
      </c>
      <c r="C366" s="15" t="s">
        <v>38</v>
      </c>
      <c r="D366" s="15" t="s">
        <v>3101</v>
      </c>
      <c r="E366" s="26" t="s">
        <v>40</v>
      </c>
      <c r="F366" s="27" t="s">
        <v>41</v>
      </c>
      <c r="G366" s="27">
        <v>645600</v>
      </c>
      <c r="H366" s="81">
        <v>46014</v>
      </c>
      <c r="I366" s="27">
        <v>6250316</v>
      </c>
      <c r="J366" s="28" t="s">
        <v>2940</v>
      </c>
      <c r="K366" s="81">
        <v>45870</v>
      </c>
      <c r="L366" s="81">
        <v>46234</v>
      </c>
      <c r="M366" s="28" t="s">
        <v>3102</v>
      </c>
      <c r="N366" s="400">
        <v>23485</v>
      </c>
      <c r="O366" s="29">
        <v>22893.62</v>
      </c>
      <c r="P366" s="30">
        <v>2901.6</v>
      </c>
      <c r="Q366" s="31">
        <v>45870</v>
      </c>
      <c r="R366" s="32">
        <v>46234</v>
      </c>
      <c r="S366" s="20" t="s">
        <v>538</v>
      </c>
      <c r="T366" s="33" t="s">
        <v>3103</v>
      </c>
      <c r="U366" s="16">
        <v>46020</v>
      </c>
      <c r="V366" s="17" t="s">
        <v>3104</v>
      </c>
      <c r="W366" s="18">
        <v>46049</v>
      </c>
      <c r="X366" s="19">
        <v>22575.61</v>
      </c>
      <c r="Y366" s="20" t="s">
        <v>541</v>
      </c>
      <c r="Z366" s="20" t="s">
        <v>1546</v>
      </c>
      <c r="AA366" s="22"/>
      <c r="AB366" s="23">
        <v>46016</v>
      </c>
      <c r="AC366" s="27" t="s">
        <v>3105</v>
      </c>
      <c r="AD366" s="80" t="s">
        <v>1803</v>
      </c>
      <c r="AE366" s="24" t="s">
        <v>3106</v>
      </c>
      <c r="AF366" s="81"/>
      <c r="AG366" s="142"/>
    </row>
    <row r="367" spans="1:33" s="34" customFormat="1" ht="27" customHeight="1">
      <c r="A367" s="15">
        <v>364</v>
      </c>
      <c r="B367" s="81">
        <v>46014</v>
      </c>
      <c r="C367" s="15" t="s">
        <v>95</v>
      </c>
      <c r="D367" s="15" t="s">
        <v>3107</v>
      </c>
      <c r="E367" s="26" t="s">
        <v>97</v>
      </c>
      <c r="F367" s="27" t="s">
        <v>109</v>
      </c>
      <c r="G367" s="27">
        <v>645602</v>
      </c>
      <c r="H367" s="81">
        <v>46015</v>
      </c>
      <c r="I367" s="27">
        <v>6250742</v>
      </c>
      <c r="J367" s="28" t="s">
        <v>1630</v>
      </c>
      <c r="K367" s="81">
        <v>46023</v>
      </c>
      <c r="L367" s="81">
        <v>46387</v>
      </c>
      <c r="M367" s="28" t="s">
        <v>3108</v>
      </c>
      <c r="N367" s="400">
        <v>86850</v>
      </c>
      <c r="O367" s="29">
        <v>45663</v>
      </c>
      <c r="P367" s="30"/>
      <c r="Q367" s="31">
        <v>46023</v>
      </c>
      <c r="R367" s="32">
        <v>46387</v>
      </c>
      <c r="S367" s="20" t="s">
        <v>2295</v>
      </c>
      <c r="T367" s="33" t="s">
        <v>3109</v>
      </c>
      <c r="U367" s="114">
        <v>46029</v>
      </c>
      <c r="V367" s="115" t="s">
        <v>3110</v>
      </c>
      <c r="W367" s="18"/>
      <c r="X367" s="19">
        <v>45663</v>
      </c>
      <c r="Y367" s="20" t="s">
        <v>56</v>
      </c>
      <c r="Z367" s="20" t="s">
        <v>106</v>
      </c>
      <c r="AA367" s="22"/>
      <c r="AB367" s="23">
        <v>46016</v>
      </c>
      <c r="AC367" s="27" t="s">
        <v>3111</v>
      </c>
      <c r="AD367" s="80"/>
      <c r="AE367" s="24"/>
      <c r="AF367" s="81"/>
      <c r="AG367" s="142"/>
    </row>
    <row r="368" spans="1:33" s="34" customFormat="1" ht="27" customHeight="1">
      <c r="A368" s="15">
        <v>365</v>
      </c>
      <c r="B368" s="81">
        <v>46014</v>
      </c>
      <c r="C368" s="15" t="s">
        <v>95</v>
      </c>
      <c r="D368" s="15" t="s">
        <v>3112</v>
      </c>
      <c r="E368" s="26" t="s">
        <v>97</v>
      </c>
      <c r="F368" s="27" t="s">
        <v>109</v>
      </c>
      <c r="G368" s="27">
        <v>645602</v>
      </c>
      <c r="H368" s="81">
        <v>46015</v>
      </c>
      <c r="I368" s="278">
        <v>6250953</v>
      </c>
      <c r="J368" s="28" t="s">
        <v>1595</v>
      </c>
      <c r="K368" s="81">
        <v>46054</v>
      </c>
      <c r="L368" s="81">
        <v>46418</v>
      </c>
      <c r="M368" s="28" t="s">
        <v>3113</v>
      </c>
      <c r="N368" s="400">
        <v>24700</v>
      </c>
      <c r="O368" s="29">
        <v>19000</v>
      </c>
      <c r="P368" s="30"/>
      <c r="Q368" s="31">
        <v>46054</v>
      </c>
      <c r="R368" s="32">
        <v>46418</v>
      </c>
      <c r="S368" s="20" t="s">
        <v>586</v>
      </c>
      <c r="T368" s="177" t="s">
        <v>3114</v>
      </c>
      <c r="U368" s="114">
        <v>46066</v>
      </c>
      <c r="V368" s="201" t="s">
        <v>3115</v>
      </c>
      <c r="W368" s="18"/>
      <c r="X368" s="19">
        <v>19000</v>
      </c>
      <c r="Y368" s="20" t="s">
        <v>237</v>
      </c>
      <c r="Z368" s="20" t="s">
        <v>106</v>
      </c>
      <c r="AA368" s="22"/>
      <c r="AB368" s="23">
        <v>46016</v>
      </c>
      <c r="AC368" s="27" t="s">
        <v>3116</v>
      </c>
      <c r="AD368" s="80"/>
      <c r="AE368" s="24"/>
      <c r="AF368" s="81"/>
      <c r="AG368" s="142"/>
    </row>
    <row r="369" spans="1:33" s="34" customFormat="1" ht="27" customHeight="1">
      <c r="A369" s="15">
        <v>366</v>
      </c>
      <c r="B369" s="81">
        <v>46015</v>
      </c>
      <c r="C369" s="15" t="s">
        <v>38</v>
      </c>
      <c r="D369" s="15" t="s">
        <v>3117</v>
      </c>
      <c r="E369" s="26" t="s">
        <v>40</v>
      </c>
      <c r="F369" s="27" t="s">
        <v>41</v>
      </c>
      <c r="G369" s="27">
        <v>645600</v>
      </c>
      <c r="H369" s="81">
        <v>46020</v>
      </c>
      <c r="I369" s="27">
        <v>6251269</v>
      </c>
      <c r="J369" s="28" t="s">
        <v>670</v>
      </c>
      <c r="K369" s="81">
        <v>46016</v>
      </c>
      <c r="L369" s="81">
        <v>46380</v>
      </c>
      <c r="M369" s="28" t="s">
        <v>3118</v>
      </c>
      <c r="N369" s="400">
        <v>524614</v>
      </c>
      <c r="O369" s="29">
        <v>274700</v>
      </c>
      <c r="P369" s="30" t="s">
        <v>2565</v>
      </c>
      <c r="Q369" s="31">
        <v>46016</v>
      </c>
      <c r="R369" s="32">
        <v>46380</v>
      </c>
      <c r="S369" s="20" t="s">
        <v>1576</v>
      </c>
      <c r="T369" s="33" t="s">
        <v>3119</v>
      </c>
      <c r="U369" s="16">
        <v>46021</v>
      </c>
      <c r="V369" s="17" t="s">
        <v>3120</v>
      </c>
      <c r="W369" s="18">
        <v>46049</v>
      </c>
      <c r="X369" s="19">
        <v>274700</v>
      </c>
      <c r="Y369" s="20" t="s">
        <v>541</v>
      </c>
      <c r="Z369" s="20" t="s">
        <v>1546</v>
      </c>
      <c r="AA369" s="22"/>
      <c r="AB369" s="23">
        <v>46016</v>
      </c>
      <c r="AC369" s="27" t="s">
        <v>3121</v>
      </c>
      <c r="AD369" s="80" t="s">
        <v>3122</v>
      </c>
      <c r="AE369" s="24" t="s">
        <v>3123</v>
      </c>
      <c r="AF369" s="81"/>
      <c r="AG369" s="142"/>
    </row>
    <row r="370" spans="1:33" s="34" customFormat="1" ht="27" customHeight="1">
      <c r="A370" s="15">
        <v>367</v>
      </c>
      <c r="B370" s="81">
        <v>46020</v>
      </c>
      <c r="C370" s="15" t="s">
        <v>38</v>
      </c>
      <c r="D370" s="15" t="s">
        <v>3124</v>
      </c>
      <c r="E370" s="26" t="s">
        <v>40</v>
      </c>
      <c r="F370" s="27" t="s">
        <v>41</v>
      </c>
      <c r="G370" s="27">
        <v>645600</v>
      </c>
      <c r="H370" s="81">
        <v>46020</v>
      </c>
      <c r="I370" s="27">
        <v>6251302</v>
      </c>
      <c r="J370" s="28" t="s">
        <v>1668</v>
      </c>
      <c r="K370" s="81">
        <v>46023</v>
      </c>
      <c r="L370" s="81">
        <v>46387</v>
      </c>
      <c r="M370" s="28" t="s">
        <v>3125</v>
      </c>
      <c r="N370" s="400">
        <v>1491045</v>
      </c>
      <c r="O370" s="29">
        <v>953686.94</v>
      </c>
      <c r="P370" s="30">
        <v>120872.87</v>
      </c>
      <c r="Q370" s="31">
        <v>46023</v>
      </c>
      <c r="R370" s="32">
        <v>46387</v>
      </c>
      <c r="S370" s="20" t="s">
        <v>784</v>
      </c>
      <c r="T370" s="33" t="s">
        <v>3126</v>
      </c>
      <c r="U370" s="16">
        <v>46021</v>
      </c>
      <c r="V370" s="17" t="s">
        <v>3127</v>
      </c>
      <c r="W370" s="18">
        <v>46045</v>
      </c>
      <c r="X370" s="19">
        <v>940439.28</v>
      </c>
      <c r="Y370" s="20" t="s">
        <v>299</v>
      </c>
      <c r="Z370" s="20" t="s">
        <v>1058</v>
      </c>
      <c r="AA370" s="22"/>
      <c r="AB370" s="23">
        <v>46016</v>
      </c>
      <c r="AC370" s="27" t="s">
        <v>3128</v>
      </c>
      <c r="AD370" s="80" t="s">
        <v>1803</v>
      </c>
      <c r="AE370" s="24"/>
      <c r="AF370" s="81"/>
      <c r="AG370" s="142"/>
    </row>
    <row r="371" spans="1:33" s="34" customFormat="1" ht="27" customHeight="1">
      <c r="A371" s="15">
        <v>368</v>
      </c>
      <c r="B371" s="81">
        <v>46020</v>
      </c>
      <c r="C371" s="15" t="s">
        <v>38</v>
      </c>
      <c r="D371" s="15" t="s">
        <v>3129</v>
      </c>
      <c r="E371" s="26" t="s">
        <v>40</v>
      </c>
      <c r="F371" s="27" t="s">
        <v>41</v>
      </c>
      <c r="G371" s="27">
        <v>645600</v>
      </c>
      <c r="H371" s="81">
        <v>46020</v>
      </c>
      <c r="I371" s="27">
        <v>6251306</v>
      </c>
      <c r="J371" s="28" t="s">
        <v>1668</v>
      </c>
      <c r="K371" s="81">
        <v>46023</v>
      </c>
      <c r="L371" s="81">
        <v>46387</v>
      </c>
      <c r="M371" s="28" t="s">
        <v>3125</v>
      </c>
      <c r="N371" s="400">
        <v>1491045</v>
      </c>
      <c r="O371" s="29">
        <v>24534.51</v>
      </c>
      <c r="P371" s="30">
        <v>3109.57</v>
      </c>
      <c r="Q371" s="31">
        <v>45748</v>
      </c>
      <c r="R371" s="32">
        <v>46477</v>
      </c>
      <c r="S371" s="20" t="s">
        <v>784</v>
      </c>
      <c r="T371" s="33" t="s">
        <v>3130</v>
      </c>
      <c r="U371" s="16">
        <v>46021</v>
      </c>
      <c r="V371" s="17" t="s">
        <v>3131</v>
      </c>
      <c r="W371" s="18"/>
      <c r="X371" s="19">
        <v>24193.7</v>
      </c>
      <c r="Y371" s="20" t="s">
        <v>299</v>
      </c>
      <c r="Z371" s="20" t="s">
        <v>1058</v>
      </c>
      <c r="AA371" s="22"/>
      <c r="AB371" s="23">
        <v>46016</v>
      </c>
      <c r="AC371" s="27" t="s">
        <v>3128</v>
      </c>
      <c r="AD371" s="80" t="s">
        <v>1803</v>
      </c>
      <c r="AE371" s="24"/>
      <c r="AF371" s="81"/>
      <c r="AG371" s="142"/>
    </row>
    <row r="372" spans="1:33" s="34" customFormat="1" ht="27" customHeight="1">
      <c r="A372" s="15">
        <v>369</v>
      </c>
      <c r="B372" s="81">
        <v>46020</v>
      </c>
      <c r="C372" s="15" t="s">
        <v>38</v>
      </c>
      <c r="D372" s="15" t="s">
        <v>3132</v>
      </c>
      <c r="E372" s="26" t="s">
        <v>40</v>
      </c>
      <c r="F372" s="27" t="s">
        <v>41</v>
      </c>
      <c r="G372" s="27">
        <v>645600</v>
      </c>
      <c r="H372" s="81">
        <v>46020</v>
      </c>
      <c r="I372" s="27">
        <v>6251310</v>
      </c>
      <c r="J372" s="28" t="s">
        <v>1668</v>
      </c>
      <c r="K372" s="81">
        <v>46023</v>
      </c>
      <c r="L372" s="81">
        <v>46387</v>
      </c>
      <c r="M372" s="28" t="s">
        <v>3125</v>
      </c>
      <c r="N372" s="400">
        <v>1491045</v>
      </c>
      <c r="O372" s="29">
        <v>68400</v>
      </c>
      <c r="P372" s="30"/>
      <c r="Q372" s="31">
        <v>46023</v>
      </c>
      <c r="R372" s="32">
        <v>46387</v>
      </c>
      <c r="S372" s="20" t="s">
        <v>3133</v>
      </c>
      <c r="T372" s="33" t="s">
        <v>3134</v>
      </c>
      <c r="U372" s="16">
        <v>46022</v>
      </c>
      <c r="V372" s="17" t="s">
        <v>3135</v>
      </c>
      <c r="W372" s="18"/>
      <c r="X372" s="19">
        <v>68400</v>
      </c>
      <c r="Y372" s="20" t="s">
        <v>299</v>
      </c>
      <c r="Z372" s="20" t="s">
        <v>1058</v>
      </c>
      <c r="AA372" s="22"/>
      <c r="AB372" s="23">
        <v>46016</v>
      </c>
      <c r="AC372" s="27" t="s">
        <v>3128</v>
      </c>
      <c r="AD372" s="80" t="s">
        <v>1803</v>
      </c>
      <c r="AE372" s="24"/>
      <c r="AF372" s="81"/>
      <c r="AG372" s="142"/>
    </row>
    <row r="373" spans="1:33" s="34" customFormat="1" ht="27" customHeight="1">
      <c r="A373" s="15">
        <v>370</v>
      </c>
      <c r="B373" s="81">
        <v>46020</v>
      </c>
      <c r="C373" s="15" t="s">
        <v>38</v>
      </c>
      <c r="D373" s="15" t="s">
        <v>3136</v>
      </c>
      <c r="E373" s="26" t="s">
        <v>40</v>
      </c>
      <c r="F373" s="27" t="s">
        <v>41</v>
      </c>
      <c r="G373" s="27">
        <v>645600</v>
      </c>
      <c r="H373" s="81">
        <v>46020</v>
      </c>
      <c r="I373" s="27">
        <v>6251318</v>
      </c>
      <c r="J373" s="28" t="s">
        <v>1668</v>
      </c>
      <c r="K373" s="81">
        <v>46023</v>
      </c>
      <c r="L373" s="81">
        <v>46387</v>
      </c>
      <c r="M373" s="28" t="s">
        <v>3125</v>
      </c>
      <c r="N373" s="400">
        <v>1491045</v>
      </c>
      <c r="O373" s="29">
        <v>7500</v>
      </c>
      <c r="P373" s="30"/>
      <c r="Q373" s="31" t="s">
        <v>927</v>
      </c>
      <c r="R373" s="32"/>
      <c r="S373" s="20" t="s">
        <v>3133</v>
      </c>
      <c r="T373" s="33" t="s">
        <v>3137</v>
      </c>
      <c r="U373" s="16">
        <v>46022</v>
      </c>
      <c r="V373" s="17" t="s">
        <v>3138</v>
      </c>
      <c r="W373" s="18"/>
      <c r="X373" s="19">
        <v>7500</v>
      </c>
      <c r="Y373" s="20" t="s">
        <v>299</v>
      </c>
      <c r="Z373" s="20" t="s">
        <v>1058</v>
      </c>
      <c r="AA373" s="22"/>
      <c r="AB373" s="23">
        <v>46016</v>
      </c>
      <c r="AC373" s="27" t="s">
        <v>3128</v>
      </c>
      <c r="AD373" s="80" t="s">
        <v>1803</v>
      </c>
      <c r="AE373" s="24"/>
      <c r="AF373" s="81"/>
      <c r="AG373" s="142"/>
    </row>
    <row r="374" spans="1:33" s="34" customFormat="1" ht="27" customHeight="1">
      <c r="A374" s="15">
        <v>371</v>
      </c>
      <c r="B374" s="81">
        <v>46015</v>
      </c>
      <c r="C374" s="15" t="s">
        <v>38</v>
      </c>
      <c r="D374" s="15" t="s">
        <v>3139</v>
      </c>
      <c r="E374" s="26" t="s">
        <v>40</v>
      </c>
      <c r="F374" s="27" t="s">
        <v>277</v>
      </c>
      <c r="G374" s="27">
        <v>645600</v>
      </c>
      <c r="H374" s="81">
        <v>46020</v>
      </c>
      <c r="I374" s="27">
        <v>6251411</v>
      </c>
      <c r="J374" s="28" t="s">
        <v>2222</v>
      </c>
      <c r="K374" s="81">
        <v>46023</v>
      </c>
      <c r="L374" s="81">
        <v>46387</v>
      </c>
      <c r="M374" s="28" t="s">
        <v>3140</v>
      </c>
      <c r="N374" s="400">
        <v>299736</v>
      </c>
      <c r="O374" s="29">
        <v>505.44</v>
      </c>
      <c r="P374" s="30"/>
      <c r="Q374" s="31">
        <v>46185</v>
      </c>
      <c r="R374" s="32">
        <v>46387</v>
      </c>
      <c r="S374" s="20" t="s">
        <v>1615</v>
      </c>
      <c r="T374" s="33" t="s">
        <v>3141</v>
      </c>
      <c r="U374" s="89">
        <v>46024</v>
      </c>
      <c r="V374" s="90" t="s">
        <v>3142</v>
      </c>
      <c r="W374" s="18"/>
      <c r="X374" s="19">
        <v>505.44</v>
      </c>
      <c r="Y374" s="20" t="s">
        <v>336</v>
      </c>
      <c r="Z374" s="20" t="s">
        <v>1546</v>
      </c>
      <c r="AA374" s="22"/>
      <c r="AB374" s="23">
        <v>46016</v>
      </c>
      <c r="AC374" s="27" t="s">
        <v>3143</v>
      </c>
      <c r="AD374" s="80"/>
      <c r="AE374" s="24"/>
      <c r="AF374" s="81"/>
      <c r="AG374" s="142"/>
    </row>
    <row r="375" spans="1:33" ht="31.5" customHeight="1">
      <c r="A375" s="15">
        <v>372</v>
      </c>
      <c r="B375" s="81">
        <v>46020</v>
      </c>
      <c r="C375" s="15" t="s">
        <v>38</v>
      </c>
      <c r="D375" s="15" t="s">
        <v>3144</v>
      </c>
      <c r="E375" s="26" t="s">
        <v>70</v>
      </c>
      <c r="F375" s="27" t="s">
        <v>277</v>
      </c>
      <c r="G375" s="27">
        <v>645600</v>
      </c>
      <c r="H375" s="81">
        <v>46021</v>
      </c>
      <c r="I375" s="27">
        <v>6251697</v>
      </c>
      <c r="J375" s="28" t="s">
        <v>1557</v>
      </c>
      <c r="K375" s="81">
        <v>45988</v>
      </c>
      <c r="L375" s="81">
        <v>46352</v>
      </c>
      <c r="M375" s="28" t="s">
        <v>3145</v>
      </c>
      <c r="N375" s="400">
        <v>109800</v>
      </c>
      <c r="O375" s="29">
        <v>66276</v>
      </c>
      <c r="P375" s="30">
        <v>8400</v>
      </c>
      <c r="Q375" s="31">
        <v>45989</v>
      </c>
      <c r="R375" s="32">
        <v>46353</v>
      </c>
      <c r="S375" s="20" t="s">
        <v>3146</v>
      </c>
      <c r="T375" s="33" t="s">
        <v>3147</v>
      </c>
      <c r="U375" s="16">
        <v>46024</v>
      </c>
      <c r="V375" s="17" t="s">
        <v>3148</v>
      </c>
      <c r="W375" s="18">
        <v>46038</v>
      </c>
      <c r="X375" s="19">
        <v>65355.360000000001</v>
      </c>
      <c r="Y375" s="20" t="s">
        <v>56</v>
      </c>
      <c r="Z375" s="20" t="s">
        <v>899</v>
      </c>
      <c r="AA375" s="22"/>
      <c r="AB375" s="23">
        <v>46016</v>
      </c>
      <c r="AC375" s="27" t="s">
        <v>3149</v>
      </c>
      <c r="AD375" s="80"/>
      <c r="AE375" s="24"/>
      <c r="AF375" s="81"/>
      <c r="AG375" s="142"/>
    </row>
    <row r="376" spans="1:33">
      <c r="A376" s="15"/>
      <c r="B376" s="81"/>
      <c r="C376" s="15"/>
      <c r="D376" s="15"/>
      <c r="E376" s="26"/>
      <c r="F376" s="27"/>
      <c r="G376" s="27"/>
      <c r="H376" s="81"/>
      <c r="I376" s="27"/>
      <c r="J376" s="28"/>
      <c r="K376" s="81"/>
      <c r="L376" s="81"/>
      <c r="M376" s="28"/>
      <c r="N376" s="28"/>
      <c r="O376" s="29"/>
      <c r="P376" s="30"/>
      <c r="Q376" s="31"/>
      <c r="R376" s="32"/>
      <c r="S376" s="20"/>
      <c r="T376" s="33"/>
      <c r="U376" s="89"/>
      <c r="V376" s="90"/>
      <c r="W376" s="18"/>
      <c r="X376" s="19"/>
      <c r="Y376" s="20"/>
      <c r="Z376" s="20"/>
      <c r="AA376" s="22"/>
      <c r="AB376" s="23"/>
      <c r="AC376" s="27"/>
      <c r="AD376" s="80"/>
      <c r="AE376" s="24"/>
      <c r="AF376" s="81"/>
      <c r="AG376" s="142"/>
    </row>
    <row r="377" spans="1:33">
      <c r="A377" s="15"/>
      <c r="B377" s="81"/>
      <c r="C377" s="15"/>
      <c r="D377" s="15"/>
      <c r="E377" s="26"/>
      <c r="F377" s="27"/>
      <c r="G377" s="27"/>
      <c r="H377" s="81"/>
      <c r="I377" s="27"/>
      <c r="J377" s="28"/>
      <c r="K377" s="81"/>
      <c r="L377" s="81"/>
      <c r="M377" s="28"/>
      <c r="N377" s="28"/>
      <c r="O377" s="29"/>
      <c r="P377" s="30"/>
      <c r="Q377" s="31"/>
      <c r="R377" s="32"/>
      <c r="S377" s="20"/>
      <c r="T377" s="33"/>
      <c r="U377" s="89"/>
      <c r="V377" s="90"/>
      <c r="W377" s="18"/>
      <c r="X377" s="19"/>
      <c r="Y377" s="20"/>
      <c r="Z377" s="20"/>
      <c r="AA377" s="22"/>
      <c r="AB377" s="23"/>
      <c r="AC377" s="27"/>
      <c r="AD377" s="80"/>
      <c r="AE377" s="24"/>
      <c r="AF377" s="81"/>
      <c r="AG377" s="142"/>
    </row>
    <row r="378" spans="1:33">
      <c r="A378" s="15"/>
      <c r="B378" s="81"/>
      <c r="C378" s="15"/>
      <c r="D378" s="15"/>
      <c r="E378" s="26"/>
      <c r="F378" s="27"/>
      <c r="G378" s="27"/>
      <c r="H378" s="81"/>
      <c r="I378" s="27"/>
      <c r="J378" s="28"/>
      <c r="K378" s="81"/>
      <c r="L378" s="81"/>
      <c r="M378" s="28"/>
      <c r="N378" s="28"/>
      <c r="O378" s="29"/>
      <c r="P378" s="30"/>
      <c r="Q378" s="31"/>
      <c r="R378" s="32"/>
      <c r="S378" s="20"/>
      <c r="T378" s="33"/>
      <c r="U378" s="89"/>
      <c r="V378" s="90"/>
      <c r="W378" s="18"/>
      <c r="X378" s="19"/>
      <c r="Y378" s="20"/>
      <c r="Z378" s="20"/>
      <c r="AA378" s="22"/>
      <c r="AB378" s="23"/>
      <c r="AC378" s="27"/>
      <c r="AD378" s="80"/>
      <c r="AE378" s="24"/>
      <c r="AF378" s="81"/>
      <c r="AG378" s="142"/>
    </row>
    <row r="379" spans="1:33">
      <c r="A379" s="15"/>
      <c r="B379" s="81"/>
      <c r="C379" s="15"/>
      <c r="D379" s="15"/>
      <c r="E379" s="26"/>
      <c r="F379" s="27"/>
      <c r="G379" s="27"/>
      <c r="H379" s="81"/>
      <c r="I379" s="27"/>
      <c r="J379" s="28"/>
      <c r="K379" s="81"/>
      <c r="L379" s="81"/>
      <c r="M379" s="28"/>
      <c r="N379" s="28"/>
      <c r="O379" s="29"/>
      <c r="P379" s="30"/>
      <c r="Q379" s="31"/>
      <c r="R379" s="32"/>
      <c r="S379" s="20"/>
      <c r="T379" s="33"/>
      <c r="U379" s="89"/>
      <c r="V379" s="90"/>
      <c r="W379" s="18"/>
      <c r="X379" s="19"/>
      <c r="Y379" s="20"/>
      <c r="Z379" s="20"/>
      <c r="AA379" s="22"/>
      <c r="AB379" s="23"/>
      <c r="AC379" s="27"/>
      <c r="AD379" s="80"/>
      <c r="AE379" s="24"/>
      <c r="AF379" s="81"/>
      <c r="AG379" s="142"/>
    </row>
    <row r="380" spans="1:33">
      <c r="A380" s="15"/>
      <c r="B380" s="81"/>
      <c r="C380" s="15"/>
      <c r="D380" s="15"/>
      <c r="E380" s="26"/>
      <c r="F380" s="27"/>
      <c r="G380" s="27"/>
      <c r="H380" s="81"/>
      <c r="I380" s="27"/>
      <c r="J380" s="28"/>
      <c r="K380" s="81"/>
      <c r="L380" s="81"/>
      <c r="M380" s="28"/>
      <c r="N380" s="28"/>
      <c r="O380" s="29"/>
      <c r="P380" s="30"/>
      <c r="Q380" s="31"/>
      <c r="R380" s="32"/>
      <c r="S380" s="20"/>
      <c r="T380" s="33"/>
      <c r="U380" s="89"/>
      <c r="V380" s="90"/>
      <c r="W380" s="18"/>
      <c r="X380" s="19"/>
      <c r="Y380" s="20"/>
      <c r="Z380" s="20"/>
      <c r="AA380" s="22"/>
      <c r="AB380" s="23"/>
      <c r="AC380" s="27"/>
      <c r="AD380" s="80"/>
      <c r="AE380" s="24"/>
      <c r="AF380" s="81"/>
      <c r="AG380" s="142"/>
    </row>
    <row r="381" spans="1:33">
      <c r="A381" s="15"/>
      <c r="B381" s="81"/>
      <c r="C381" s="15"/>
      <c r="D381" s="15"/>
      <c r="E381" s="26"/>
      <c r="F381" s="27"/>
      <c r="G381" s="27"/>
      <c r="H381" s="81"/>
      <c r="I381" s="27"/>
      <c r="J381" s="28"/>
      <c r="K381" s="81"/>
      <c r="L381" s="81"/>
      <c r="M381" s="28"/>
      <c r="N381" s="28"/>
      <c r="O381" s="29"/>
      <c r="P381" s="30"/>
      <c r="Q381" s="31"/>
      <c r="R381" s="32"/>
      <c r="S381" s="20"/>
      <c r="T381" s="33"/>
      <c r="U381" s="89"/>
      <c r="V381" s="90"/>
      <c r="W381" s="18"/>
      <c r="X381" s="19"/>
      <c r="Y381" s="20"/>
      <c r="Z381" s="20"/>
      <c r="AA381" s="22"/>
      <c r="AB381" s="23"/>
      <c r="AC381" s="27"/>
      <c r="AD381" s="80"/>
      <c r="AE381" s="24"/>
      <c r="AF381" s="81"/>
      <c r="AG381" s="142"/>
    </row>
    <row r="382" spans="1:33">
      <c r="A382" s="15"/>
      <c r="B382" s="81"/>
      <c r="C382" s="15"/>
      <c r="D382" s="15"/>
      <c r="E382" s="26"/>
      <c r="F382" s="27"/>
      <c r="G382" s="27"/>
      <c r="H382" s="81"/>
      <c r="I382" s="27"/>
      <c r="J382" s="28"/>
      <c r="K382" s="81"/>
      <c r="L382" s="81"/>
      <c r="M382" s="28"/>
      <c r="N382" s="28"/>
      <c r="O382" s="29"/>
      <c r="P382" s="30"/>
      <c r="Q382" s="31"/>
      <c r="R382" s="32"/>
      <c r="S382" s="20"/>
      <c r="T382" s="33"/>
      <c r="U382" s="89"/>
      <c r="V382" s="90"/>
      <c r="W382" s="18"/>
      <c r="X382" s="19"/>
      <c r="Y382" s="20"/>
      <c r="Z382" s="20"/>
      <c r="AA382" s="22"/>
      <c r="AB382" s="23"/>
      <c r="AC382" s="27"/>
      <c r="AD382" s="80"/>
      <c r="AE382" s="24"/>
      <c r="AF382" s="81"/>
      <c r="AG382" s="142"/>
    </row>
    <row r="383" spans="1:33">
      <c r="A383" s="15"/>
      <c r="B383" s="81"/>
      <c r="C383" s="15"/>
      <c r="D383" s="15"/>
      <c r="E383" s="26"/>
      <c r="F383" s="27"/>
      <c r="G383" s="27"/>
      <c r="H383" s="81"/>
      <c r="I383" s="27"/>
      <c r="J383" s="28"/>
      <c r="K383" s="81"/>
      <c r="L383" s="81"/>
      <c r="M383" s="28"/>
      <c r="N383" s="28"/>
      <c r="O383" s="29"/>
      <c r="P383" s="30"/>
      <c r="Q383" s="31"/>
      <c r="R383" s="32"/>
      <c r="S383" s="20"/>
      <c r="T383" s="33"/>
      <c r="U383" s="89"/>
      <c r="V383" s="90"/>
      <c r="W383" s="18"/>
      <c r="X383" s="19"/>
      <c r="Y383" s="20"/>
      <c r="Z383" s="20"/>
      <c r="AA383" s="22"/>
      <c r="AB383" s="23"/>
      <c r="AC383" s="27"/>
      <c r="AD383" s="80"/>
      <c r="AE383" s="24"/>
      <c r="AF383" s="81"/>
      <c r="AG383" s="142"/>
    </row>
    <row r="384" spans="1:33">
      <c r="A384" s="15"/>
      <c r="B384" s="81"/>
      <c r="C384" s="15"/>
      <c r="D384" s="15"/>
      <c r="E384" s="26"/>
      <c r="F384" s="27"/>
      <c r="G384" s="27"/>
      <c r="H384" s="81"/>
      <c r="I384" s="27"/>
      <c r="J384" s="28"/>
      <c r="K384" s="81"/>
      <c r="L384" s="81"/>
      <c r="M384" s="28"/>
      <c r="N384" s="28"/>
      <c r="O384" s="29"/>
      <c r="P384" s="30"/>
      <c r="Q384" s="31"/>
      <c r="R384" s="32"/>
      <c r="S384" s="20"/>
      <c r="T384" s="33"/>
      <c r="U384" s="89"/>
      <c r="V384" s="90"/>
      <c r="W384" s="18"/>
      <c r="X384" s="19"/>
      <c r="Y384" s="20"/>
      <c r="Z384" s="20"/>
      <c r="AA384" s="22"/>
      <c r="AB384" s="23"/>
      <c r="AC384" s="27"/>
      <c r="AD384" s="80"/>
      <c r="AE384" s="24"/>
      <c r="AF384" s="81"/>
      <c r="AG384" s="142"/>
    </row>
    <row r="385" spans="1:33">
      <c r="A385" s="15"/>
      <c r="B385" s="81"/>
      <c r="C385" s="15"/>
      <c r="D385" s="15"/>
      <c r="E385" s="26"/>
      <c r="F385" s="27"/>
      <c r="G385" s="27"/>
      <c r="H385" s="81"/>
      <c r="I385" s="27"/>
      <c r="J385" s="28"/>
      <c r="K385" s="81"/>
      <c r="L385" s="81"/>
      <c r="M385" s="28"/>
      <c r="N385" s="28"/>
      <c r="O385" s="29"/>
      <c r="P385" s="30"/>
      <c r="Q385" s="31"/>
      <c r="R385" s="32"/>
      <c r="S385" s="20"/>
      <c r="T385" s="33"/>
      <c r="U385" s="89"/>
      <c r="V385" s="90"/>
      <c r="W385" s="18"/>
      <c r="X385" s="19"/>
      <c r="Y385" s="20"/>
      <c r="Z385" s="20"/>
      <c r="AA385" s="22"/>
      <c r="AB385" s="23"/>
      <c r="AC385" s="27"/>
      <c r="AD385" s="80"/>
      <c r="AE385" s="24"/>
      <c r="AF385" s="81"/>
      <c r="AG385" s="142"/>
    </row>
    <row r="386" spans="1:33">
      <c r="A386" s="15"/>
      <c r="B386" s="81"/>
      <c r="C386" s="15"/>
      <c r="D386" s="15"/>
      <c r="E386" s="26"/>
      <c r="F386" s="27"/>
      <c r="G386" s="27"/>
      <c r="H386" s="81"/>
      <c r="I386" s="27"/>
      <c r="J386" s="28"/>
      <c r="K386" s="81"/>
      <c r="L386" s="81"/>
      <c r="M386" s="28"/>
      <c r="N386" s="28"/>
      <c r="O386" s="29"/>
      <c r="P386" s="30"/>
      <c r="Q386" s="31"/>
      <c r="R386" s="32"/>
      <c r="S386" s="20"/>
      <c r="T386" s="33"/>
      <c r="U386" s="89"/>
      <c r="V386" s="90"/>
      <c r="W386" s="18"/>
      <c r="X386" s="19"/>
      <c r="Y386" s="20"/>
      <c r="Z386" s="20"/>
      <c r="AA386" s="22"/>
      <c r="AB386" s="23"/>
      <c r="AC386" s="27"/>
      <c r="AD386" s="80"/>
      <c r="AE386" s="24"/>
      <c r="AF386" s="81"/>
      <c r="AG386" s="142"/>
    </row>
    <row r="387" spans="1:33">
      <c r="A387" s="15"/>
      <c r="B387" s="81"/>
      <c r="C387" s="15"/>
      <c r="D387" s="15"/>
      <c r="E387" s="26"/>
      <c r="F387" s="27"/>
      <c r="G387" s="27"/>
      <c r="H387" s="81"/>
      <c r="I387" s="27"/>
      <c r="J387" s="28"/>
      <c r="K387" s="81"/>
      <c r="L387" s="81"/>
      <c r="M387" s="28"/>
      <c r="N387" s="28"/>
      <c r="O387" s="29"/>
      <c r="P387" s="30"/>
      <c r="Q387" s="31"/>
      <c r="R387" s="32"/>
      <c r="S387" s="20"/>
      <c r="T387" s="33"/>
      <c r="U387" s="89"/>
      <c r="V387" s="90"/>
      <c r="W387" s="18"/>
      <c r="X387" s="19"/>
      <c r="Y387" s="20"/>
      <c r="Z387" s="20"/>
      <c r="AA387" s="22"/>
      <c r="AB387" s="23"/>
      <c r="AC387" s="27"/>
      <c r="AD387" s="80"/>
      <c r="AE387" s="24"/>
      <c r="AF387" s="81"/>
      <c r="AG387" s="142"/>
    </row>
    <row r="388" spans="1:33">
      <c r="A388" s="282"/>
    </row>
  </sheetData>
  <autoFilter ref="A2:AG376" xr:uid="{00000000-0001-0000-0000-000000000000}">
    <filterColumn colId="10" showButton="0"/>
    <filterColumn colId="11" showButton="0"/>
    <filterColumn colId="12" showButton="0"/>
    <filterColumn colId="14" showButton="0"/>
    <filterColumn colId="16" showButton="0"/>
  </autoFilter>
  <mergeCells count="24">
    <mergeCell ref="O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N2"/>
    <mergeCell ref="AF2:AF3"/>
    <mergeCell ref="AG2:AG3"/>
    <mergeCell ref="X2:X3"/>
    <mergeCell ref="Q2:R2"/>
    <mergeCell ref="S2:S3"/>
    <mergeCell ref="U2:U3"/>
    <mergeCell ref="V2:V3"/>
    <mergeCell ref="W2:W3"/>
    <mergeCell ref="AD2:AD3"/>
    <mergeCell ref="AC2:AC3"/>
    <mergeCell ref="Y2:Y3"/>
    <mergeCell ref="Z2:Z3"/>
  </mergeCells>
  <phoneticPr fontId="24" type="noConversion"/>
  <conditionalFormatting sqref="W4:W387">
    <cfRule type="notContainsBlanks" dxfId="1" priority="3">
      <formula>LEN(TRIM(W4))&gt;0</formula>
    </cfRule>
  </conditionalFormatting>
  <pageMargins left="0.7" right="0.7" top="0.75" bottom="0.75" header="0.3" footer="0.3"/>
  <pageSetup paperSize="9" scale="24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0"/>
  <sheetViews>
    <sheetView zoomScale="85" zoomScaleNormal="85" workbookViewId="0">
      <pane xSplit="9" ySplit="3" topLeftCell="J32" activePane="bottomRight" state="frozen"/>
      <selection pane="topRight" activeCell="C259" sqref="C259"/>
      <selection pane="bottomLeft" activeCell="C259" sqref="C259"/>
      <selection pane="bottomRight" activeCell="J37" sqref="J37"/>
    </sheetView>
  </sheetViews>
  <sheetFormatPr defaultColWidth="9.140625" defaultRowHeight="24.95" customHeight="1" outlineLevelCol="1"/>
  <cols>
    <col min="1" max="1" width="6.85546875" style="1" customWidth="1"/>
    <col min="2" max="2" width="12.5703125" style="1" customWidth="1"/>
    <col min="3" max="3" width="13.5703125" style="1" customWidth="1"/>
    <col min="4" max="4" width="18" style="1" customWidth="1"/>
    <col min="5" max="5" width="8.85546875" style="1" customWidth="1"/>
    <col min="6" max="7" width="13.140625" style="1" customWidth="1"/>
    <col min="8" max="8" width="12.85546875" style="1" customWidth="1"/>
    <col min="9" max="9" width="10" style="1" bestFit="1" customWidth="1"/>
    <col min="10" max="10" width="34.85546875" style="1" customWidth="1"/>
    <col min="11" max="11" width="12.7109375" style="1" customWidth="1" outlineLevel="1"/>
    <col min="12" max="12" width="11.7109375" style="1" customWidth="1" outlineLevel="1"/>
    <col min="13" max="13" width="22.7109375" style="1" customWidth="1" outlineLevel="1"/>
    <col min="14" max="14" width="17" style="1" bestFit="1" customWidth="1"/>
    <col min="15" max="15" width="13.85546875" style="1" customWidth="1"/>
    <col min="16" max="16" width="17.42578125" style="1" customWidth="1"/>
    <col min="17" max="17" width="16" style="1" customWidth="1"/>
    <col min="18" max="18" width="1.85546875" style="1" customWidth="1"/>
    <col min="19" max="19" width="33.42578125" style="1" customWidth="1"/>
    <col min="20" max="20" width="52.7109375" style="1" customWidth="1"/>
    <col min="21" max="21" width="13.7109375" style="36" customWidth="1"/>
    <col min="22" max="22" width="14.140625" style="1" bestFit="1" customWidth="1"/>
    <col min="23" max="23" width="13.140625" style="1" customWidth="1"/>
    <col min="24" max="24" width="13.140625" style="1" bestFit="1" customWidth="1"/>
    <col min="25" max="25" width="18.5703125" style="1" customWidth="1"/>
    <col min="26" max="26" width="16.42578125" style="1" bestFit="1" customWidth="1"/>
    <col min="27" max="27" width="14.7109375" style="1" customWidth="1"/>
    <col min="28" max="28" width="13.5703125" style="1" customWidth="1"/>
    <col min="29" max="29" width="11.85546875" style="1" customWidth="1"/>
    <col min="30" max="30" width="11.140625" style="8" customWidth="1"/>
    <col min="31" max="31" width="19.140625" style="36" customWidth="1"/>
    <col min="32" max="32" width="77.5703125" style="1" customWidth="1"/>
    <col min="33" max="33" width="16.28515625" style="1" customWidth="1"/>
    <col min="34" max="34" width="14.28515625" style="1" customWidth="1"/>
    <col min="35" max="16384" width="9.140625" style="1"/>
  </cols>
  <sheetData>
    <row r="1" spans="1:34" ht="24.95" customHeight="1">
      <c r="I1" s="2">
        <f>SUBTOTAL(2,I4:I438)</f>
        <v>34</v>
      </c>
      <c r="N1" s="35">
        <f>SUBTOTAL(9,N4:N9545)</f>
        <v>3362008.7550000004</v>
      </c>
      <c r="Y1" s="3">
        <f>SUBTOTAL(9,Y4:Y9545)</f>
        <v>3136898.6500000008</v>
      </c>
    </row>
    <row r="2" spans="1:34" ht="24.95" customHeight="1">
      <c r="A2" s="423" t="s">
        <v>0</v>
      </c>
      <c r="B2" s="424" t="s">
        <v>1</v>
      </c>
      <c r="C2" s="424" t="s">
        <v>2</v>
      </c>
      <c r="D2" s="423" t="s">
        <v>3</v>
      </c>
      <c r="E2" s="423" t="s">
        <v>4</v>
      </c>
      <c r="F2" s="423" t="s">
        <v>5</v>
      </c>
      <c r="G2" s="423" t="s">
        <v>6</v>
      </c>
      <c r="H2" s="423" t="s">
        <v>7</v>
      </c>
      <c r="I2" s="423" t="s">
        <v>8</v>
      </c>
      <c r="J2" s="423" t="s">
        <v>9</v>
      </c>
      <c r="K2" s="409" t="s">
        <v>10</v>
      </c>
      <c r="L2" s="409"/>
      <c r="M2" s="409"/>
      <c r="N2" s="410" t="s">
        <v>11</v>
      </c>
      <c r="O2" s="411"/>
      <c r="P2" s="412" t="s">
        <v>12</v>
      </c>
      <c r="Q2" s="413"/>
      <c r="R2" s="425" t="s">
        <v>3150</v>
      </c>
      <c r="S2" s="420" t="s">
        <v>13</v>
      </c>
      <c r="T2" s="427" t="s">
        <v>1492</v>
      </c>
      <c r="U2" s="427"/>
      <c r="V2" s="421" t="s">
        <v>15</v>
      </c>
      <c r="W2" s="422" t="s">
        <v>16</v>
      </c>
      <c r="X2" s="422" t="s">
        <v>17</v>
      </c>
      <c r="Y2" s="418" t="s">
        <v>18</v>
      </c>
      <c r="Z2" s="416" t="s">
        <v>1493</v>
      </c>
      <c r="AA2" s="416" t="s">
        <v>33</v>
      </c>
      <c r="AB2" s="7"/>
      <c r="AC2" s="6"/>
      <c r="AE2" s="423" t="s">
        <v>21</v>
      </c>
      <c r="AF2" s="8"/>
      <c r="AG2" s="416" t="s">
        <v>1494</v>
      </c>
      <c r="AH2" s="416" t="s">
        <v>3151</v>
      </c>
    </row>
    <row r="3" spans="1:34" ht="24.95" customHeight="1">
      <c r="A3" s="423"/>
      <c r="B3" s="424"/>
      <c r="C3" s="424"/>
      <c r="D3" s="423"/>
      <c r="E3" s="423"/>
      <c r="F3" s="423"/>
      <c r="G3" s="423"/>
      <c r="H3" s="423"/>
      <c r="I3" s="423"/>
      <c r="J3" s="423"/>
      <c r="K3" s="9" t="s">
        <v>26</v>
      </c>
      <c r="L3" s="4" t="s">
        <v>27</v>
      </c>
      <c r="M3" s="10" t="s">
        <v>3152</v>
      </c>
      <c r="N3" s="11" t="s">
        <v>29</v>
      </c>
      <c r="O3" s="11" t="s">
        <v>3153</v>
      </c>
      <c r="P3" s="12" t="s">
        <v>26</v>
      </c>
      <c r="Q3" s="13" t="s">
        <v>27</v>
      </c>
      <c r="R3" s="426"/>
      <c r="S3" s="420"/>
      <c r="T3" s="14" t="s">
        <v>1496</v>
      </c>
      <c r="U3" s="37" t="s">
        <v>3154</v>
      </c>
      <c r="V3" s="421"/>
      <c r="W3" s="422"/>
      <c r="X3" s="422"/>
      <c r="Y3" s="419"/>
      <c r="Z3" s="417"/>
      <c r="AA3" s="417"/>
      <c r="AB3" s="7" t="s">
        <v>1497</v>
      </c>
      <c r="AC3" s="6" t="s">
        <v>35</v>
      </c>
      <c r="AD3" s="15" t="s">
        <v>3155</v>
      </c>
      <c r="AE3" s="423"/>
      <c r="AF3" s="6" t="s">
        <v>23</v>
      </c>
      <c r="AG3" s="417"/>
      <c r="AH3" s="417"/>
    </row>
    <row r="4" spans="1:34" ht="27" customHeight="1">
      <c r="A4" s="15">
        <v>1</v>
      </c>
      <c r="B4" s="81">
        <v>45659</v>
      </c>
      <c r="C4" s="15" t="s">
        <v>38</v>
      </c>
      <c r="D4" s="15" t="s">
        <v>3156</v>
      </c>
      <c r="E4" s="26" t="s">
        <v>1518</v>
      </c>
      <c r="F4" s="27" t="s">
        <v>41</v>
      </c>
      <c r="G4" s="27">
        <v>645600</v>
      </c>
      <c r="H4" s="81">
        <v>45660</v>
      </c>
      <c r="I4" s="26">
        <v>6144760</v>
      </c>
      <c r="J4" s="28" t="s">
        <v>743</v>
      </c>
      <c r="K4" s="25">
        <v>45566</v>
      </c>
      <c r="L4" s="25">
        <v>45930</v>
      </c>
      <c r="M4" s="28" t="s">
        <v>3157</v>
      </c>
      <c r="N4" s="29">
        <f t="shared" ref="N4" si="0">O4*7.9</f>
        <v>23098.020000000004</v>
      </c>
      <c r="O4" s="30">
        <v>2923.8</v>
      </c>
      <c r="P4" s="31">
        <v>45689</v>
      </c>
      <c r="Q4" s="32">
        <v>46053</v>
      </c>
      <c r="R4" s="38"/>
      <c r="S4" s="20" t="s">
        <v>394</v>
      </c>
      <c r="T4" s="33" t="s">
        <v>3158</v>
      </c>
      <c r="U4" s="15">
        <v>51744343</v>
      </c>
      <c r="V4" s="16">
        <v>45667</v>
      </c>
      <c r="W4" s="17">
        <v>1515846</v>
      </c>
      <c r="X4" s="18">
        <v>45706</v>
      </c>
      <c r="Y4" s="39">
        <v>22705.06</v>
      </c>
      <c r="Z4" s="20" t="s">
        <v>1813</v>
      </c>
      <c r="AA4" s="21" t="s">
        <v>1546</v>
      </c>
      <c r="AB4" s="22"/>
      <c r="AC4" s="23">
        <v>45658</v>
      </c>
      <c r="AD4" s="23">
        <v>45658</v>
      </c>
      <c r="AE4" s="24" t="s">
        <v>3159</v>
      </c>
      <c r="AF4" s="24" t="s">
        <v>1803</v>
      </c>
      <c r="AG4" s="80"/>
      <c r="AH4" s="80"/>
    </row>
    <row r="5" spans="1:34" ht="27" customHeight="1">
      <c r="A5" s="15">
        <f t="shared" ref="A5:A33" si="1">A4+1</f>
        <v>2</v>
      </c>
      <c r="B5" s="81">
        <v>45679</v>
      </c>
      <c r="C5" s="15" t="s">
        <v>38</v>
      </c>
      <c r="D5" s="15" t="s">
        <v>3160</v>
      </c>
      <c r="E5" s="26" t="s">
        <v>1518</v>
      </c>
      <c r="F5" s="27" t="s">
        <v>41</v>
      </c>
      <c r="G5" s="27">
        <v>645600</v>
      </c>
      <c r="H5" s="81">
        <v>45680</v>
      </c>
      <c r="I5" s="26">
        <v>6151406</v>
      </c>
      <c r="J5" s="28" t="s">
        <v>254</v>
      </c>
      <c r="K5" s="25">
        <v>44348</v>
      </c>
      <c r="L5" s="25">
        <v>45808</v>
      </c>
      <c r="M5" s="28" t="s">
        <v>3161</v>
      </c>
      <c r="N5" s="29">
        <f t="shared" ref="N5" si="2">O5*7.9</f>
        <v>3135.9839999999999</v>
      </c>
      <c r="O5" s="30">
        <v>396.96</v>
      </c>
      <c r="P5" s="31">
        <v>45689</v>
      </c>
      <c r="Q5" s="32">
        <v>46053</v>
      </c>
      <c r="R5" s="38"/>
      <c r="S5" s="20" t="s">
        <v>394</v>
      </c>
      <c r="T5" s="33" t="s">
        <v>3162</v>
      </c>
      <c r="U5" s="15">
        <v>50429573</v>
      </c>
      <c r="V5" s="16">
        <v>45684</v>
      </c>
      <c r="W5" s="17">
        <v>1518786</v>
      </c>
      <c r="X5" s="18">
        <v>45706</v>
      </c>
      <c r="Y5" s="39">
        <v>3082.63</v>
      </c>
      <c r="Z5" s="20" t="s">
        <v>259</v>
      </c>
      <c r="AA5" s="21" t="s">
        <v>1546</v>
      </c>
      <c r="AB5" s="22"/>
      <c r="AC5" s="23">
        <v>45658</v>
      </c>
      <c r="AD5" s="23">
        <v>45658</v>
      </c>
      <c r="AE5" s="24" t="s">
        <v>3163</v>
      </c>
      <c r="AF5" s="24" t="s">
        <v>1803</v>
      </c>
      <c r="AG5" s="80"/>
      <c r="AH5" s="80"/>
    </row>
    <row r="6" spans="1:34" ht="27" customHeight="1">
      <c r="A6" s="15">
        <f t="shared" si="1"/>
        <v>3</v>
      </c>
      <c r="B6" s="81">
        <v>45679</v>
      </c>
      <c r="C6" s="15" t="s">
        <v>38</v>
      </c>
      <c r="D6" s="15" t="s">
        <v>3164</v>
      </c>
      <c r="E6" s="26" t="s">
        <v>1518</v>
      </c>
      <c r="F6" s="27" t="s">
        <v>41</v>
      </c>
      <c r="G6" s="27">
        <v>645600</v>
      </c>
      <c r="H6" s="81">
        <v>45680</v>
      </c>
      <c r="I6" s="26">
        <v>6151410</v>
      </c>
      <c r="J6" s="28" t="s">
        <v>254</v>
      </c>
      <c r="K6" s="25">
        <v>44348</v>
      </c>
      <c r="L6" s="25">
        <v>45808</v>
      </c>
      <c r="M6" s="28" t="s">
        <v>3161</v>
      </c>
      <c r="N6" s="29">
        <f t="shared" ref="N6:N7" si="3">O6*7.9</f>
        <v>478.26600000000002</v>
      </c>
      <c r="O6" s="30">
        <v>60.54</v>
      </c>
      <c r="P6" s="31">
        <v>45689</v>
      </c>
      <c r="Q6" s="32">
        <v>46053</v>
      </c>
      <c r="R6" s="38"/>
      <c r="S6" s="20" t="s">
        <v>538</v>
      </c>
      <c r="T6" s="33" t="s">
        <v>3165</v>
      </c>
      <c r="U6" s="15">
        <v>50429573</v>
      </c>
      <c r="V6" s="16">
        <v>45681</v>
      </c>
      <c r="W6" s="17">
        <v>1518591</v>
      </c>
      <c r="X6" s="18">
        <v>45715</v>
      </c>
      <c r="Y6" s="39">
        <v>470.13</v>
      </c>
      <c r="Z6" s="20" t="s">
        <v>259</v>
      </c>
      <c r="AA6" s="21" t="s">
        <v>1546</v>
      </c>
      <c r="AB6" s="22"/>
      <c r="AC6" s="23">
        <v>45658</v>
      </c>
      <c r="AD6" s="23">
        <v>45658</v>
      </c>
      <c r="AE6" s="24" t="s">
        <v>3163</v>
      </c>
      <c r="AF6" s="24" t="s">
        <v>1803</v>
      </c>
      <c r="AG6" s="80"/>
      <c r="AH6" s="80"/>
    </row>
    <row r="7" spans="1:34" ht="27" customHeight="1">
      <c r="A7" s="15">
        <f t="shared" si="1"/>
        <v>4</v>
      </c>
      <c r="B7" s="81">
        <v>45679</v>
      </c>
      <c r="C7" s="15" t="s">
        <v>38</v>
      </c>
      <c r="D7" s="15" t="s">
        <v>3166</v>
      </c>
      <c r="E7" s="26" t="s">
        <v>1518</v>
      </c>
      <c r="F7" s="27" t="s">
        <v>41</v>
      </c>
      <c r="G7" s="27">
        <v>645600</v>
      </c>
      <c r="H7" s="81">
        <v>45680</v>
      </c>
      <c r="I7" s="26">
        <v>6151411</v>
      </c>
      <c r="J7" s="28" t="s">
        <v>254</v>
      </c>
      <c r="K7" s="25">
        <v>44348</v>
      </c>
      <c r="L7" s="25">
        <v>45808</v>
      </c>
      <c r="M7" s="28" t="s">
        <v>3161</v>
      </c>
      <c r="N7" s="29">
        <f t="shared" si="3"/>
        <v>18519.18</v>
      </c>
      <c r="O7" s="30">
        <f>439.8+329.76+1391.04+90.72+92.88</f>
        <v>2344.1999999999998</v>
      </c>
      <c r="P7" s="31">
        <v>45689</v>
      </c>
      <c r="Q7" s="32">
        <v>46053</v>
      </c>
      <c r="R7" s="38"/>
      <c r="S7" s="20" t="s">
        <v>394</v>
      </c>
      <c r="T7" s="33" t="s">
        <v>3167</v>
      </c>
      <c r="U7" s="15">
        <v>50429573</v>
      </c>
      <c r="V7" s="16">
        <v>45684</v>
      </c>
      <c r="W7" s="17">
        <v>1518796</v>
      </c>
      <c r="X7" s="18">
        <v>45706</v>
      </c>
      <c r="Y7" s="39">
        <v>18204.12</v>
      </c>
      <c r="Z7" s="20" t="s">
        <v>259</v>
      </c>
      <c r="AA7" s="21" t="s">
        <v>1546</v>
      </c>
      <c r="AB7" s="22"/>
      <c r="AC7" s="23">
        <v>45658</v>
      </c>
      <c r="AD7" s="23">
        <v>45658</v>
      </c>
      <c r="AE7" s="24" t="s">
        <v>3163</v>
      </c>
      <c r="AF7" s="24" t="s">
        <v>1803</v>
      </c>
      <c r="AG7" s="80"/>
      <c r="AH7" s="80"/>
    </row>
    <row r="8" spans="1:34" ht="27" customHeight="1">
      <c r="A8" s="15">
        <f t="shared" si="1"/>
        <v>5</v>
      </c>
      <c r="B8" s="81">
        <v>45694</v>
      </c>
      <c r="C8" s="15" t="s">
        <v>38</v>
      </c>
      <c r="D8" s="15" t="s">
        <v>3168</v>
      </c>
      <c r="E8" s="26" t="s">
        <v>40</v>
      </c>
      <c r="F8" s="27" t="s">
        <v>41</v>
      </c>
      <c r="G8" s="27">
        <v>645600</v>
      </c>
      <c r="H8" s="81">
        <v>45694</v>
      </c>
      <c r="I8" s="26">
        <v>6154108</v>
      </c>
      <c r="J8" s="28" t="s">
        <v>411</v>
      </c>
      <c r="K8" s="25">
        <v>45337</v>
      </c>
      <c r="L8" s="25">
        <v>45702</v>
      </c>
      <c r="M8" s="28" t="s">
        <v>3169</v>
      </c>
      <c r="N8" s="29">
        <f t="shared" ref="N8" si="4">O8*7.9</f>
        <v>6890.7750000000005</v>
      </c>
      <c r="O8" s="30">
        <v>872.25</v>
      </c>
      <c r="P8" s="31">
        <v>45658</v>
      </c>
      <c r="Q8" s="32">
        <v>45928</v>
      </c>
      <c r="R8" s="38"/>
      <c r="S8" s="20" t="s">
        <v>394</v>
      </c>
      <c r="T8" s="33" t="s">
        <v>3170</v>
      </c>
      <c r="U8" s="15">
        <v>51434093</v>
      </c>
      <c r="V8" s="16">
        <v>45698</v>
      </c>
      <c r="W8" s="17">
        <v>1520218</v>
      </c>
      <c r="X8" s="18">
        <v>45716</v>
      </c>
      <c r="Y8" s="39">
        <v>6793.61</v>
      </c>
      <c r="Z8" s="20" t="s">
        <v>245</v>
      </c>
      <c r="AA8" s="21" t="s">
        <v>1546</v>
      </c>
      <c r="AB8" s="22"/>
      <c r="AC8" s="23">
        <v>45689</v>
      </c>
      <c r="AD8" s="23">
        <v>45627</v>
      </c>
      <c r="AE8" s="24" t="s">
        <v>3171</v>
      </c>
      <c r="AF8" s="24" t="s">
        <v>1803</v>
      </c>
      <c r="AG8" s="80"/>
      <c r="AH8" s="80"/>
    </row>
    <row r="9" spans="1:34" ht="27" customHeight="1">
      <c r="A9" s="15">
        <f t="shared" si="1"/>
        <v>6</v>
      </c>
      <c r="B9" s="81">
        <v>45699</v>
      </c>
      <c r="C9" s="15" t="s">
        <v>38</v>
      </c>
      <c r="D9" s="15" t="s">
        <v>3172</v>
      </c>
      <c r="E9" s="26" t="s">
        <v>40</v>
      </c>
      <c r="F9" s="27" t="s">
        <v>41</v>
      </c>
      <c r="G9" s="27">
        <v>645600</v>
      </c>
      <c r="H9" s="81">
        <v>45712</v>
      </c>
      <c r="I9" s="26">
        <v>6159633</v>
      </c>
      <c r="J9" s="28" t="s">
        <v>2230</v>
      </c>
      <c r="K9" s="25">
        <v>43098</v>
      </c>
      <c r="L9" s="25">
        <v>46384</v>
      </c>
      <c r="M9" s="28" t="s">
        <v>3173</v>
      </c>
      <c r="N9" s="29">
        <f t="shared" ref="N9" si="5">O9*7.9</f>
        <v>121429.32</v>
      </c>
      <c r="O9" s="30">
        <v>15370.8</v>
      </c>
      <c r="P9" s="31">
        <v>45717</v>
      </c>
      <c r="Q9" s="32">
        <v>46081</v>
      </c>
      <c r="R9" s="38"/>
      <c r="S9" s="20" t="s">
        <v>394</v>
      </c>
      <c r="T9" s="33" t="s">
        <v>3174</v>
      </c>
      <c r="U9" s="15">
        <v>41363031</v>
      </c>
      <c r="V9" s="16">
        <v>45716</v>
      </c>
      <c r="W9" s="17">
        <v>1523361</v>
      </c>
      <c r="X9" s="18">
        <v>45742</v>
      </c>
      <c r="Y9" s="39">
        <v>119717.01</v>
      </c>
      <c r="Z9" s="20" t="s">
        <v>105</v>
      </c>
      <c r="AA9" s="21" t="s">
        <v>1058</v>
      </c>
      <c r="AB9" s="22">
        <v>45713</v>
      </c>
      <c r="AC9" s="23">
        <v>45689</v>
      </c>
      <c r="AD9" s="23">
        <v>45717</v>
      </c>
      <c r="AE9" s="24" t="s">
        <v>2361</v>
      </c>
      <c r="AF9" s="24"/>
      <c r="AG9" s="80"/>
      <c r="AH9" s="80"/>
    </row>
    <row r="10" spans="1:34" ht="27" customHeight="1">
      <c r="A10" s="15">
        <f t="shared" si="1"/>
        <v>7</v>
      </c>
      <c r="B10" s="81">
        <v>45699</v>
      </c>
      <c r="C10" s="15" t="s">
        <v>38</v>
      </c>
      <c r="D10" s="15" t="s">
        <v>3175</v>
      </c>
      <c r="E10" s="26" t="s">
        <v>40</v>
      </c>
      <c r="F10" s="27" t="s">
        <v>41</v>
      </c>
      <c r="G10" s="27">
        <v>645600</v>
      </c>
      <c r="H10" s="81">
        <v>45712</v>
      </c>
      <c r="I10" s="26">
        <v>6159645</v>
      </c>
      <c r="J10" s="28" t="s">
        <v>3176</v>
      </c>
      <c r="K10" s="25">
        <v>42695</v>
      </c>
      <c r="L10" s="25">
        <v>45981</v>
      </c>
      <c r="M10" s="28" t="s">
        <v>2397</v>
      </c>
      <c r="N10" s="29">
        <f t="shared" ref="N10" si="6">O10*7.9</f>
        <v>432.28800000000001</v>
      </c>
      <c r="O10" s="30">
        <v>54.72</v>
      </c>
      <c r="P10" s="31">
        <v>45717</v>
      </c>
      <c r="Q10" s="32">
        <v>46081</v>
      </c>
      <c r="R10" s="38"/>
      <c r="S10" s="20" t="s">
        <v>394</v>
      </c>
      <c r="T10" s="33" t="s">
        <v>3177</v>
      </c>
      <c r="U10" s="15">
        <v>41363032</v>
      </c>
      <c r="V10" s="16">
        <v>45716</v>
      </c>
      <c r="W10" s="17">
        <v>1523360</v>
      </c>
      <c r="X10" s="18">
        <v>45742</v>
      </c>
      <c r="Y10" s="39">
        <v>426.19</v>
      </c>
      <c r="Z10" s="20" t="s">
        <v>105</v>
      </c>
      <c r="AA10" s="21" t="s">
        <v>1058</v>
      </c>
      <c r="AB10" s="22">
        <v>45713</v>
      </c>
      <c r="AC10" s="23">
        <v>45689</v>
      </c>
      <c r="AD10" s="23">
        <v>45717</v>
      </c>
      <c r="AE10" s="24" t="s">
        <v>2361</v>
      </c>
      <c r="AF10" s="24"/>
      <c r="AG10" s="80"/>
      <c r="AH10" s="80"/>
    </row>
    <row r="11" spans="1:34" ht="27" customHeight="1">
      <c r="A11" s="15">
        <f t="shared" si="1"/>
        <v>8</v>
      </c>
      <c r="B11" s="81">
        <v>45737</v>
      </c>
      <c r="C11" s="15" t="s">
        <v>38</v>
      </c>
      <c r="D11" s="15" t="s">
        <v>3178</v>
      </c>
      <c r="E11" s="26" t="s">
        <v>40</v>
      </c>
      <c r="F11" s="27" t="s">
        <v>41</v>
      </c>
      <c r="G11" s="27">
        <v>645600</v>
      </c>
      <c r="H11" s="81">
        <v>45737</v>
      </c>
      <c r="I11" s="26">
        <v>6167570</v>
      </c>
      <c r="J11" s="28" t="s">
        <v>254</v>
      </c>
      <c r="K11" s="25">
        <v>44348</v>
      </c>
      <c r="L11" s="25">
        <v>45808</v>
      </c>
      <c r="M11" s="28" t="s">
        <v>3161</v>
      </c>
      <c r="N11" s="29">
        <f>18321.43+3307.91</f>
        <v>21629.34</v>
      </c>
      <c r="O11" s="30"/>
      <c r="P11" s="31">
        <v>45748</v>
      </c>
      <c r="Q11" s="32">
        <v>46112</v>
      </c>
      <c r="R11" s="38"/>
      <c r="S11" s="20" t="s">
        <v>538</v>
      </c>
      <c r="T11" s="33" t="s">
        <v>3179</v>
      </c>
      <c r="U11" s="15">
        <v>50429573</v>
      </c>
      <c r="V11" s="16">
        <v>45741</v>
      </c>
      <c r="W11" s="17">
        <v>1527687</v>
      </c>
      <c r="X11" s="18">
        <v>45789</v>
      </c>
      <c r="Y11" s="39">
        <v>21629.34</v>
      </c>
      <c r="Z11" s="20" t="s">
        <v>259</v>
      </c>
      <c r="AA11" s="21" t="s">
        <v>1546</v>
      </c>
      <c r="AB11" s="22"/>
      <c r="AC11" s="23">
        <v>45717</v>
      </c>
      <c r="AD11" s="23">
        <v>45717</v>
      </c>
      <c r="AE11" s="24" t="s">
        <v>3163</v>
      </c>
      <c r="AF11" s="24" t="s">
        <v>1803</v>
      </c>
      <c r="AG11" s="80"/>
      <c r="AH11" s="80"/>
    </row>
    <row r="12" spans="1:34" ht="27" customHeight="1">
      <c r="A12" s="15">
        <f t="shared" si="1"/>
        <v>9</v>
      </c>
      <c r="B12" s="81">
        <v>45741</v>
      </c>
      <c r="C12" s="15" t="s">
        <v>38</v>
      </c>
      <c r="D12" s="15" t="s">
        <v>3180</v>
      </c>
      <c r="E12" s="26" t="s">
        <v>40</v>
      </c>
      <c r="F12" s="27" t="s">
        <v>41</v>
      </c>
      <c r="G12" s="27">
        <v>645600</v>
      </c>
      <c r="H12" s="81">
        <v>45741</v>
      </c>
      <c r="I12" s="26">
        <v>6168793</v>
      </c>
      <c r="J12" s="28" t="s">
        <v>3176</v>
      </c>
      <c r="K12" s="25">
        <v>42695</v>
      </c>
      <c r="L12" s="25">
        <v>45981</v>
      </c>
      <c r="M12" s="28" t="s">
        <v>2397</v>
      </c>
      <c r="N12" s="29">
        <f t="shared" ref="N12:N13" si="7">O12*7.9</f>
        <v>78262.14</v>
      </c>
      <c r="O12" s="30">
        <v>9906.6</v>
      </c>
      <c r="P12" s="31">
        <v>45748</v>
      </c>
      <c r="Q12" s="32">
        <v>46112</v>
      </c>
      <c r="R12" s="38"/>
      <c r="S12" s="20" t="s">
        <v>394</v>
      </c>
      <c r="T12" s="33" t="s">
        <v>3181</v>
      </c>
      <c r="U12" s="15">
        <v>41363032</v>
      </c>
      <c r="V12" s="16">
        <v>45743</v>
      </c>
      <c r="W12" s="17">
        <v>1528295</v>
      </c>
      <c r="X12" s="18">
        <v>45784</v>
      </c>
      <c r="Y12" s="39">
        <v>77006.97</v>
      </c>
      <c r="Z12" s="20" t="s">
        <v>105</v>
      </c>
      <c r="AA12" s="21" t="s">
        <v>3182</v>
      </c>
      <c r="AB12" s="22"/>
      <c r="AC12" s="23">
        <v>45717</v>
      </c>
      <c r="AD12" s="23">
        <v>45717</v>
      </c>
      <c r="AE12" s="24" t="s">
        <v>2361</v>
      </c>
      <c r="AF12" s="24"/>
      <c r="AG12" s="80"/>
      <c r="AH12" s="80"/>
    </row>
    <row r="13" spans="1:34" ht="27" customHeight="1">
      <c r="A13" s="15">
        <f t="shared" si="1"/>
        <v>10</v>
      </c>
      <c r="B13" s="81">
        <v>45763</v>
      </c>
      <c r="C13" s="15" t="s">
        <v>38</v>
      </c>
      <c r="D13" s="15" t="s">
        <v>3183</v>
      </c>
      <c r="E13" s="26" t="s">
        <v>40</v>
      </c>
      <c r="F13" s="27" t="s">
        <v>41</v>
      </c>
      <c r="G13" s="27">
        <v>645600</v>
      </c>
      <c r="H13" s="81">
        <v>45763</v>
      </c>
      <c r="I13" s="26">
        <v>6174459</v>
      </c>
      <c r="J13" s="28" t="s">
        <v>254</v>
      </c>
      <c r="K13" s="25">
        <v>44348</v>
      </c>
      <c r="L13" s="25">
        <v>45808</v>
      </c>
      <c r="M13" s="28" t="s">
        <v>3161</v>
      </c>
      <c r="N13" s="29">
        <f t="shared" si="7"/>
        <v>28165.159000000003</v>
      </c>
      <c r="O13" s="30">
        <f>213.95+2294.42+905.56+151.28</f>
        <v>3565.21</v>
      </c>
      <c r="P13" s="31">
        <v>45778</v>
      </c>
      <c r="Q13" s="32">
        <v>46142</v>
      </c>
      <c r="R13" s="38"/>
      <c r="S13" s="20" t="s">
        <v>538</v>
      </c>
      <c r="T13" s="33" t="s">
        <v>3184</v>
      </c>
      <c r="U13" s="15">
        <v>50429573</v>
      </c>
      <c r="V13" s="16">
        <v>45769</v>
      </c>
      <c r="W13" s="17">
        <v>1531697</v>
      </c>
      <c r="X13" s="18">
        <v>45883</v>
      </c>
      <c r="Y13" s="39">
        <f>1663.55+17840.03+7041.09+1176.26</f>
        <v>27720.929999999997</v>
      </c>
      <c r="Z13" s="20" t="s">
        <v>259</v>
      </c>
      <c r="AA13" s="21" t="s">
        <v>1546</v>
      </c>
      <c r="AB13" s="22"/>
      <c r="AC13" s="23">
        <v>45748</v>
      </c>
      <c r="AD13" s="23">
        <v>45748</v>
      </c>
      <c r="AE13" s="24" t="s">
        <v>3163</v>
      </c>
      <c r="AF13" s="24" t="s">
        <v>1803</v>
      </c>
      <c r="AG13" s="80"/>
      <c r="AH13" s="80"/>
    </row>
    <row r="14" spans="1:34" ht="63.75">
      <c r="A14" s="15">
        <f t="shared" si="1"/>
        <v>11</v>
      </c>
      <c r="B14" s="81">
        <v>45771</v>
      </c>
      <c r="C14" s="15" t="s">
        <v>38</v>
      </c>
      <c r="D14" s="15" t="s">
        <v>3185</v>
      </c>
      <c r="E14" s="26" t="s">
        <v>40</v>
      </c>
      <c r="F14" s="27" t="s">
        <v>41</v>
      </c>
      <c r="G14" s="27">
        <v>645600</v>
      </c>
      <c r="H14" s="81">
        <v>45771</v>
      </c>
      <c r="I14" s="26">
        <v>6176218</v>
      </c>
      <c r="J14" s="28" t="s">
        <v>743</v>
      </c>
      <c r="K14" s="81">
        <v>45758</v>
      </c>
      <c r="L14" s="81">
        <v>46122</v>
      </c>
      <c r="M14" s="28" t="s">
        <v>2098</v>
      </c>
      <c r="N14" s="29">
        <f t="shared" ref="N14" si="8">O14*7.9</f>
        <v>282941.02799999999</v>
      </c>
      <c r="O14" s="30">
        <v>35815.32</v>
      </c>
      <c r="P14" s="31">
        <v>45778</v>
      </c>
      <c r="Q14" s="32">
        <v>46142</v>
      </c>
      <c r="R14" s="38"/>
      <c r="S14" s="20" t="s">
        <v>394</v>
      </c>
      <c r="T14" s="33" t="s">
        <v>3186</v>
      </c>
      <c r="U14" s="15">
        <v>50253428</v>
      </c>
      <c r="V14" s="16">
        <v>45777</v>
      </c>
      <c r="W14" s="17">
        <v>1532914</v>
      </c>
      <c r="X14" s="18">
        <v>45793</v>
      </c>
      <c r="Y14" s="39">
        <v>278478.44</v>
      </c>
      <c r="Z14" s="20" t="s">
        <v>1813</v>
      </c>
      <c r="AA14" s="21" t="s">
        <v>1546</v>
      </c>
      <c r="AB14" s="22"/>
      <c r="AC14" s="23">
        <v>45748</v>
      </c>
      <c r="AD14" s="23">
        <v>45748</v>
      </c>
      <c r="AE14" s="24" t="s">
        <v>2100</v>
      </c>
      <c r="AF14" s="24" t="s">
        <v>2101</v>
      </c>
      <c r="AG14" s="80"/>
      <c r="AH14" s="81">
        <v>45777</v>
      </c>
    </row>
    <row r="15" spans="1:34" ht="51">
      <c r="A15" s="15">
        <f t="shared" si="1"/>
        <v>12</v>
      </c>
      <c r="B15" s="81">
        <v>45771</v>
      </c>
      <c r="C15" s="15" t="s">
        <v>38</v>
      </c>
      <c r="D15" s="15" t="s">
        <v>3187</v>
      </c>
      <c r="E15" s="26" t="s">
        <v>40</v>
      </c>
      <c r="F15" s="27" t="s">
        <v>41</v>
      </c>
      <c r="G15" s="27">
        <v>645600</v>
      </c>
      <c r="H15" s="81">
        <v>45771</v>
      </c>
      <c r="I15" s="26">
        <v>6176225</v>
      </c>
      <c r="J15" s="28" t="s">
        <v>743</v>
      </c>
      <c r="K15" s="81">
        <v>45758</v>
      </c>
      <c r="L15" s="81">
        <v>46122</v>
      </c>
      <c r="M15" s="28" t="s">
        <v>2098</v>
      </c>
      <c r="N15" s="29">
        <f t="shared" ref="N15" si="9">O15*7.9</f>
        <v>53864.412000000011</v>
      </c>
      <c r="O15" s="30">
        <f>6069.6+748.68</f>
        <v>6818.2800000000007</v>
      </c>
      <c r="P15" s="31">
        <v>45778</v>
      </c>
      <c r="Q15" s="32">
        <v>46142</v>
      </c>
      <c r="R15" s="38"/>
      <c r="S15" s="20" t="s">
        <v>394</v>
      </c>
      <c r="T15" s="33" t="s">
        <v>3188</v>
      </c>
      <c r="U15" s="15">
        <v>50253428</v>
      </c>
      <c r="V15" s="16">
        <v>45775</v>
      </c>
      <c r="W15" s="17">
        <v>1532556</v>
      </c>
      <c r="X15" s="18">
        <v>45793</v>
      </c>
      <c r="Y15" s="39">
        <f>5821.29+47193.57</f>
        <v>53014.86</v>
      </c>
      <c r="Z15" s="20" t="s">
        <v>1813</v>
      </c>
      <c r="AA15" s="21" t="s">
        <v>1546</v>
      </c>
      <c r="AB15" s="22"/>
      <c r="AC15" s="23">
        <v>45748</v>
      </c>
      <c r="AD15" s="23">
        <v>45748</v>
      </c>
      <c r="AE15" s="24" t="s">
        <v>2100</v>
      </c>
      <c r="AF15" s="24" t="s">
        <v>2101</v>
      </c>
      <c r="AG15" s="80"/>
      <c r="AH15" s="81"/>
    </row>
    <row r="16" spans="1:34" ht="25.5">
      <c r="A16" s="15">
        <f t="shared" si="1"/>
        <v>13</v>
      </c>
      <c r="B16" s="81">
        <v>45771</v>
      </c>
      <c r="C16" s="15" t="s">
        <v>38</v>
      </c>
      <c r="D16" s="15" t="s">
        <v>3189</v>
      </c>
      <c r="E16" s="26" t="s">
        <v>40</v>
      </c>
      <c r="F16" s="27" t="s">
        <v>41</v>
      </c>
      <c r="G16" s="27">
        <v>645600</v>
      </c>
      <c r="H16" s="81">
        <v>45771</v>
      </c>
      <c r="I16" s="26">
        <v>6176230</v>
      </c>
      <c r="J16" s="28" t="s">
        <v>743</v>
      </c>
      <c r="K16" s="81">
        <v>45758</v>
      </c>
      <c r="L16" s="81">
        <v>46122</v>
      </c>
      <c r="M16" s="28" t="s">
        <v>2098</v>
      </c>
      <c r="N16" s="29">
        <f t="shared" ref="N16" si="10">O16*7.9</f>
        <v>15427.199000000001</v>
      </c>
      <c r="O16" s="30">
        <f>728.91+412.13+811.77</f>
        <v>1952.81</v>
      </c>
      <c r="P16" s="31">
        <v>45778</v>
      </c>
      <c r="Q16" s="32">
        <v>46142</v>
      </c>
      <c r="R16" s="38"/>
      <c r="S16" s="20" t="s">
        <v>538</v>
      </c>
      <c r="T16" s="33" t="s">
        <v>3190</v>
      </c>
      <c r="U16" s="15">
        <v>50253428</v>
      </c>
      <c r="V16" s="16">
        <v>45775</v>
      </c>
      <c r="W16" s="17">
        <v>1532415</v>
      </c>
      <c r="X16" s="18">
        <v>45883</v>
      </c>
      <c r="Y16" s="39">
        <f>5667.57+3204.48+6311.84</f>
        <v>15183.89</v>
      </c>
      <c r="Z16" s="20" t="s">
        <v>1813</v>
      </c>
      <c r="AA16" s="21" t="s">
        <v>1546</v>
      </c>
      <c r="AB16" s="22"/>
      <c r="AC16" s="23">
        <v>45748</v>
      </c>
      <c r="AD16" s="23">
        <v>45748</v>
      </c>
      <c r="AE16" s="24" t="s">
        <v>2100</v>
      </c>
      <c r="AF16" s="24" t="s">
        <v>2101</v>
      </c>
      <c r="AG16" s="80"/>
      <c r="AH16" s="81"/>
    </row>
    <row r="17" spans="1:34" ht="25.5">
      <c r="A17" s="15">
        <f t="shared" si="1"/>
        <v>14</v>
      </c>
      <c r="B17" s="81">
        <v>45793</v>
      </c>
      <c r="C17" s="15" t="s">
        <v>38</v>
      </c>
      <c r="D17" s="15" t="s">
        <v>3191</v>
      </c>
      <c r="E17" s="26" t="s">
        <v>40</v>
      </c>
      <c r="F17" s="27" t="s">
        <v>41</v>
      </c>
      <c r="G17" s="27">
        <v>645600</v>
      </c>
      <c r="H17" s="81">
        <v>45792</v>
      </c>
      <c r="I17" s="26">
        <v>6181489</v>
      </c>
      <c r="J17" s="28" t="s">
        <v>857</v>
      </c>
      <c r="K17" s="81">
        <v>45783</v>
      </c>
      <c r="L17" s="81">
        <v>46147</v>
      </c>
      <c r="M17" s="28" t="s">
        <v>3192</v>
      </c>
      <c r="N17" s="29">
        <f t="shared" ref="N17" si="11">O17*7.9</f>
        <v>11997.335000000001</v>
      </c>
      <c r="O17" s="30">
        <v>1518.65</v>
      </c>
      <c r="P17" s="31">
        <v>45809</v>
      </c>
      <c r="Q17" s="32">
        <v>46173</v>
      </c>
      <c r="R17" s="38"/>
      <c r="S17" s="20" t="s">
        <v>784</v>
      </c>
      <c r="T17" s="33" t="s">
        <v>3193</v>
      </c>
      <c r="U17" s="15">
        <v>51825047</v>
      </c>
      <c r="V17" s="16">
        <v>45796</v>
      </c>
      <c r="W17" s="17">
        <v>1535326</v>
      </c>
      <c r="X17" s="18">
        <v>45838</v>
      </c>
      <c r="Y17" s="39">
        <v>11781.08</v>
      </c>
      <c r="Z17" s="20" t="s">
        <v>1813</v>
      </c>
      <c r="AA17" s="21" t="s">
        <v>1546</v>
      </c>
      <c r="AB17" s="22"/>
      <c r="AC17" s="23">
        <v>45778</v>
      </c>
      <c r="AD17" s="23">
        <v>45778</v>
      </c>
      <c r="AE17" s="24" t="s">
        <v>3194</v>
      </c>
      <c r="AF17" s="24" t="s">
        <v>1803</v>
      </c>
      <c r="AG17" s="80" t="s">
        <v>3195</v>
      </c>
      <c r="AH17" s="81"/>
    </row>
    <row r="18" spans="1:34" ht="51">
      <c r="A18" s="15">
        <f t="shared" si="1"/>
        <v>15</v>
      </c>
      <c r="B18" s="81">
        <v>45800</v>
      </c>
      <c r="C18" s="15" t="s">
        <v>38</v>
      </c>
      <c r="D18" s="15" t="s">
        <v>3196</v>
      </c>
      <c r="E18" s="26" t="s">
        <v>40</v>
      </c>
      <c r="F18" s="27" t="s">
        <v>41</v>
      </c>
      <c r="G18" s="27">
        <v>645600</v>
      </c>
      <c r="H18" s="81">
        <v>45803</v>
      </c>
      <c r="I18" s="26">
        <v>6184273</v>
      </c>
      <c r="J18" s="28" t="s">
        <v>254</v>
      </c>
      <c r="K18" s="81">
        <v>45809</v>
      </c>
      <c r="L18" s="81">
        <v>46173</v>
      </c>
      <c r="M18" s="28" t="s">
        <v>255</v>
      </c>
      <c r="N18" s="29">
        <f t="shared" ref="N18" si="12">O18*7.9</f>
        <v>597081.68400000001</v>
      </c>
      <c r="O18" s="30">
        <f>852.24+1236.84+2366.4+0+3215.52+1728+676.8+614.4+58.08+6144+92.16+2088+56507.52</f>
        <v>75579.959999999992</v>
      </c>
      <c r="P18" s="31">
        <v>45809</v>
      </c>
      <c r="Q18" s="32">
        <v>46173</v>
      </c>
      <c r="R18" s="38"/>
      <c r="S18" s="20" t="s">
        <v>394</v>
      </c>
      <c r="T18" s="33" t="s">
        <v>3197</v>
      </c>
      <c r="U18" s="15">
        <v>50429573</v>
      </c>
      <c r="V18" s="16">
        <v>45805</v>
      </c>
      <c r="W18" s="17">
        <v>1537160</v>
      </c>
      <c r="X18" s="18">
        <v>45884</v>
      </c>
      <c r="Y18" s="39">
        <f>6611.34+9594.91+18357.58+0+24944.72+13405.13+5250.34+4766.27+450.56+47662.69+714.94+16197.87+438362.74</f>
        <v>586319.09</v>
      </c>
      <c r="Z18" s="20" t="s">
        <v>259</v>
      </c>
      <c r="AA18" s="21" t="s">
        <v>1546</v>
      </c>
      <c r="AB18" s="22"/>
      <c r="AC18" s="23">
        <v>45778</v>
      </c>
      <c r="AD18" s="23">
        <v>45778</v>
      </c>
      <c r="AE18" s="24" t="s">
        <v>260</v>
      </c>
      <c r="AF18" s="24" t="s">
        <v>1803</v>
      </c>
      <c r="AG18" s="139" t="s">
        <v>3198</v>
      </c>
      <c r="AH18" s="81"/>
    </row>
    <row r="19" spans="1:34" ht="25.5">
      <c r="A19" s="15">
        <f t="shared" si="1"/>
        <v>16</v>
      </c>
      <c r="B19" s="81">
        <v>45806</v>
      </c>
      <c r="C19" s="15" t="s">
        <v>38</v>
      </c>
      <c r="D19" s="15" t="s">
        <v>3199</v>
      </c>
      <c r="E19" s="26" t="s">
        <v>40</v>
      </c>
      <c r="F19" s="27" t="s">
        <v>41</v>
      </c>
      <c r="G19" s="27">
        <v>645600</v>
      </c>
      <c r="H19" s="81">
        <v>45806</v>
      </c>
      <c r="I19" s="26">
        <v>6185483</v>
      </c>
      <c r="J19" s="28" t="s">
        <v>254</v>
      </c>
      <c r="K19" s="81">
        <v>45809</v>
      </c>
      <c r="L19" s="81">
        <v>46173</v>
      </c>
      <c r="M19" s="28" t="s">
        <v>255</v>
      </c>
      <c r="N19" s="29">
        <f t="shared" ref="N19" si="13">O19*7.9</f>
        <v>585074</v>
      </c>
      <c r="O19" s="30">
        <v>74060</v>
      </c>
      <c r="P19" s="31">
        <v>45809</v>
      </c>
      <c r="Q19" s="32">
        <v>46173</v>
      </c>
      <c r="R19" s="38"/>
      <c r="S19" s="20" t="s">
        <v>394</v>
      </c>
      <c r="T19" s="33" t="s">
        <v>3200</v>
      </c>
      <c r="U19" s="15">
        <v>50429573</v>
      </c>
      <c r="V19" s="16">
        <v>45807</v>
      </c>
      <c r="W19" s="17">
        <v>1537417</v>
      </c>
      <c r="X19" s="18">
        <v>45884</v>
      </c>
      <c r="Y19" s="39">
        <v>574530.96</v>
      </c>
      <c r="Z19" s="20" t="s">
        <v>259</v>
      </c>
      <c r="AA19" s="21" t="s">
        <v>1546</v>
      </c>
      <c r="AB19" s="22"/>
      <c r="AC19" s="23">
        <v>45778</v>
      </c>
      <c r="AD19" s="23">
        <v>45778</v>
      </c>
      <c r="AE19" s="24" t="s">
        <v>260</v>
      </c>
      <c r="AF19" s="24" t="s">
        <v>1803</v>
      </c>
      <c r="AG19" s="80">
        <v>9011024093</v>
      </c>
      <c r="AH19" s="81"/>
    </row>
    <row r="20" spans="1:34" ht="25.5">
      <c r="A20" s="15">
        <f t="shared" si="1"/>
        <v>17</v>
      </c>
      <c r="B20" s="81">
        <v>45819</v>
      </c>
      <c r="C20" s="15" t="s">
        <v>38</v>
      </c>
      <c r="D20" s="15" t="s">
        <v>3201</v>
      </c>
      <c r="E20" s="26" t="s">
        <v>40</v>
      </c>
      <c r="F20" s="27" t="s">
        <v>41</v>
      </c>
      <c r="G20" s="27">
        <v>645600</v>
      </c>
      <c r="H20" s="81">
        <v>45820</v>
      </c>
      <c r="I20" s="26">
        <v>6188905</v>
      </c>
      <c r="J20" s="28" t="s">
        <v>254</v>
      </c>
      <c r="K20" s="81">
        <v>45809</v>
      </c>
      <c r="L20" s="81">
        <v>46173</v>
      </c>
      <c r="M20" s="28" t="s">
        <v>255</v>
      </c>
      <c r="N20" s="29">
        <f t="shared" ref="N20" si="14">O20*7.9</f>
        <v>88619.040000000008</v>
      </c>
      <c r="O20" s="30">
        <f>345.6+5678.4+2102.4+552.96+2538.24</f>
        <v>11217.6</v>
      </c>
      <c r="P20" s="31">
        <v>45839</v>
      </c>
      <c r="Q20" s="32">
        <v>45838</v>
      </c>
      <c r="R20" s="38"/>
      <c r="S20" s="20" t="s">
        <v>394</v>
      </c>
      <c r="T20" s="33" t="s">
        <v>3202</v>
      </c>
      <c r="U20" s="15">
        <v>50429573</v>
      </c>
      <c r="V20" s="16">
        <v>45826</v>
      </c>
      <c r="W20" s="17">
        <v>1540272</v>
      </c>
      <c r="X20" s="18">
        <v>45888</v>
      </c>
      <c r="Y20" s="39">
        <f>2708.12+44495.94+16474.41+4332.99+19889.65</f>
        <v>87901.110000000015</v>
      </c>
      <c r="Z20" s="20" t="s">
        <v>259</v>
      </c>
      <c r="AA20" s="21" t="s">
        <v>1546</v>
      </c>
      <c r="AB20" s="22"/>
      <c r="AC20" s="23">
        <v>45809</v>
      </c>
      <c r="AD20" s="23">
        <v>45809</v>
      </c>
      <c r="AE20" s="24" t="s">
        <v>260</v>
      </c>
      <c r="AF20" s="24"/>
      <c r="AG20" s="80" t="s">
        <v>3203</v>
      </c>
      <c r="AH20" s="81"/>
    </row>
    <row r="21" spans="1:34" ht="38.25">
      <c r="A21" s="15">
        <f t="shared" si="1"/>
        <v>18</v>
      </c>
      <c r="B21" s="81">
        <v>45862</v>
      </c>
      <c r="C21" s="15" t="s">
        <v>38</v>
      </c>
      <c r="D21" s="15" t="s">
        <v>3204</v>
      </c>
      <c r="E21" s="26" t="s">
        <v>40</v>
      </c>
      <c r="F21" s="27" t="s">
        <v>41</v>
      </c>
      <c r="G21" s="27">
        <v>645600</v>
      </c>
      <c r="H21" s="81">
        <v>45862</v>
      </c>
      <c r="I21" s="26">
        <v>6201637</v>
      </c>
      <c r="J21" s="28" t="s">
        <v>254</v>
      </c>
      <c r="K21" s="81">
        <v>45809</v>
      </c>
      <c r="L21" s="81">
        <v>46173</v>
      </c>
      <c r="M21" s="28" t="s">
        <v>255</v>
      </c>
      <c r="N21" s="29">
        <f t="shared" ref="N21:N22" si="15">O21*7.9</f>
        <v>10139.808000000001</v>
      </c>
      <c r="O21" s="30">
        <f>144+147.6+151.92+259.2+58.08+173.52+147.6+201.6</f>
        <v>1283.52</v>
      </c>
      <c r="P21" s="31">
        <v>45870</v>
      </c>
      <c r="Q21" s="32">
        <v>46234</v>
      </c>
      <c r="R21" s="38"/>
      <c r="S21" s="20" t="s">
        <v>394</v>
      </c>
      <c r="T21" s="33" t="s">
        <v>3205</v>
      </c>
      <c r="U21" s="15">
        <v>50429573</v>
      </c>
      <c r="V21" s="16">
        <v>45868</v>
      </c>
      <c r="W21" s="17">
        <v>1547436</v>
      </c>
      <c r="X21" s="18">
        <v>45952</v>
      </c>
      <c r="Y21" s="39">
        <f>1130.37+1158.63+1192.54+2034.67+455.92+1362.1+1158.63+1582.52+36781.34</f>
        <v>46856.72</v>
      </c>
      <c r="Z21" s="20" t="s">
        <v>259</v>
      </c>
      <c r="AA21" s="21" t="s">
        <v>1546</v>
      </c>
      <c r="AB21" s="22"/>
      <c r="AC21" s="23">
        <v>45839</v>
      </c>
      <c r="AD21" s="23">
        <v>45839</v>
      </c>
      <c r="AE21" s="24" t="s">
        <v>260</v>
      </c>
      <c r="AF21" s="136" t="s">
        <v>3206</v>
      </c>
      <c r="AG21" s="80" t="s">
        <v>3207</v>
      </c>
      <c r="AH21" s="81">
        <v>45870</v>
      </c>
    </row>
    <row r="22" spans="1:34" ht="25.5">
      <c r="A22" s="15">
        <f t="shared" si="1"/>
        <v>19</v>
      </c>
      <c r="B22" s="81">
        <v>45862</v>
      </c>
      <c r="C22" s="15" t="s">
        <v>38</v>
      </c>
      <c r="D22" s="15" t="s">
        <v>3208</v>
      </c>
      <c r="E22" s="26" t="s">
        <v>40</v>
      </c>
      <c r="F22" s="27" t="s">
        <v>41</v>
      </c>
      <c r="G22" s="27">
        <v>645600</v>
      </c>
      <c r="H22" s="81">
        <v>45862</v>
      </c>
      <c r="I22" s="26">
        <v>6201643</v>
      </c>
      <c r="J22" s="28" t="s">
        <v>254</v>
      </c>
      <c r="K22" s="81">
        <v>45809</v>
      </c>
      <c r="L22" s="81">
        <v>46173</v>
      </c>
      <c r="M22" s="28" t="s">
        <v>255</v>
      </c>
      <c r="N22" s="29">
        <f t="shared" si="15"/>
        <v>37016.556000000004</v>
      </c>
      <c r="O22" s="30">
        <v>4685.6400000000003</v>
      </c>
      <c r="P22" s="31">
        <v>45870</v>
      </c>
      <c r="Q22" s="32">
        <v>46234</v>
      </c>
      <c r="R22" s="38"/>
      <c r="S22" s="20" t="s">
        <v>394</v>
      </c>
      <c r="T22" s="33" t="s">
        <v>3209</v>
      </c>
      <c r="U22" s="15">
        <v>50429573</v>
      </c>
      <c r="V22" s="16">
        <v>45868</v>
      </c>
      <c r="W22" s="17">
        <v>1547439</v>
      </c>
      <c r="X22" s="18">
        <v>45961</v>
      </c>
      <c r="Y22" s="39">
        <v>36781.339999999997</v>
      </c>
      <c r="Z22" s="20" t="s">
        <v>259</v>
      </c>
      <c r="AA22" s="21" t="s">
        <v>1546</v>
      </c>
      <c r="AB22" s="22"/>
      <c r="AC22" s="23">
        <v>45839</v>
      </c>
      <c r="AD22" s="23">
        <v>45839</v>
      </c>
      <c r="AE22" s="24" t="s">
        <v>260</v>
      </c>
      <c r="AF22" s="136" t="s">
        <v>3206</v>
      </c>
      <c r="AG22" s="80"/>
      <c r="AH22" s="81"/>
    </row>
    <row r="23" spans="1:34" ht="38.25">
      <c r="A23" s="15">
        <f t="shared" si="1"/>
        <v>20</v>
      </c>
      <c r="B23" s="81">
        <v>45862</v>
      </c>
      <c r="C23" s="15" t="s">
        <v>38</v>
      </c>
      <c r="D23" s="15" t="s">
        <v>3210</v>
      </c>
      <c r="E23" s="26" t="s">
        <v>40</v>
      </c>
      <c r="F23" s="27" t="s">
        <v>41</v>
      </c>
      <c r="G23" s="27">
        <v>645600</v>
      </c>
      <c r="H23" s="81">
        <v>45862</v>
      </c>
      <c r="I23" s="26">
        <v>6201646</v>
      </c>
      <c r="J23" s="28" t="s">
        <v>254</v>
      </c>
      <c r="K23" s="81">
        <v>45809</v>
      </c>
      <c r="L23" s="81">
        <v>46173</v>
      </c>
      <c r="M23" s="28" t="s">
        <v>255</v>
      </c>
      <c r="N23" s="29">
        <v>115640.94</v>
      </c>
      <c r="O23" s="30">
        <v>14731.33</v>
      </c>
      <c r="P23" s="31">
        <v>45870</v>
      </c>
      <c r="Q23" s="32">
        <v>46234</v>
      </c>
      <c r="R23" s="38"/>
      <c r="S23" s="20" t="s">
        <v>538</v>
      </c>
      <c r="T23" s="33" t="s">
        <v>3211</v>
      </c>
      <c r="U23" s="15">
        <v>50429573</v>
      </c>
      <c r="V23" s="16">
        <v>45869</v>
      </c>
      <c r="W23" s="17">
        <v>1547803</v>
      </c>
      <c r="X23" s="18">
        <v>45995</v>
      </c>
      <c r="Y23" s="39">
        <v>115640.94</v>
      </c>
      <c r="Z23" s="20" t="s">
        <v>259</v>
      </c>
      <c r="AA23" s="21" t="s">
        <v>1546</v>
      </c>
      <c r="AB23" s="22"/>
      <c r="AC23" s="23">
        <v>45839</v>
      </c>
      <c r="AD23" s="23">
        <v>45839</v>
      </c>
      <c r="AE23" s="24" t="s">
        <v>260</v>
      </c>
      <c r="AF23" s="136" t="s">
        <v>3206</v>
      </c>
      <c r="AG23" s="80"/>
      <c r="AH23" s="81"/>
    </row>
    <row r="24" spans="1:34" ht="27" customHeight="1">
      <c r="A24" s="15">
        <f t="shared" si="1"/>
        <v>21</v>
      </c>
      <c r="B24" s="81">
        <v>45862</v>
      </c>
      <c r="C24" s="15" t="s">
        <v>38</v>
      </c>
      <c r="D24" s="15" t="s">
        <v>3212</v>
      </c>
      <c r="E24" s="26" t="s">
        <v>40</v>
      </c>
      <c r="F24" s="27" t="s">
        <v>41</v>
      </c>
      <c r="G24" s="27">
        <v>645600</v>
      </c>
      <c r="H24" s="81">
        <v>45863</v>
      </c>
      <c r="I24" s="26">
        <v>6201829</v>
      </c>
      <c r="J24" s="28" t="s">
        <v>2230</v>
      </c>
      <c r="K24" s="25">
        <v>43098</v>
      </c>
      <c r="L24" s="25">
        <v>46384</v>
      </c>
      <c r="M24" s="28" t="s">
        <v>3173</v>
      </c>
      <c r="N24" s="29">
        <v>37651.74</v>
      </c>
      <c r="O24" s="30">
        <v>4796.3999999999996</v>
      </c>
      <c r="P24" s="31">
        <v>45870</v>
      </c>
      <c r="Q24" s="32">
        <v>46234</v>
      </c>
      <c r="R24" s="38"/>
      <c r="S24" s="20" t="s">
        <v>538</v>
      </c>
      <c r="T24" s="33" t="s">
        <v>3213</v>
      </c>
      <c r="U24" s="15">
        <v>41363031</v>
      </c>
      <c r="V24" s="16">
        <v>45869</v>
      </c>
      <c r="W24" s="17">
        <v>1547805</v>
      </c>
      <c r="X24" s="18"/>
      <c r="Y24" s="39">
        <v>37651.74</v>
      </c>
      <c r="Z24" s="20" t="s">
        <v>105</v>
      </c>
      <c r="AA24" s="21" t="s">
        <v>3182</v>
      </c>
      <c r="AB24" s="22"/>
      <c r="AC24" s="23">
        <v>45839</v>
      </c>
      <c r="AD24" s="23">
        <v>45839</v>
      </c>
      <c r="AE24" s="24" t="s">
        <v>2361</v>
      </c>
      <c r="AF24" s="136" t="s">
        <v>3214</v>
      </c>
      <c r="AG24" s="80"/>
      <c r="AH24" s="81"/>
    </row>
    <row r="25" spans="1:34" ht="27" customHeight="1">
      <c r="A25" s="135">
        <f t="shared" si="1"/>
        <v>22</v>
      </c>
      <c r="B25" s="144">
        <v>45862</v>
      </c>
      <c r="C25" s="135" t="s">
        <v>38</v>
      </c>
      <c r="D25" s="135" t="s">
        <v>3215</v>
      </c>
      <c r="E25" s="145" t="s">
        <v>40</v>
      </c>
      <c r="F25" s="146" t="s">
        <v>41</v>
      </c>
      <c r="G25" s="146">
        <v>645600</v>
      </c>
      <c r="H25" s="144">
        <v>45863</v>
      </c>
      <c r="I25" s="145">
        <v>6201834</v>
      </c>
      <c r="J25" s="147" t="s">
        <v>2230</v>
      </c>
      <c r="K25" s="148">
        <v>43098</v>
      </c>
      <c r="L25" s="148">
        <v>46384</v>
      </c>
      <c r="M25" s="147" t="s">
        <v>3173</v>
      </c>
      <c r="N25" s="149">
        <f t="shared" ref="N25:N26" si="16">O25*7.9</f>
        <v>406307.11200000002</v>
      </c>
      <c r="O25" s="150">
        <f>45750.12+3283.56+2397.6</f>
        <v>51431.28</v>
      </c>
      <c r="P25" s="151">
        <v>45870</v>
      </c>
      <c r="Q25" s="152">
        <v>46234</v>
      </c>
      <c r="R25" s="153"/>
      <c r="S25" s="154" t="s">
        <v>394</v>
      </c>
      <c r="T25" s="155" t="s">
        <v>3216</v>
      </c>
      <c r="U25" s="135">
        <v>41363031</v>
      </c>
      <c r="V25" s="156">
        <v>45867</v>
      </c>
      <c r="W25" s="157">
        <v>1547216</v>
      </c>
      <c r="X25" s="158" t="s">
        <v>3217</v>
      </c>
      <c r="Y25" s="159">
        <v>359129.29</v>
      </c>
      <c r="Z25" s="154" t="s">
        <v>105</v>
      </c>
      <c r="AA25" s="160" t="s">
        <v>1058</v>
      </c>
      <c r="AB25" s="161"/>
      <c r="AC25" s="162">
        <v>45839</v>
      </c>
      <c r="AD25" s="162">
        <v>45839</v>
      </c>
      <c r="AE25" s="163" t="s">
        <v>2361</v>
      </c>
      <c r="AF25" s="164" t="s">
        <v>3218</v>
      </c>
      <c r="AG25" s="80"/>
      <c r="AH25" s="80"/>
    </row>
    <row r="26" spans="1:34" ht="25.5">
      <c r="A26" s="15">
        <f t="shared" si="1"/>
        <v>23</v>
      </c>
      <c r="B26" s="81">
        <v>45875</v>
      </c>
      <c r="C26" s="15" t="s">
        <v>38</v>
      </c>
      <c r="D26" s="15" t="s">
        <v>3219</v>
      </c>
      <c r="E26" s="26" t="s">
        <v>40</v>
      </c>
      <c r="F26" s="27" t="s">
        <v>41</v>
      </c>
      <c r="G26" s="27">
        <v>645600</v>
      </c>
      <c r="H26" s="81">
        <v>45882</v>
      </c>
      <c r="I26" s="26">
        <v>6207376</v>
      </c>
      <c r="J26" s="28" t="s">
        <v>254</v>
      </c>
      <c r="K26" s="81">
        <v>45809</v>
      </c>
      <c r="L26" s="81">
        <v>46173</v>
      </c>
      <c r="M26" s="28" t="s">
        <v>255</v>
      </c>
      <c r="N26" s="29">
        <f t="shared" si="16"/>
        <v>1466.556</v>
      </c>
      <c r="O26" s="30">
        <v>185.64</v>
      </c>
      <c r="P26" s="31">
        <v>45901</v>
      </c>
      <c r="Q26" s="32">
        <v>46265</v>
      </c>
      <c r="R26" s="38"/>
      <c r="S26" s="20" t="s">
        <v>538</v>
      </c>
      <c r="T26" s="33" t="s">
        <v>3220</v>
      </c>
      <c r="U26" s="15">
        <v>50429573</v>
      </c>
      <c r="V26" s="16">
        <v>45889</v>
      </c>
      <c r="W26" s="17">
        <v>1550777</v>
      </c>
      <c r="X26" s="18">
        <v>45995</v>
      </c>
      <c r="Y26" s="39">
        <v>1457.24</v>
      </c>
      <c r="Z26" s="20" t="s">
        <v>259</v>
      </c>
      <c r="AA26" s="21" t="s">
        <v>1546</v>
      </c>
      <c r="AB26" s="22"/>
      <c r="AC26" s="23">
        <v>45870</v>
      </c>
      <c r="AD26" s="23">
        <v>45870</v>
      </c>
      <c r="AE26" s="24" t="s">
        <v>260</v>
      </c>
      <c r="AF26" s="136"/>
      <c r="AG26" s="80"/>
      <c r="AH26" s="80"/>
    </row>
    <row r="27" spans="1:34" ht="25.5">
      <c r="A27" s="15">
        <f t="shared" si="1"/>
        <v>24</v>
      </c>
      <c r="B27" s="81">
        <v>45875</v>
      </c>
      <c r="C27" s="15" t="s">
        <v>38</v>
      </c>
      <c r="D27" s="15" t="s">
        <v>3221</v>
      </c>
      <c r="E27" s="26" t="s">
        <v>40</v>
      </c>
      <c r="F27" s="27" t="s">
        <v>41</v>
      </c>
      <c r="G27" s="27">
        <v>645600</v>
      </c>
      <c r="H27" s="81">
        <v>45882</v>
      </c>
      <c r="I27" s="26">
        <v>6207384</v>
      </c>
      <c r="J27" s="28" t="s">
        <v>254</v>
      </c>
      <c r="K27" s="81">
        <v>45809</v>
      </c>
      <c r="L27" s="81">
        <v>46173</v>
      </c>
      <c r="M27" s="28" t="s">
        <v>255</v>
      </c>
      <c r="N27" s="29">
        <f t="shared" ref="N27:N28" si="17">O27*7.9</f>
        <v>682.56000000000006</v>
      </c>
      <c r="O27" s="30">
        <v>86.4</v>
      </c>
      <c r="P27" s="31">
        <v>45931</v>
      </c>
      <c r="Q27" s="32">
        <v>46295</v>
      </c>
      <c r="R27" s="38"/>
      <c r="S27" s="20" t="s">
        <v>394</v>
      </c>
      <c r="T27" s="33" t="s">
        <v>3222</v>
      </c>
      <c r="U27" s="15">
        <v>50429573</v>
      </c>
      <c r="V27" s="16">
        <v>45897</v>
      </c>
      <c r="W27" s="17">
        <v>1552275</v>
      </c>
      <c r="X27" s="18">
        <v>45961</v>
      </c>
      <c r="Y27" s="39">
        <v>678.22</v>
      </c>
      <c r="Z27" s="20" t="s">
        <v>259</v>
      </c>
      <c r="AA27" s="21" t="s">
        <v>1546</v>
      </c>
      <c r="AB27" s="22"/>
      <c r="AC27" s="23">
        <v>45870</v>
      </c>
      <c r="AD27" s="23">
        <v>45870</v>
      </c>
      <c r="AE27" s="24" t="s">
        <v>260</v>
      </c>
      <c r="AF27" s="136"/>
      <c r="AG27" s="80"/>
      <c r="AH27" s="80"/>
    </row>
    <row r="28" spans="1:34" ht="27" customHeight="1">
      <c r="A28" s="15">
        <f t="shared" si="1"/>
        <v>25</v>
      </c>
      <c r="B28" s="81">
        <v>45889</v>
      </c>
      <c r="C28" s="15" t="s">
        <v>38</v>
      </c>
      <c r="D28" s="15" t="s">
        <v>3223</v>
      </c>
      <c r="E28" s="26" t="s">
        <v>40</v>
      </c>
      <c r="F28" s="27" t="s">
        <v>41</v>
      </c>
      <c r="G28" s="27">
        <v>645600</v>
      </c>
      <c r="H28" s="81">
        <v>45890</v>
      </c>
      <c r="I28" s="26">
        <v>6209851</v>
      </c>
      <c r="J28" s="28" t="s">
        <v>2230</v>
      </c>
      <c r="K28" s="25">
        <v>43098</v>
      </c>
      <c r="L28" s="25">
        <v>46384</v>
      </c>
      <c r="M28" s="28" t="s">
        <v>3173</v>
      </c>
      <c r="N28" s="29">
        <f t="shared" si="17"/>
        <v>52293.734000000004</v>
      </c>
      <c r="O28" s="30">
        <f>3187.16+3432.3</f>
        <v>6619.46</v>
      </c>
      <c r="P28" s="31">
        <v>45870</v>
      </c>
      <c r="Q28" s="32">
        <v>46387</v>
      </c>
      <c r="R28" s="38"/>
      <c r="S28" s="20" t="s">
        <v>3224</v>
      </c>
      <c r="T28" s="33" t="s">
        <v>3225</v>
      </c>
      <c r="U28" s="15">
        <v>41363031</v>
      </c>
      <c r="V28" s="16">
        <v>45895</v>
      </c>
      <c r="W28" s="165" t="s">
        <v>3226</v>
      </c>
      <c r="X28" s="137" t="s">
        <v>3227</v>
      </c>
      <c r="Y28" s="39" t="s">
        <v>3228</v>
      </c>
      <c r="Z28" s="20" t="s">
        <v>105</v>
      </c>
      <c r="AA28" s="21" t="s">
        <v>1058</v>
      </c>
      <c r="AB28" s="22"/>
      <c r="AC28" s="23">
        <v>45870</v>
      </c>
      <c r="AD28" s="23">
        <v>45870</v>
      </c>
      <c r="AE28" s="24" t="s">
        <v>2361</v>
      </c>
      <c r="AF28" s="136" t="s">
        <v>1803</v>
      </c>
      <c r="AG28" s="139" t="s">
        <v>3229</v>
      </c>
      <c r="AH28" s="166">
        <v>45895</v>
      </c>
    </row>
    <row r="29" spans="1:34" ht="27" customHeight="1">
      <c r="A29" s="15">
        <f t="shared" si="1"/>
        <v>26</v>
      </c>
      <c r="B29" s="81">
        <v>45889</v>
      </c>
      <c r="C29" s="15" t="s">
        <v>38</v>
      </c>
      <c r="D29" s="15" t="s">
        <v>3230</v>
      </c>
      <c r="E29" s="26" t="s">
        <v>40</v>
      </c>
      <c r="F29" s="27" t="s">
        <v>41</v>
      </c>
      <c r="G29" s="27">
        <v>645600</v>
      </c>
      <c r="H29" s="81">
        <v>45890</v>
      </c>
      <c r="I29" s="26">
        <v>6209853</v>
      </c>
      <c r="J29" s="28" t="s">
        <v>2230</v>
      </c>
      <c r="K29" s="25">
        <v>43098</v>
      </c>
      <c r="L29" s="25">
        <v>46384</v>
      </c>
      <c r="M29" s="28" t="s">
        <v>3173</v>
      </c>
      <c r="N29" s="29">
        <f t="shared" ref="N29" si="18">O29*7.9</f>
        <v>35860.943999999996</v>
      </c>
      <c r="O29" s="30">
        <f>589.92+3949.44</f>
        <v>4539.3599999999997</v>
      </c>
      <c r="P29" s="31">
        <v>45901</v>
      </c>
      <c r="Q29" s="32">
        <v>46265</v>
      </c>
      <c r="R29" s="38"/>
      <c r="S29" s="20" t="s">
        <v>3224</v>
      </c>
      <c r="T29" s="33" t="s">
        <v>3231</v>
      </c>
      <c r="U29" s="15">
        <v>41363031</v>
      </c>
      <c r="V29" s="16">
        <v>45895</v>
      </c>
      <c r="W29" s="165" t="s">
        <v>3232</v>
      </c>
      <c r="X29" s="137" t="s">
        <v>3233</v>
      </c>
      <c r="Y29" s="39" t="s">
        <v>3234</v>
      </c>
      <c r="Z29" s="20" t="s">
        <v>105</v>
      </c>
      <c r="AA29" s="21" t="s">
        <v>1058</v>
      </c>
      <c r="AB29" s="22"/>
      <c r="AC29" s="23">
        <v>45870</v>
      </c>
      <c r="AD29" s="23">
        <v>45870</v>
      </c>
      <c r="AE29" s="24" t="s">
        <v>2361</v>
      </c>
      <c r="AF29" s="136" t="s">
        <v>1803</v>
      </c>
      <c r="AG29" s="139" t="s">
        <v>3235</v>
      </c>
      <c r="AH29" s="166">
        <v>45901</v>
      </c>
    </row>
    <row r="30" spans="1:34" ht="27" customHeight="1">
      <c r="A30" s="15">
        <f t="shared" si="1"/>
        <v>27</v>
      </c>
      <c r="B30" s="81">
        <v>45891</v>
      </c>
      <c r="C30" s="15" t="s">
        <v>38</v>
      </c>
      <c r="D30" s="15" t="s">
        <v>3236</v>
      </c>
      <c r="E30" s="26" t="s">
        <v>40</v>
      </c>
      <c r="F30" s="27" t="s">
        <v>41</v>
      </c>
      <c r="G30" s="27">
        <v>645600</v>
      </c>
      <c r="H30" s="81">
        <v>45891</v>
      </c>
      <c r="I30" s="26">
        <v>6210112</v>
      </c>
      <c r="J30" s="28" t="s">
        <v>2230</v>
      </c>
      <c r="K30" s="25">
        <v>43098</v>
      </c>
      <c r="L30" s="25">
        <v>46384</v>
      </c>
      <c r="M30" s="28" t="s">
        <v>3173</v>
      </c>
      <c r="N30" s="29">
        <f t="shared" ref="N30" si="19">O30*7.9</f>
        <v>361425.94800000003</v>
      </c>
      <c r="O30" s="30">
        <v>45750.12</v>
      </c>
      <c r="P30" s="31">
        <v>45870</v>
      </c>
      <c r="Q30" s="32">
        <v>46234</v>
      </c>
      <c r="R30" s="38"/>
      <c r="S30" s="20" t="s">
        <v>3092</v>
      </c>
      <c r="T30" s="33" t="s">
        <v>3237</v>
      </c>
      <c r="U30" s="15">
        <v>41363031</v>
      </c>
      <c r="V30" s="16">
        <v>45895</v>
      </c>
      <c r="W30" s="17">
        <v>1551762</v>
      </c>
      <c r="X30" s="18">
        <v>45957</v>
      </c>
      <c r="Y30" s="39">
        <v>359129.29</v>
      </c>
      <c r="Z30" s="20" t="s">
        <v>105</v>
      </c>
      <c r="AA30" s="21" t="s">
        <v>1058</v>
      </c>
      <c r="AB30" s="22"/>
      <c r="AC30" s="23">
        <v>45870</v>
      </c>
      <c r="AD30" s="23">
        <v>45870</v>
      </c>
      <c r="AE30" s="24" t="s">
        <v>2361</v>
      </c>
      <c r="AF30" s="136" t="s">
        <v>1803</v>
      </c>
      <c r="AG30" s="80">
        <v>4955899137</v>
      </c>
      <c r="AH30" s="197">
        <v>45895</v>
      </c>
    </row>
    <row r="31" spans="1:34" ht="38.25">
      <c r="A31" s="15">
        <f t="shared" si="1"/>
        <v>28</v>
      </c>
      <c r="B31" s="81">
        <v>45911</v>
      </c>
      <c r="C31" s="15" t="s">
        <v>38</v>
      </c>
      <c r="D31" s="15" t="s">
        <v>3238</v>
      </c>
      <c r="E31" s="26" t="s">
        <v>40</v>
      </c>
      <c r="F31" s="27" t="s">
        <v>41</v>
      </c>
      <c r="G31" s="27">
        <v>645600</v>
      </c>
      <c r="H31" s="81">
        <v>45915</v>
      </c>
      <c r="I31" s="26">
        <v>6216786</v>
      </c>
      <c r="J31" s="28" t="s">
        <v>2230</v>
      </c>
      <c r="K31" s="25">
        <v>43098</v>
      </c>
      <c r="L31" s="25">
        <v>46384</v>
      </c>
      <c r="M31" s="28" t="s">
        <v>3173</v>
      </c>
      <c r="N31" s="29">
        <f t="shared" ref="N31" si="20">O31*7.9</f>
        <v>218023.88399999999</v>
      </c>
      <c r="O31" s="30">
        <f>441+213.6+338.4+1582.56+1502.4+23520</f>
        <v>27597.96</v>
      </c>
      <c r="P31" s="31">
        <v>45929</v>
      </c>
      <c r="Q31" s="32">
        <v>46293</v>
      </c>
      <c r="R31" s="38"/>
      <c r="S31" s="20" t="s">
        <v>394</v>
      </c>
      <c r="T31" s="33" t="s">
        <v>3239</v>
      </c>
      <c r="U31" s="15">
        <v>41363031</v>
      </c>
      <c r="V31" s="16">
        <v>45919</v>
      </c>
      <c r="W31" s="17">
        <v>1555734</v>
      </c>
      <c r="X31" s="18">
        <v>45979</v>
      </c>
      <c r="Y31" s="39">
        <f>3439.89+1666.12+2639.59+12344.28+11719.02+183460.7</f>
        <v>215269.6</v>
      </c>
      <c r="Z31" s="20" t="s">
        <v>105</v>
      </c>
      <c r="AA31" s="21" t="s">
        <v>1058</v>
      </c>
      <c r="AB31" s="22"/>
      <c r="AC31" s="23">
        <v>45901</v>
      </c>
      <c r="AD31" s="23">
        <v>45901</v>
      </c>
      <c r="AE31" s="24" t="s">
        <v>2361</v>
      </c>
      <c r="AF31" s="136" t="s">
        <v>1803</v>
      </c>
      <c r="AG31" s="80"/>
      <c r="AH31" s="80"/>
    </row>
    <row r="32" spans="1:34" ht="31.5" customHeight="1">
      <c r="A32" s="15">
        <f t="shared" si="1"/>
        <v>29</v>
      </c>
      <c r="B32" s="81">
        <v>45911</v>
      </c>
      <c r="C32" s="15" t="s">
        <v>38</v>
      </c>
      <c r="D32" s="15" t="s">
        <v>3240</v>
      </c>
      <c r="E32" s="26" t="s">
        <v>40</v>
      </c>
      <c r="F32" s="27" t="s">
        <v>41</v>
      </c>
      <c r="G32" s="27">
        <v>645600</v>
      </c>
      <c r="H32" s="81">
        <v>45915</v>
      </c>
      <c r="I32" s="26">
        <v>6216787</v>
      </c>
      <c r="J32" s="28" t="s">
        <v>2230</v>
      </c>
      <c r="K32" s="25">
        <v>43098</v>
      </c>
      <c r="L32" s="25">
        <v>46384</v>
      </c>
      <c r="M32" s="28" t="s">
        <v>3173</v>
      </c>
      <c r="N32" s="29">
        <f t="shared" ref="N32" si="21">O32*7.9</f>
        <v>75302.483999999997</v>
      </c>
      <c r="O32" s="30">
        <f>5781.12+1431+743.04+1576.8</f>
        <v>9531.9599999999991</v>
      </c>
      <c r="P32" s="31">
        <v>45931</v>
      </c>
      <c r="Q32" s="32">
        <v>46295</v>
      </c>
      <c r="R32" s="38"/>
      <c r="S32" s="20" t="s">
        <v>3224</v>
      </c>
      <c r="T32" s="33" t="s">
        <v>3241</v>
      </c>
      <c r="U32" s="15">
        <v>41363031</v>
      </c>
      <c r="V32" s="16">
        <v>45919</v>
      </c>
      <c r="W32" s="165" t="s">
        <v>3242</v>
      </c>
      <c r="X32" s="18">
        <v>45973</v>
      </c>
      <c r="Y32" s="39" t="s">
        <v>3243</v>
      </c>
      <c r="Z32" s="20" t="s">
        <v>105</v>
      </c>
      <c r="AA32" s="21" t="s">
        <v>1058</v>
      </c>
      <c r="AB32" s="22"/>
      <c r="AC32" s="23">
        <v>45901</v>
      </c>
      <c r="AD32" s="23">
        <v>45901</v>
      </c>
      <c r="AE32" s="24" t="s">
        <v>2361</v>
      </c>
      <c r="AF32" s="136" t="s">
        <v>1803</v>
      </c>
      <c r="AG32" s="80"/>
      <c r="AH32" s="80"/>
    </row>
    <row r="33" spans="1:34" ht="25.5">
      <c r="A33" s="15">
        <f t="shared" si="1"/>
        <v>30</v>
      </c>
      <c r="B33" s="81">
        <v>45911</v>
      </c>
      <c r="C33" s="15" t="s">
        <v>38</v>
      </c>
      <c r="D33" s="15" t="s">
        <v>3244</v>
      </c>
      <c r="E33" s="26" t="s">
        <v>40</v>
      </c>
      <c r="F33" s="27" t="s">
        <v>41</v>
      </c>
      <c r="G33" s="27">
        <v>645600</v>
      </c>
      <c r="H33" s="81">
        <v>45915</v>
      </c>
      <c r="I33" s="26">
        <v>6216788</v>
      </c>
      <c r="J33" s="28" t="s">
        <v>2230</v>
      </c>
      <c r="K33" s="25">
        <v>43098</v>
      </c>
      <c r="L33" s="25">
        <v>46384</v>
      </c>
      <c r="M33" s="28" t="s">
        <v>3173</v>
      </c>
      <c r="N33" s="29">
        <f t="shared" ref="N33" si="22">O33*7.9</f>
        <v>2708.9890000000005</v>
      </c>
      <c r="O33" s="30">
        <v>342.91</v>
      </c>
      <c r="P33" s="31">
        <v>45931</v>
      </c>
      <c r="Q33" s="32">
        <v>46295</v>
      </c>
      <c r="R33" s="38"/>
      <c r="S33" s="20" t="s">
        <v>394</v>
      </c>
      <c r="T33" s="33" t="s">
        <v>3245</v>
      </c>
      <c r="U33" s="15">
        <v>41363031</v>
      </c>
      <c r="V33" s="16">
        <v>45919</v>
      </c>
      <c r="W33" s="17">
        <v>1555735</v>
      </c>
      <c r="X33" s="18">
        <v>45995</v>
      </c>
      <c r="Y33" s="39">
        <v>2674.77</v>
      </c>
      <c r="Z33" s="20" t="s">
        <v>105</v>
      </c>
      <c r="AA33" s="21" t="s">
        <v>1058</v>
      </c>
      <c r="AB33" s="22"/>
      <c r="AC33" s="23">
        <v>45901</v>
      </c>
      <c r="AD33" s="23">
        <v>45901</v>
      </c>
      <c r="AE33" s="24" t="s">
        <v>2361</v>
      </c>
      <c r="AF33" s="136" t="s">
        <v>1803</v>
      </c>
      <c r="AG33" s="80"/>
      <c r="AH33" s="80"/>
    </row>
    <row r="34" spans="1:34" ht="27" customHeight="1">
      <c r="A34" s="15">
        <v>31</v>
      </c>
      <c r="B34" s="81">
        <v>45938</v>
      </c>
      <c r="C34" s="15" t="s">
        <v>38</v>
      </c>
      <c r="D34" s="15" t="s">
        <v>3246</v>
      </c>
      <c r="E34" s="26" t="s">
        <v>40</v>
      </c>
      <c r="F34" s="27" t="s">
        <v>41</v>
      </c>
      <c r="G34" s="27">
        <v>645600</v>
      </c>
      <c r="H34" s="81">
        <v>45940</v>
      </c>
      <c r="I34" s="26">
        <v>6225359</v>
      </c>
      <c r="J34" s="28" t="s">
        <v>254</v>
      </c>
      <c r="K34" s="25">
        <v>45809</v>
      </c>
      <c r="L34" s="25">
        <v>46173</v>
      </c>
      <c r="M34" s="28" t="s">
        <v>255</v>
      </c>
      <c r="N34" s="29">
        <v>43038.25</v>
      </c>
      <c r="O34" s="30">
        <v>5447.88</v>
      </c>
      <c r="P34" s="31">
        <v>45962</v>
      </c>
      <c r="Q34" s="32">
        <v>46326</v>
      </c>
      <c r="R34" s="38"/>
      <c r="S34" s="20" t="s">
        <v>394</v>
      </c>
      <c r="T34" s="33" t="s">
        <v>3247</v>
      </c>
      <c r="U34" s="15">
        <v>50429573</v>
      </c>
      <c r="V34" s="16">
        <v>45960</v>
      </c>
      <c r="W34" s="17">
        <v>1562362</v>
      </c>
      <c r="X34" s="18">
        <v>45999</v>
      </c>
      <c r="Y34" s="39">
        <v>42373.61</v>
      </c>
      <c r="Z34" s="20" t="s">
        <v>259</v>
      </c>
      <c r="AA34" s="21" t="s">
        <v>1546</v>
      </c>
      <c r="AB34" s="22"/>
      <c r="AC34" s="23">
        <v>45955</v>
      </c>
      <c r="AD34" s="23">
        <v>45955</v>
      </c>
      <c r="AE34" s="24" t="s">
        <v>260</v>
      </c>
      <c r="AF34" s="136"/>
      <c r="AG34" s="190"/>
      <c r="AH34" s="80"/>
    </row>
    <row r="35" spans="1:34" ht="27" customHeight="1">
      <c r="A35" s="15">
        <v>32</v>
      </c>
      <c r="B35" s="81">
        <v>45938</v>
      </c>
      <c r="C35" s="15" t="s">
        <v>38</v>
      </c>
      <c r="D35" s="15" t="s">
        <v>3248</v>
      </c>
      <c r="E35" s="26" t="s">
        <v>40</v>
      </c>
      <c r="F35" s="27" t="s">
        <v>41</v>
      </c>
      <c r="G35" s="27">
        <v>645600</v>
      </c>
      <c r="H35" s="81">
        <v>45940</v>
      </c>
      <c r="I35" s="26">
        <v>6225360</v>
      </c>
      <c r="J35" s="28" t="s">
        <v>254</v>
      </c>
      <c r="K35" s="25">
        <v>45809</v>
      </c>
      <c r="L35" s="25">
        <v>46173</v>
      </c>
      <c r="M35" s="28" t="s">
        <v>255</v>
      </c>
      <c r="N35" s="29">
        <v>3655.73</v>
      </c>
      <c r="O35" s="30">
        <v>462.75</v>
      </c>
      <c r="P35" s="31">
        <v>45962</v>
      </c>
      <c r="Q35" s="32">
        <v>46326</v>
      </c>
      <c r="R35" s="38"/>
      <c r="S35" s="20" t="s">
        <v>538</v>
      </c>
      <c r="T35" s="33" t="s">
        <v>3249</v>
      </c>
      <c r="U35" s="15">
        <v>50429573</v>
      </c>
      <c r="V35" s="16">
        <v>45950</v>
      </c>
      <c r="W35" s="17">
        <v>1560330</v>
      </c>
      <c r="X35" s="18">
        <v>46014</v>
      </c>
      <c r="Y35" s="39">
        <v>3599.27</v>
      </c>
      <c r="Z35" s="20" t="s">
        <v>259</v>
      </c>
      <c r="AA35" s="21" t="s">
        <v>1546</v>
      </c>
      <c r="AB35" s="22"/>
      <c r="AC35" s="23">
        <v>45955</v>
      </c>
      <c r="AD35" s="23">
        <v>45955</v>
      </c>
      <c r="AE35" s="24" t="s">
        <v>260</v>
      </c>
      <c r="AF35" s="136"/>
      <c r="AG35" s="190"/>
      <c r="AH35" s="80"/>
    </row>
    <row r="36" spans="1:34" ht="27" customHeight="1">
      <c r="A36" s="91">
        <v>33</v>
      </c>
      <c r="B36" s="92">
        <v>45945</v>
      </c>
      <c r="C36" s="91" t="s">
        <v>38</v>
      </c>
      <c r="D36" s="91" t="s">
        <v>3250</v>
      </c>
      <c r="E36" s="93" t="s">
        <v>40</v>
      </c>
      <c r="F36" s="94" t="s">
        <v>41</v>
      </c>
      <c r="G36" s="94">
        <v>645600</v>
      </c>
      <c r="H36" s="92">
        <v>45950</v>
      </c>
      <c r="I36" s="93">
        <v>6228278</v>
      </c>
      <c r="J36" s="95" t="s">
        <v>3251</v>
      </c>
      <c r="K36" s="192">
        <v>45383</v>
      </c>
      <c r="L36" s="192">
        <v>46493</v>
      </c>
      <c r="M36" s="95" t="s">
        <v>3252</v>
      </c>
      <c r="N36" s="97">
        <v>12892.8</v>
      </c>
      <c r="O36" s="98">
        <v>1632</v>
      </c>
      <c r="P36" s="99">
        <v>45962</v>
      </c>
      <c r="Q36" s="100">
        <v>46326</v>
      </c>
      <c r="R36" s="193"/>
      <c r="S36" s="101" t="s">
        <v>394</v>
      </c>
      <c r="T36" s="102" t="s">
        <v>3253</v>
      </c>
      <c r="U36" s="91">
        <v>50254245</v>
      </c>
      <c r="V36" s="103" t="s">
        <v>609</v>
      </c>
      <c r="W36" s="104"/>
      <c r="X36" s="105"/>
      <c r="Y36" s="194"/>
      <c r="Z36" s="101" t="s">
        <v>105</v>
      </c>
      <c r="AA36" s="107" t="s">
        <v>1058</v>
      </c>
      <c r="AB36" s="108" t="s">
        <v>2565</v>
      </c>
      <c r="AC36" s="109">
        <v>45955</v>
      </c>
      <c r="AD36" s="109">
        <v>45955</v>
      </c>
      <c r="AE36" s="110" t="s">
        <v>3254</v>
      </c>
      <c r="AF36" s="191" t="s">
        <v>3255</v>
      </c>
      <c r="AG36" s="195" t="s">
        <v>2565</v>
      </c>
      <c r="AH36" s="138"/>
    </row>
    <row r="37" spans="1:34" ht="35.25" customHeight="1">
      <c r="A37" s="15">
        <v>34</v>
      </c>
      <c r="B37" s="81">
        <v>46000</v>
      </c>
      <c r="C37" s="15" t="s">
        <v>38</v>
      </c>
      <c r="D37" s="187" t="s">
        <v>3256</v>
      </c>
      <c r="E37" s="26" t="s">
        <v>40</v>
      </c>
      <c r="F37" s="27" t="s">
        <v>41</v>
      </c>
      <c r="G37" s="27">
        <v>645600</v>
      </c>
      <c r="H37" s="81">
        <v>46000</v>
      </c>
      <c r="I37" s="26">
        <v>6245781</v>
      </c>
      <c r="J37" s="28" t="s">
        <v>254</v>
      </c>
      <c r="K37" s="25">
        <v>45809</v>
      </c>
      <c r="L37" s="25">
        <v>46173</v>
      </c>
      <c r="M37" s="28" t="s">
        <v>255</v>
      </c>
      <c r="N37" s="29">
        <v>10855.55</v>
      </c>
      <c r="O37" s="30">
        <v>1374.12</v>
      </c>
      <c r="P37" s="31">
        <v>46023</v>
      </c>
      <c r="Q37" s="32">
        <v>46387</v>
      </c>
      <c r="R37" s="38" t="s">
        <v>2565</v>
      </c>
      <c r="S37" s="20" t="s">
        <v>394</v>
      </c>
      <c r="T37" s="33" t="s">
        <v>3257</v>
      </c>
      <c r="U37" s="15">
        <v>50429573</v>
      </c>
      <c r="V37" s="16">
        <v>46009</v>
      </c>
      <c r="W37" s="17" t="s">
        <v>3258</v>
      </c>
      <c r="X37" s="18"/>
      <c r="Y37" s="39">
        <v>10691.2</v>
      </c>
      <c r="Z37" s="20" t="s">
        <v>259</v>
      </c>
      <c r="AA37" s="21" t="s">
        <v>1546</v>
      </c>
      <c r="AB37" s="22"/>
      <c r="AC37" s="23">
        <v>46016</v>
      </c>
      <c r="AD37" s="23">
        <v>46016</v>
      </c>
      <c r="AE37" s="24" t="s">
        <v>260</v>
      </c>
      <c r="AF37" s="136" t="s">
        <v>3259</v>
      </c>
      <c r="AG37" s="190"/>
      <c r="AH37" s="80"/>
    </row>
    <row r="38" spans="1:34" ht="27" customHeight="1">
      <c r="A38" s="15"/>
      <c r="B38" s="81"/>
      <c r="C38" s="15"/>
      <c r="D38" s="15"/>
      <c r="E38" s="26"/>
      <c r="F38" s="27"/>
      <c r="G38" s="27"/>
      <c r="H38" s="81"/>
      <c r="I38" s="26"/>
      <c r="J38" s="28"/>
      <c r="K38" s="25"/>
      <c r="L38" s="25"/>
      <c r="M38" s="28"/>
      <c r="N38" s="29"/>
      <c r="O38" s="30"/>
      <c r="P38" s="31"/>
      <c r="Q38" s="32"/>
      <c r="R38" s="38"/>
      <c r="S38" s="20"/>
      <c r="T38" s="33"/>
      <c r="U38" s="15"/>
      <c r="V38" s="16"/>
      <c r="W38" s="17"/>
      <c r="X38" s="18"/>
      <c r="Y38" s="39"/>
      <c r="Z38" s="20"/>
      <c r="AA38" s="21"/>
      <c r="AB38" s="22"/>
      <c r="AC38" s="23"/>
      <c r="AD38" s="23"/>
      <c r="AE38" s="24"/>
      <c r="AF38" s="136"/>
      <c r="AG38" s="190"/>
      <c r="AH38" s="80"/>
    </row>
    <row r="39" spans="1:34" ht="27" customHeight="1">
      <c r="A39" s="15"/>
      <c r="B39" s="81"/>
      <c r="C39" s="15"/>
      <c r="D39" s="15"/>
      <c r="E39" s="26"/>
      <c r="F39" s="27"/>
      <c r="G39" s="27"/>
      <c r="H39" s="81"/>
      <c r="I39" s="26"/>
      <c r="J39" s="28"/>
      <c r="K39" s="25"/>
      <c r="L39" s="25"/>
      <c r="M39" s="28"/>
      <c r="N39" s="29"/>
      <c r="O39" s="30"/>
      <c r="P39" s="31"/>
      <c r="Q39" s="32"/>
      <c r="R39" s="38"/>
      <c r="S39" s="20"/>
      <c r="T39" s="33"/>
      <c r="U39" s="15"/>
      <c r="V39" s="16"/>
      <c r="W39" s="17"/>
      <c r="X39" s="18"/>
      <c r="Y39" s="39"/>
      <c r="Z39" s="20"/>
      <c r="AA39" s="21"/>
      <c r="AB39" s="22"/>
      <c r="AC39" s="23"/>
      <c r="AD39" s="23"/>
      <c r="AE39" s="24"/>
      <c r="AF39" s="136"/>
      <c r="AG39" s="190"/>
      <c r="AH39" s="80"/>
    </row>
    <row r="40" spans="1:34" ht="27" customHeight="1">
      <c r="A40" s="15"/>
      <c r="B40" s="81"/>
      <c r="C40" s="15"/>
      <c r="D40" s="15"/>
      <c r="E40" s="26"/>
      <c r="F40" s="27"/>
      <c r="G40" s="27"/>
      <c r="H40" s="81"/>
      <c r="I40" s="26"/>
      <c r="J40" s="28"/>
      <c r="K40" s="25"/>
      <c r="L40" s="25"/>
      <c r="M40" s="28"/>
      <c r="N40" s="29"/>
      <c r="O40" s="30"/>
      <c r="P40" s="31"/>
      <c r="Q40" s="32"/>
      <c r="R40" s="38"/>
      <c r="S40" s="20"/>
      <c r="T40" s="33"/>
      <c r="U40" s="15"/>
      <c r="V40" s="16"/>
      <c r="W40" s="17"/>
      <c r="X40" s="18"/>
      <c r="Y40" s="39"/>
      <c r="Z40" s="20"/>
      <c r="AA40" s="21"/>
      <c r="AB40" s="22"/>
      <c r="AC40" s="23"/>
      <c r="AD40" s="23"/>
      <c r="AE40" s="24"/>
      <c r="AF40" s="136"/>
      <c r="AG40" s="190"/>
      <c r="AH40" s="80"/>
    </row>
    <row r="41" spans="1:34" ht="27" customHeight="1">
      <c r="A41" s="15"/>
      <c r="B41" s="81"/>
      <c r="C41" s="15"/>
      <c r="D41" s="15"/>
      <c r="E41" s="26"/>
      <c r="F41" s="27"/>
      <c r="G41" s="27"/>
      <c r="H41" s="81"/>
      <c r="I41" s="26"/>
      <c r="J41" s="28"/>
      <c r="K41" s="25"/>
      <c r="L41" s="25"/>
      <c r="M41" s="28"/>
      <c r="N41" s="29"/>
      <c r="O41" s="30"/>
      <c r="P41" s="31"/>
      <c r="Q41" s="32"/>
      <c r="R41" s="38"/>
      <c r="S41" s="20"/>
      <c r="T41" s="33"/>
      <c r="U41" s="15"/>
      <c r="V41" s="16"/>
      <c r="W41" s="17"/>
      <c r="X41" s="18"/>
      <c r="Y41" s="39"/>
      <c r="Z41" s="20"/>
      <c r="AA41" s="21"/>
      <c r="AB41" s="22"/>
      <c r="AC41" s="23"/>
      <c r="AD41" s="23"/>
      <c r="AE41" s="24"/>
      <c r="AF41" s="136"/>
      <c r="AG41" s="190"/>
      <c r="AH41" s="80"/>
    </row>
    <row r="42" spans="1:34" ht="27" customHeight="1">
      <c r="A42" s="15"/>
      <c r="B42" s="81"/>
      <c r="C42" s="15"/>
      <c r="D42" s="15"/>
      <c r="E42" s="26"/>
      <c r="F42" s="27"/>
      <c r="G42" s="27"/>
      <c r="H42" s="81"/>
      <c r="I42" s="26"/>
      <c r="J42" s="28"/>
      <c r="K42" s="25"/>
      <c r="L42" s="25"/>
      <c r="M42" s="28"/>
      <c r="N42" s="29"/>
      <c r="O42" s="30"/>
      <c r="P42" s="31"/>
      <c r="Q42" s="32"/>
      <c r="R42" s="38"/>
      <c r="S42" s="20"/>
      <c r="T42" s="33"/>
      <c r="U42" s="15"/>
      <c r="V42" s="16"/>
      <c r="W42" s="17"/>
      <c r="X42" s="18"/>
      <c r="Y42" s="39"/>
      <c r="Z42" s="20"/>
      <c r="AA42" s="21"/>
      <c r="AB42" s="22"/>
      <c r="AC42" s="23"/>
      <c r="AD42" s="23"/>
      <c r="AE42" s="24"/>
      <c r="AF42" s="136"/>
      <c r="AG42" s="190"/>
      <c r="AH42" s="80"/>
    </row>
    <row r="43" spans="1:34" ht="27" customHeight="1">
      <c r="A43" s="15"/>
      <c r="B43" s="81"/>
      <c r="C43" s="15"/>
      <c r="D43" s="15"/>
      <c r="E43" s="26"/>
      <c r="F43" s="27"/>
      <c r="G43" s="27"/>
      <c r="H43" s="81"/>
      <c r="I43" s="26"/>
      <c r="J43" s="28"/>
      <c r="K43" s="25"/>
      <c r="L43" s="25"/>
      <c r="M43" s="28"/>
      <c r="N43" s="29"/>
      <c r="O43" s="30"/>
      <c r="P43" s="31"/>
      <c r="Q43" s="32"/>
      <c r="R43" s="38"/>
      <c r="S43" s="20"/>
      <c r="T43" s="33"/>
      <c r="U43" s="15"/>
      <c r="V43" s="16"/>
      <c r="W43" s="17"/>
      <c r="X43" s="18"/>
      <c r="Y43" s="39"/>
      <c r="Z43" s="20"/>
      <c r="AA43" s="21"/>
      <c r="AB43" s="22"/>
      <c r="AC43" s="23"/>
      <c r="AD43" s="23"/>
      <c r="AE43" s="24"/>
      <c r="AF43" s="136"/>
      <c r="AG43" s="190"/>
      <c r="AH43" s="80"/>
    </row>
    <row r="44" spans="1:34" ht="27" customHeight="1">
      <c r="A44" s="15"/>
      <c r="B44" s="81"/>
      <c r="C44" s="15"/>
      <c r="D44" s="15"/>
      <c r="E44" s="26"/>
      <c r="F44" s="27"/>
      <c r="G44" s="27"/>
      <c r="H44" s="81"/>
      <c r="I44" s="26"/>
      <c r="J44" s="28"/>
      <c r="K44" s="25"/>
      <c r="L44" s="25"/>
      <c r="M44" s="28"/>
      <c r="N44" s="29"/>
      <c r="O44" s="30"/>
      <c r="P44" s="31"/>
      <c r="Q44" s="32"/>
      <c r="R44" s="38"/>
      <c r="S44" s="20"/>
      <c r="T44" s="33"/>
      <c r="U44" s="15"/>
      <c r="V44" s="16"/>
      <c r="W44" s="17"/>
      <c r="X44" s="18"/>
      <c r="Y44" s="39"/>
      <c r="Z44" s="20"/>
      <c r="AA44" s="21"/>
      <c r="AB44" s="22"/>
      <c r="AC44" s="23"/>
      <c r="AD44" s="23"/>
      <c r="AE44" s="24"/>
      <c r="AF44" s="136"/>
      <c r="AG44" s="190"/>
      <c r="AH44" s="80"/>
    </row>
    <row r="45" spans="1:34" ht="27" customHeight="1">
      <c r="A45" s="15"/>
      <c r="B45" s="81"/>
      <c r="C45" s="15"/>
      <c r="D45" s="15"/>
      <c r="E45" s="26"/>
      <c r="F45" s="27"/>
      <c r="G45" s="27"/>
      <c r="H45" s="81"/>
      <c r="I45" s="26"/>
      <c r="J45" s="28"/>
      <c r="K45" s="25"/>
      <c r="L45" s="25"/>
      <c r="M45" s="28"/>
      <c r="N45" s="29"/>
      <c r="O45" s="30"/>
      <c r="P45" s="31"/>
      <c r="Q45" s="32"/>
      <c r="R45" s="38"/>
      <c r="S45" s="20"/>
      <c r="T45" s="33"/>
      <c r="U45" s="15"/>
      <c r="V45" s="16"/>
      <c r="W45" s="17"/>
      <c r="X45" s="18"/>
      <c r="Y45" s="39"/>
      <c r="Z45" s="20"/>
      <c r="AA45" s="21"/>
      <c r="AB45" s="22"/>
      <c r="AC45" s="23"/>
      <c r="AD45" s="23"/>
      <c r="AE45" s="24"/>
      <c r="AF45" s="24"/>
    </row>
    <row r="46" spans="1:34" ht="27" customHeight="1">
      <c r="A46" s="15"/>
      <c r="B46" s="81"/>
      <c r="C46" s="15"/>
      <c r="D46" s="15"/>
      <c r="E46" s="26"/>
      <c r="F46" s="27"/>
      <c r="G46" s="27"/>
      <c r="H46" s="81"/>
      <c r="I46" s="26"/>
      <c r="J46" s="28"/>
      <c r="K46" s="25"/>
      <c r="L46" s="25"/>
      <c r="M46" s="28"/>
      <c r="N46" s="29"/>
      <c r="O46" s="30"/>
      <c r="P46" s="31"/>
      <c r="Q46" s="32"/>
      <c r="R46" s="38"/>
      <c r="S46" s="20"/>
      <c r="T46" s="33"/>
      <c r="U46" s="15"/>
      <c r="V46" s="16"/>
      <c r="W46" s="17"/>
      <c r="X46" s="18"/>
      <c r="Y46" s="39"/>
      <c r="Z46" s="20"/>
      <c r="AA46" s="21"/>
      <c r="AB46" s="22"/>
      <c r="AC46" s="23"/>
      <c r="AD46" s="23"/>
      <c r="AE46" s="24"/>
      <c r="AF46" s="24"/>
    </row>
    <row r="47" spans="1:34" ht="27" customHeight="1">
      <c r="A47" s="15"/>
      <c r="B47" s="81"/>
      <c r="C47" s="15"/>
      <c r="D47" s="15"/>
      <c r="E47" s="26"/>
      <c r="F47" s="27"/>
      <c r="G47" s="27"/>
      <c r="H47" s="81"/>
      <c r="I47" s="26"/>
      <c r="J47" s="28"/>
      <c r="K47" s="25"/>
      <c r="L47" s="25"/>
      <c r="M47" s="28"/>
      <c r="N47" s="29"/>
      <c r="O47" s="30"/>
      <c r="P47" s="31"/>
      <c r="Q47" s="32"/>
      <c r="R47" s="38"/>
      <c r="S47" s="20"/>
      <c r="T47" s="33"/>
      <c r="U47" s="15"/>
      <c r="V47" s="16"/>
      <c r="W47" s="17"/>
      <c r="X47" s="18"/>
      <c r="Y47" s="39"/>
      <c r="Z47" s="20"/>
      <c r="AA47" s="21"/>
      <c r="AB47" s="22"/>
      <c r="AC47" s="23"/>
      <c r="AD47" s="23"/>
      <c r="AE47" s="24"/>
      <c r="AF47" s="24"/>
    </row>
    <row r="48" spans="1:34" ht="27" customHeight="1">
      <c r="A48" s="15"/>
      <c r="B48" s="81"/>
      <c r="C48" s="15"/>
      <c r="D48" s="15"/>
      <c r="E48" s="26"/>
      <c r="F48" s="27"/>
      <c r="G48" s="27"/>
      <c r="H48" s="81"/>
      <c r="I48" s="26"/>
      <c r="J48" s="28"/>
      <c r="K48" s="25"/>
      <c r="L48" s="25"/>
      <c r="M48" s="28"/>
      <c r="N48" s="29"/>
      <c r="O48" s="30"/>
      <c r="P48" s="31"/>
      <c r="Q48" s="32"/>
      <c r="R48" s="38"/>
      <c r="S48" s="20"/>
      <c r="T48" s="33"/>
      <c r="U48" s="15"/>
      <c r="V48" s="16"/>
      <c r="W48" s="17"/>
      <c r="X48" s="18"/>
      <c r="Y48" s="39"/>
      <c r="Z48" s="20"/>
      <c r="AA48" s="21"/>
      <c r="AB48" s="22"/>
      <c r="AC48" s="23"/>
      <c r="AD48" s="23"/>
      <c r="AE48" s="24"/>
      <c r="AF48" s="24"/>
    </row>
    <row r="49" spans="1:32" ht="27" customHeight="1">
      <c r="A49" s="15"/>
      <c r="B49" s="81"/>
      <c r="C49" s="15"/>
      <c r="D49" s="15"/>
      <c r="E49" s="26"/>
      <c r="F49" s="27"/>
      <c r="G49" s="27"/>
      <c r="H49" s="81"/>
      <c r="I49" s="26"/>
      <c r="J49" s="28"/>
      <c r="K49" s="25"/>
      <c r="L49" s="25"/>
      <c r="M49" s="28"/>
      <c r="N49" s="29"/>
      <c r="O49" s="30"/>
      <c r="P49" s="31"/>
      <c r="Q49" s="32"/>
      <c r="R49" s="38"/>
      <c r="S49" s="20"/>
      <c r="T49" s="33"/>
      <c r="U49" s="15"/>
      <c r="V49" s="16"/>
      <c r="W49" s="17"/>
      <c r="X49" s="18"/>
      <c r="Y49" s="39"/>
      <c r="Z49" s="20"/>
      <c r="AA49" s="21"/>
      <c r="AB49" s="22"/>
      <c r="AC49" s="23"/>
      <c r="AD49" s="23"/>
      <c r="AE49" s="24"/>
      <c r="AF49" s="24"/>
    </row>
    <row r="50" spans="1:32" ht="27" customHeight="1">
      <c r="A50" s="15"/>
      <c r="B50" s="81"/>
      <c r="C50" s="15"/>
      <c r="D50" s="15"/>
      <c r="E50" s="26"/>
      <c r="F50" s="27"/>
      <c r="G50" s="27"/>
      <c r="H50" s="81"/>
      <c r="I50" s="26"/>
      <c r="J50" s="28"/>
      <c r="K50" s="25"/>
      <c r="L50" s="25"/>
      <c r="M50" s="28"/>
      <c r="N50" s="29"/>
      <c r="O50" s="30"/>
      <c r="P50" s="31"/>
      <c r="Q50" s="32"/>
      <c r="R50" s="38"/>
      <c r="S50" s="20"/>
      <c r="T50" s="33"/>
      <c r="U50" s="15"/>
      <c r="V50" s="16"/>
      <c r="W50" s="17"/>
      <c r="X50" s="18"/>
      <c r="Y50" s="39"/>
      <c r="Z50" s="20"/>
      <c r="AA50" s="21"/>
      <c r="AB50" s="22"/>
      <c r="AC50" s="23"/>
      <c r="AD50" s="23"/>
      <c r="AE50" s="24"/>
      <c r="AF50" s="24"/>
    </row>
    <row r="51" spans="1:32" ht="27" customHeight="1">
      <c r="A51" s="15"/>
      <c r="B51" s="81"/>
      <c r="C51" s="15"/>
      <c r="D51" s="15"/>
      <c r="E51" s="26"/>
      <c r="F51" s="27"/>
      <c r="G51" s="27"/>
      <c r="H51" s="81"/>
      <c r="I51" s="26"/>
      <c r="J51" s="28"/>
      <c r="K51" s="25"/>
      <c r="L51" s="25"/>
      <c r="M51" s="28"/>
      <c r="N51" s="29"/>
      <c r="O51" s="30"/>
      <c r="P51" s="31"/>
      <c r="Q51" s="32"/>
      <c r="R51" s="38"/>
      <c r="S51" s="20"/>
      <c r="T51" s="33"/>
      <c r="U51" s="15"/>
      <c r="V51" s="16"/>
      <c r="W51" s="17"/>
      <c r="X51" s="18"/>
      <c r="Y51" s="39"/>
      <c r="Z51" s="20"/>
      <c r="AA51" s="21"/>
      <c r="AB51" s="22"/>
      <c r="AC51" s="23"/>
      <c r="AD51" s="23"/>
      <c r="AE51" s="24"/>
      <c r="AF51" s="24"/>
    </row>
    <row r="52" spans="1:32" ht="27" customHeight="1">
      <c r="A52" s="15"/>
      <c r="B52" s="81"/>
      <c r="C52" s="15"/>
      <c r="D52" s="15"/>
      <c r="E52" s="26"/>
      <c r="F52" s="27"/>
      <c r="G52" s="27"/>
      <c r="H52" s="81"/>
      <c r="I52" s="26"/>
      <c r="J52" s="28"/>
      <c r="K52" s="25"/>
      <c r="L52" s="25"/>
      <c r="M52" s="28"/>
      <c r="N52" s="29"/>
      <c r="O52" s="30"/>
      <c r="P52" s="31"/>
      <c r="Q52" s="32"/>
      <c r="R52" s="38"/>
      <c r="S52" s="20"/>
      <c r="T52" s="33"/>
      <c r="U52" s="15"/>
      <c r="V52" s="16"/>
      <c r="W52" s="17"/>
      <c r="X52" s="18"/>
      <c r="Y52" s="39"/>
      <c r="Z52" s="20"/>
      <c r="AA52" s="21"/>
      <c r="AB52" s="22"/>
      <c r="AC52" s="23"/>
      <c r="AD52" s="23"/>
      <c r="AE52" s="24"/>
      <c r="AF52" s="24"/>
    </row>
    <row r="53" spans="1:32" ht="27" customHeight="1">
      <c r="A53" s="15"/>
      <c r="B53" s="81"/>
      <c r="C53" s="15"/>
      <c r="D53" s="15"/>
      <c r="E53" s="26"/>
      <c r="F53" s="27"/>
      <c r="G53" s="27"/>
      <c r="H53" s="81"/>
      <c r="I53" s="26"/>
      <c r="J53" s="28"/>
      <c r="K53" s="25"/>
      <c r="L53" s="25"/>
      <c r="M53" s="28"/>
      <c r="N53" s="29"/>
      <c r="O53" s="30"/>
      <c r="P53" s="31"/>
      <c r="Q53" s="32"/>
      <c r="R53" s="38"/>
      <c r="S53" s="20"/>
      <c r="T53" s="33"/>
      <c r="U53" s="15"/>
      <c r="V53" s="16"/>
      <c r="W53" s="17"/>
      <c r="X53" s="18"/>
      <c r="Y53" s="39"/>
      <c r="Z53" s="20"/>
      <c r="AA53" s="21"/>
      <c r="AB53" s="22"/>
      <c r="AC53" s="23"/>
      <c r="AD53" s="23"/>
      <c r="AE53" s="24"/>
      <c r="AF53" s="24"/>
    </row>
    <row r="54" spans="1:32" ht="27" customHeight="1">
      <c r="A54" s="15"/>
      <c r="B54" s="81"/>
      <c r="C54" s="15"/>
      <c r="D54" s="15"/>
      <c r="E54" s="26"/>
      <c r="F54" s="27"/>
      <c r="G54" s="27"/>
      <c r="H54" s="81"/>
      <c r="I54" s="26"/>
      <c r="J54" s="28"/>
      <c r="K54" s="25"/>
      <c r="L54" s="25"/>
      <c r="M54" s="28"/>
      <c r="N54" s="29"/>
      <c r="O54" s="30"/>
      <c r="P54" s="31"/>
      <c r="Q54" s="32"/>
      <c r="R54" s="38"/>
      <c r="S54" s="20"/>
      <c r="T54" s="33"/>
      <c r="U54" s="15"/>
      <c r="V54" s="16"/>
      <c r="W54" s="17"/>
      <c r="X54" s="18"/>
      <c r="Y54" s="39"/>
      <c r="Z54" s="20"/>
      <c r="AA54" s="21"/>
      <c r="AB54" s="22"/>
      <c r="AC54" s="23"/>
      <c r="AD54" s="23"/>
      <c r="AE54" s="24"/>
      <c r="AF54" s="24"/>
    </row>
    <row r="55" spans="1:32" ht="27" customHeight="1">
      <c r="A55" s="15"/>
      <c r="B55" s="81"/>
      <c r="C55" s="15"/>
      <c r="D55" s="15"/>
      <c r="E55" s="26"/>
      <c r="F55" s="27"/>
      <c r="G55" s="27"/>
      <c r="H55" s="81"/>
      <c r="I55" s="26"/>
      <c r="J55" s="28"/>
      <c r="K55" s="25"/>
      <c r="L55" s="25"/>
      <c r="M55" s="28"/>
      <c r="N55" s="29"/>
      <c r="O55" s="30"/>
      <c r="P55" s="31"/>
      <c r="Q55" s="32"/>
      <c r="R55" s="38"/>
      <c r="S55" s="20"/>
      <c r="T55" s="33"/>
      <c r="U55" s="15"/>
      <c r="V55" s="16"/>
      <c r="W55" s="17"/>
      <c r="X55" s="18"/>
      <c r="Y55" s="39"/>
      <c r="Z55" s="20"/>
      <c r="AA55" s="21"/>
      <c r="AB55" s="22"/>
      <c r="AC55" s="23"/>
      <c r="AD55" s="23"/>
      <c r="AE55" s="24"/>
      <c r="AF55" s="24"/>
    </row>
    <row r="56" spans="1:32" ht="27" customHeight="1">
      <c r="A56" s="15"/>
      <c r="B56" s="81"/>
      <c r="C56" s="15"/>
      <c r="D56" s="15"/>
      <c r="E56" s="26"/>
      <c r="F56" s="27"/>
      <c r="G56" s="27"/>
      <c r="H56" s="81"/>
      <c r="I56" s="26"/>
      <c r="J56" s="28"/>
      <c r="K56" s="25"/>
      <c r="L56" s="25"/>
      <c r="M56" s="28"/>
      <c r="N56" s="29"/>
      <c r="O56" s="30"/>
      <c r="P56" s="31"/>
      <c r="Q56" s="32"/>
      <c r="R56" s="38"/>
      <c r="S56" s="20"/>
      <c r="T56" s="33"/>
      <c r="U56" s="15"/>
      <c r="V56" s="16"/>
      <c r="W56" s="17"/>
      <c r="X56" s="18"/>
      <c r="Y56" s="39"/>
      <c r="Z56" s="20"/>
      <c r="AA56" s="21"/>
      <c r="AB56" s="22"/>
      <c r="AC56" s="23"/>
      <c r="AD56" s="23"/>
      <c r="AE56" s="24"/>
      <c r="AF56" s="24"/>
    </row>
    <row r="57" spans="1:32" ht="27" customHeight="1">
      <c r="A57" s="15"/>
      <c r="B57" s="81"/>
      <c r="C57" s="15"/>
      <c r="D57" s="15"/>
      <c r="E57" s="26"/>
      <c r="F57" s="27"/>
      <c r="G57" s="27"/>
      <c r="H57" s="81"/>
      <c r="I57" s="26"/>
      <c r="J57" s="28"/>
      <c r="K57" s="25"/>
      <c r="L57" s="25"/>
      <c r="M57" s="28"/>
      <c r="N57" s="29"/>
      <c r="O57" s="30"/>
      <c r="P57" s="31"/>
      <c r="Q57" s="32"/>
      <c r="R57" s="38"/>
      <c r="S57" s="20"/>
      <c r="T57" s="33"/>
      <c r="U57" s="15"/>
      <c r="V57" s="16"/>
      <c r="W57" s="17"/>
      <c r="X57" s="18"/>
      <c r="Y57" s="39"/>
      <c r="Z57" s="20"/>
      <c r="AA57" s="21"/>
      <c r="AB57" s="22"/>
      <c r="AC57" s="23"/>
      <c r="AD57" s="23"/>
      <c r="AE57" s="24"/>
      <c r="AF57" s="24"/>
    </row>
    <row r="58" spans="1:32" ht="27" customHeight="1">
      <c r="A58" s="15"/>
      <c r="B58" s="81"/>
      <c r="C58" s="15"/>
      <c r="D58" s="15"/>
      <c r="E58" s="26"/>
      <c r="F58" s="27"/>
      <c r="G58" s="27"/>
      <c r="H58" s="81"/>
      <c r="I58" s="26"/>
      <c r="J58" s="28"/>
      <c r="K58" s="25"/>
      <c r="L58" s="25"/>
      <c r="M58" s="28"/>
      <c r="N58" s="29"/>
      <c r="O58" s="30"/>
      <c r="P58" s="31"/>
      <c r="Q58" s="32"/>
      <c r="R58" s="38"/>
      <c r="S58" s="20"/>
      <c r="T58" s="33"/>
      <c r="U58" s="15"/>
      <c r="V58" s="16"/>
      <c r="W58" s="17"/>
      <c r="X58" s="18"/>
      <c r="Y58" s="39"/>
      <c r="Z58" s="20"/>
      <c r="AA58" s="21"/>
      <c r="AB58" s="22"/>
      <c r="AC58" s="23"/>
      <c r="AD58" s="23"/>
      <c r="AE58" s="24"/>
      <c r="AF58" s="24"/>
    </row>
    <row r="59" spans="1:32" ht="27" customHeight="1">
      <c r="A59" s="15"/>
      <c r="B59" s="81"/>
      <c r="C59" s="15"/>
      <c r="D59" s="15"/>
      <c r="E59" s="26"/>
      <c r="F59" s="27"/>
      <c r="G59" s="27"/>
      <c r="H59" s="81"/>
      <c r="I59" s="26"/>
      <c r="J59" s="28"/>
      <c r="K59" s="25"/>
      <c r="L59" s="25"/>
      <c r="M59" s="28"/>
      <c r="N59" s="29"/>
      <c r="O59" s="30"/>
      <c r="P59" s="31"/>
      <c r="Q59" s="32"/>
      <c r="R59" s="38"/>
      <c r="S59" s="20"/>
      <c r="T59" s="33"/>
      <c r="U59" s="15"/>
      <c r="V59" s="16"/>
      <c r="W59" s="17"/>
      <c r="X59" s="18"/>
      <c r="Y59" s="39"/>
      <c r="Z59" s="20"/>
      <c r="AA59" s="21"/>
      <c r="AB59" s="22"/>
      <c r="AC59" s="23"/>
      <c r="AD59" s="23"/>
      <c r="AE59" s="24"/>
      <c r="AF59" s="24"/>
    </row>
    <row r="60" spans="1:32" ht="27" customHeight="1">
      <c r="A60" s="15"/>
      <c r="B60" s="81"/>
      <c r="C60" s="15"/>
      <c r="D60" s="15"/>
      <c r="E60" s="26"/>
      <c r="F60" s="27"/>
      <c r="G60" s="27"/>
      <c r="H60" s="81"/>
      <c r="I60" s="26"/>
      <c r="J60" s="28"/>
      <c r="K60" s="25"/>
      <c r="L60" s="25"/>
      <c r="M60" s="28"/>
      <c r="N60" s="29"/>
      <c r="O60" s="30"/>
      <c r="P60" s="31"/>
      <c r="Q60" s="32"/>
      <c r="R60" s="38"/>
      <c r="S60" s="20"/>
      <c r="T60" s="33"/>
      <c r="U60" s="15"/>
      <c r="V60" s="16"/>
      <c r="W60" s="17"/>
      <c r="X60" s="18"/>
      <c r="Y60" s="39"/>
      <c r="Z60" s="20"/>
      <c r="AA60" s="21"/>
      <c r="AB60" s="22"/>
      <c r="AC60" s="23"/>
      <c r="AD60" s="23"/>
      <c r="AE60" s="24"/>
      <c r="AF60" s="24"/>
    </row>
    <row r="61" spans="1:32" ht="27" customHeight="1">
      <c r="A61" s="15"/>
      <c r="B61" s="81"/>
      <c r="C61" s="15"/>
      <c r="D61" s="15"/>
      <c r="E61" s="26"/>
      <c r="F61" s="27"/>
      <c r="G61" s="27"/>
      <c r="H61" s="81"/>
      <c r="I61" s="26"/>
      <c r="J61" s="28"/>
      <c r="K61" s="25"/>
      <c r="L61" s="25"/>
      <c r="M61" s="28"/>
      <c r="N61" s="29"/>
      <c r="O61" s="30"/>
      <c r="P61" s="31"/>
      <c r="Q61" s="32"/>
      <c r="R61" s="38"/>
      <c r="S61" s="20"/>
      <c r="T61" s="33"/>
      <c r="U61" s="15"/>
      <c r="V61" s="16"/>
      <c r="W61" s="17"/>
      <c r="X61" s="18"/>
      <c r="Y61" s="39"/>
      <c r="Z61" s="20"/>
      <c r="AA61" s="21"/>
      <c r="AB61" s="22"/>
      <c r="AC61" s="23"/>
      <c r="AD61" s="23"/>
      <c r="AE61" s="24"/>
      <c r="AF61" s="24"/>
    </row>
    <row r="62" spans="1:32" ht="27" customHeight="1">
      <c r="A62" s="15"/>
      <c r="B62" s="81"/>
      <c r="C62" s="15"/>
      <c r="D62" s="15"/>
      <c r="E62" s="26"/>
      <c r="F62" s="27"/>
      <c r="G62" s="27"/>
      <c r="H62" s="81"/>
      <c r="I62" s="26"/>
      <c r="J62" s="28"/>
      <c r="K62" s="25"/>
      <c r="L62" s="25"/>
      <c r="M62" s="28"/>
      <c r="N62" s="29"/>
      <c r="O62" s="30"/>
      <c r="P62" s="31"/>
      <c r="Q62" s="32"/>
      <c r="R62" s="38"/>
      <c r="S62" s="20"/>
      <c r="T62" s="33"/>
      <c r="U62" s="15"/>
      <c r="V62" s="16"/>
      <c r="W62" s="17"/>
      <c r="X62" s="18"/>
      <c r="Y62" s="39"/>
      <c r="Z62" s="20"/>
      <c r="AA62" s="21"/>
      <c r="AB62" s="22"/>
      <c r="AC62" s="23"/>
      <c r="AD62" s="23"/>
      <c r="AE62" s="24"/>
      <c r="AF62" s="24"/>
    </row>
    <row r="63" spans="1:32" ht="27" customHeight="1">
      <c r="A63" s="15"/>
      <c r="B63" s="81"/>
      <c r="C63" s="15"/>
      <c r="D63" s="15"/>
      <c r="E63" s="26"/>
      <c r="F63" s="27"/>
      <c r="G63" s="27"/>
      <c r="H63" s="81"/>
      <c r="I63" s="26"/>
      <c r="J63" s="28"/>
      <c r="K63" s="25"/>
      <c r="L63" s="25"/>
      <c r="M63" s="28"/>
      <c r="N63" s="29"/>
      <c r="O63" s="30"/>
      <c r="P63" s="31"/>
      <c r="Q63" s="32"/>
      <c r="R63" s="38"/>
      <c r="S63" s="20"/>
      <c r="T63" s="33"/>
      <c r="U63" s="15"/>
      <c r="V63" s="16"/>
      <c r="W63" s="17"/>
      <c r="X63" s="18"/>
      <c r="Y63" s="39"/>
      <c r="Z63" s="20"/>
      <c r="AA63" s="21"/>
      <c r="AB63" s="22"/>
      <c r="AC63" s="23"/>
      <c r="AD63" s="23"/>
      <c r="AE63" s="24"/>
      <c r="AF63" s="24"/>
    </row>
    <row r="64" spans="1:32" ht="27" customHeight="1">
      <c r="A64" s="15"/>
      <c r="B64" s="81"/>
      <c r="C64" s="15"/>
      <c r="D64" s="15"/>
      <c r="E64" s="26"/>
      <c r="F64" s="27"/>
      <c r="G64" s="27"/>
      <c r="H64" s="81"/>
      <c r="I64" s="26"/>
      <c r="J64" s="28"/>
      <c r="K64" s="25"/>
      <c r="L64" s="25"/>
      <c r="M64" s="28"/>
      <c r="N64" s="29"/>
      <c r="O64" s="30"/>
      <c r="P64" s="31"/>
      <c r="Q64" s="32"/>
      <c r="R64" s="38"/>
      <c r="S64" s="20"/>
      <c r="T64" s="33"/>
      <c r="U64" s="15"/>
      <c r="V64" s="16"/>
      <c r="W64" s="17"/>
      <c r="X64" s="18"/>
      <c r="Y64" s="39"/>
      <c r="Z64" s="20"/>
      <c r="AA64" s="21"/>
      <c r="AB64" s="22"/>
      <c r="AC64" s="23"/>
      <c r="AD64" s="23"/>
      <c r="AE64" s="24"/>
      <c r="AF64" s="24"/>
    </row>
    <row r="65" spans="1:32" ht="27" customHeight="1">
      <c r="A65" s="15"/>
      <c r="B65" s="81"/>
      <c r="C65" s="15"/>
      <c r="D65" s="15"/>
      <c r="E65" s="26"/>
      <c r="F65" s="27"/>
      <c r="G65" s="27"/>
      <c r="H65" s="81"/>
      <c r="I65" s="26"/>
      <c r="J65" s="28"/>
      <c r="K65" s="25"/>
      <c r="L65" s="25"/>
      <c r="M65" s="28"/>
      <c r="N65" s="29"/>
      <c r="O65" s="30"/>
      <c r="P65" s="31"/>
      <c r="Q65" s="32"/>
      <c r="R65" s="38"/>
      <c r="S65" s="20"/>
      <c r="T65" s="33"/>
      <c r="U65" s="15"/>
      <c r="V65" s="16"/>
      <c r="W65" s="17"/>
      <c r="X65" s="18"/>
      <c r="Y65" s="39"/>
      <c r="Z65" s="20"/>
      <c r="AA65" s="21"/>
      <c r="AB65" s="22"/>
      <c r="AC65" s="23"/>
      <c r="AD65" s="23"/>
      <c r="AE65" s="24"/>
      <c r="AF65" s="24"/>
    </row>
    <row r="66" spans="1:32" ht="27" customHeight="1">
      <c r="A66" s="15"/>
      <c r="B66" s="81"/>
      <c r="C66" s="15"/>
      <c r="D66" s="15"/>
      <c r="E66" s="26"/>
      <c r="F66" s="27"/>
      <c r="G66" s="27"/>
      <c r="H66" s="81"/>
      <c r="I66" s="26"/>
      <c r="J66" s="28"/>
      <c r="K66" s="25"/>
      <c r="L66" s="25"/>
      <c r="M66" s="28"/>
      <c r="N66" s="29"/>
      <c r="O66" s="30"/>
      <c r="P66" s="31"/>
      <c r="Q66" s="32"/>
      <c r="R66" s="38"/>
      <c r="S66" s="20"/>
      <c r="T66" s="33"/>
      <c r="U66" s="15"/>
      <c r="V66" s="16"/>
      <c r="W66" s="17"/>
      <c r="X66" s="18"/>
      <c r="Y66" s="39"/>
      <c r="Z66" s="20"/>
      <c r="AA66" s="21"/>
      <c r="AB66" s="22"/>
      <c r="AC66" s="23"/>
      <c r="AD66" s="23"/>
      <c r="AE66" s="24"/>
      <c r="AF66" s="24"/>
    </row>
    <row r="67" spans="1:32" ht="27" customHeight="1">
      <c r="A67" s="15"/>
      <c r="B67" s="81"/>
      <c r="C67" s="15"/>
      <c r="D67" s="15"/>
      <c r="E67" s="26"/>
      <c r="F67" s="27"/>
      <c r="G67" s="27"/>
      <c r="H67" s="81"/>
      <c r="I67" s="26"/>
      <c r="J67" s="28"/>
      <c r="K67" s="25"/>
      <c r="L67" s="25"/>
      <c r="M67" s="28"/>
      <c r="N67" s="29"/>
      <c r="O67" s="30"/>
      <c r="P67" s="31"/>
      <c r="Q67" s="32"/>
      <c r="R67" s="38"/>
      <c r="S67" s="20"/>
      <c r="T67" s="33"/>
      <c r="U67" s="15"/>
      <c r="V67" s="16"/>
      <c r="W67" s="17"/>
      <c r="X67" s="18"/>
      <c r="Y67" s="39"/>
      <c r="Z67" s="20"/>
      <c r="AA67" s="21"/>
      <c r="AB67" s="22"/>
      <c r="AC67" s="23"/>
      <c r="AD67" s="23"/>
      <c r="AE67" s="24"/>
      <c r="AF67" s="24"/>
    </row>
    <row r="68" spans="1:32" ht="27" customHeight="1">
      <c r="A68" s="15"/>
      <c r="B68" s="81"/>
      <c r="C68" s="15"/>
      <c r="D68" s="15"/>
      <c r="E68" s="26"/>
      <c r="F68" s="27"/>
      <c r="G68" s="27"/>
      <c r="H68" s="81"/>
      <c r="I68" s="26"/>
      <c r="J68" s="28"/>
      <c r="K68" s="25"/>
      <c r="L68" s="25"/>
      <c r="M68" s="28"/>
      <c r="N68" s="29"/>
      <c r="O68" s="30"/>
      <c r="P68" s="31"/>
      <c r="Q68" s="32"/>
      <c r="R68" s="38"/>
      <c r="S68" s="20"/>
      <c r="T68" s="33"/>
      <c r="U68" s="15"/>
      <c r="V68" s="16"/>
      <c r="W68" s="17"/>
      <c r="X68" s="18"/>
      <c r="Y68" s="39"/>
      <c r="Z68" s="20"/>
      <c r="AA68" s="21"/>
      <c r="AB68" s="22"/>
      <c r="AC68" s="23"/>
      <c r="AD68" s="23"/>
      <c r="AE68" s="24"/>
      <c r="AF68" s="24"/>
    </row>
    <row r="69" spans="1:32" ht="27" customHeight="1">
      <c r="A69" s="15"/>
      <c r="B69" s="81"/>
      <c r="C69" s="15"/>
      <c r="D69" s="15"/>
      <c r="E69" s="26"/>
      <c r="F69" s="27"/>
      <c r="G69" s="27"/>
      <c r="H69" s="81"/>
      <c r="I69" s="26"/>
      <c r="J69" s="28"/>
      <c r="K69" s="25"/>
      <c r="L69" s="25"/>
      <c r="M69" s="28"/>
      <c r="N69" s="29"/>
      <c r="O69" s="30"/>
      <c r="P69" s="31"/>
      <c r="Q69" s="32"/>
      <c r="R69" s="38"/>
      <c r="S69" s="20"/>
      <c r="T69" s="33"/>
      <c r="U69" s="15"/>
      <c r="V69" s="16"/>
      <c r="W69" s="17"/>
      <c r="X69" s="18"/>
      <c r="Y69" s="39"/>
      <c r="Z69" s="20"/>
      <c r="AA69" s="21"/>
      <c r="AB69" s="22"/>
      <c r="AC69" s="23"/>
      <c r="AD69" s="23"/>
      <c r="AE69" s="24"/>
      <c r="AF69" s="24"/>
    </row>
    <row r="70" spans="1:32" ht="27" customHeight="1">
      <c r="A70" s="15"/>
      <c r="B70" s="81"/>
      <c r="C70" s="15"/>
      <c r="D70" s="15"/>
      <c r="E70" s="26"/>
      <c r="F70" s="27"/>
      <c r="G70" s="27"/>
      <c r="H70" s="81"/>
      <c r="I70" s="26"/>
      <c r="J70" s="28"/>
      <c r="K70" s="25"/>
      <c r="L70" s="25"/>
      <c r="M70" s="28"/>
      <c r="N70" s="29"/>
      <c r="O70" s="30"/>
      <c r="P70" s="31"/>
      <c r="Q70" s="32"/>
      <c r="R70" s="38"/>
      <c r="S70" s="20"/>
      <c r="T70" s="33"/>
      <c r="U70" s="15"/>
      <c r="V70" s="16"/>
      <c r="W70" s="17"/>
      <c r="X70" s="18"/>
      <c r="Y70" s="39"/>
      <c r="Z70" s="20"/>
      <c r="AA70" s="21"/>
      <c r="AB70" s="22"/>
      <c r="AC70" s="23"/>
      <c r="AD70" s="23"/>
      <c r="AE70" s="24"/>
      <c r="AF70" s="24"/>
    </row>
    <row r="71" spans="1:32" ht="27" customHeight="1">
      <c r="A71" s="15"/>
      <c r="B71" s="81"/>
      <c r="C71" s="15"/>
      <c r="D71" s="15"/>
      <c r="E71" s="26"/>
      <c r="F71" s="27"/>
      <c r="G71" s="27"/>
      <c r="H71" s="81"/>
      <c r="I71" s="26"/>
      <c r="J71" s="28"/>
      <c r="K71" s="25"/>
      <c r="L71" s="25"/>
      <c r="M71" s="28"/>
      <c r="N71" s="29"/>
      <c r="O71" s="30"/>
      <c r="P71" s="31"/>
      <c r="Q71" s="32"/>
      <c r="R71" s="38"/>
      <c r="S71" s="20"/>
      <c r="T71" s="33"/>
      <c r="U71" s="15"/>
      <c r="V71" s="16"/>
      <c r="W71" s="17"/>
      <c r="X71" s="18"/>
      <c r="Y71" s="39"/>
      <c r="Z71" s="20"/>
      <c r="AA71" s="21"/>
      <c r="AB71" s="22"/>
      <c r="AC71" s="23"/>
      <c r="AD71" s="23"/>
      <c r="AE71" s="24"/>
      <c r="AF71" s="24"/>
    </row>
    <row r="72" spans="1:32" ht="27" customHeight="1">
      <c r="A72" s="15"/>
      <c r="B72" s="81"/>
      <c r="C72" s="15"/>
      <c r="D72" s="15"/>
      <c r="E72" s="26"/>
      <c r="F72" s="27"/>
      <c r="G72" s="27"/>
      <c r="H72" s="81"/>
      <c r="I72" s="26"/>
      <c r="J72" s="28"/>
      <c r="K72" s="25"/>
      <c r="L72" s="25"/>
      <c r="M72" s="28"/>
      <c r="N72" s="29"/>
      <c r="O72" s="30"/>
      <c r="P72" s="31"/>
      <c r="Q72" s="32"/>
      <c r="R72" s="38"/>
      <c r="S72" s="20"/>
      <c r="T72" s="33"/>
      <c r="U72" s="15"/>
      <c r="V72" s="16"/>
      <c r="W72" s="17"/>
      <c r="X72" s="18"/>
      <c r="Y72" s="39"/>
      <c r="Z72" s="20"/>
      <c r="AA72" s="21"/>
      <c r="AB72" s="22"/>
      <c r="AC72" s="23"/>
      <c r="AD72" s="23"/>
      <c r="AE72" s="24"/>
      <c r="AF72" s="24"/>
    </row>
    <row r="73" spans="1:32" ht="27" customHeight="1">
      <c r="A73" s="15"/>
      <c r="B73" s="81"/>
      <c r="C73" s="15"/>
      <c r="D73" s="15"/>
      <c r="E73" s="26"/>
      <c r="F73" s="27"/>
      <c r="G73" s="27"/>
      <c r="H73" s="81"/>
      <c r="I73" s="26"/>
      <c r="J73" s="28"/>
      <c r="K73" s="25"/>
      <c r="L73" s="25"/>
      <c r="M73" s="28"/>
      <c r="N73" s="29"/>
      <c r="O73" s="30"/>
      <c r="P73" s="31"/>
      <c r="Q73" s="32"/>
      <c r="R73" s="38"/>
      <c r="S73" s="20"/>
      <c r="T73" s="33"/>
      <c r="U73" s="15"/>
      <c r="V73" s="16"/>
      <c r="W73" s="17"/>
      <c r="X73" s="18"/>
      <c r="Y73" s="39"/>
      <c r="Z73" s="20"/>
      <c r="AA73" s="21"/>
      <c r="AB73" s="22"/>
      <c r="AC73" s="23"/>
      <c r="AD73" s="23"/>
      <c r="AE73" s="24"/>
      <c r="AF73" s="24"/>
    </row>
    <row r="74" spans="1:32" ht="27" customHeight="1">
      <c r="A74" s="15"/>
      <c r="B74" s="81"/>
      <c r="C74" s="15"/>
      <c r="D74" s="15"/>
      <c r="E74" s="26"/>
      <c r="F74" s="27"/>
      <c r="G74" s="27"/>
      <c r="H74" s="81"/>
      <c r="I74" s="26"/>
      <c r="J74" s="28"/>
      <c r="K74" s="25"/>
      <c r="L74" s="25"/>
      <c r="M74" s="28"/>
      <c r="N74" s="29"/>
      <c r="O74" s="30"/>
      <c r="P74" s="31"/>
      <c r="Q74" s="32"/>
      <c r="R74" s="38"/>
      <c r="S74" s="20"/>
      <c r="T74" s="33"/>
      <c r="U74" s="15"/>
      <c r="V74" s="16"/>
      <c r="W74" s="17"/>
      <c r="X74" s="18"/>
      <c r="Y74" s="39"/>
      <c r="Z74" s="20"/>
      <c r="AA74" s="21"/>
      <c r="AB74" s="22"/>
      <c r="AC74" s="23"/>
      <c r="AD74" s="23"/>
      <c r="AE74" s="24"/>
      <c r="AF74" s="24"/>
    </row>
    <row r="75" spans="1:32" ht="27" customHeight="1">
      <c r="A75" s="15"/>
      <c r="B75" s="81"/>
      <c r="C75" s="15"/>
      <c r="D75" s="15"/>
      <c r="E75" s="26"/>
      <c r="F75" s="27"/>
      <c r="G75" s="27"/>
      <c r="H75" s="81"/>
      <c r="I75" s="26"/>
      <c r="J75" s="28"/>
      <c r="K75" s="25"/>
      <c r="L75" s="25"/>
      <c r="M75" s="28"/>
      <c r="N75" s="29"/>
      <c r="O75" s="30"/>
      <c r="P75" s="31"/>
      <c r="Q75" s="32"/>
      <c r="R75" s="38"/>
      <c r="S75" s="20"/>
      <c r="T75" s="33"/>
      <c r="U75" s="15"/>
      <c r="V75" s="16"/>
      <c r="W75" s="17"/>
      <c r="X75" s="18"/>
      <c r="Y75" s="39"/>
      <c r="Z75" s="20"/>
      <c r="AA75" s="21"/>
      <c r="AB75" s="22"/>
      <c r="AC75" s="23"/>
      <c r="AD75" s="23"/>
      <c r="AE75" s="24"/>
      <c r="AF75" s="24"/>
    </row>
    <row r="76" spans="1:32" ht="27" customHeight="1">
      <c r="A76" s="15"/>
      <c r="B76" s="81"/>
      <c r="C76" s="15"/>
      <c r="D76" s="15"/>
      <c r="E76" s="26"/>
      <c r="F76" s="27"/>
      <c r="G76" s="27"/>
      <c r="H76" s="81"/>
      <c r="I76" s="26"/>
      <c r="J76" s="28"/>
      <c r="K76" s="25"/>
      <c r="L76" s="25"/>
      <c r="M76" s="28"/>
      <c r="N76" s="29"/>
      <c r="O76" s="30"/>
      <c r="P76" s="31"/>
      <c r="Q76" s="32"/>
      <c r="R76" s="38"/>
      <c r="S76" s="20"/>
      <c r="T76" s="33"/>
      <c r="U76" s="15"/>
      <c r="V76" s="16"/>
      <c r="W76" s="17"/>
      <c r="X76" s="18"/>
      <c r="Y76" s="39"/>
      <c r="Z76" s="20"/>
      <c r="AA76" s="21"/>
      <c r="AB76" s="22"/>
      <c r="AC76" s="23"/>
      <c r="AD76" s="23"/>
      <c r="AE76" s="24"/>
      <c r="AF76" s="24"/>
    </row>
    <row r="77" spans="1:32" ht="27" customHeight="1">
      <c r="A77" s="15"/>
      <c r="B77" s="81"/>
      <c r="C77" s="15"/>
      <c r="D77" s="15"/>
      <c r="E77" s="26"/>
      <c r="F77" s="27"/>
      <c r="G77" s="27"/>
      <c r="H77" s="81"/>
      <c r="I77" s="26"/>
      <c r="J77" s="28"/>
      <c r="K77" s="25"/>
      <c r="L77" s="25"/>
      <c r="M77" s="28"/>
      <c r="N77" s="29"/>
      <c r="O77" s="30"/>
      <c r="P77" s="31"/>
      <c r="Q77" s="32"/>
      <c r="R77" s="38"/>
      <c r="S77" s="20"/>
      <c r="T77" s="33"/>
      <c r="U77" s="15"/>
      <c r="V77" s="16"/>
      <c r="W77" s="17"/>
      <c r="X77" s="18"/>
      <c r="Y77" s="39"/>
      <c r="Z77" s="20"/>
      <c r="AA77" s="21"/>
      <c r="AB77" s="22"/>
      <c r="AC77" s="23"/>
      <c r="AD77" s="23"/>
      <c r="AE77" s="24"/>
      <c r="AF77" s="24"/>
    </row>
    <row r="78" spans="1:32" ht="27" customHeight="1">
      <c r="A78" s="15"/>
      <c r="B78" s="81"/>
      <c r="C78" s="15"/>
      <c r="D78" s="15"/>
      <c r="E78" s="26"/>
      <c r="F78" s="27"/>
      <c r="G78" s="27"/>
      <c r="H78" s="81"/>
      <c r="I78" s="26"/>
      <c r="J78" s="28"/>
      <c r="K78" s="25"/>
      <c r="L78" s="25"/>
      <c r="M78" s="28"/>
      <c r="N78" s="29"/>
      <c r="O78" s="30"/>
      <c r="P78" s="31"/>
      <c r="Q78" s="32"/>
      <c r="R78" s="38"/>
      <c r="S78" s="20"/>
      <c r="T78" s="33"/>
      <c r="U78" s="15"/>
      <c r="V78" s="16"/>
      <c r="W78" s="17"/>
      <c r="X78" s="18"/>
      <c r="Y78" s="39"/>
      <c r="Z78" s="20"/>
      <c r="AA78" s="21"/>
      <c r="AB78" s="22"/>
      <c r="AC78" s="23"/>
      <c r="AD78" s="23"/>
      <c r="AE78" s="24"/>
      <c r="AF78" s="24"/>
    </row>
    <row r="79" spans="1:32" ht="27" customHeight="1">
      <c r="A79" s="15"/>
      <c r="B79" s="81"/>
      <c r="C79" s="15"/>
      <c r="D79" s="15"/>
      <c r="E79" s="26"/>
      <c r="F79" s="27"/>
      <c r="G79" s="27"/>
      <c r="H79" s="81"/>
      <c r="I79" s="26"/>
      <c r="J79" s="28"/>
      <c r="K79" s="25"/>
      <c r="L79" s="25"/>
      <c r="M79" s="28"/>
      <c r="N79" s="29"/>
      <c r="O79" s="30"/>
      <c r="P79" s="31"/>
      <c r="Q79" s="32"/>
      <c r="R79" s="38"/>
      <c r="S79" s="20"/>
      <c r="T79" s="33"/>
      <c r="U79" s="15"/>
      <c r="V79" s="16"/>
      <c r="W79" s="17"/>
      <c r="X79" s="18"/>
      <c r="Y79" s="39"/>
      <c r="Z79" s="20"/>
      <c r="AA79" s="21"/>
      <c r="AB79" s="22"/>
      <c r="AC79" s="23"/>
      <c r="AD79" s="23"/>
      <c r="AE79" s="24"/>
      <c r="AF79" s="24"/>
    </row>
    <row r="80" spans="1:32" ht="27" customHeight="1">
      <c r="A80" s="15"/>
      <c r="B80" s="81"/>
      <c r="C80" s="15"/>
      <c r="D80" s="15"/>
      <c r="E80" s="26"/>
      <c r="F80" s="27"/>
      <c r="G80" s="27"/>
      <c r="H80" s="81"/>
      <c r="I80" s="26"/>
      <c r="J80" s="28"/>
      <c r="K80" s="25"/>
      <c r="L80" s="25"/>
      <c r="M80" s="28"/>
      <c r="N80" s="29"/>
      <c r="O80" s="30"/>
      <c r="P80" s="31"/>
      <c r="Q80" s="32"/>
      <c r="R80" s="38"/>
      <c r="S80" s="20"/>
      <c r="T80" s="33"/>
      <c r="U80" s="15"/>
      <c r="V80" s="16"/>
      <c r="W80" s="17"/>
      <c r="X80" s="18"/>
      <c r="Y80" s="39"/>
      <c r="Z80" s="20"/>
      <c r="AA80" s="21"/>
      <c r="AB80" s="22"/>
      <c r="AC80" s="23"/>
      <c r="AD80" s="23"/>
      <c r="AE80" s="24"/>
      <c r="AF80" s="24"/>
    </row>
    <row r="81" spans="1:32" ht="27" customHeight="1">
      <c r="A81" s="15"/>
      <c r="B81" s="81"/>
      <c r="C81" s="15"/>
      <c r="D81" s="15"/>
      <c r="E81" s="26"/>
      <c r="F81" s="27"/>
      <c r="G81" s="27"/>
      <c r="H81" s="81"/>
      <c r="I81" s="26"/>
      <c r="J81" s="28"/>
      <c r="K81" s="25"/>
      <c r="L81" s="25"/>
      <c r="M81" s="28"/>
      <c r="N81" s="29"/>
      <c r="O81" s="30"/>
      <c r="P81" s="31"/>
      <c r="Q81" s="32"/>
      <c r="R81" s="38"/>
      <c r="S81" s="20"/>
      <c r="T81" s="33"/>
      <c r="U81" s="15"/>
      <c r="V81" s="16"/>
      <c r="W81" s="17"/>
      <c r="X81" s="18"/>
      <c r="Y81" s="39"/>
      <c r="Z81" s="20"/>
      <c r="AA81" s="21"/>
      <c r="AB81" s="22"/>
      <c r="AC81" s="23"/>
      <c r="AD81" s="23"/>
      <c r="AE81" s="24"/>
      <c r="AF81" s="24"/>
    </row>
    <row r="82" spans="1:32" ht="27" customHeight="1">
      <c r="A82" s="15"/>
      <c r="B82" s="81"/>
      <c r="C82" s="15"/>
      <c r="D82" s="15"/>
      <c r="E82" s="26"/>
      <c r="F82" s="27"/>
      <c r="G82" s="27"/>
      <c r="H82" s="81"/>
      <c r="I82" s="26"/>
      <c r="J82" s="28"/>
      <c r="K82" s="25"/>
      <c r="L82" s="25"/>
      <c r="M82" s="28"/>
      <c r="N82" s="29"/>
      <c r="O82" s="30"/>
      <c r="P82" s="31"/>
      <c r="Q82" s="32"/>
      <c r="R82" s="38"/>
      <c r="S82" s="20"/>
      <c r="T82" s="33"/>
      <c r="U82" s="15"/>
      <c r="V82" s="16"/>
      <c r="W82" s="17"/>
      <c r="X82" s="18"/>
      <c r="Y82" s="39"/>
      <c r="Z82" s="20"/>
      <c r="AA82" s="21"/>
      <c r="AB82" s="22"/>
      <c r="AC82" s="23"/>
      <c r="AD82" s="23"/>
      <c r="AE82" s="24"/>
      <c r="AF82" s="24"/>
    </row>
    <row r="83" spans="1:32" ht="27" customHeight="1">
      <c r="A83" s="15"/>
      <c r="B83" s="81"/>
      <c r="C83" s="15"/>
      <c r="D83" s="15"/>
      <c r="E83" s="26"/>
      <c r="F83" s="27"/>
      <c r="G83" s="27"/>
      <c r="H83" s="81"/>
      <c r="I83" s="26"/>
      <c r="J83" s="28"/>
      <c r="K83" s="25"/>
      <c r="L83" s="25"/>
      <c r="M83" s="28"/>
      <c r="N83" s="29"/>
      <c r="O83" s="30"/>
      <c r="P83" s="31"/>
      <c r="Q83" s="32"/>
      <c r="R83" s="38"/>
      <c r="S83" s="20"/>
      <c r="T83" s="33"/>
      <c r="U83" s="15"/>
      <c r="V83" s="16"/>
      <c r="W83" s="17"/>
      <c r="X83" s="18"/>
      <c r="Y83" s="39"/>
      <c r="Z83" s="20"/>
      <c r="AA83" s="21"/>
      <c r="AB83" s="22"/>
      <c r="AC83" s="23"/>
      <c r="AD83" s="23"/>
      <c r="AE83" s="24"/>
      <c r="AF83" s="24"/>
    </row>
    <row r="84" spans="1:32" ht="27" customHeight="1">
      <c r="A84" s="15"/>
      <c r="B84" s="81"/>
      <c r="C84" s="15"/>
      <c r="D84" s="15"/>
      <c r="E84" s="26"/>
      <c r="F84" s="27"/>
      <c r="G84" s="27"/>
      <c r="H84" s="81"/>
      <c r="I84" s="26"/>
      <c r="J84" s="28"/>
      <c r="K84" s="25"/>
      <c r="L84" s="25"/>
      <c r="M84" s="28"/>
      <c r="N84" s="29"/>
      <c r="O84" s="30"/>
      <c r="P84" s="31"/>
      <c r="Q84" s="32"/>
      <c r="R84" s="38"/>
      <c r="S84" s="20"/>
      <c r="T84" s="33"/>
      <c r="U84" s="15"/>
      <c r="V84" s="16"/>
      <c r="W84" s="17"/>
      <c r="X84" s="18"/>
      <c r="Y84" s="39"/>
      <c r="Z84" s="20"/>
      <c r="AA84" s="21"/>
      <c r="AB84" s="22"/>
      <c r="AC84" s="23"/>
      <c r="AD84" s="23"/>
      <c r="AE84" s="24"/>
      <c r="AF84" s="24"/>
    </row>
    <row r="85" spans="1:32" ht="27" customHeight="1">
      <c r="A85" s="15"/>
      <c r="B85" s="81"/>
      <c r="C85" s="15"/>
      <c r="D85" s="15"/>
      <c r="E85" s="26"/>
      <c r="F85" s="27"/>
      <c r="G85" s="27"/>
      <c r="H85" s="81"/>
      <c r="I85" s="26"/>
      <c r="J85" s="28"/>
      <c r="K85" s="25"/>
      <c r="L85" s="25"/>
      <c r="M85" s="28"/>
      <c r="N85" s="29"/>
      <c r="O85" s="30"/>
      <c r="P85" s="31"/>
      <c r="Q85" s="32"/>
      <c r="R85" s="38"/>
      <c r="S85" s="20"/>
      <c r="T85" s="33"/>
      <c r="U85" s="15"/>
      <c r="V85" s="16"/>
      <c r="W85" s="17"/>
      <c r="X85" s="18"/>
      <c r="Y85" s="39"/>
      <c r="Z85" s="20"/>
      <c r="AA85" s="21"/>
      <c r="AB85" s="22"/>
      <c r="AC85" s="23"/>
      <c r="AD85" s="23"/>
      <c r="AE85" s="24"/>
      <c r="AF85" s="24"/>
    </row>
    <row r="86" spans="1:32" ht="27" customHeight="1">
      <c r="A86" s="15"/>
      <c r="B86" s="81"/>
      <c r="C86" s="15"/>
      <c r="D86" s="15"/>
      <c r="E86" s="26"/>
      <c r="F86" s="27"/>
      <c r="G86" s="27"/>
      <c r="H86" s="81"/>
      <c r="I86" s="26"/>
      <c r="J86" s="28"/>
      <c r="K86" s="25"/>
      <c r="L86" s="25"/>
      <c r="M86" s="28"/>
      <c r="N86" s="29"/>
      <c r="O86" s="30"/>
      <c r="P86" s="31"/>
      <c r="Q86" s="32"/>
      <c r="R86" s="38"/>
      <c r="S86" s="20"/>
      <c r="T86" s="33"/>
      <c r="U86" s="15"/>
      <c r="V86" s="16"/>
      <c r="W86" s="17"/>
      <c r="X86" s="18"/>
      <c r="Y86" s="39"/>
      <c r="Z86" s="20"/>
      <c r="AA86" s="21"/>
      <c r="AB86" s="22"/>
      <c r="AC86" s="23"/>
      <c r="AD86" s="23"/>
      <c r="AE86" s="24"/>
      <c r="AF86" s="24"/>
    </row>
    <row r="87" spans="1:32" ht="27" customHeight="1">
      <c r="A87" s="15"/>
      <c r="B87" s="81"/>
      <c r="C87" s="15"/>
      <c r="D87" s="15"/>
      <c r="E87" s="26"/>
      <c r="F87" s="27"/>
      <c r="G87" s="27"/>
      <c r="H87" s="81"/>
      <c r="I87" s="26"/>
      <c r="J87" s="28"/>
      <c r="K87" s="25"/>
      <c r="L87" s="25"/>
      <c r="M87" s="28"/>
      <c r="N87" s="29"/>
      <c r="O87" s="30"/>
      <c r="P87" s="31"/>
      <c r="Q87" s="32"/>
      <c r="R87" s="38"/>
      <c r="S87" s="20"/>
      <c r="T87" s="33"/>
      <c r="U87" s="15"/>
      <c r="V87" s="16"/>
      <c r="W87" s="17"/>
      <c r="X87" s="18"/>
      <c r="Y87" s="39"/>
      <c r="Z87" s="20"/>
      <c r="AA87" s="21"/>
      <c r="AB87" s="22"/>
      <c r="AC87" s="23"/>
      <c r="AD87" s="23"/>
      <c r="AE87" s="24"/>
      <c r="AF87" s="24"/>
    </row>
    <row r="88" spans="1:32" ht="27" customHeight="1">
      <c r="A88" s="15"/>
      <c r="B88" s="81"/>
      <c r="C88" s="15"/>
      <c r="D88" s="15"/>
      <c r="E88" s="26"/>
      <c r="F88" s="27"/>
      <c r="G88" s="27"/>
      <c r="H88" s="81"/>
      <c r="I88" s="26"/>
      <c r="J88" s="28"/>
      <c r="K88" s="25"/>
      <c r="L88" s="25"/>
      <c r="M88" s="28"/>
      <c r="N88" s="29"/>
      <c r="O88" s="30"/>
      <c r="P88" s="31"/>
      <c r="Q88" s="32"/>
      <c r="R88" s="38"/>
      <c r="S88" s="20"/>
      <c r="T88" s="33"/>
      <c r="U88" s="15"/>
      <c r="V88" s="16"/>
      <c r="W88" s="17"/>
      <c r="X88" s="18"/>
      <c r="Y88" s="39"/>
      <c r="Z88" s="20"/>
      <c r="AA88" s="21"/>
      <c r="AB88" s="22"/>
      <c r="AC88" s="23"/>
      <c r="AD88" s="23"/>
      <c r="AE88" s="24"/>
      <c r="AF88" s="24"/>
    </row>
    <row r="89" spans="1:32" ht="27" customHeight="1">
      <c r="A89" s="15"/>
      <c r="B89" s="81"/>
      <c r="C89" s="15"/>
      <c r="D89" s="15"/>
      <c r="E89" s="26"/>
      <c r="F89" s="27"/>
      <c r="G89" s="27"/>
      <c r="H89" s="81"/>
      <c r="I89" s="26"/>
      <c r="J89" s="28"/>
      <c r="K89" s="25"/>
      <c r="L89" s="25"/>
      <c r="M89" s="28"/>
      <c r="N89" s="29"/>
      <c r="O89" s="30"/>
      <c r="P89" s="31"/>
      <c r="Q89" s="32"/>
      <c r="R89" s="38"/>
      <c r="S89" s="20"/>
      <c r="T89" s="33"/>
      <c r="U89" s="15"/>
      <c r="V89" s="16"/>
      <c r="W89" s="17"/>
      <c r="X89" s="18"/>
      <c r="Y89" s="39"/>
      <c r="Z89" s="20"/>
      <c r="AA89" s="21"/>
      <c r="AB89" s="22"/>
      <c r="AC89" s="23"/>
      <c r="AD89" s="23"/>
      <c r="AE89" s="24"/>
      <c r="AF89" s="24"/>
    </row>
    <row r="90" spans="1:32" ht="27" customHeight="1">
      <c r="A90" s="15"/>
      <c r="B90" s="81"/>
      <c r="C90" s="15"/>
      <c r="D90" s="15"/>
      <c r="E90" s="26"/>
      <c r="F90" s="27"/>
      <c r="G90" s="27"/>
      <c r="H90" s="81"/>
      <c r="I90" s="26"/>
      <c r="J90" s="28"/>
      <c r="K90" s="25"/>
      <c r="L90" s="25"/>
      <c r="M90" s="28"/>
      <c r="N90" s="29"/>
      <c r="O90" s="30"/>
      <c r="P90" s="31"/>
      <c r="Q90" s="32"/>
      <c r="R90" s="38"/>
      <c r="S90" s="20"/>
      <c r="T90" s="33"/>
      <c r="U90" s="15"/>
      <c r="V90" s="16"/>
      <c r="W90" s="17"/>
      <c r="X90" s="18"/>
      <c r="Y90" s="39"/>
      <c r="Z90" s="20"/>
      <c r="AA90" s="21"/>
      <c r="AB90" s="22"/>
      <c r="AC90" s="23"/>
      <c r="AD90" s="23"/>
      <c r="AE90" s="24"/>
      <c r="AF90" s="24"/>
    </row>
    <row r="91" spans="1:32" ht="27" customHeight="1">
      <c r="A91" s="15"/>
      <c r="B91" s="81"/>
      <c r="C91" s="15"/>
      <c r="D91" s="15"/>
      <c r="E91" s="26"/>
      <c r="F91" s="27"/>
      <c r="G91" s="27"/>
      <c r="H91" s="81"/>
      <c r="I91" s="26"/>
      <c r="J91" s="28"/>
      <c r="K91" s="25"/>
      <c r="L91" s="25"/>
      <c r="M91" s="28"/>
      <c r="N91" s="29"/>
      <c r="O91" s="30"/>
      <c r="P91" s="31"/>
      <c r="Q91" s="32"/>
      <c r="R91" s="38"/>
      <c r="S91" s="20"/>
      <c r="T91" s="33"/>
      <c r="U91" s="15"/>
      <c r="V91" s="16"/>
      <c r="W91" s="17"/>
      <c r="X91" s="18"/>
      <c r="Y91" s="39"/>
      <c r="Z91" s="20"/>
      <c r="AA91" s="21"/>
      <c r="AB91" s="22"/>
      <c r="AC91" s="23"/>
      <c r="AD91" s="23"/>
      <c r="AE91" s="24"/>
      <c r="AF91" s="24"/>
    </row>
    <row r="92" spans="1:32" ht="27" customHeight="1">
      <c r="AE92" s="80"/>
      <c r="AF92" s="24"/>
    </row>
    <row r="93" spans="1:32" ht="27" customHeight="1">
      <c r="AE93" s="80"/>
      <c r="AF93" s="24"/>
    </row>
    <row r="94" spans="1:32" ht="27" customHeight="1">
      <c r="AE94" s="80"/>
      <c r="AF94" s="24"/>
    </row>
    <row r="95" spans="1:32" ht="27" customHeight="1">
      <c r="AE95" s="80"/>
      <c r="AF95" s="24"/>
    </row>
    <row r="96" spans="1:32" ht="27" customHeight="1">
      <c r="AE96" s="80"/>
      <c r="AF96" s="24"/>
    </row>
    <row r="97" spans="31:32" ht="27" customHeight="1">
      <c r="AE97" s="80"/>
      <c r="AF97" s="24"/>
    </row>
    <row r="98" spans="31:32" ht="27" customHeight="1">
      <c r="AE98" s="80"/>
      <c r="AF98" s="24"/>
    </row>
    <row r="99" spans="31:32" ht="27" customHeight="1">
      <c r="AE99" s="80"/>
      <c r="AF99" s="24"/>
    </row>
    <row r="100" spans="31:32" ht="27" customHeight="1">
      <c r="AE100" s="80"/>
      <c r="AF100" s="24"/>
    </row>
    <row r="101" spans="31:32" ht="27" customHeight="1">
      <c r="AE101" s="80"/>
      <c r="AF101" s="24"/>
    </row>
    <row r="102" spans="31:32" ht="24.95" customHeight="1">
      <c r="AE102" s="80"/>
      <c r="AF102" s="24"/>
    </row>
    <row r="103" spans="31:32" ht="24.95" customHeight="1">
      <c r="AE103" s="80"/>
      <c r="AF103" s="24"/>
    </row>
    <row r="104" spans="31:32" ht="24.95" customHeight="1">
      <c r="AE104" s="80"/>
      <c r="AF104" s="24"/>
    </row>
    <row r="105" spans="31:32" ht="24.95" customHeight="1">
      <c r="AE105" s="80"/>
      <c r="AF105" s="24"/>
    </row>
    <row r="106" spans="31:32" ht="24.95" customHeight="1">
      <c r="AE106" s="80"/>
      <c r="AF106" s="24"/>
    </row>
    <row r="107" spans="31:32" ht="24.95" customHeight="1">
      <c r="AE107" s="80"/>
      <c r="AF107" s="24"/>
    </row>
    <row r="108" spans="31:32" ht="24.95" customHeight="1">
      <c r="AE108" s="80"/>
      <c r="AF108" s="24"/>
    </row>
    <row r="109" spans="31:32" ht="24.95" customHeight="1">
      <c r="AE109" s="80"/>
      <c r="AF109" s="24"/>
    </row>
    <row r="110" spans="31:32" ht="24.95" customHeight="1">
      <c r="AE110" s="80"/>
      <c r="AF110" s="24"/>
    </row>
    <row r="111" spans="31:32" ht="24.95" customHeight="1">
      <c r="AE111" s="80"/>
      <c r="AF111" s="24"/>
    </row>
    <row r="112" spans="31:32" ht="24.95" customHeight="1">
      <c r="AE112" s="80"/>
      <c r="AF112" s="24"/>
    </row>
    <row r="113" spans="31:32" ht="24.95" customHeight="1">
      <c r="AE113" s="80"/>
      <c r="AF113" s="24"/>
    </row>
    <row r="114" spans="31:32" ht="24.95" customHeight="1">
      <c r="AE114" s="80"/>
      <c r="AF114" s="24"/>
    </row>
    <row r="115" spans="31:32" ht="24.95" customHeight="1">
      <c r="AE115" s="80"/>
      <c r="AF115" s="24"/>
    </row>
    <row r="116" spans="31:32" ht="24.95" customHeight="1">
      <c r="AE116" s="80"/>
      <c r="AF116" s="24"/>
    </row>
    <row r="117" spans="31:32" ht="24.95" customHeight="1">
      <c r="AE117" s="80"/>
      <c r="AF117" s="24"/>
    </row>
    <row r="118" spans="31:32" ht="24.95" customHeight="1">
      <c r="AE118" s="80"/>
      <c r="AF118" s="24"/>
    </row>
    <row r="119" spans="31:32" ht="24.95" customHeight="1">
      <c r="AE119" s="80"/>
      <c r="AF119" s="24"/>
    </row>
    <row r="120" spans="31:32" ht="24.95" customHeight="1">
      <c r="AE120" s="80"/>
      <c r="AF120" s="24"/>
    </row>
    <row r="121" spans="31:32" ht="24.95" customHeight="1">
      <c r="AE121" s="80"/>
      <c r="AF121" s="24"/>
    </row>
    <row r="122" spans="31:32" ht="24.95" customHeight="1">
      <c r="AE122" s="80"/>
      <c r="AF122" s="24"/>
    </row>
    <row r="123" spans="31:32" ht="24.95" customHeight="1">
      <c r="AE123" s="80"/>
      <c r="AF123" s="24"/>
    </row>
    <row r="124" spans="31:32" ht="24.95" customHeight="1">
      <c r="AF124" s="24"/>
    </row>
    <row r="125" spans="31:32" ht="24.95" customHeight="1">
      <c r="AF125" s="24"/>
    </row>
    <row r="126" spans="31:32" ht="24.95" customHeight="1">
      <c r="AF126" s="24"/>
    </row>
    <row r="127" spans="31:32" ht="24.95" customHeight="1">
      <c r="AF127" s="24"/>
    </row>
    <row r="128" spans="31:32" ht="24.95" customHeight="1">
      <c r="AF128" s="24"/>
    </row>
    <row r="129" spans="32:32" ht="24.95" customHeight="1">
      <c r="AF129" s="24"/>
    </row>
    <row r="130" spans="32:32" ht="24.95" customHeight="1">
      <c r="AF130" s="24"/>
    </row>
    <row r="131" spans="32:32" ht="24.95" customHeight="1">
      <c r="AF131" s="24"/>
    </row>
    <row r="132" spans="32:32" ht="24.95" customHeight="1">
      <c r="AF132" s="24"/>
    </row>
    <row r="133" spans="32:32" ht="24.95" customHeight="1">
      <c r="AF133" s="24"/>
    </row>
    <row r="134" spans="32:32" ht="24.95" customHeight="1">
      <c r="AF134" s="24"/>
    </row>
    <row r="135" spans="32:32" ht="24.95" customHeight="1">
      <c r="AF135" s="24"/>
    </row>
    <row r="136" spans="32:32" ht="24.95" customHeight="1">
      <c r="AF136" s="24"/>
    </row>
    <row r="137" spans="32:32" ht="24.95" customHeight="1">
      <c r="AF137" s="24"/>
    </row>
    <row r="138" spans="32:32" ht="24.95" customHeight="1">
      <c r="AF138" s="24"/>
    </row>
    <row r="139" spans="32:32" ht="24.95" customHeight="1">
      <c r="AF139" s="24"/>
    </row>
    <row r="140" spans="32:32" ht="24.95" customHeight="1">
      <c r="AF140" s="24"/>
    </row>
    <row r="141" spans="32:32" ht="24.95" customHeight="1">
      <c r="AF141" s="24"/>
    </row>
    <row r="142" spans="32:32" ht="24.95" customHeight="1">
      <c r="AF142" s="24" t="s">
        <v>3260</v>
      </c>
    </row>
    <row r="143" spans="32:32" ht="24.95" customHeight="1">
      <c r="AF143" s="24"/>
    </row>
    <row r="144" spans="32:32" ht="24.95" customHeight="1">
      <c r="AF144" s="24"/>
    </row>
    <row r="145" spans="32:32" ht="24.95" customHeight="1">
      <c r="AF145" s="24"/>
    </row>
    <row r="146" spans="32:32" ht="24.95" customHeight="1">
      <c r="AF146" s="24"/>
    </row>
    <row r="147" spans="32:32" ht="24.95" customHeight="1">
      <c r="AF147" s="24"/>
    </row>
    <row r="148" spans="32:32" ht="24.95" customHeight="1">
      <c r="AF148" s="24"/>
    </row>
    <row r="149" spans="32:32" ht="24.95" customHeight="1">
      <c r="AF149" s="24"/>
    </row>
    <row r="150" spans="32:32" ht="24.95" customHeight="1">
      <c r="AF150" s="24"/>
    </row>
    <row r="151" spans="32:32" ht="24.95" customHeight="1">
      <c r="AF151" s="24"/>
    </row>
    <row r="152" spans="32:32" ht="24.95" customHeight="1">
      <c r="AF152" s="24"/>
    </row>
    <row r="153" spans="32:32" ht="24.95" customHeight="1">
      <c r="AF153" s="24"/>
    </row>
    <row r="154" spans="32:32" ht="24.95" customHeight="1">
      <c r="AF154" s="24"/>
    </row>
    <row r="155" spans="32:32" ht="24.95" customHeight="1">
      <c r="AF155" s="24"/>
    </row>
    <row r="156" spans="32:32" ht="24.95" customHeight="1">
      <c r="AF156" s="24"/>
    </row>
    <row r="157" spans="32:32" ht="24.95" customHeight="1">
      <c r="AF157" s="24"/>
    </row>
    <row r="158" spans="32:32" ht="24.95" customHeight="1">
      <c r="AF158" s="24"/>
    </row>
    <row r="159" spans="32:32" ht="24.95" customHeight="1">
      <c r="AF159" s="24"/>
    </row>
    <row r="160" spans="32:32" ht="24.95" customHeight="1">
      <c r="AF160" s="24"/>
    </row>
    <row r="161" spans="32:32" ht="24.95" customHeight="1">
      <c r="AF161" s="24"/>
    </row>
    <row r="162" spans="32:32" ht="24.95" customHeight="1">
      <c r="AF162" s="24" t="s">
        <v>3261</v>
      </c>
    </row>
    <row r="163" spans="32:32" ht="24.95" customHeight="1">
      <c r="AF163" s="24"/>
    </row>
    <row r="164" spans="32:32" ht="24.95" customHeight="1">
      <c r="AF164" s="24"/>
    </row>
    <row r="165" spans="32:32" ht="24.95" customHeight="1">
      <c r="AF165" s="24"/>
    </row>
    <row r="166" spans="32:32" ht="24.95" customHeight="1">
      <c r="AF166" s="24"/>
    </row>
    <row r="167" spans="32:32" ht="24.95" customHeight="1">
      <c r="AF167" s="24"/>
    </row>
    <row r="168" spans="32:32" ht="24.95" customHeight="1">
      <c r="AF168" s="24"/>
    </row>
    <row r="169" spans="32:32" ht="24.95" customHeight="1">
      <c r="AF169" s="24"/>
    </row>
    <row r="170" spans="32:32" ht="24.95" customHeight="1">
      <c r="AF170" s="24"/>
    </row>
    <row r="171" spans="32:32" ht="24.95" customHeight="1">
      <c r="AF171" s="24"/>
    </row>
    <row r="172" spans="32:32" ht="24.95" customHeight="1">
      <c r="AF172" s="24"/>
    </row>
    <row r="173" spans="32:32" ht="24.95" customHeight="1">
      <c r="AF173" s="24"/>
    </row>
    <row r="174" spans="32:32" ht="24.95" customHeight="1">
      <c r="AF174" s="24"/>
    </row>
    <row r="175" spans="32:32" ht="24.95" customHeight="1">
      <c r="AF175" s="24"/>
    </row>
    <row r="176" spans="32:32" ht="24.95" customHeight="1">
      <c r="AF176" s="24"/>
    </row>
    <row r="177" spans="32:32" ht="24.95" customHeight="1">
      <c r="AF177" s="24"/>
    </row>
    <row r="178" spans="32:32" ht="24.95" customHeight="1">
      <c r="AF178" s="24"/>
    </row>
    <row r="179" spans="32:32" ht="24.95" customHeight="1">
      <c r="AF179" s="24"/>
    </row>
    <row r="180" spans="32:32" ht="24.95" customHeight="1">
      <c r="AF180" s="24"/>
    </row>
    <row r="181" spans="32:32" ht="24.95" customHeight="1">
      <c r="AF181" s="24"/>
    </row>
    <row r="182" spans="32:32" ht="24.95" customHeight="1">
      <c r="AF182" s="24"/>
    </row>
    <row r="183" spans="32:32" ht="24.95" customHeight="1">
      <c r="AF183" s="24"/>
    </row>
    <row r="184" spans="32:32" ht="24.95" customHeight="1">
      <c r="AF184" s="24"/>
    </row>
    <row r="185" spans="32:32" ht="24.95" customHeight="1">
      <c r="AF185" s="24"/>
    </row>
    <row r="186" spans="32:32" ht="24.95" customHeight="1">
      <c r="AF186" s="24"/>
    </row>
    <row r="187" spans="32:32" ht="24.95" customHeight="1">
      <c r="AF187" s="24"/>
    </row>
    <row r="188" spans="32:32" ht="24.95" customHeight="1">
      <c r="AF188" s="24"/>
    </row>
    <row r="189" spans="32:32" ht="24.95" customHeight="1">
      <c r="AF189" s="24"/>
    </row>
    <row r="190" spans="32:32" ht="24.95" customHeight="1">
      <c r="AF190" s="24"/>
    </row>
  </sheetData>
  <autoFilter ref="A1:AH37" xr:uid="{00000000-0001-0000-0100-000000000000}"/>
  <mergeCells count="25">
    <mergeCell ref="N2:O2"/>
    <mergeCell ref="P2:Q2"/>
    <mergeCell ref="G2:G3"/>
    <mergeCell ref="H2:H3"/>
    <mergeCell ref="I2:I3"/>
    <mergeCell ref="J2:J3"/>
    <mergeCell ref="K2:M2"/>
    <mergeCell ref="F2:F3"/>
    <mergeCell ref="A2:A3"/>
    <mergeCell ref="B2:B3"/>
    <mergeCell ref="C2:C3"/>
    <mergeCell ref="D2:D3"/>
    <mergeCell ref="E2:E3"/>
    <mergeCell ref="V2:V3"/>
    <mergeCell ref="AG2:AG3"/>
    <mergeCell ref="X2:X3"/>
    <mergeCell ref="W2:W3"/>
    <mergeCell ref="R2:R3"/>
    <mergeCell ref="S2:S3"/>
    <mergeCell ref="T2:U2"/>
    <mergeCell ref="AH2:AH3"/>
    <mergeCell ref="AE2:AE3"/>
    <mergeCell ref="Y2:Y3"/>
    <mergeCell ref="Z2:Z3"/>
    <mergeCell ref="AA2:AA3"/>
  </mergeCells>
  <phoneticPr fontId="24" type="noConversion"/>
  <conditionalFormatting sqref="X4:X91">
    <cfRule type="notContainsBlanks" dxfId="0" priority="2">
      <formula>LEN(TRIM(X4))&gt;0</formula>
    </cfRule>
  </conditionalFormatting>
  <pageMargins left="0.31496062992125984" right="0.31496062992125984" top="0.35433070866141736" bottom="0.35433070866141736" header="0.31496062992125984" footer="0.31496062992125984"/>
  <pageSetup paperSize="9" scale="34" fitToHeight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7" sqref="B17"/>
    </sheetView>
  </sheetViews>
  <sheetFormatPr defaultColWidth="9.140625" defaultRowHeight="11.25"/>
  <cols>
    <col min="1" max="1" width="9.140625" style="79"/>
    <col min="2" max="2" width="16" style="79" bestFit="1" customWidth="1"/>
    <col min="3" max="3" width="2.7109375" style="79" customWidth="1"/>
    <col min="4" max="4" width="15.7109375" style="79" customWidth="1"/>
    <col min="5" max="5" width="2.7109375" style="79" customWidth="1"/>
    <col min="6" max="6" width="9.140625" style="79"/>
    <col min="7" max="7" width="2.140625" style="79" customWidth="1"/>
    <col min="8" max="8" width="14.85546875" style="79" bestFit="1" customWidth="1"/>
    <col min="9" max="9" width="2.7109375" style="79" customWidth="1"/>
    <col min="10" max="10" width="15.7109375" style="79" customWidth="1"/>
    <col min="11" max="11" width="2.7109375" style="79" customWidth="1"/>
    <col min="12" max="12" width="9.140625" style="79"/>
    <col min="13" max="13" width="2.140625" style="79" customWidth="1"/>
    <col min="14" max="14" width="16" style="79" bestFit="1" customWidth="1"/>
    <col min="15" max="15" width="2.7109375" style="79" customWidth="1"/>
    <col min="16" max="16" width="15.7109375" style="79" customWidth="1"/>
    <col min="17" max="17" width="2.7109375" style="79" customWidth="1"/>
    <col min="18" max="20" width="9.140625" style="79"/>
    <col min="21" max="21" width="16" style="79" bestFit="1" customWidth="1"/>
    <col min="22" max="22" width="2.7109375" style="79" customWidth="1"/>
    <col min="23" max="23" width="15.7109375" style="79" customWidth="1"/>
    <col min="24" max="24" width="2.7109375" style="79" customWidth="1"/>
    <col min="25" max="16384" width="9.140625" style="79"/>
  </cols>
  <sheetData>
    <row r="1" spans="1:25" s="87" customFormat="1" ht="28.5" customHeight="1">
      <c r="A1" s="82" t="s">
        <v>3262</v>
      </c>
      <c r="B1" s="83"/>
      <c r="C1" s="84"/>
      <c r="D1" s="84"/>
      <c r="E1" s="84"/>
      <c r="F1" s="85"/>
      <c r="G1" s="86"/>
      <c r="H1" s="83"/>
      <c r="I1" s="84"/>
      <c r="J1" s="84"/>
      <c r="K1" s="84"/>
      <c r="L1" s="85"/>
      <c r="M1" s="86"/>
      <c r="N1" s="83"/>
      <c r="O1" s="84"/>
      <c r="P1" s="84"/>
      <c r="Q1" s="84"/>
      <c r="R1" s="85"/>
      <c r="T1" s="82" t="s">
        <v>3263</v>
      </c>
      <c r="U1" s="83"/>
      <c r="V1" s="84"/>
      <c r="W1" s="84"/>
      <c r="X1" s="84"/>
      <c r="Y1" s="85"/>
    </row>
    <row r="2" spans="1:25" s="43" customFormat="1">
      <c r="A2" s="40"/>
      <c r="B2" s="40"/>
      <c r="C2" s="41"/>
      <c r="D2" s="41"/>
      <c r="E2" s="41"/>
      <c r="F2" s="42"/>
      <c r="G2" s="40"/>
      <c r="H2" s="40"/>
      <c r="I2" s="41"/>
      <c r="J2" s="41"/>
      <c r="K2" s="41"/>
      <c r="L2" s="42"/>
      <c r="M2" s="40"/>
      <c r="N2" s="40"/>
      <c r="O2" s="41"/>
      <c r="P2" s="41"/>
      <c r="Q2" s="41"/>
      <c r="R2" s="42"/>
      <c r="T2" s="40"/>
      <c r="U2" s="40"/>
      <c r="V2" s="41"/>
      <c r="W2" s="41"/>
      <c r="X2" s="41"/>
      <c r="Y2" s="42"/>
    </row>
    <row r="3" spans="1:25" s="43" customFormat="1" ht="20.100000000000001" customHeight="1">
      <c r="A3" s="44"/>
      <c r="B3" s="428" t="s">
        <v>3264</v>
      </c>
      <c r="C3" s="428"/>
      <c r="D3" s="428"/>
      <c r="E3" s="428"/>
      <c r="F3" s="428"/>
      <c r="G3" s="45"/>
      <c r="H3" s="428" t="s">
        <v>1483</v>
      </c>
      <c r="I3" s="428"/>
      <c r="J3" s="428"/>
      <c r="K3" s="428"/>
      <c r="L3" s="428"/>
      <c r="M3" s="45"/>
      <c r="N3" s="429" t="s">
        <v>1484</v>
      </c>
      <c r="O3" s="429"/>
      <c r="P3" s="429"/>
      <c r="Q3" s="429"/>
      <c r="R3" s="429"/>
      <c r="T3" s="44"/>
      <c r="U3" s="428"/>
      <c r="V3" s="428"/>
      <c r="W3" s="428"/>
      <c r="X3" s="428"/>
      <c r="Y3" s="428"/>
    </row>
    <row r="4" spans="1:25" s="44" customFormat="1" ht="45.75" thickBot="1">
      <c r="A4" s="44" t="s">
        <v>1485</v>
      </c>
      <c r="B4" s="46" t="s">
        <v>1486</v>
      </c>
      <c r="C4" s="47"/>
      <c r="D4" s="48" t="s">
        <v>1487</v>
      </c>
      <c r="E4" s="47"/>
      <c r="F4" s="48" t="s">
        <v>1488</v>
      </c>
      <c r="G4" s="45"/>
      <c r="H4" s="46" t="s">
        <v>1486</v>
      </c>
      <c r="I4" s="47"/>
      <c r="J4" s="48" t="s">
        <v>1487</v>
      </c>
      <c r="K4" s="47"/>
      <c r="L4" s="48" t="s">
        <v>1488</v>
      </c>
      <c r="M4" s="45"/>
      <c r="N4" s="49" t="s">
        <v>1486</v>
      </c>
      <c r="O4" s="50"/>
      <c r="P4" s="51" t="s">
        <v>1487</v>
      </c>
      <c r="Q4" s="50"/>
      <c r="R4" s="51" t="s">
        <v>1488</v>
      </c>
      <c r="U4" s="46" t="s">
        <v>1486</v>
      </c>
      <c r="V4" s="47"/>
      <c r="W4" s="48" t="s">
        <v>1487</v>
      </c>
      <c r="X4" s="47"/>
      <c r="Y4" s="48" t="s">
        <v>1488</v>
      </c>
    </row>
    <row r="5" spans="1:25" s="43" customFormat="1" ht="24.95" customHeight="1">
      <c r="A5" s="52">
        <v>45658</v>
      </c>
      <c r="B5" s="53">
        <v>4400007.49</v>
      </c>
      <c r="C5" s="54"/>
      <c r="D5" s="55">
        <v>29</v>
      </c>
      <c r="E5" s="54"/>
      <c r="F5" s="55">
        <v>2</v>
      </c>
      <c r="G5" s="56"/>
      <c r="H5" s="53">
        <v>275139.40000000002</v>
      </c>
      <c r="I5" s="54"/>
      <c r="J5" s="55">
        <v>10</v>
      </c>
      <c r="K5" s="54"/>
      <c r="L5" s="55">
        <v>0</v>
      </c>
      <c r="M5" s="56"/>
      <c r="N5" s="57">
        <f>B5+H5</f>
        <v>4675146.8900000006</v>
      </c>
      <c r="O5" s="58"/>
      <c r="P5" s="59">
        <f>D5+J5</f>
        <v>39</v>
      </c>
      <c r="Q5" s="58"/>
      <c r="R5" s="59">
        <f>F5+L5</f>
        <v>2</v>
      </c>
      <c r="T5" s="52">
        <f>A5</f>
        <v>45658</v>
      </c>
      <c r="U5" s="53">
        <v>44461.94</v>
      </c>
      <c r="V5" s="54"/>
      <c r="W5" s="55">
        <v>4</v>
      </c>
      <c r="X5" s="54"/>
      <c r="Y5" s="55">
        <v>0</v>
      </c>
    </row>
    <row r="6" spans="1:25" s="43" customFormat="1" ht="24.95" customHeight="1">
      <c r="A6" s="52">
        <v>45689</v>
      </c>
      <c r="B6" s="53">
        <v>4131670.08</v>
      </c>
      <c r="C6" s="54"/>
      <c r="D6" s="55">
        <v>22</v>
      </c>
      <c r="E6" s="54"/>
      <c r="F6" s="55">
        <v>1</v>
      </c>
      <c r="G6" s="56"/>
      <c r="H6" s="53">
        <v>972322.22</v>
      </c>
      <c r="I6" s="54"/>
      <c r="J6" s="55">
        <v>10</v>
      </c>
      <c r="K6" s="54"/>
      <c r="L6" s="55">
        <v>0</v>
      </c>
      <c r="M6" s="56"/>
      <c r="N6" s="57">
        <f t="shared" ref="N6:N16" si="0">B6+H6</f>
        <v>5103992.3</v>
      </c>
      <c r="O6" s="58"/>
      <c r="P6" s="59">
        <f t="shared" ref="P6:P16" si="1">D6+J6</f>
        <v>32</v>
      </c>
      <c r="Q6" s="58"/>
      <c r="R6" s="59">
        <f t="shared" ref="R6:R16" si="2">F6+L6</f>
        <v>1</v>
      </c>
      <c r="T6" s="52">
        <f t="shared" ref="T6:T16" si="3">A6</f>
        <v>45689</v>
      </c>
      <c r="U6" s="53">
        <v>126936.81</v>
      </c>
      <c r="V6" s="54"/>
      <c r="W6" s="55">
        <v>2</v>
      </c>
      <c r="X6" s="54"/>
      <c r="Y6" s="55">
        <v>0</v>
      </c>
    </row>
    <row r="7" spans="1:25" s="43" customFormat="1" ht="24.95" customHeight="1">
      <c r="A7" s="52">
        <v>45717</v>
      </c>
      <c r="B7" s="53">
        <v>1569459.88</v>
      </c>
      <c r="C7" s="54"/>
      <c r="D7" s="55">
        <v>25</v>
      </c>
      <c r="E7" s="54"/>
      <c r="F7" s="55">
        <v>1</v>
      </c>
      <c r="G7" s="56"/>
      <c r="H7" s="53">
        <v>819137.16</v>
      </c>
      <c r="I7" s="54"/>
      <c r="J7" s="55">
        <v>13</v>
      </c>
      <c r="K7" s="54"/>
      <c r="L7" s="55">
        <v>1</v>
      </c>
      <c r="M7" s="56"/>
      <c r="N7" s="57">
        <f t="shared" si="0"/>
        <v>2388597.04</v>
      </c>
      <c r="O7" s="58"/>
      <c r="P7" s="59">
        <f t="shared" si="1"/>
        <v>38</v>
      </c>
      <c r="Q7" s="58"/>
      <c r="R7" s="59">
        <f t="shared" si="2"/>
        <v>2</v>
      </c>
      <c r="T7" s="52">
        <f t="shared" si="3"/>
        <v>45717</v>
      </c>
      <c r="U7" s="53">
        <v>98636.31</v>
      </c>
      <c r="V7" s="54"/>
      <c r="W7" s="55">
        <v>2</v>
      </c>
      <c r="X7" s="54"/>
      <c r="Y7" s="55">
        <v>0</v>
      </c>
    </row>
    <row r="8" spans="1:25" s="43" customFormat="1" ht="24.95" customHeight="1">
      <c r="A8" s="52">
        <v>45748</v>
      </c>
      <c r="B8" s="53">
        <v>3170153.56</v>
      </c>
      <c r="C8" s="54"/>
      <c r="D8" s="55">
        <v>13</v>
      </c>
      <c r="E8" s="54"/>
      <c r="F8" s="55">
        <v>0</v>
      </c>
      <c r="G8" s="56"/>
      <c r="H8" s="53">
        <v>1080645.51</v>
      </c>
      <c r="I8" s="54"/>
      <c r="J8" s="55">
        <v>14</v>
      </c>
      <c r="K8" s="54"/>
      <c r="L8" s="55">
        <v>0</v>
      </c>
      <c r="M8" s="56"/>
      <c r="N8" s="57">
        <f t="shared" si="0"/>
        <v>4250799.07</v>
      </c>
      <c r="O8" s="58"/>
      <c r="P8" s="59">
        <f t="shared" si="1"/>
        <v>27</v>
      </c>
      <c r="Q8" s="58"/>
      <c r="R8" s="59">
        <f t="shared" si="2"/>
        <v>0</v>
      </c>
      <c r="T8" s="52">
        <f t="shared" si="3"/>
        <v>45748</v>
      </c>
      <c r="U8" s="53">
        <v>374398.12</v>
      </c>
      <c r="V8" s="54"/>
      <c r="W8" s="55">
        <v>4</v>
      </c>
      <c r="X8" s="54"/>
      <c r="Y8" s="55">
        <v>0</v>
      </c>
    </row>
    <row r="9" spans="1:25" s="43" customFormat="1" ht="24.95" customHeight="1">
      <c r="A9" s="52">
        <v>45778</v>
      </c>
      <c r="B9" s="53">
        <v>360857.83</v>
      </c>
      <c r="C9" s="54"/>
      <c r="D9" s="55">
        <v>12</v>
      </c>
      <c r="E9" s="54"/>
      <c r="F9" s="55">
        <v>0</v>
      </c>
      <c r="G9" s="56"/>
      <c r="H9" s="53">
        <v>1071852</v>
      </c>
      <c r="I9" s="54"/>
      <c r="J9" s="55">
        <v>8</v>
      </c>
      <c r="K9" s="54"/>
      <c r="L9" s="55">
        <v>0</v>
      </c>
      <c r="M9" s="56"/>
      <c r="N9" s="57">
        <f t="shared" si="0"/>
        <v>1432709.83</v>
      </c>
      <c r="O9" s="58"/>
      <c r="P9" s="59">
        <f t="shared" si="1"/>
        <v>20</v>
      </c>
      <c r="Q9" s="58"/>
      <c r="R9" s="59">
        <f t="shared" si="2"/>
        <v>0</v>
      </c>
      <c r="T9" s="52">
        <f t="shared" si="3"/>
        <v>45778</v>
      </c>
      <c r="U9" s="53">
        <v>1172631.1299999999</v>
      </c>
      <c r="V9" s="54"/>
      <c r="W9" s="55">
        <v>3</v>
      </c>
      <c r="X9" s="54"/>
      <c r="Y9" s="55">
        <v>0</v>
      </c>
    </row>
    <row r="10" spans="1:25" s="43" customFormat="1" ht="24.95" customHeight="1">
      <c r="A10" s="52">
        <v>45809</v>
      </c>
      <c r="B10" s="53">
        <v>2040339.83</v>
      </c>
      <c r="C10" s="54"/>
      <c r="D10" s="55">
        <v>18</v>
      </c>
      <c r="E10" s="54"/>
      <c r="F10" s="55">
        <v>0</v>
      </c>
      <c r="G10" s="56"/>
      <c r="H10" s="53">
        <v>77863.679999999993</v>
      </c>
      <c r="I10" s="54"/>
      <c r="J10" s="55">
        <v>2</v>
      </c>
      <c r="K10" s="54"/>
      <c r="L10" s="55">
        <v>0</v>
      </c>
      <c r="M10" s="56"/>
      <c r="N10" s="57">
        <f t="shared" si="0"/>
        <v>2118203.5100000002</v>
      </c>
      <c r="O10" s="58"/>
      <c r="P10" s="59">
        <f t="shared" si="1"/>
        <v>20</v>
      </c>
      <c r="Q10" s="58"/>
      <c r="R10" s="59">
        <f t="shared" si="2"/>
        <v>0</v>
      </c>
      <c r="T10" s="52">
        <f t="shared" si="3"/>
        <v>45809</v>
      </c>
      <c r="U10" s="53">
        <v>87901.11</v>
      </c>
      <c r="V10" s="54"/>
      <c r="W10" s="55">
        <v>1</v>
      </c>
      <c r="X10" s="54"/>
      <c r="Y10" s="55">
        <v>0</v>
      </c>
    </row>
    <row r="11" spans="1:25" s="43" customFormat="1" ht="24.95" customHeight="1">
      <c r="A11" s="52">
        <v>45839</v>
      </c>
      <c r="B11" s="53">
        <v>927154.04</v>
      </c>
      <c r="C11" s="54"/>
      <c r="D11" s="55">
        <v>14</v>
      </c>
      <c r="E11" s="54"/>
      <c r="F11" s="55">
        <v>0</v>
      </c>
      <c r="G11" s="56"/>
      <c r="H11" s="53">
        <v>34789.160000000003</v>
      </c>
      <c r="I11" s="54"/>
      <c r="J11" s="55">
        <v>3</v>
      </c>
      <c r="K11" s="54"/>
      <c r="L11" s="55">
        <v>0</v>
      </c>
      <c r="M11" s="56"/>
      <c r="N11" s="57">
        <f t="shared" si="0"/>
        <v>961943.20000000007</v>
      </c>
      <c r="O11" s="58"/>
      <c r="P11" s="59">
        <f t="shared" si="1"/>
        <v>17</v>
      </c>
      <c r="Q11" s="58"/>
      <c r="R11" s="59">
        <f t="shared" si="2"/>
        <v>0</v>
      </c>
      <c r="T11" s="52">
        <f t="shared" si="3"/>
        <v>45839</v>
      </c>
      <c r="U11" s="53">
        <v>236930.74</v>
      </c>
      <c r="V11" s="54"/>
      <c r="W11" s="55">
        <v>5</v>
      </c>
      <c r="X11" s="54"/>
      <c r="Y11" s="55">
        <v>1</v>
      </c>
    </row>
    <row r="12" spans="1:25" s="43" customFormat="1" ht="24.95" customHeight="1">
      <c r="A12" s="52">
        <v>45870</v>
      </c>
      <c r="B12" s="53">
        <v>3998635.04</v>
      </c>
      <c r="C12" s="54"/>
      <c r="D12" s="55">
        <v>20</v>
      </c>
      <c r="E12" s="54"/>
      <c r="F12" s="55">
        <v>1</v>
      </c>
      <c r="G12" s="56"/>
      <c r="H12" s="53">
        <v>454562</v>
      </c>
      <c r="I12" s="54"/>
      <c r="J12" s="55">
        <v>5</v>
      </c>
      <c r="K12" s="54"/>
      <c r="L12" s="55">
        <v>0</v>
      </c>
      <c r="M12" s="56"/>
      <c r="N12" s="57">
        <f t="shared" si="0"/>
        <v>4453197.04</v>
      </c>
      <c r="O12" s="58"/>
      <c r="P12" s="59">
        <f t="shared" si="1"/>
        <v>25</v>
      </c>
      <c r="Q12" s="58"/>
      <c r="R12" s="59">
        <f t="shared" si="2"/>
        <v>1</v>
      </c>
      <c r="T12" s="52">
        <f t="shared" si="3"/>
        <v>45870</v>
      </c>
      <c r="U12" s="53">
        <v>448859.25</v>
      </c>
      <c r="V12" s="54"/>
      <c r="W12" s="55">
        <v>5</v>
      </c>
      <c r="X12" s="54"/>
      <c r="Y12" s="55">
        <v>0</v>
      </c>
    </row>
    <row r="13" spans="1:25" s="43" customFormat="1" ht="24.95" customHeight="1">
      <c r="A13" s="52">
        <v>45901</v>
      </c>
      <c r="B13" s="53">
        <v>2238400.7200000002</v>
      </c>
      <c r="C13" s="54"/>
      <c r="D13" s="55">
        <v>30</v>
      </c>
      <c r="E13" s="54"/>
      <c r="F13" s="55">
        <v>1</v>
      </c>
      <c r="G13" s="56"/>
      <c r="H13" s="53">
        <v>734662.66</v>
      </c>
      <c r="I13" s="54"/>
      <c r="J13" s="55">
        <v>6</v>
      </c>
      <c r="K13" s="54"/>
      <c r="L13" s="55">
        <v>0</v>
      </c>
      <c r="M13" s="56"/>
      <c r="N13" s="57">
        <f t="shared" si="0"/>
        <v>2973063.3800000004</v>
      </c>
      <c r="O13" s="58"/>
      <c r="P13" s="59">
        <f t="shared" si="1"/>
        <v>36</v>
      </c>
      <c r="Q13" s="58"/>
      <c r="R13" s="59">
        <f t="shared" si="2"/>
        <v>1</v>
      </c>
      <c r="T13" s="52">
        <f t="shared" si="3"/>
        <v>45901</v>
      </c>
      <c r="U13" s="53">
        <v>292295.57</v>
      </c>
      <c r="V13" s="54"/>
      <c r="W13" s="55">
        <v>5</v>
      </c>
      <c r="X13" s="54"/>
      <c r="Y13" s="55">
        <v>0</v>
      </c>
    </row>
    <row r="14" spans="1:25" s="43" customFormat="1" ht="24.95" customHeight="1">
      <c r="A14" s="52">
        <v>45931</v>
      </c>
      <c r="B14" s="53">
        <v>4466805.7699999996</v>
      </c>
      <c r="C14" s="54"/>
      <c r="D14" s="55">
        <v>22</v>
      </c>
      <c r="E14" s="54"/>
      <c r="F14" s="55">
        <v>1</v>
      </c>
      <c r="G14" s="56"/>
      <c r="H14" s="53">
        <v>1188030.5900000001</v>
      </c>
      <c r="I14" s="54"/>
      <c r="J14" s="55">
        <v>12</v>
      </c>
      <c r="K14" s="54"/>
      <c r="L14" s="55">
        <v>0</v>
      </c>
      <c r="M14" s="56"/>
      <c r="N14" s="57">
        <f t="shared" si="0"/>
        <v>5654836.3599999994</v>
      </c>
      <c r="O14" s="58"/>
      <c r="P14" s="59">
        <f t="shared" si="1"/>
        <v>34</v>
      </c>
      <c r="Q14" s="58"/>
      <c r="R14" s="59">
        <f t="shared" si="2"/>
        <v>1</v>
      </c>
      <c r="T14" s="52">
        <f t="shared" si="3"/>
        <v>45931</v>
      </c>
      <c r="U14" s="53">
        <v>45972.88</v>
      </c>
      <c r="V14" s="54"/>
      <c r="W14" s="55">
        <v>2</v>
      </c>
      <c r="X14" s="54"/>
      <c r="Y14" s="55">
        <v>0</v>
      </c>
    </row>
    <row r="15" spans="1:25" s="43" customFormat="1" ht="24.95" customHeight="1">
      <c r="A15" s="52">
        <v>45962</v>
      </c>
      <c r="B15" s="53">
        <v>2112932.5299999998</v>
      </c>
      <c r="C15" s="54"/>
      <c r="D15" s="55">
        <v>27</v>
      </c>
      <c r="E15" s="54"/>
      <c r="F15" s="55">
        <v>0</v>
      </c>
      <c r="G15" s="56"/>
      <c r="H15" s="53">
        <v>105210</v>
      </c>
      <c r="I15" s="54"/>
      <c r="J15" s="55">
        <v>7</v>
      </c>
      <c r="K15" s="54"/>
      <c r="L15" s="55">
        <v>0</v>
      </c>
      <c r="M15" s="56"/>
      <c r="N15" s="57">
        <f t="shared" si="0"/>
        <v>2218142.5299999998</v>
      </c>
      <c r="O15" s="58"/>
      <c r="P15" s="59">
        <f t="shared" si="1"/>
        <v>34</v>
      </c>
      <c r="Q15" s="58"/>
      <c r="R15" s="59">
        <f t="shared" si="2"/>
        <v>0</v>
      </c>
      <c r="T15" s="52">
        <f t="shared" si="3"/>
        <v>45962</v>
      </c>
      <c r="U15" s="53">
        <v>0</v>
      </c>
      <c r="V15" s="54"/>
      <c r="W15" s="55">
        <v>0</v>
      </c>
      <c r="X15" s="54"/>
      <c r="Y15" s="55">
        <v>0</v>
      </c>
    </row>
    <row r="16" spans="1:25" s="43" customFormat="1" ht="24.95" customHeight="1">
      <c r="A16" s="52">
        <v>45992</v>
      </c>
      <c r="B16" s="60">
        <v>6467992.9699999997</v>
      </c>
      <c r="C16" s="55"/>
      <c r="D16" s="61">
        <v>32</v>
      </c>
      <c r="E16" s="55"/>
      <c r="F16" s="61">
        <v>1</v>
      </c>
      <c r="G16" s="56"/>
      <c r="H16" s="60">
        <v>551410.96</v>
      </c>
      <c r="I16" s="55"/>
      <c r="J16" s="61">
        <v>12</v>
      </c>
      <c r="K16" s="55"/>
      <c r="L16" s="61">
        <v>0</v>
      </c>
      <c r="M16" s="56"/>
      <c r="N16" s="62">
        <f t="shared" si="0"/>
        <v>7019403.9299999997</v>
      </c>
      <c r="O16" s="59"/>
      <c r="P16" s="63">
        <f t="shared" si="1"/>
        <v>44</v>
      </c>
      <c r="Q16" s="59"/>
      <c r="R16" s="63">
        <f t="shared" si="2"/>
        <v>1</v>
      </c>
      <c r="T16" s="52">
        <f t="shared" si="3"/>
        <v>45992</v>
      </c>
      <c r="U16" s="60">
        <v>10691.2</v>
      </c>
      <c r="V16" s="55"/>
      <c r="W16" s="61">
        <v>1</v>
      </c>
      <c r="X16" s="55"/>
      <c r="Y16" s="61">
        <v>0</v>
      </c>
    </row>
    <row r="17" spans="1:25" s="43" customFormat="1" ht="24.95" customHeight="1" thickBot="1">
      <c r="A17" s="64" t="s">
        <v>1489</v>
      </c>
      <c r="B17" s="65">
        <f>SUM(B5:B16)</f>
        <v>35884409.740000002</v>
      </c>
      <c r="C17" s="66"/>
      <c r="D17" s="67">
        <f>SUM(D5:D16)</f>
        <v>264</v>
      </c>
      <c r="E17" s="66"/>
      <c r="F17" s="67">
        <f>SUM(F5:F16)</f>
        <v>8</v>
      </c>
      <c r="G17" s="68"/>
      <c r="H17" s="65">
        <f>SUM(H5:H16)</f>
        <v>7365625.3399999999</v>
      </c>
      <c r="I17" s="66"/>
      <c r="J17" s="67">
        <f>SUM(J5:J16)</f>
        <v>102</v>
      </c>
      <c r="K17" s="66"/>
      <c r="L17" s="67">
        <f>SUM(L5:L16)</f>
        <v>1</v>
      </c>
      <c r="M17" s="68"/>
      <c r="N17" s="69">
        <f>SUM(N5:N16)</f>
        <v>43250035.080000006</v>
      </c>
      <c r="O17" s="59"/>
      <c r="P17" s="70">
        <f>SUM(P5:P16)</f>
        <v>366</v>
      </c>
      <c r="Q17" s="59"/>
      <c r="R17" s="70">
        <f>SUM(R5:R16)</f>
        <v>9</v>
      </c>
      <c r="T17" s="64" t="s">
        <v>1489</v>
      </c>
      <c r="U17" s="65">
        <f>SUM(U5:U16)</f>
        <v>2939715.06</v>
      </c>
      <c r="V17" s="66"/>
      <c r="W17" s="67">
        <f>SUM(W5:W16)</f>
        <v>34</v>
      </c>
      <c r="X17" s="66"/>
      <c r="Y17" s="67">
        <f>SUM(Y5:Y16)</f>
        <v>1</v>
      </c>
    </row>
    <row r="18" spans="1:25" s="43" customFormat="1" ht="15" customHeight="1" thickTop="1">
      <c r="A18" s="40"/>
      <c r="B18" s="71"/>
      <c r="C18" s="41"/>
      <c r="D18" s="41"/>
      <c r="E18" s="41"/>
      <c r="F18" s="42"/>
      <c r="G18" s="40"/>
      <c r="H18" s="71"/>
      <c r="I18" s="41"/>
      <c r="J18" s="41"/>
      <c r="K18" s="41"/>
      <c r="L18" s="42"/>
      <c r="M18" s="40"/>
      <c r="N18" s="71"/>
      <c r="O18" s="41"/>
      <c r="P18" s="41"/>
      <c r="Q18" s="41"/>
      <c r="R18" s="42"/>
      <c r="T18" s="40"/>
      <c r="U18" s="71"/>
      <c r="V18" s="41"/>
      <c r="W18" s="41"/>
      <c r="X18" s="41"/>
      <c r="Y18" s="42"/>
    </row>
    <row r="19" spans="1:25" s="74" customFormat="1" ht="21" customHeight="1">
      <c r="A19" s="72" t="s">
        <v>1490</v>
      </c>
      <c r="B19" s="73">
        <f>B17+H17+U17</f>
        <v>46189750.140000001</v>
      </c>
      <c r="D19" s="43"/>
      <c r="H19" s="43"/>
      <c r="J19" s="43"/>
      <c r="N19" s="43"/>
      <c r="P19" s="43"/>
      <c r="T19" s="75"/>
      <c r="U19" s="76"/>
      <c r="W19" s="43"/>
    </row>
    <row r="20" spans="1:25" s="74" customFormat="1" ht="22.5">
      <c r="A20" s="72" t="s">
        <v>1491</v>
      </c>
      <c r="B20" s="77">
        <f>D17+J17+W17</f>
        <v>400</v>
      </c>
      <c r="D20" s="43"/>
      <c r="H20" s="43"/>
      <c r="J20" s="43"/>
      <c r="N20" s="43"/>
      <c r="P20" s="43"/>
      <c r="T20" s="75"/>
      <c r="U20" s="78"/>
      <c r="W20" s="43"/>
    </row>
  </sheetData>
  <mergeCells count="4">
    <mergeCell ref="B3:F3"/>
    <mergeCell ref="H3:L3"/>
    <mergeCell ref="N3:R3"/>
    <mergeCell ref="U3:Y3"/>
  </mergeCells>
  <phoneticPr fontId="2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89ACE114C442A4E12CFFAFB780BB" ma:contentTypeVersion="10" ma:contentTypeDescription="Create a new document." ma:contentTypeScope="" ma:versionID="306d7ee6f8f793ac19c1dcd3c498c54e">
  <xsd:schema xmlns:xsd="http://www.w3.org/2001/XMLSchema" xmlns:xs="http://www.w3.org/2001/XMLSchema" xmlns:p="http://schemas.microsoft.com/office/2006/metadata/properties" xmlns:ns2="90564ccb-a169-4419-85b6-3252dd5a7855" xmlns:ns3="f9d64706-6a05-461c-a62c-c10b471a9958" targetNamespace="http://schemas.microsoft.com/office/2006/metadata/properties" ma:root="true" ma:fieldsID="a485f2ffbb5e1d68be4508a7c96ad926" ns2:_="" ns3:_="">
    <xsd:import namespace="90564ccb-a169-4419-85b6-3252dd5a7855"/>
    <xsd:import namespace="f9d64706-6a05-461c-a62c-c10b471a99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64ccb-a169-4419-85b6-3252dd5a78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4706-6a05-461c-a62c-c10b471a9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C9482-BEEA-47C8-BB8F-F62411043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564ccb-a169-4419-85b6-3252dd5a7855"/>
    <ds:schemaRef ds:uri="f9d64706-6a05-461c-a62c-c10b471a9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ABDBBF-6DA2-4EC8-972F-62D02BE943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9B393F8-35E3-49F9-AAF4-1A781E11A4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Blank Template</vt:lpstr>
      <vt:lpstr>Yr2026(UCBV)</vt:lpstr>
      <vt:lpstr>Yr2026-Total (UCBV)</vt:lpstr>
      <vt:lpstr>Yr2025(UCBV)</vt:lpstr>
      <vt:lpstr>Yr2025(Avaya)</vt:lpstr>
      <vt:lpstr>Yr2025-Total (UC &amp; Avaya)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Mandy MY</dc:creator>
  <cp:keywords/>
  <dc:description/>
  <cp:lastModifiedBy>Lee, Mandy MY</cp:lastModifiedBy>
  <cp:revision/>
  <dcterms:created xsi:type="dcterms:W3CDTF">2023-09-04T04:07:23Z</dcterms:created>
  <dcterms:modified xsi:type="dcterms:W3CDTF">2026-09-08T09:24:14Z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0x0101006CDD89ACE114C442A4E12CFFAFB780BB</vt:lpwstr>
  </property>
</Properties>
</file>