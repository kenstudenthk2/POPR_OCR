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02010655\Downloads\"/>
    </mc:Choice>
  </mc:AlternateContent>
  <xr:revisionPtr revIDLastSave="0" documentId="13_ncr:1_{8F450333-8CB2-47AB-95F5-8D872A16CFBF}" xr6:coauthVersionLast="47" xr6:coauthVersionMax="47" xr10:uidLastSave="{00000000-0000-0000-0000-000000000000}"/>
  <bookViews>
    <workbookView xWindow="-110" yWindow="-110" windowWidth="19420" windowHeight="11500" xr2:uid="{4DEEB3E0-7E40-4131-BDEF-757F2B118765}"/>
  </bookViews>
  <sheets>
    <sheet name="C556 2025-2026" sheetId="1" r:id="rId1"/>
    <sheet name="C665 2019-2026" sheetId="2" r:id="rId2"/>
    <sheet name="EMPFA" sheetId="3" r:id="rId3"/>
  </sheets>
  <definedNames>
    <definedName name="_xlnm._FilterDatabase" localSheetId="0" hidden="1">'C556 2025-2026'!$A$1:$AI$1335</definedName>
    <definedName name="_xlnm._FilterDatabase" localSheetId="1" hidden="1">'C665 2019-2026'!$A$1:$AJ$696</definedName>
    <definedName name="_xlnm._FilterDatabase" localSheetId="2" hidden="1">EMPFA!$A$1:$AJ$64</definedName>
    <definedName name="_Hlk190794762" localSheetId="0">'C556 2025-2026'!$M$544</definedName>
    <definedName name="_xlnm.Print_Area" localSheetId="0">'C556 2025-2026'!$K$1:$M$1</definedName>
    <definedName name="_xlnm.Print_Area" localSheetId="1">'C665 2019-2026'!$A$1:$W$530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3" i="3" l="1"/>
  <c r="I42" i="3"/>
  <c r="I41" i="3"/>
  <c r="I40" i="3"/>
  <c r="H37" i="3"/>
  <c r="H36" i="3"/>
  <c r="A13" i="3"/>
  <c r="A14" i="3" s="1"/>
  <c r="A15" i="3" s="1"/>
  <c r="A16" i="3" s="1"/>
  <c r="A17" i="3" s="1"/>
  <c r="A18" i="3" s="1"/>
  <c r="A19" i="3" s="1"/>
  <c r="A20" i="3" s="1"/>
  <c r="A21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3" i="3"/>
  <c r="A4" i="3" s="1"/>
  <c r="A5" i="3" s="1"/>
  <c r="A6" i="3" s="1"/>
  <c r="A7" i="3" s="1"/>
  <c r="A8" i="3" s="1"/>
  <c r="A9" i="3" s="1"/>
  <c r="A10" i="3" s="1"/>
  <c r="A11" i="3" s="1"/>
  <c r="I666" i="2"/>
  <c r="I665" i="2"/>
  <c r="I653" i="2"/>
  <c r="H646" i="2"/>
  <c r="I646" i="2" s="1"/>
  <c r="I645" i="2"/>
  <c r="I644" i="2"/>
  <c r="I643" i="2"/>
  <c r="H643" i="2"/>
  <c r="H642" i="2"/>
  <c r="H637" i="2"/>
  <c r="I636" i="2"/>
  <c r="H636" i="2"/>
  <c r="E636" i="2"/>
  <c r="D636" i="2"/>
  <c r="I630" i="2"/>
  <c r="E629" i="2"/>
  <c r="H618" i="2"/>
  <c r="I618" i="2" s="1"/>
  <c r="H617" i="2"/>
  <c r="I617" i="2" s="1"/>
  <c r="I610" i="2"/>
  <c r="E610" i="2"/>
  <c r="I609" i="2"/>
  <c r="E609" i="2"/>
  <c r="I607" i="2"/>
  <c r="H607" i="2"/>
  <c r="E607" i="2"/>
  <c r="D607" i="2"/>
  <c r="I606" i="2"/>
  <c r="H606" i="2"/>
  <c r="E606" i="2"/>
  <c r="D606" i="2"/>
  <c r="A606" i="2"/>
  <c r="A607" i="2" s="1"/>
  <c r="A608" i="2" s="1"/>
  <c r="A609" i="2" s="1"/>
  <c r="A611" i="2" s="1"/>
  <c r="A612" i="2" s="1"/>
  <c r="A613" i="2" s="1"/>
  <c r="A614" i="2" s="1"/>
  <c r="A615" i="2" s="1"/>
  <c r="A616" i="2" s="1"/>
  <c r="A617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I605" i="2"/>
  <c r="H605" i="2"/>
  <c r="E605" i="2"/>
  <c r="D605" i="2"/>
  <c r="I604" i="2"/>
  <c r="H604" i="2"/>
  <c r="E604" i="2"/>
  <c r="D604" i="2"/>
  <c r="A598" i="2"/>
  <c r="A599" i="2" s="1"/>
  <c r="A600" i="2" s="1"/>
  <c r="A601" i="2" s="1"/>
  <c r="A602" i="2" s="1"/>
  <c r="A603" i="2" s="1"/>
  <c r="A604" i="2" s="1"/>
  <c r="H597" i="2"/>
  <c r="I597" i="2" s="1"/>
  <c r="D597" i="2"/>
  <c r="E597" i="2" s="1"/>
  <c r="I596" i="2"/>
  <c r="H596" i="2"/>
  <c r="E596" i="2"/>
  <c r="D596" i="2"/>
  <c r="A575" i="2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H574" i="2"/>
  <c r="D574" i="2"/>
  <c r="H573" i="2"/>
  <c r="D573" i="2"/>
  <c r="I564" i="2"/>
  <c r="E564" i="2"/>
  <c r="A564" i="2"/>
  <c r="A565" i="2" s="1"/>
  <c r="A566" i="2" s="1"/>
  <c r="A567" i="2" s="1"/>
  <c r="A568" i="2" s="1"/>
  <c r="A569" i="2" s="1"/>
  <c r="A570" i="2" s="1"/>
  <c r="A571" i="2" s="1"/>
  <c r="A572" i="2" s="1"/>
  <c r="A573" i="2" s="1"/>
  <c r="I563" i="2"/>
  <c r="E563" i="2"/>
  <c r="H550" i="2"/>
  <c r="D550" i="2"/>
  <c r="I539" i="2"/>
  <c r="E539" i="2"/>
  <c r="I538" i="2"/>
  <c r="E538" i="2"/>
  <c r="H1163" i="1"/>
  <c r="I1163" i="1" s="1"/>
  <c r="H1160" i="1"/>
  <c r="I1160" i="1" s="1"/>
  <c r="H1159" i="1"/>
  <c r="I1159" i="1" s="1"/>
  <c r="H1158" i="1"/>
  <c r="I1158" i="1" s="1"/>
  <c r="H1157" i="1"/>
  <c r="I1157" i="1" s="1"/>
  <c r="I1156" i="1"/>
  <c r="H1108" i="1"/>
  <c r="I1108" i="1" s="1"/>
  <c r="I1085" i="1"/>
  <c r="H1058" i="1"/>
  <c r="I1058" i="1" s="1"/>
  <c r="H1057" i="1"/>
  <c r="I1057" i="1" s="1"/>
  <c r="I1050" i="1"/>
  <c r="I1044" i="1"/>
  <c r="I1043" i="1"/>
  <c r="I1041" i="1"/>
  <c r="I1040" i="1"/>
  <c r="I1016" i="1"/>
  <c r="I1015" i="1"/>
  <c r="H997" i="1"/>
  <c r="I997" i="1" s="1"/>
  <c r="H992" i="1"/>
  <c r="I992" i="1" s="1"/>
  <c r="H991" i="1"/>
  <c r="I991" i="1" s="1"/>
  <c r="I964" i="1"/>
  <c r="I963" i="1"/>
  <c r="H918" i="1"/>
  <c r="H856" i="1"/>
  <c r="H846" i="1"/>
  <c r="H830" i="1"/>
  <c r="H827" i="1"/>
  <c r="H818" i="1"/>
  <c r="H782" i="1"/>
  <c r="H773" i="1"/>
  <c r="I755" i="1"/>
  <c r="I754" i="1"/>
  <c r="I745" i="1"/>
  <c r="I744" i="1"/>
  <c r="E744" i="1"/>
  <c r="H715" i="1"/>
  <c r="D715" i="1"/>
  <c r="H709" i="1"/>
  <c r="I708" i="1"/>
  <c r="I680" i="1"/>
  <c r="I653" i="1"/>
  <c r="H653" i="1"/>
  <c r="I652" i="1"/>
  <c r="H652" i="1"/>
  <c r="H650" i="1"/>
  <c r="I624" i="1"/>
  <c r="I621" i="1"/>
  <c r="I602" i="1"/>
  <c r="I601" i="1"/>
  <c r="I595" i="1"/>
  <c r="I594" i="1"/>
  <c r="I593" i="1"/>
  <c r="I592" i="1"/>
  <c r="I591" i="1"/>
  <c r="H583" i="1"/>
  <c r="E583" i="1"/>
  <c r="D583" i="1"/>
  <c r="H569" i="1"/>
  <c r="D569" i="1"/>
  <c r="I568" i="1"/>
  <c r="E568" i="1"/>
  <c r="D568" i="1"/>
  <c r="H567" i="1"/>
  <c r="D567" i="1"/>
  <c r="H561" i="1"/>
  <c r="I550" i="1"/>
  <c r="I545" i="1"/>
  <c r="H545" i="1"/>
  <c r="E545" i="1"/>
  <c r="D545" i="1"/>
  <c r="I532" i="1"/>
  <c r="E532" i="1"/>
  <c r="H528" i="1"/>
  <c r="D528" i="1"/>
  <c r="I526" i="1"/>
  <c r="E526" i="1"/>
  <c r="I519" i="1"/>
  <c r="E519" i="1"/>
  <c r="H486" i="1"/>
  <c r="I486" i="1" s="1"/>
  <c r="E486" i="1"/>
  <c r="I476" i="1"/>
  <c r="I461" i="1"/>
  <c r="E461" i="1"/>
  <c r="I435" i="1"/>
  <c r="I432" i="1"/>
  <c r="I417" i="1"/>
  <c r="E417" i="1"/>
  <c r="H404" i="1"/>
  <c r="H403" i="1"/>
  <c r="H402" i="1"/>
  <c r="D289" i="1"/>
  <c r="D274" i="1"/>
  <c r="E274" i="1" s="1"/>
  <c r="E273" i="1"/>
  <c r="D269" i="1"/>
  <c r="E226" i="1"/>
  <c r="D192" i="1"/>
  <c r="D191" i="1"/>
  <c r="D190" i="1"/>
  <c r="D189" i="1"/>
  <c r="E154" i="1"/>
  <c r="D154" i="1"/>
  <c r="E109" i="1"/>
  <c r="E61" i="1"/>
  <c r="E47" i="1"/>
  <c r="D32" i="1"/>
  <c r="E19" i="1"/>
  <c r="D18" i="1"/>
  <c r="E18" i="1" s="1"/>
  <c r="D17" i="1"/>
  <c r="E17" i="1" s="1"/>
  <c r="E16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41" i="3" l="1"/>
  <c r="A42" i="3"/>
  <c r="A645" i="2"/>
  <c r="A646" i="2"/>
  <c r="A647" i="2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02" i="1"/>
  <c r="A603" i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2" i="1" s="1"/>
  <c r="A1043" i="1" s="1"/>
  <c r="A44" i="3" l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43" i="3"/>
  <c r="A1044" i="1"/>
  <c r="A1045" i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4" i="1" s="1"/>
  <c r="A1155" i="1" s="1"/>
  <c r="A1156" i="1" s="1"/>
  <c r="A1157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</calcChain>
</file>

<file path=xl/sharedStrings.xml><?xml version="1.0" encoding="utf-8"?>
<sst xmlns="http://schemas.openxmlformats.org/spreadsheetml/2006/main" count="22928" uniqueCount="7967">
  <si>
    <t>line</t>
  </si>
  <si>
    <t>PR#</t>
  </si>
  <si>
    <t>PR Issued Date</t>
  </si>
  <si>
    <t>PR Amt (USD)</t>
  </si>
  <si>
    <t>PR Amt (HKD)</t>
  </si>
  <si>
    <t>PO#</t>
  </si>
  <si>
    <t>PO Issue Date</t>
  </si>
  <si>
    <t>PO Amt (USD)</t>
  </si>
  <si>
    <t>PO Amt (HKD)</t>
  </si>
  <si>
    <t>BUYER</t>
  </si>
  <si>
    <t>SUPPLIER</t>
  </si>
  <si>
    <t>Quote#</t>
  </si>
  <si>
    <t>DESCRIPTION</t>
  </si>
  <si>
    <t>Item#</t>
  </si>
  <si>
    <t>UID#</t>
  </si>
  <si>
    <t>Agreement No.</t>
  </si>
  <si>
    <t>End Customer</t>
    <phoneticPr fontId="6" type="noConversion"/>
  </si>
  <si>
    <t>Customer Contract Mtce Period From / To</t>
  </si>
  <si>
    <t>Quote Mtce Period From / To</t>
  </si>
  <si>
    <t>SB &amp; SO Contact Person</t>
  </si>
  <si>
    <t>AO</t>
  </si>
  <si>
    <t>remarks</t>
  </si>
  <si>
    <t>BTB / Non-BTB</t>
  </si>
  <si>
    <t>Urgent BTB</t>
  </si>
  <si>
    <t>Delivery Note</t>
  </si>
  <si>
    <t>DN date</t>
  </si>
  <si>
    <t>INV#</t>
  </si>
  <si>
    <t>INV date</t>
  </si>
  <si>
    <t>Receipt#</t>
  </si>
  <si>
    <t>Mark Recpt Date</t>
  </si>
  <si>
    <t>Total Revenue (1)</t>
  </si>
  <si>
    <t>Total Direct Variable Cost (2)</t>
  </si>
  <si>
    <t>Urgent payment</t>
  </si>
  <si>
    <t>Natalie Wu</t>
  </si>
  <si>
    <t>Cisco International Limited</t>
  </si>
  <si>
    <t>ECMU, PSRT, SSTC on Cisco Products for Cosco Shipping Container Line Agencies Ltd</t>
  </si>
  <si>
    <t>UID-24-12-0278</t>
  </si>
  <si>
    <t>L241201600CB</t>
  </si>
  <si>
    <t>Chan, Ina YK / Fung, Hayden TC</t>
  </si>
  <si>
    <t>Coey</t>
  </si>
  <si>
    <t>No</t>
  </si>
  <si>
    <t>PSRT, PSUP, PSBU on Cisco Products for Bank of Singapore Limited</t>
  </si>
  <si>
    <t>UID-24-12-0236</t>
  </si>
  <si>
    <t>L241201474AC, L241201456AC, L241201457AC</t>
  </si>
  <si>
    <t>Chan, Abby NY / Lai, Fonnie WF</t>
  </si>
  <si>
    <t>PSRT on Cisco Products for Promise (HK) Co Ltd</t>
  </si>
  <si>
    <t>UID-24-12-0238</t>
  </si>
  <si>
    <t>L241201794CB</t>
  </si>
  <si>
    <t xml:space="preserve">SSTC on Cisco Products for Crown Motors Ltd - Inchcape HK Ltd </t>
  </si>
  <si>
    <t>UID-24-12-0273</t>
  </si>
  <si>
    <t>L241290306KW</t>
  </si>
  <si>
    <t>Wong, Kiwi LF / Lai, Fonnie WF</t>
  </si>
  <si>
    <t>PSRT on Cisco Products for Megahub Ltd</t>
  </si>
  <si>
    <t>UID-24-12-0280</t>
  </si>
  <si>
    <t>2024WB796TS</t>
  </si>
  <si>
    <t>Tan, Simon HH / Fung, Hayden TC</t>
  </si>
  <si>
    <t>BTB</t>
  </si>
  <si>
    <t>PSBU, PSRT, PSUP on Cisco Products for DHL Global Forwarding (Hong Kong) Ltd</t>
  </si>
  <si>
    <t>UID-24-12-0282</t>
  </si>
  <si>
    <t>L241201619J2</t>
  </si>
  <si>
    <t>Lam, Jeffrey CK / Yuen, Vivien MC</t>
  </si>
  <si>
    <t>PSUP, PSBU, PSRT on Cisco Products for Hong Kong Air Cargo Terminals Ltd</t>
  </si>
  <si>
    <t>UID-24-12-0248</t>
  </si>
  <si>
    <t>L241201690LS</t>
  </si>
  <si>
    <t>Leung, Sammi SM / Fung, Hayden TC</t>
  </si>
  <si>
    <t>PSRT, PSUP on Cisco Products for Hong Iong Air Cargo Terminals Ltd</t>
  </si>
  <si>
    <t>PSBU, PSRT on Cisco Products for TVB COM LTD</t>
  </si>
  <si>
    <t>UID-24-12-0284</t>
  </si>
  <si>
    <t>L2024WB638TS</t>
  </si>
  <si>
    <t>PSUP, PSRT on Cisco Products for DHL / Enviro-Tech Engineering Company Ltd</t>
  </si>
  <si>
    <t>UID-24-12-0283</t>
  </si>
  <si>
    <t>L241290316TS</t>
  </si>
  <si>
    <t>Tan, Simon HH / Yuen, Vivien MC</t>
  </si>
  <si>
    <t>SNTP, L14HR on Cisco Products for Hong Kong Telecommunications HKT Limited</t>
  </si>
  <si>
    <t>UID-25-01-0002</t>
  </si>
  <si>
    <t>L241201373CP</t>
  </si>
  <si>
    <t>Lau, Coco WY / Ho, Julie SL</t>
  </si>
  <si>
    <t>PSUP, PSBU on Cisco Products for Zurich Services (Hong Kong) Ltd</t>
  </si>
  <si>
    <t>UID-25-01-0005</t>
  </si>
  <si>
    <t>L241201878JI</t>
  </si>
  <si>
    <t>Hsui, Janet WJ / Yuen, Vivien MC</t>
  </si>
  <si>
    <t>URGENT</t>
  </si>
  <si>
    <t>PSRT, SSTC on Cisco Products for HSH Management Services Ltd</t>
  </si>
  <si>
    <t>UID-25-01-0008</t>
  </si>
  <si>
    <t>L241201722WC</t>
  </si>
  <si>
    <t>Wong, Cammy SL / Fung, Hayden TC</t>
  </si>
  <si>
    <t>SNT on Cisco Products for Hong Kong Telecommunications HKT Ltd</t>
  </si>
  <si>
    <t>UID-25-01-0011</t>
  </si>
  <si>
    <t>L250100988IL</t>
  </si>
  <si>
    <t>Leung, Ida PS / Ho, Julie SL</t>
  </si>
  <si>
    <t>PSRT, PSUP on Cisco Products for China Merchants Securities HK Company Ltd</t>
  </si>
  <si>
    <t>UID-25-01-0013</t>
  </si>
  <si>
    <t>L250190005AZ</t>
  </si>
  <si>
    <t>Yang, Alice XS / Cheung, Sindy SY / Law, Carman KM</t>
  </si>
  <si>
    <t>PSRT, PSUP on Cisco Products for Ocean Park Hong Kong</t>
  </si>
  <si>
    <t>UID-24-07-0240</t>
  </si>
  <si>
    <t>L240601030AZ</t>
  </si>
  <si>
    <t>Yang, Alice XS / Law, Carman KM</t>
  </si>
  <si>
    <t>SUPER URGENT</t>
  </si>
  <si>
    <t>Emily Wang</t>
  </si>
  <si>
    <t>Edvance Technology (Hong Kong) Limited</t>
    <phoneticPr fontId="6" type="noConversion"/>
  </si>
  <si>
    <t>SolarWinds Network Configuration Manager DL500 for Zurich Services (Hong Kong) Limted</t>
  </si>
  <si>
    <t>ETHKIF25003657</t>
  </si>
  <si>
    <t>Lui Lok Wan</t>
  </si>
  <si>
    <t>ACW Distribution (HK) Limited</t>
  </si>
  <si>
    <t>A-Care Sofware &amp; 24x7x4 Hardware Replacement for Zurich Services (Hong Kong) Limited</t>
  </si>
  <si>
    <t>Husi, Janet WJ / Yuen, Vivien MC</t>
  </si>
  <si>
    <t>B &amp; Data Technology Co Ltd</t>
  </si>
  <si>
    <t>BIG-IP Service: Premium (Level 1-3) for Zurich Services Limited</t>
  </si>
  <si>
    <t>F5</t>
  </si>
  <si>
    <t>ROB on Cisco Products for Bolttech Management Ltd</t>
  </si>
  <si>
    <t>UID-25-01-0024</t>
  </si>
  <si>
    <t>L250190022J3</t>
  </si>
  <si>
    <t>Lam, Jessica WS / Yuen, Vivien MC</t>
  </si>
  <si>
    <t>Alice</t>
  </si>
  <si>
    <t>PSUP on Cisco Products for Cordis Hong Kong</t>
  </si>
  <si>
    <t>UID-25-01-0025</t>
  </si>
  <si>
    <t>L241201584AZ</t>
  </si>
  <si>
    <t>PSRT on Cisco Products for Hong Kong University of Science and Technology</t>
  </si>
  <si>
    <t>UID-25-01-0034</t>
  </si>
  <si>
    <t>L250190030WC</t>
  </si>
  <si>
    <t>Cisco Identity Service Engine Subscription Initial Renewal for South China Morning Post Publishers Ltd</t>
  </si>
  <si>
    <t>UID-24-12-0286</t>
  </si>
  <si>
    <t>G241200284CF</t>
  </si>
  <si>
    <t>Mak, Connie OM / Wong, Ada SK / Fung, Hayden TC</t>
  </si>
  <si>
    <t>PSUP on Cisco Products for Metlife Asia Limited</t>
  </si>
  <si>
    <t>UID-25-01-0018</t>
  </si>
  <si>
    <t>L241201753ND</t>
  </si>
  <si>
    <t>Ng, Dennis WL / Yuen, Vivien MC</t>
  </si>
  <si>
    <t>SSTC on Cisco Products for Bank of Singapore Ltd</t>
  </si>
  <si>
    <t>L241201474AC,L241201456AC,L241201457AC</t>
  </si>
  <si>
    <t>PSRT on Cisco Products for Itochu Textile Prominent (Asia) Limited</t>
  </si>
  <si>
    <t>UID-25-01-0037</t>
  </si>
  <si>
    <t>L250101047YR</t>
  </si>
  <si>
    <t>Yau, Ricky CH / Tam, Edith WC</t>
  </si>
  <si>
    <t>Cisco international Limited</t>
  </si>
  <si>
    <t>SNTP on Cisco Products for Hong Kong Telecommunications (HKT) Ltd</t>
  </si>
  <si>
    <t>UID-25-01-0053</t>
  </si>
  <si>
    <t>L241201372CP</t>
  </si>
  <si>
    <t>Man Fung Technology Limited</t>
  </si>
  <si>
    <t>Purchase of Refurbished WS-X45-SUP9-E, etc for Hong Kong Telecommunications (HKT) Limited</t>
  </si>
  <si>
    <t>-</t>
  </si>
  <si>
    <t>DN90006743</t>
  </si>
  <si>
    <t>PSUP, PSBU, PSRT on Cisco Products for Café De Coral</t>
  </si>
  <si>
    <t>UID-25-01-0048</t>
  </si>
  <si>
    <t>G240100049KW</t>
  </si>
  <si>
    <t xml:space="preserve">Natalie Wu </t>
  </si>
  <si>
    <t>Purchase of Refurbished Cisco ISR4451-X/K9 for Treasury</t>
  </si>
  <si>
    <t>UID-25-01-0049</t>
  </si>
  <si>
    <t>L240302367PA</t>
  </si>
  <si>
    <t>Pak, Tommy WK / Chow, Apple FP</t>
  </si>
  <si>
    <t>DN90006635</t>
  </si>
  <si>
    <t>PSRT on Cisco Products for The Chinese University of Hong Kong</t>
  </si>
  <si>
    <t>UID-25-01-0055</t>
  </si>
  <si>
    <t>L241201842SD</t>
  </si>
  <si>
    <t>Leung, Sammi SM / Fung Hayden TC</t>
  </si>
  <si>
    <t>Purchase of Refurbished WS-C2960CPD-8PT-L with PWR-ADPT and CAB-AC2UK for Café De Coral</t>
  </si>
  <si>
    <t>1 Year Onsite Mtce Service on HPE for HSH Management Service Limited</t>
  </si>
  <si>
    <t>INV#60015754</t>
  </si>
  <si>
    <t>Don Chan</t>
  </si>
  <si>
    <t>Huawei International Co Limited</t>
  </si>
  <si>
    <t>Co-Care Standard Service on S5730-36C-HI for Hong Kong Air Cargo Terminals Limited</t>
  </si>
  <si>
    <t>UID-25-01-0023</t>
  </si>
  <si>
    <t>L250301523LS</t>
  </si>
  <si>
    <t>SNTP on Cisco Products for DBS Bank (Hong Kong) Ltd</t>
  </si>
  <si>
    <t>UID-25-01-0043</t>
  </si>
  <si>
    <t>L241201613J3</t>
  </si>
  <si>
    <t>Lam, Jessica WS / Fung, Hayden TC</t>
  </si>
  <si>
    <t>Co-Care Premier 12 Months Service on S5720-Li-52P for PCCW-HKT-Limited</t>
  </si>
  <si>
    <t>UID-25-01-0045</t>
  </si>
  <si>
    <t>L241290060SK</t>
  </si>
  <si>
    <t>cert</t>
  </si>
  <si>
    <t>Cisco Inspection Service ASF-CEI-G-INSP-HC for Customs &amp; Excise Department</t>
  </si>
  <si>
    <t>UID-25-01-0064</t>
  </si>
  <si>
    <t>L250190073NI</t>
  </si>
  <si>
    <t>Ng, Ivy WY / Law, Carman KM</t>
  </si>
  <si>
    <t>Tech Data Distribution (Hong Kong) Limited</t>
  </si>
  <si>
    <t>H3C Routers and Support Services for Hong Kong Convention &amp; Exhibition Centre</t>
  </si>
  <si>
    <t>UID-25-01-0057</t>
  </si>
  <si>
    <t>L250190066CB</t>
  </si>
  <si>
    <t>TD-JLT-H3C201224-01A</t>
  </si>
  <si>
    <t>Purchase of Refurbished WS-C2960CX-8PC-L, etc for Ocean Park Corporation</t>
  </si>
  <si>
    <t>Renewal 1 Year Onsite Hardware Maintenance Service for Zurich Services (Hong Kong) Limited</t>
  </si>
  <si>
    <t>cert &amp; inv</t>
  </si>
  <si>
    <t>Purchase of Refurbished N2K-C2232PP-10GE etc for Zurich Services (Hong Kong) Limited</t>
  </si>
  <si>
    <t>Non-BTB</t>
  </si>
  <si>
    <t>Aliter Networks B.V.</t>
  </si>
  <si>
    <t>Purchase of Refurbished Refurbished N7K-M224XP-23L for Zurich Services (Hong Kong) Limited</t>
  </si>
  <si>
    <t>S2579023</t>
  </si>
  <si>
    <t>PSRT on Cisco Products for Security Bureau</t>
  </si>
  <si>
    <t>UID-25-01-0074</t>
  </si>
  <si>
    <t>L250190076UR</t>
  </si>
  <si>
    <t>Yau, Ricky CH / Law, Carman KM</t>
  </si>
  <si>
    <t>Wah Fung Computer Services Limited</t>
  </si>
  <si>
    <t>Purchase of Refurbished C9200L-48T-4X-E, etc for China Merchants Securities Intl Co Ltd</t>
  </si>
  <si>
    <t>WF62500128</t>
  </si>
  <si>
    <t>Purchase of Refurbished C1-C4507RE+96V+, etc for Metlife Asia Limited</t>
  </si>
  <si>
    <t>PSRT on Cisco Products for Livi Bank Ltd</t>
  </si>
  <si>
    <t>UID-25-01-0078</t>
  </si>
  <si>
    <t>G241200230KW</t>
  </si>
  <si>
    <t>Purchase of Refurbished C9300L Stacking Kit for Megahub Limited</t>
  </si>
  <si>
    <t>Purchase of Refurbished C9200L-STACK-KIT, etc for Hong Kong University of Science and Technology</t>
  </si>
  <si>
    <t>Purchase of Refurbished EX3400-24P for support maintenance base and charge as CoS (RFQ#240285NW)</t>
  </si>
  <si>
    <t>S2579156</t>
  </si>
  <si>
    <t>Purchase of Refurbished SFPP-10G-SR-C, etc for support maintenance base and charge as CoS (RFQ#240285NW)</t>
  </si>
  <si>
    <t>Request by Martin</t>
  </si>
  <si>
    <t>Cyberworld (Asia) Limited</t>
  </si>
  <si>
    <t>PSS Next Day Support for EX4600-40F for Ma Tau Chung Government Primary School</t>
  </si>
  <si>
    <t>UID-25-01-0090</t>
  </si>
  <si>
    <t>W241090374L3</t>
  </si>
  <si>
    <t>Liang, Aka ZH / Chow, Apple FP</t>
  </si>
  <si>
    <t>welcome letter</t>
  </si>
  <si>
    <t>DCSS Technology (Hong Kong) Ltd</t>
  </si>
  <si>
    <t>Co-Care Premier 24x7x4 hours response for Livi Bank Limited</t>
  </si>
  <si>
    <t>SNTP on Cisco Product &amp; Inspection for The University of Chicago Foundation in HK</t>
  </si>
  <si>
    <t>UID-25-01-0099</t>
  </si>
  <si>
    <t>L241190013SD</t>
  </si>
  <si>
    <t>PSUP on Cisco Product for Joint Electronic Teller Services Ltd</t>
  </si>
  <si>
    <t>UID-25-01-0102</t>
  </si>
  <si>
    <t>G2411201729AZ</t>
  </si>
  <si>
    <t>PSS Next Day Support on EX3400-24T, etc for Kwai Chung Methodist College</t>
  </si>
  <si>
    <t>UID-25-01-0105</t>
  </si>
  <si>
    <t>W240801201L3</t>
  </si>
  <si>
    <t>DN25000105</t>
  </si>
  <si>
    <t>PSRT on Cisco Products for Airstar Bank Limited</t>
  </si>
  <si>
    <t>UID-25-01-0112</t>
  </si>
  <si>
    <t>L241290057AC</t>
  </si>
  <si>
    <t>Chan, Abby NY / Law, Carman KM</t>
  </si>
  <si>
    <t>Purchase of Refurbished PWR-C49E-300AC-R, etc for maintenance base and charge as CoS (RFQ#240285NW)</t>
  </si>
  <si>
    <t>WF62500113</t>
  </si>
  <si>
    <t>WF12500205</t>
  </si>
  <si>
    <t>Renew SNTP, SNT on Cisco Products for FWD Life Insurance Company Bermuda Ltd</t>
  </si>
  <si>
    <t>UID-25-01-0106</t>
  </si>
  <si>
    <t>L241100055ND</t>
  </si>
  <si>
    <t>JUNIPER SRX340 for MUFG Bank Ltd</t>
  </si>
  <si>
    <t>UID-25-01-0120</t>
  </si>
  <si>
    <t>G240500083KW</t>
  </si>
  <si>
    <t>Purchase of Refurbished CISCO ASA 5525-X Firewall for FWD LIFE INSURANCE COMPANY (BERMUDA) LTD</t>
  </si>
  <si>
    <t>SNT on Cisco Products for FWD Group Management Holdings Limited</t>
  </si>
  <si>
    <t>Renew SNT on Cisco Products for FWD Life Insurance Company Bermuda Ltd</t>
  </si>
  <si>
    <t>Purchase of Refurbished Huawei S5720-28X-PWR-SI-AC, etc for Hong Kong Air Cargo Terminals Limited</t>
  </si>
  <si>
    <t>WF12500175</t>
  </si>
  <si>
    <t>Purchase of Refurbished WS-C3560CX-8TC-S for Social Welfare Department</t>
  </si>
  <si>
    <t>UID-25-01-0107</t>
  </si>
  <si>
    <t>L250101130PA</t>
  </si>
  <si>
    <t>Lau, Coco WY / Chow, Apple FP</t>
  </si>
  <si>
    <t>Renew PSUP, PSBU on Cisco Products for Bank of China Hong Kong Ltd (262217270) BTB</t>
  </si>
  <si>
    <t>UID-25-01-0153</t>
  </si>
  <si>
    <t xml:space="preserve">CI7282MAKW24 </t>
  </si>
  <si>
    <t>Wong, Ada SK</t>
  </si>
  <si>
    <t>Renew PSRT on Cisco Products for Bank of China Hong Kong Ltd (202219828) NBTB</t>
  </si>
  <si>
    <t>PSRT, PSUP on Cisco Products for Bank of China Hong Kong Ltd (232219037) BTB</t>
  </si>
  <si>
    <t>PSRT, PSUP on Cisco Products for Bank of China Hong Kong Ltd (212220132) BTB</t>
  </si>
  <si>
    <t>PSRT, PSUP on Cisco Products for Bank of China Hong Kong Ltd (222218299) NBTB</t>
  </si>
  <si>
    <t>SNT on Cisco Products for New World Corporate Services Ltd</t>
  </si>
  <si>
    <t>UID-25-01-0128</t>
  </si>
  <si>
    <t xml:space="preserve">L241101032KW </t>
  </si>
  <si>
    <t>Phurchase CE6881-48S6CQ_Site1, P/N: 02352CAB, Model: FAN-031A-B, Fan box(B,FAN panel side exhaust)</t>
  </si>
  <si>
    <t>W.O. 00R97029</t>
  </si>
  <si>
    <t>Martin Ma</t>
  </si>
  <si>
    <t>DN</t>
  </si>
  <si>
    <t>BIG-IP Service: Premium (Level 1-3) on F5-BIG-BTA-I5800 for Bank of Montreal (Hong Kong) Ltd</t>
  </si>
  <si>
    <t>UID-25-01-0136</t>
  </si>
  <si>
    <t>G241000039J2</t>
  </si>
  <si>
    <t>SA Acknowledgement</t>
  </si>
  <si>
    <t>PSUP, PSUE, SNTP on Cisco Products for Rolex Hong Kong Ltd</t>
  </si>
  <si>
    <t>UID-25-01-0137</t>
  </si>
  <si>
    <t>L241201806CF</t>
  </si>
  <si>
    <t>Mak, Connie OM / Fung, Hayden TC</t>
  </si>
  <si>
    <t>PSRT on Cisco Products for Sa Sa Cosmetic Company Ltd</t>
  </si>
  <si>
    <t>UID-25-01-0138</t>
  </si>
  <si>
    <t>L241201819KW</t>
  </si>
  <si>
    <t>Wafer Systems (Asia) Limited</t>
  </si>
  <si>
    <t>MoboCloud Annual Mtce Service for New World Corporate Services Ltd</t>
  </si>
  <si>
    <t>UID-25-01-0115</t>
  </si>
  <si>
    <t>G250190163NP</t>
  </si>
  <si>
    <t>Po, Nicky MY / Yuen, Vivien MC</t>
  </si>
  <si>
    <t>INV#WAE25006</t>
  </si>
  <si>
    <t>PSRT on Cisco Products for B Braun Medical (HK) Ltd</t>
  </si>
  <si>
    <t>UID-25-01-0155</t>
  </si>
  <si>
    <t>L241201380CF</t>
  </si>
  <si>
    <t>PSBU, PSRT, PSUP on Cisco Products for Hospital Authority</t>
  </si>
  <si>
    <t>UID-25-01-0164</t>
  </si>
  <si>
    <t>L241201717AC</t>
  </si>
  <si>
    <t>Purchase of Refurbished Cisco ISR 4331 for Hospital Authority</t>
  </si>
  <si>
    <t>Chan, Abby NY / Lai Fonnie WF</t>
  </si>
  <si>
    <t>PSUP on Cisco Products for Mandarin Oriental Hotel Group Ltd</t>
  </si>
  <si>
    <t>UID-25-01-0191</t>
  </si>
  <si>
    <t>L241201743AZ</t>
  </si>
  <si>
    <t>BIG-IP Service: Premium (Level 1-3) for PrimeCredit Ltd</t>
  </si>
  <si>
    <t>UID-25-01-0193</t>
  </si>
  <si>
    <t>G250100094AZ</t>
  </si>
  <si>
    <t>SA acknoledgement</t>
  </si>
  <si>
    <t>Tritech Distribution Limited</t>
  </si>
  <si>
    <t>1 Year 8x5xNBD Onsite Support for Liu Po Shan Memorial College</t>
  </si>
  <si>
    <t>UID-25-01-0194</t>
  </si>
  <si>
    <t>W241201909IL</t>
  </si>
  <si>
    <t>TTINV132402284</t>
  </si>
  <si>
    <t>1 Year Subscription &amp; Support for Livi Bank Limited</t>
  </si>
  <si>
    <t>Purchase of Refurbished WS-X45-SUP6-E for HKT (Request by Martin, Ida Wong)</t>
  </si>
  <si>
    <t>UID-24-07-0065</t>
  </si>
  <si>
    <t>L240600967IL</t>
  </si>
  <si>
    <t>Leung, Ida PS</t>
  </si>
  <si>
    <t>Co-Care Premier 12 Months Renewal on S6730-H48X6C etc for The Hong Kong Jockey Club</t>
  </si>
  <si>
    <t>UID-25-01-0202</t>
  </si>
  <si>
    <t>L241201848SD</t>
  </si>
  <si>
    <t>Chan, Abby NY / Fung, Hayden TC</t>
  </si>
  <si>
    <t>BIG-IP Service: Premium (Level 1-3) on F5 Eqpt for Bank of Montreal (Hong Kong) Ltd</t>
  </si>
  <si>
    <t>UID-25-01-0218</t>
  </si>
  <si>
    <t>G240900050J2</t>
  </si>
  <si>
    <t>SA acknowlegement</t>
  </si>
  <si>
    <t>PSRT on Cisco Products for Credit Agricole CIB Hong Kong</t>
  </si>
  <si>
    <t>UID-25-01-0227</t>
  </si>
  <si>
    <t>L241100930JI</t>
  </si>
  <si>
    <t>Co-Care Standard on S5731-S24T4X for PCCW Digital Solutions Limited (C/O IRD)</t>
  </si>
  <si>
    <t>UID-25-02-0010</t>
  </si>
  <si>
    <t>P AV/7404/WA/PA24</t>
  </si>
  <si>
    <t>CW PSS ND SUPT on EX2300-24T, EX2300-48T for Salesian School</t>
  </si>
  <si>
    <t>UID-25-02-0012</t>
  </si>
  <si>
    <t>W241101127L3</t>
  </si>
  <si>
    <t>DN25000143</t>
  </si>
  <si>
    <t>Multi-Tech (China) Telecom System Ltd</t>
  </si>
  <si>
    <t>Extreme PWP NBD AHR 17310 for X670-G2-48x-4q, etc for Hospital Authority</t>
  </si>
  <si>
    <t>UID-25-02-0007</t>
  </si>
  <si>
    <t>L250301543BL</t>
  </si>
  <si>
    <t>Liu, Brandy LL</t>
  </si>
  <si>
    <t>Purchase of Refurbished EX2300-48P for support maintenance charge as CoS (RFQ#240285NW)</t>
  </si>
  <si>
    <t>PSRT on Cisco Products for Kowloon Shangri-La Hotel</t>
  </si>
  <si>
    <t>UID-25-02-0026</t>
  </si>
  <si>
    <t>L250290016TS</t>
  </si>
  <si>
    <t>PSRT on Cisco Products for Social Welfare Department</t>
  </si>
  <si>
    <t>UID-25-02-0018</t>
  </si>
  <si>
    <t>L250101129PA</t>
  </si>
  <si>
    <t>PSUP on Cisco Products for Hong Kong Housing Society</t>
  </si>
  <si>
    <t>UID-25-02-0030</t>
  </si>
  <si>
    <t>L250101024PA</t>
  </si>
  <si>
    <t>Purchase of Refurbished C1-CISCO4331/K9 for Hong Kong Housing Society</t>
  </si>
  <si>
    <t>Purchase of Refurbished C6800IA-48FPDR for Kowloon Shangri-La Hotel</t>
  </si>
  <si>
    <t>Tophope Limited</t>
  </si>
  <si>
    <t>Purchase of Refurbished Juniper Fan for maintenance base and charge as CoS (RFQ#250004NW)</t>
  </si>
  <si>
    <t>DN009/25</t>
  </si>
  <si>
    <t>INV012/25</t>
  </si>
  <si>
    <t>Purchase of Refurbished SPA-8X1GE-V02, etc for maintenance base and charge as CoS (RFQ#250004NW)</t>
  </si>
  <si>
    <t>WF62500125</t>
  </si>
  <si>
    <t>WF12500229</t>
  </si>
  <si>
    <t>Purchase of Refurbished Juniper SFPP-10G-SR-C, etc for maintenance base and charge as CoS (RFQ#240305NW)</t>
  </si>
  <si>
    <t>Purchase of Refurbished SFP-10G-BXD1, etc for maintenance base and charge as CoS (RFQ#240305NW)</t>
  </si>
  <si>
    <t>WF62500112</t>
  </si>
  <si>
    <t>WF12500204</t>
  </si>
  <si>
    <t>PSRT, PSUP on Cisco Products &amp; Inspection for Jardine Matheson Ltd</t>
  </si>
  <si>
    <t>UID-25-02-0031</t>
  </si>
  <si>
    <t>L250290027WC, H250290028WC, L250290029WC</t>
  </si>
  <si>
    <t>PSBU on Cisco Products for MUFG Bank Ltd</t>
  </si>
  <si>
    <t>UID-25-02-0034</t>
  </si>
  <si>
    <t>L250101054KW</t>
  </si>
  <si>
    <t>PSUP on Cisco Products for Shanghai Commercial Bank Ltd</t>
  </si>
  <si>
    <t>UID-25-02-0035</t>
  </si>
  <si>
    <t>L250201284J2</t>
  </si>
  <si>
    <t>H3Care Basic 7x24x4 on LS-5560X-30C-EI, etc for Jardine Matheson Limited</t>
  </si>
  <si>
    <t>INV#25029094RI</t>
  </si>
  <si>
    <t>1 Year Onsite Hardware Maintenance Service for Jardine Matheson Limited</t>
  </si>
  <si>
    <t>INV#60015832</t>
  </si>
  <si>
    <t>Maintenance Service 4x7x24 on Hp 8/24 Base 16-ports San Switch for Jardine Matheson Limited</t>
  </si>
  <si>
    <t>L250290027WC, H250290028WC / L250290029WC</t>
  </si>
  <si>
    <t>Purchase of Refurbished C9200L-24P-4X-E, etc for Capital Charm Holdings Limited - Regala Skycity Hotel</t>
  </si>
  <si>
    <t>UID-25-02-0072</t>
  </si>
  <si>
    <t>L240800996AZ</t>
  </si>
  <si>
    <t>Purchase of Refurbished C9300-NM-4G for CA Indosuez Switzerland SA</t>
  </si>
  <si>
    <t>UID-25-02-0076</t>
  </si>
  <si>
    <t>L250290061NP / 2025WB039NP</t>
  </si>
  <si>
    <t>SNT on Cisco Products for CA Indosuez Switzerland SA</t>
  </si>
  <si>
    <t>2025WB039NP / L250290061NP</t>
  </si>
  <si>
    <t>PSRT on Cisco Products for Inland Revenue Department</t>
  </si>
  <si>
    <t>UID-25-02-0082</t>
  </si>
  <si>
    <t>2024WB823NI</t>
  </si>
  <si>
    <t>Ng, Ivy WY / Chow, Apple FP</t>
  </si>
  <si>
    <t>PSRT, PSBU on Cisco Products for CLP Power Hong Kong Limited</t>
  </si>
  <si>
    <t>UID-25-02-0048</t>
  </si>
  <si>
    <t>L241201568ND</t>
  </si>
  <si>
    <t>Ng, Dennis WL / Lam, Jessica WS / Yuen, Vivien MC</t>
  </si>
  <si>
    <t>L241201568NG</t>
  </si>
  <si>
    <t>Co-Care Premier on S5735-L8T, etc for HA - Alice Ho Miu Ling Nethersole Hospital</t>
  </si>
  <si>
    <t>UID-25-02-0077</t>
  </si>
  <si>
    <t>P AL/7012/MA/PA25</t>
  </si>
  <si>
    <t>Chan Yuk Fun</t>
  </si>
  <si>
    <t>1YR LIC-MX85-SDW-1Y, Meraki MX85 Secure SD-WAN Plus License and Support for Sumitronics HK Ltd</t>
  </si>
  <si>
    <t>UID-25-02-0090</t>
  </si>
  <si>
    <t>L250201291BL</t>
  </si>
  <si>
    <t>Liu, Brandy LL / Lai, Fonnie WF</t>
  </si>
  <si>
    <t>Yes (PO payment were withheld by GFA – Kelvin Lui)</t>
  </si>
  <si>
    <t>Equipment Health Check Service on IVS3800, etc for Construction Industry Council</t>
  </si>
  <si>
    <t>UID-25-02-0092</t>
  </si>
  <si>
    <t>4250290078PA</t>
  </si>
  <si>
    <t>Hi-Care Onsite Standard 9x5xNBD for Construction Industry Council</t>
  </si>
  <si>
    <t>PSUP on Cisco Products for CUSTOMS &amp; EXCISE DEPARTMENT</t>
  </si>
  <si>
    <t>Co-Care Premier on AC6508, AirEngine6760 &amp; S5735-S48U_28mths for Meadville Technologies Co Ltd</t>
  </si>
  <si>
    <t>UID-25-02-0109</t>
  </si>
  <si>
    <t>L241101029ND / G241100091ND</t>
  </si>
  <si>
    <t>Karin Electronic Supplies Co Ltd</t>
  </si>
  <si>
    <t xml:space="preserve">Co-Care Premier S5735-L48P4X-A_36mths for Shenwan Hongyuan Securities (H.K.) Ltd </t>
  </si>
  <si>
    <t>UID-25-02-0108</t>
  </si>
  <si>
    <t>L250201287KW</t>
  </si>
  <si>
    <t xml:space="preserve">KKIN2500433 </t>
  </si>
  <si>
    <t>Purchase of Refurbished C3KX-NM-10G for The University of HK</t>
  </si>
  <si>
    <t>UID-25-02-0119</t>
  </si>
  <si>
    <t>L241201851CB</t>
  </si>
  <si>
    <t>Cisco Inspection Service-High Complexity Equipment on ASF-CEI-G-INSP-HC for FWD Life Insurance Co (Bermuda) Ltd</t>
  </si>
  <si>
    <t>PSUP on Cisco Products for SF SUPPLY CHAIN HONG KONG LTD</t>
  </si>
  <si>
    <t>UID-25-02-0121</t>
  </si>
  <si>
    <t>L250101104AZ</t>
  </si>
  <si>
    <t>Parts, Onsite Labor and technical support for SF SUPPLY CHAIN HONG KONG LTD</t>
  </si>
  <si>
    <t>INV#2025-HKT-0004</t>
  </si>
  <si>
    <t>Co-Care Premier for SF SUPPLY CHAIN HONG KONG LTD</t>
  </si>
  <si>
    <t>Maintenance Service 9x5x4 on Dell PowerConnect 3548P &amp; Netgear FS728TP-100EUS Switch for WILKINSON &amp; GRIST</t>
  </si>
  <si>
    <t>UID-25-02-0143</t>
  </si>
  <si>
    <t>P MT/7582/WB/AC25</t>
  </si>
  <si>
    <t>ZZ1521435</t>
  </si>
  <si>
    <t>Purchase of Refurbished Cisco WS-C3650-24TS-E for Public Finance Limited</t>
  </si>
  <si>
    <t>UID-25-02-0146</t>
  </si>
  <si>
    <t>L250101091AZ</t>
  </si>
  <si>
    <t>Public Finance Limited</t>
  </si>
  <si>
    <t>Yang, Alice XS / Lai, Fonnie WF</t>
  </si>
  <si>
    <t>WF62500669</t>
  </si>
  <si>
    <t>WF12501123</t>
  </si>
  <si>
    <t>Purchase of Refurbished WS-C3750X-48T-S for VEOLIA CHINA HOLDING LIMITED</t>
  </si>
  <si>
    <t>UID-25-02-0148</t>
  </si>
  <si>
    <t>L250290045NP</t>
  </si>
  <si>
    <t>Purchase of Refurbished Cisco Nexus 5672UP 1RU for MYTV Super Limited</t>
  </si>
  <si>
    <t>UID-25-02-0149</t>
  </si>
  <si>
    <t xml:space="preserve">L250101055CB </t>
  </si>
  <si>
    <t>PSRT, PSUP, SNTP, PSBU on Cisco Products for Public Finance Limited</t>
  </si>
  <si>
    <t>PSUP on Cisco Products for HKSH EASTERN MEDICAL CENTRE</t>
  </si>
  <si>
    <t>UID-25-02-0142</t>
  </si>
  <si>
    <t xml:space="preserve">L250190153CP </t>
  </si>
  <si>
    <t>Lau, Coco WY / Lai, Fonnie WF</t>
  </si>
  <si>
    <t>PSUP on Cisco Products for MYTV SUPER LIMITED</t>
  </si>
  <si>
    <t>L250101055CB</t>
  </si>
  <si>
    <t>PSUP on Cisco Products for ECO AVIATION FUEL SERVICES LIMITED</t>
  </si>
  <si>
    <t>UID-25-02-0150</t>
  </si>
  <si>
    <t>L250201239KW</t>
  </si>
  <si>
    <t>UID-25-02-0159</t>
  </si>
  <si>
    <t>L250290103PA</t>
  </si>
  <si>
    <t>SNTP, SSTC on Cisco Products for Office of the Government Chief Information Officer</t>
  </si>
  <si>
    <t>UID-25-02-0171</t>
  </si>
  <si>
    <t>L250290109PA</t>
  </si>
  <si>
    <t>PSUP on Cisco Products for Treasury</t>
  </si>
  <si>
    <t>UID-25-02-0161</t>
  </si>
  <si>
    <t>L250290102PA</t>
  </si>
  <si>
    <t>PSUP, PSUE, SSSNE, PSBU, ECMU, PSRT  on Cisco Products for Office of the Government Chief Information Officer</t>
  </si>
  <si>
    <t>UID-25-02-0180</t>
  </si>
  <si>
    <t>L241101034PA / G241100100PA</t>
  </si>
  <si>
    <t>combine with PR#6158567 (Wifi) in “ONE” PO</t>
  </si>
  <si>
    <t>SNT on Cisco Products for Legislative Council Secretariat</t>
  </si>
  <si>
    <t>UID-24-09-0046</t>
  </si>
  <si>
    <t>L240900948PA</t>
  </si>
  <si>
    <t>PSRT on Cisco Products for Registration And Electoral Office</t>
  </si>
  <si>
    <t>UID-25-02-0190</t>
  </si>
  <si>
    <t>L250290064IL</t>
  </si>
  <si>
    <t>Leung, Ida PS / Law, Carman KM</t>
  </si>
  <si>
    <t>PSUP on Cisco Products for Hong Kong Bankers Club</t>
  </si>
  <si>
    <t>UID-25-02-0177</t>
  </si>
  <si>
    <t>L241290293CF</t>
  </si>
  <si>
    <t>SNTP on Cisco Products for Customs &amp; Excise Department</t>
  </si>
  <si>
    <t>UID-25-02-0197</t>
  </si>
  <si>
    <t>L250190174YR</t>
  </si>
  <si>
    <t>PSUP on Cisco Products for Bank of Montreal Hong Kong Branch</t>
  </si>
  <si>
    <t>UID-25-02-0194</t>
  </si>
  <si>
    <t>L250290166TS</t>
  </si>
  <si>
    <t>CW-PAR-ND SUPT on SRX340, SRX1500, etc for Registration And Electoral Office</t>
  </si>
  <si>
    <t>DN25000232</t>
  </si>
  <si>
    <t>CW-PAR-SD-EX34-48T etc for Registration And Electoral Office</t>
  </si>
  <si>
    <t>DN25000233</t>
  </si>
  <si>
    <t>DN25000231</t>
  </si>
  <si>
    <t>PSUP, PSBU on Cisco Products for Bank of Montreal Hong Kong Branch</t>
  </si>
  <si>
    <t>UID-25-02-0200</t>
  </si>
  <si>
    <t>L241201454J2</t>
  </si>
  <si>
    <t>CW-PAR-ND-EX23-48T, EX23-24T for Islamic Primary School</t>
  </si>
  <si>
    <t>UID-25-02-0199</t>
  </si>
  <si>
    <t>W250301662L3</t>
  </si>
  <si>
    <t>Liang, Aka ZH / Tam, Edith WC</t>
  </si>
  <si>
    <t>DN25000259</t>
  </si>
  <si>
    <t>Purchase of Refurbished WS-C3650-48FD-L for Bank of Montreal Hong Kong Branch</t>
  </si>
  <si>
    <t>H3Care Onsite 4x24x4 1Year for Oasis Painbow Ltd</t>
  </si>
  <si>
    <t>UID-25-02-0244</t>
  </si>
  <si>
    <t>L250190217ND</t>
  </si>
  <si>
    <t>INV# 25028741 RI</t>
  </si>
  <si>
    <t>Purchase of Refurbished C9200L-48T-4X-E for China Merchants Securities Int'l Co Ltd</t>
  </si>
  <si>
    <t>DN90006758</t>
  </si>
  <si>
    <t>SNTP, SNT on Cisco Products for Hong Kong Telecommunications (HKT) Limited</t>
  </si>
  <si>
    <t>UID-24-11-0161</t>
  </si>
  <si>
    <t>L240700860SK</t>
  </si>
  <si>
    <t>12/31/25</t>
  </si>
  <si>
    <t>UID-25-02-0223</t>
  </si>
  <si>
    <t>L240900833J2</t>
  </si>
  <si>
    <t>PSUP, PSBU on Cisco Products for Bank fo Montreal Hong Kong Branch</t>
  </si>
  <si>
    <t>PSRT on Cisco Products for Credit Agricole CIB</t>
  </si>
  <si>
    <t>UID-25-02-0249</t>
  </si>
  <si>
    <t>G241201605JI</t>
  </si>
  <si>
    <t>PSRT on Cisco Products for Capital Charm Holdings Ltd - Regala SkyCity Hotel</t>
  </si>
  <si>
    <t>PSUP on Cisco Products for Hong Kong Aircraft Engineering Company Ltd</t>
  </si>
  <si>
    <t>UID-25-02-0240</t>
  </si>
  <si>
    <t>2025WB157WC</t>
  </si>
  <si>
    <t>PSUP, PSBU on Cisco Products for Credit Agricole CIB</t>
  </si>
  <si>
    <t>UID-25-02-0275</t>
  </si>
  <si>
    <t>G250100068JI</t>
  </si>
  <si>
    <t>Purchase of Refurbished C3650-STACK,WS-C2960C-8PC-L,WS-C2960-24LT-L for The Repulse Bay Co Ltd</t>
  </si>
  <si>
    <t>UID-25-02-0272</t>
  </si>
  <si>
    <t>L241201849CF</t>
  </si>
  <si>
    <t>Purchase of Refurbished S5720-36PC-EI-AC, S5720-56C-EI-AC for The HK &amp; China Gas Co Ltd</t>
  </si>
  <si>
    <t>UID-25-02-0273</t>
  </si>
  <si>
    <t>P AV/7428/MA/KW25</t>
  </si>
  <si>
    <t>PSRT on Cisco Products for Shanxi Securities International Financial Holdings Ltd</t>
  </si>
  <si>
    <t>UID-25-03-0008</t>
  </si>
  <si>
    <t>L250101128YR</t>
  </si>
  <si>
    <t>PSRT on Cisco Products for Chow Tai Fook Jewellery Co Ltd</t>
  </si>
  <si>
    <t>UID-25-03-0012</t>
  </si>
  <si>
    <t>L2501901710CB</t>
  </si>
  <si>
    <t>Chan, Ina YK / Lai, Fonnie WF</t>
  </si>
  <si>
    <t>Co-Care Standard S5735-L48 60 Months Renewal for Hong Kong Police Force</t>
  </si>
  <si>
    <t>UID-25-03-0027</t>
  </si>
  <si>
    <t>L250390007CO</t>
  </si>
  <si>
    <t>Chan, Connie WC / Lai, Fonnie WF</t>
  </si>
  <si>
    <t>Purchase of Refurbished Huawei S5735-L48T4XE-A-V2</t>
  </si>
  <si>
    <t>Chan, Connie WC / Fai, Fonnie WF</t>
  </si>
  <si>
    <t>PSUP on Cisco Products for The Chinese University of Hong Kong</t>
  </si>
  <si>
    <t>UID-25-03-0033</t>
  </si>
  <si>
    <t>2025WB054SD</t>
  </si>
  <si>
    <t>Purchase of Refurbished C6840-X-LE-40G, C9200-48T-A, etc for The Chinese University of Hong Kong</t>
  </si>
  <si>
    <t>PSRT on Cisco Products for Airstar Bank Ltd</t>
  </si>
  <si>
    <t>UID-25-03-0035</t>
  </si>
  <si>
    <t>L250390026AC</t>
  </si>
  <si>
    <t>Purchase of Refurbished WS-C2960X-24PSQ-L for Judiciary Administrator</t>
  </si>
  <si>
    <t>UID-25-03-0043</t>
  </si>
  <si>
    <t>L250390045NI</t>
  </si>
  <si>
    <t>Purchase of Refurbished C9200L-24P-4X-E, C9200L-48P-4X-E for Hotel Panorama Ease Million Ltd</t>
  </si>
  <si>
    <t>UID-25-03-0044</t>
  </si>
  <si>
    <t>L250390053AC &amp; L250390060AC</t>
  </si>
  <si>
    <t>SNTP, SSTC on Cisco Products for PCCW Digital Solutions Ltd</t>
  </si>
  <si>
    <t>UID-25-03-0048</t>
  </si>
  <si>
    <t>L241100890IL</t>
  </si>
  <si>
    <t>PSUP, PSRT on Cisco Products for Hotel Panorama Ease Million Ltd</t>
  </si>
  <si>
    <t>Purchase of Refurbished WS-C4500X-16SFP+, etc for Hong Kong Housing Authority</t>
  </si>
  <si>
    <t>UID-25-03-0049</t>
  </si>
  <si>
    <t>L241290063NI</t>
  </si>
  <si>
    <t>Cheung, Sindy SY / Law, Carman KM</t>
  </si>
  <si>
    <t>PSRT on Cisco Products for Chow Tai Fook Jewellery Company Ltd</t>
  </si>
  <si>
    <t>UID-25-03-0056</t>
  </si>
  <si>
    <t>L250190172CB</t>
  </si>
  <si>
    <t>Purchase of Refurbished P/N: C9300L-24T-4X-E for Chow Tai Fook Jewellery Company Ltd</t>
  </si>
  <si>
    <t>SNTP, SSTC on Cisco Products for PCCW Powerbase Data Center (PCCW Solutions Ltd)</t>
  </si>
  <si>
    <t>UID-25-03-0052</t>
  </si>
  <si>
    <t>L241201365IL</t>
  </si>
  <si>
    <t>SNTP on Cisco Products for DBS Bank (Hong Kong) Limited</t>
  </si>
  <si>
    <t>UID-25-03-0055</t>
  </si>
  <si>
    <t>L250201237J3 &amp; L250390098J3</t>
  </si>
  <si>
    <t>SUB-TNC on Cisco Products for DBS Bank (Hong Kong) Limited</t>
  </si>
  <si>
    <t>Purchase of Refurbished WS-C2960X-48TD-L, C4500X-32SFP for Hong Kong Housing Authority</t>
  </si>
  <si>
    <t>UID-25-02-0075</t>
  </si>
  <si>
    <t>L231202360SD</t>
  </si>
  <si>
    <t>FS. COM Limited</t>
  </si>
  <si>
    <t>Purchase of lockable C13 to UK plug, 17AWG 250V/10A Power Cord black for HKT Spare Parts (Request by Martin)</t>
  </si>
  <si>
    <t>courier DN</t>
  </si>
  <si>
    <t>email on 6/5 &amp;12/5/2025</t>
  </si>
  <si>
    <t>IN012504230075</t>
  </si>
  <si>
    <t>Co-Care Premier on S5731-S24T4X for HKSH Eastern Medical Centre Limited</t>
  </si>
  <si>
    <t>UID-25-03-0096</t>
  </si>
  <si>
    <t>P AL/7302/MA/CP24</t>
  </si>
  <si>
    <t>31/12/25</t>
  </si>
  <si>
    <t>1 Year Onsite Hardware Mtc Service for HKMU</t>
  </si>
  <si>
    <t>UID-25-03-0100</t>
  </si>
  <si>
    <t>L250400782ND</t>
  </si>
  <si>
    <t>Ng, Dennis WL / Yuen Vivien MC</t>
  </si>
  <si>
    <t>1 Year Onsite Hardware Maintenance Service</t>
  </si>
  <si>
    <t>INV#60015985</t>
  </si>
  <si>
    <t>PSJ1 on Cisco Products for HKSH EASTERN MEDICAL CENTRE</t>
  </si>
  <si>
    <t>UID-25-03-0099</t>
  </si>
  <si>
    <t>H240500247CP</t>
  </si>
  <si>
    <t>Lau, Coco WY / Lai Fonnie WF</t>
  </si>
  <si>
    <t>UID-25-03-0095</t>
  </si>
  <si>
    <t xml:space="preserve">L250390157WC </t>
  </si>
  <si>
    <t>L1NBD for Cisco Products for KPMG</t>
  </si>
  <si>
    <t>UID-25-03-0104</t>
  </si>
  <si>
    <t>L250390183AC</t>
  </si>
  <si>
    <t>SNT for Cisco Products, CUS: Hong Kong Telecommunications HKT Limited</t>
  </si>
  <si>
    <t>UID-25-02-0243</t>
  </si>
  <si>
    <t>H240790027IL</t>
  </si>
  <si>
    <t>Leung Ida PS / Ho, Julie SL</t>
  </si>
  <si>
    <t>Level 1-3 Premium Service for BIG-IP 7x24 Four Hrs Hardware Replacement for Public Bank (Hong Kong) Limited</t>
  </si>
  <si>
    <t>UID-25-03-0110</t>
  </si>
  <si>
    <t>G250390191TH</t>
  </si>
  <si>
    <t>Tsui, Ivan PH / Law, Carman KM</t>
  </si>
  <si>
    <t>SA ID#6027169</t>
  </si>
  <si>
    <t>BDP25-0303</t>
  </si>
  <si>
    <t>0Y03442300220S_Co-Care_HKT</t>
  </si>
  <si>
    <t>Co-Care Standard on S5731-S24T4X 18 Months Renewal for HKSH Eastern Medical Centre Ltd</t>
  </si>
  <si>
    <t>UID-25-03-0102</t>
  </si>
  <si>
    <t>P AL/7506/WA/CP24</t>
  </si>
  <si>
    <t>Lau, Coco WY / Chan, Connie WC</t>
  </si>
  <si>
    <t>PSRT on Cisco Products for World Family Ltd</t>
  </si>
  <si>
    <t>UID-25-03-0117</t>
  </si>
  <si>
    <t>L250400832CB</t>
  </si>
  <si>
    <t>0Y034422000938 / 0Y034424001530</t>
  </si>
  <si>
    <t>1 Year Subscription and Support for The Hong Kong Jockey Club</t>
  </si>
  <si>
    <t>UID-25-03-0121</t>
  </si>
  <si>
    <t>L250301626LS</t>
  </si>
  <si>
    <t>PID20250107-HWMA-HKT-9613v2</t>
  </si>
  <si>
    <t>Hi-Care Onsite Premier 24x7x4 hours response for The Hong Kong Jockey Club</t>
  </si>
  <si>
    <t>ECMU, SNTP on Cisco Products for PCCW Digital Solutions Ltd</t>
  </si>
  <si>
    <t>UID-25-03-0142</t>
  </si>
  <si>
    <t>L240800973IL</t>
  </si>
  <si>
    <t>Purchase of Refurbished WS-F6K-PFC2, MSFC2 for PCCW Digital Solutions Ltd</t>
  </si>
  <si>
    <t>SNTP on Cisco Products for PCCW HKT Limited</t>
  </si>
  <si>
    <t>UID-25-03-0134</t>
  </si>
  <si>
    <t>L250201201IL</t>
  </si>
  <si>
    <t>PSRT on Cisco Products for MUFG Securities Asia Limited</t>
  </si>
  <si>
    <t>UID-25-03-0138</t>
  </si>
  <si>
    <t>L250400805KW</t>
  </si>
  <si>
    <t>Maintenance Service on Cisco Products for Environmental Protection Department</t>
  </si>
  <si>
    <t>UID-25-03-0146</t>
  </si>
  <si>
    <t>L250390143NI</t>
  </si>
  <si>
    <t>DN90006786</t>
  </si>
  <si>
    <t>Purchase of Refurbished WS-C2960-24PC-L for Chubb HK Limited</t>
  </si>
  <si>
    <t>UID-25-03-0151</t>
  </si>
  <si>
    <t>P AV/7349/MA/LS24</t>
  </si>
  <si>
    <t>PSUP, PSRT, ECMU on Cisco Products for HKSH Eastern Medical Centre Limited</t>
  </si>
  <si>
    <t>UID-25-03-0158</t>
  </si>
  <si>
    <t>L241201680CP</t>
  </si>
  <si>
    <t>PSRT, PSUP on Cisco Products for HKSH Eastern Medical Centre Limited</t>
  </si>
  <si>
    <t>F5Q-00849206</t>
  </si>
  <si>
    <t>F5-LTM-200M-PRM-SUB, BIG-IP Support for Cathay Pacific Service Ltd Year 25-26</t>
  </si>
  <si>
    <t>UID-25-03-0159</t>
  </si>
  <si>
    <t>G240500052ND</t>
  </si>
  <si>
    <t>BDI25-0557</t>
  </si>
  <si>
    <t>F5Q-00849206_v1</t>
  </si>
  <si>
    <t>F5-LTM-200M-PRM-SUB, BIG-IP Support for Cathay Pacific Service Ltd Year 26-27</t>
  </si>
  <si>
    <t>BDI25-0556</t>
  </si>
  <si>
    <t>KDCHW20240322-280R1</t>
  </si>
  <si>
    <t>Co-Care Premier on S5731-S24T4X for Queen Mary Hospital</t>
  </si>
  <si>
    <t>UID-24-11-0053</t>
  </si>
  <si>
    <t>P AL/7301/MA/BL24</t>
  </si>
  <si>
    <t>KKIN2500635</t>
  </si>
  <si>
    <t>PSRT on Cisco Products for Rifa Securities Limited</t>
  </si>
  <si>
    <t>UID-25-03-0098</t>
  </si>
  <si>
    <t>2025WB125J3</t>
  </si>
  <si>
    <t>Purchase of Refurbished WS-C3850-24T-L for Rifa Securities Limited</t>
  </si>
  <si>
    <t>PSUP on Cisco Products for Bank Of China</t>
  </si>
  <si>
    <t>UID-25-03-0191</t>
  </si>
  <si>
    <t>L250500700JI</t>
  </si>
  <si>
    <t>Purchase of Refurbished WS-C2960X-48FPS-L, etc for Bank Of China</t>
  </si>
  <si>
    <t>WF62500226</t>
  </si>
  <si>
    <t>WF12500419</t>
  </si>
  <si>
    <t>BIG-IP Service: Premium (Level 1-3) for Cosco Container Lines (Hong Kong) Co Ltd</t>
  </si>
  <si>
    <t>UID-25-03-0192</t>
  </si>
  <si>
    <t>G250600137LS</t>
  </si>
  <si>
    <t>SA ID#6013123</t>
  </si>
  <si>
    <t>BDP25-0335</t>
  </si>
  <si>
    <t>SNT on Cisco Products for FWD Life Insurance Company Bermuda Ltd</t>
  </si>
  <si>
    <t>Purchase of Refurbished Cisco C9300-48P-A for FWD Life Insurance Company Bermuda Ltd</t>
  </si>
  <si>
    <t>PSRT on Cisco Products for KPMG Advisory (Hong Kong) Limited</t>
  </si>
  <si>
    <t>UID-25-03-0197</t>
  </si>
  <si>
    <t>L250301548KW</t>
  </si>
  <si>
    <t>PSRT on Cisco IPT Products for HK Parkview Management Services Ltd</t>
  </si>
  <si>
    <t>UID-25-03-0215</t>
  </si>
  <si>
    <t>P MT/7401/MAMA/CB24</t>
  </si>
  <si>
    <t>Cha, Ina YK / Fung, Hayden TC</t>
  </si>
  <si>
    <t>PSRT on Cisco IPT Products for The Chinese University of Hong Kong</t>
  </si>
  <si>
    <t>UID-25-03-0205</t>
  </si>
  <si>
    <t>2025WB122WC</t>
  </si>
  <si>
    <t xml:space="preserve">Wong, Cammy SL / Fung, Hayden TC </t>
  </si>
  <si>
    <t>BIG-IP Service: Premium (Level 1-3) on F5 Eqpt for Aedas International Limited</t>
  </si>
  <si>
    <t>UID-25-03-0230</t>
  </si>
  <si>
    <t>G250300047CB</t>
  </si>
  <si>
    <t>SA ID#6016867</t>
  </si>
  <si>
    <t>BDP25-0330</t>
  </si>
  <si>
    <t>98904633, 98905745</t>
  </si>
  <si>
    <t>Cisco Inspection Service for Jardine Matheson Ltd</t>
  </si>
  <si>
    <t>SNTP, SSTC on Cisco Products for PCCW HKT Limited</t>
  </si>
  <si>
    <t>UID-25-03-0220</t>
  </si>
  <si>
    <t>G250200028IL</t>
  </si>
  <si>
    <t>0Y034421000870N / 0Y03442200670G</t>
  </si>
  <si>
    <t>Hi-Care Onsite Standard 36 Months Renewal on S5731-S24P4X for AsiaWorld-Expo Management Limited</t>
  </si>
  <si>
    <t>UID-25-03-0262</t>
  </si>
  <si>
    <t>L250390346J2</t>
  </si>
  <si>
    <t>Cert</t>
  </si>
  <si>
    <t>SNTP on Cisco Products for The University of Chicago Foundation in Hong Kong Ltd</t>
  </si>
  <si>
    <t>L240801109SD</t>
  </si>
  <si>
    <t>0000Ht84082253202502240002 / 0000Ht84082253202502250016</t>
  </si>
  <si>
    <t>License &amp; Co-Care Premier S5731-S24T4X_12Month(s)_Renewals for Tai Hing Worldwide Development Limited</t>
  </si>
  <si>
    <t>UID-25-04-0001</t>
  </si>
  <si>
    <t>L250490003CF</t>
  </si>
  <si>
    <t>Mak, Connie OM / Lai, Fonnie WF</t>
  </si>
  <si>
    <t>Purchase of spare parts for Vocational Training Council</t>
  </si>
  <si>
    <t>UID-24-04-0019</t>
  </si>
  <si>
    <t>L240490059NI</t>
  </si>
  <si>
    <t>Suprer Urgent</t>
  </si>
  <si>
    <t>1-year Onsite Hardware Maintenance service for Vocational Training Council</t>
  </si>
  <si>
    <t>INV#60016045</t>
  </si>
  <si>
    <t>0000Ht84082253202403070012</t>
  </si>
  <si>
    <t>Co-Care Premier S5731-S48P4X_12Month(s)_Renewals for Vocational Training Council</t>
  </si>
  <si>
    <t>282232615 / 282232616</t>
  </si>
  <si>
    <t>PSUP, PSRT on Cisco Products for Vocational Training Council</t>
  </si>
  <si>
    <t>Super Urgent</t>
  </si>
  <si>
    <t>PSRT, PSUP on Cisco Products for Hong Kong Air Cargo Terminals Limited</t>
  </si>
  <si>
    <t>UID-25-04-0008</t>
  </si>
  <si>
    <t>L250301527KW</t>
  </si>
  <si>
    <t>Purchase of Refurbished CISCO1841-T1SEC/K9 for Hong Kong Air Cargo Terminals Limited</t>
  </si>
  <si>
    <t>WF62500242</t>
  </si>
  <si>
    <t>WF12500446</t>
  </si>
  <si>
    <t>Purchase of Refurbished EX2200-C-12P-2G for Hong Kong Air Cargo Terminals Ltd</t>
  </si>
  <si>
    <t>RN20250327</t>
  </si>
  <si>
    <t>PSS SUPT on QFX5110-48S, EX3400-24P, etc for Hong Kong Air Cargo Terminals Ltd</t>
  </si>
  <si>
    <t>Welcome Letter</t>
  </si>
  <si>
    <t>BIG-IP Service Premium on F5 Eqpt for Hong Kong Air Cargo Terminals Ltd</t>
  </si>
  <si>
    <t>SA ID#60121308 / 6014572</t>
  </si>
  <si>
    <t>BDP25-0331 / BDP25-0383</t>
  </si>
  <si>
    <t>0000Hzwx1216033202503250012</t>
  </si>
  <si>
    <t>Co-Care Premier on S5731-H24P4XC, etc for Hong Kong Air Cargo Terminals Ltd</t>
  </si>
  <si>
    <t>Wong, Kiwi LF / Lam, Fonnie WF</t>
  </si>
  <si>
    <t>BIG-IP Service: Premium (Level 1-3) on F5 Eqpt for GF Holdings (HK) Corporation Limited</t>
  </si>
  <si>
    <t>UID-24-11-0203</t>
  </si>
  <si>
    <t>G240801070AZ</t>
  </si>
  <si>
    <t>Tsui, Ivan PH / Wong, Gigi WC / Law, Carman KM</t>
  </si>
  <si>
    <t>SA ID#6014572</t>
  </si>
  <si>
    <t>BDP25-0383</t>
  </si>
  <si>
    <t>PSRT, SW on Cisco Products for OCBC Wing Hang Bank Ltd</t>
  </si>
  <si>
    <t>UID-25-04-0010</t>
  </si>
  <si>
    <t>L250390209KW</t>
  </si>
  <si>
    <t>PSRT, PSUP, PSBU on Cisco Products for OCBC Wing Hang Bank Ltd</t>
  </si>
  <si>
    <t>ZZ1529278</t>
  </si>
  <si>
    <t>Purchase of Refurbished C3900-SPE100/K9, etc for OCBC Wing Hang Bank Ltd</t>
  </si>
  <si>
    <t>OCBC Wing Hang Bank Ltd</t>
  </si>
  <si>
    <t>WF62500670</t>
  </si>
  <si>
    <t>WF12501124</t>
  </si>
  <si>
    <t>PICS Telecom International Asia Limited</t>
  </si>
  <si>
    <t>Purchase of Refurbished C9300-24UX-E, etc for OCBC Wing Hang Bank Ltd</t>
  </si>
  <si>
    <t>Wong, Kiwi LF / Lai Fonnie WF</t>
  </si>
  <si>
    <t>HK00942</t>
  </si>
  <si>
    <t>PSRT, PSUP on Cisco Products for Hysan Corporate Services Ltd</t>
  </si>
  <si>
    <t>UID-25-01-0070</t>
  </si>
  <si>
    <t>240590042GW</t>
  </si>
  <si>
    <t>SNTP on Cisco Products for PCCW-HKT LIMITED</t>
  </si>
  <si>
    <t>UID-25-03-0276</t>
  </si>
  <si>
    <t>L241201361IL</t>
  </si>
  <si>
    <t>Urtgent</t>
  </si>
  <si>
    <t>SNTP, SSTC on Cisco Products for Veolia China Holding Ltd</t>
  </si>
  <si>
    <t>UID-25-04-0038</t>
  </si>
  <si>
    <t>2025WB239NP</t>
  </si>
  <si>
    <t>Po, Nicky MY / Fung, Hayden TC</t>
  </si>
  <si>
    <t>ECMU, PSRT, PSUP, SSTC on Cisco Products for YF Life Insurance International Ltd</t>
  </si>
  <si>
    <t>UID-25-04-0040</t>
  </si>
  <si>
    <t>L250101143YR</t>
  </si>
  <si>
    <t>0000Hzwx1216033202502270028 / 0R00Hzwx1216033202502270020</t>
  </si>
  <si>
    <t>Technical Support Service for Huawei Eqpt for Hong Kong Police Force</t>
  </si>
  <si>
    <t>UID-25-03-0263</t>
  </si>
  <si>
    <t>L241100983CO</t>
  </si>
  <si>
    <t>Purchase of Refurbished Huawei Eqpt for Hong Kong Police Force</t>
  </si>
  <si>
    <t>Chan, Connie WC / Lai Fonnie WF</t>
  </si>
  <si>
    <t>PSUP on Cisco Products for Jardine Matheson Limited</t>
  </si>
  <si>
    <t>302110658, 451893328</t>
  </si>
  <si>
    <t>SNTP, PSRT, PSUP on Cisco Products for Guoco Management Company Ltd</t>
  </si>
  <si>
    <t>UID-25-03-0257</t>
  </si>
  <si>
    <t>L250301503ND, G250300081ND, G250300079ND</t>
  </si>
  <si>
    <t>SNTP on Cisco Products for Hong Leong Bank Hong Kong (Guoco)</t>
  </si>
  <si>
    <t>L250301503ND,G250300081ND,G250300079ND</t>
  </si>
  <si>
    <t>Purchase of Refurbished CISCO982-K9, etc for Guoco Management Company Limited</t>
  </si>
  <si>
    <t>ZM1530218</t>
  </si>
  <si>
    <t>Purchase of Refurbished C9200L-48P-4G-E, etc for Hysan Corporate Services Ltd</t>
  </si>
  <si>
    <t>ASF-CEI-G-INSP-HC Cisco Inspection Service for KPMG</t>
  </si>
  <si>
    <t>UID-25-03-0195</t>
  </si>
  <si>
    <t>L250390273AC</t>
  </si>
  <si>
    <t>Cancel Request by Abby Chan</t>
  </si>
  <si>
    <t>Cancel on 14/4</t>
  </si>
  <si>
    <t>212230887 / 481895588 / 461895753</t>
  </si>
  <si>
    <t>PSRT, PSUP, PSBU on Cisco Products for KPMG</t>
  </si>
  <si>
    <t>LIC-MX64-SEC-1YR License and Support for PMP Advertising (Int'l) Ltd</t>
  </si>
  <si>
    <t>UID-25-02-0139</t>
  </si>
  <si>
    <t>G250290026CF</t>
  </si>
  <si>
    <t>SIS International Limited</t>
  </si>
  <si>
    <t>20250408-C00019-001</t>
  </si>
  <si>
    <t>1 Year H3Care Basic 7x24x4 Service on H3C for Hysan Corporate Services Ltd</t>
  </si>
  <si>
    <t>SI25-01746</t>
  </si>
  <si>
    <t>UID-25-03-0228</t>
  </si>
  <si>
    <t>G250390120IL</t>
  </si>
  <si>
    <t>PSUP on Cisco Products for Innovation &amp; Technology Bureau</t>
  </si>
  <si>
    <t>UID-25-04-0064</t>
  </si>
  <si>
    <t>L250400791IL</t>
  </si>
  <si>
    <t>PSUP on Cisco Products for Fairwood Fast Food Ltd</t>
  </si>
  <si>
    <t>UID-25-04-0072</t>
  </si>
  <si>
    <t>L250301489CB</t>
  </si>
  <si>
    <t>Purchase of Refurbished WS-C3750-24PS-S for Fairwood Fast Food Ltd</t>
  </si>
  <si>
    <t>PSRT on Cisco Products for KPMG</t>
  </si>
  <si>
    <t>PSUP on Cisco Products for Citic Metal Group Ltd</t>
  </si>
  <si>
    <t>UID-25-04-0081</t>
  </si>
  <si>
    <t>L250400761CB</t>
  </si>
  <si>
    <t>ZZ1530858</t>
  </si>
  <si>
    <t>Purchase of Refurbished WS-C3850-24P-S</t>
  </si>
  <si>
    <t>282235269 / 272232265</t>
  </si>
  <si>
    <t>PSUP on Cisco Products for Hong Kong Sanatorium &amp; Hospital Ltd</t>
  </si>
  <si>
    <t>UID-25-04-0086</t>
  </si>
  <si>
    <t>L241290192CP</t>
  </si>
  <si>
    <t>OQ161121835AN</t>
  </si>
  <si>
    <t>C9200L Cisco DNA Essentials 24-port Term License for Hong Kong Sanatorium &amp; Hospital Ltd</t>
  </si>
  <si>
    <t>Purchase of Refurbished WS-C2960C-8TC-S for Hong Kong Sanatorium &amp; Hospital Ltd</t>
  </si>
  <si>
    <t>PSUP on Cisco Products for Hong Kong Air Cargo Terminals Limited</t>
  </si>
  <si>
    <t>UID-25-04-0101</t>
  </si>
  <si>
    <t>L250500738KW</t>
  </si>
  <si>
    <t>441852824 / 441852808 / 312127595</t>
  </si>
  <si>
    <t>PSUP on Cisco Products for Huatai Financial Holdings HK Ltd</t>
  </si>
  <si>
    <t>UID-25-04-0102</t>
  </si>
  <si>
    <t>L241101023ND</t>
  </si>
  <si>
    <t>9999393731 / 9999393727 / 9999393730</t>
  </si>
  <si>
    <t>0Y03442100600X</t>
  </si>
  <si>
    <t>Co-Care Premier S5731-S48P4X for Huatai Financial Holdings HK Ltd</t>
  </si>
  <si>
    <t>E-Cert</t>
  </si>
  <si>
    <t>0Y034424000832</t>
  </si>
  <si>
    <t>Co-Care Premier S5720-LI-52P for The World-Wide Investment Co Ltd</t>
  </si>
  <si>
    <t>UID-25-04-0103</t>
  </si>
  <si>
    <t>L250101136KW</t>
  </si>
  <si>
    <t>0Y034424004134</t>
  </si>
  <si>
    <t>Co-Care Standard TaiShan 2280 V2 for Hong Kong Air Cargo Terminals Limited</t>
  </si>
  <si>
    <t>UID-25-04-0099</t>
  </si>
  <si>
    <t>L250400780KW</t>
  </si>
  <si>
    <t>481911449, 292226416, 421910468,431912219, 282231347, 332118366</t>
  </si>
  <si>
    <t>PSUP, PSBU, SNTP, PSRT, SSTC on Cisco Products for South China Morning Post Publishers Ltd</t>
  </si>
  <si>
    <t>UID-25-04-0106</t>
  </si>
  <si>
    <t>G250300128CF</t>
  </si>
  <si>
    <t>31/3/26</t>
  </si>
  <si>
    <t>Mak, Connie OM / Tam, Edith WC</t>
  </si>
  <si>
    <t>Purchase Refurbished P/N: 0211ARH Huawei NE20E-S2E for OGCIO DIGITAL POLICY OFFICE</t>
  </si>
  <si>
    <t>UID-25-04-0098</t>
  </si>
  <si>
    <t>L250101083CP</t>
  </si>
  <si>
    <t>Lau, Coco WY / Chow, Apple FP / Ng, Ivy WY</t>
  </si>
  <si>
    <t>PSRT on Cisco Products for Hong Kong University of Science And Technology</t>
  </si>
  <si>
    <t>UID-25-04-0142</t>
  </si>
  <si>
    <t>L250490218CB</t>
  </si>
  <si>
    <t>PSUP on Cisco Products for Mast Industries (Far East) Ltd</t>
  </si>
  <si>
    <t>UID-25-04-0144</t>
  </si>
  <si>
    <t>L250400799ND</t>
  </si>
  <si>
    <t>Cisco oder form</t>
    <phoneticPr fontId="0" type="noConversion"/>
  </si>
  <si>
    <t>0000Hzwx1216033202503310018</t>
  </si>
  <si>
    <t>Equipment Health Check Service for Hong Kong Police Force</t>
  </si>
  <si>
    <t>UID-25-04-0167</t>
  </si>
  <si>
    <t>L241201706CO</t>
  </si>
  <si>
    <t>Lai Siu Chun</t>
  </si>
  <si>
    <t>1 Year Onsite Hardware Mtce Service for Rating And Valuation Department</t>
  </si>
  <si>
    <t>UID-25-04-0126</t>
  </si>
  <si>
    <t>L250490213NI</t>
  </si>
  <si>
    <t>MFSC25050001</t>
  </si>
  <si>
    <t>PSBU, PSUP on Cisco Products for Agricultural Bank of China Limited</t>
  </si>
  <si>
    <t>UID-25-04-0180</t>
  </si>
  <si>
    <t>G241190195J2</t>
  </si>
  <si>
    <t>Purchase of Refurbished C9300L-24T-4G-E for Customs &amp; Excise Department</t>
  </si>
  <si>
    <t>UID-25-04-0110</t>
  </si>
  <si>
    <t>L250290099YR</t>
  </si>
  <si>
    <t>ZZ1533008</t>
  </si>
  <si>
    <t>Purchase of Refurbished ISR4321/K9 for MUFG Securities Asia Limited</t>
  </si>
  <si>
    <t>UID-25-04-0189</t>
  </si>
  <si>
    <t>L250490250K</t>
  </si>
  <si>
    <t>362121444 / 372131806</t>
  </si>
  <si>
    <t>PSRT PSUP on Cisco Products for Eddid Fintech Limited</t>
  </si>
  <si>
    <t>UID-25-04-0197</t>
  </si>
  <si>
    <t>L250400771CB</t>
  </si>
  <si>
    <t>9999421041 / 9999420918</t>
  </si>
  <si>
    <t>PSUP on Cisco Products for Livermore Holdings Ltd</t>
  </si>
  <si>
    <t>UID-25-05-0010</t>
  </si>
  <si>
    <t>L250400798CB</t>
  </si>
  <si>
    <t>Purchase of Refurbished LS-3100V2-16TP-PWR-EI for ROYAL ELITE SERVICE CO LTD</t>
  </si>
  <si>
    <t>UID-25-05-0019</t>
  </si>
  <si>
    <t>L241101051CF</t>
  </si>
  <si>
    <t>22/11/27</t>
  </si>
  <si>
    <t>Purchase of Refurbished WS-C2960X-24PS-L, etc for Parfums Christian Dior HK Ltd</t>
  </si>
  <si>
    <t>UID-25-05-0029</t>
  </si>
  <si>
    <t>L250390228YR</t>
  </si>
  <si>
    <t>WF62500313</t>
  </si>
  <si>
    <t>WF12500563</t>
  </si>
  <si>
    <t>RNL20240520</t>
  </si>
  <si>
    <t>CW-PAR-ND-EX23-48P, etc for STFA Leung Kau Kui College</t>
  </si>
  <si>
    <t>UID-25-05-0033</t>
  </si>
  <si>
    <t>W250500814L3</t>
  </si>
  <si>
    <t>DN25000514</t>
  </si>
  <si>
    <t>IN25000514</t>
  </si>
  <si>
    <t>481899383 / 282231466</t>
  </si>
  <si>
    <t>PSUP, SSTC on Cisco Products for Bank of Singapore Ltd</t>
  </si>
  <si>
    <t>UID-25-05-0027</t>
  </si>
  <si>
    <t>L250400746AC</t>
  </si>
  <si>
    <t>9999427089 / 9999420886 / 9999421023</t>
  </si>
  <si>
    <t>PSRT on Cisco Products for Parfums Christian Dior Hong Kong</t>
  </si>
  <si>
    <t>UID-25-05-0030</t>
  </si>
  <si>
    <t>L250390228YR &amp; H250390239YR</t>
  </si>
  <si>
    <t>PSUP on Cisco Products for Bank of Singapore Ltd</t>
  </si>
  <si>
    <t>222234950 / 262233782</t>
  </si>
  <si>
    <t>PSUP, ANYSL on Cisco Products for Environmental Protection Department</t>
  </si>
  <si>
    <t>UID-25-05-0032</t>
  </si>
  <si>
    <t>G25020052CP</t>
  </si>
  <si>
    <t>PSRT on Cisco Products for Atos Information Technology HK Ltd</t>
  </si>
  <si>
    <t>UID-25-05-0053</t>
  </si>
  <si>
    <t>L250400741ND / L250400728ND</t>
  </si>
  <si>
    <t>Co-Care Premier S5735-L24T4X, etc for HK Heritage Conservation Foundation Ltd</t>
  </si>
  <si>
    <t>UID-25-05-0037</t>
  </si>
  <si>
    <t>G250390118CF</t>
  </si>
  <si>
    <t>PSUP on Cisco Products for Hospital Authority W.O R97029 (Request by Martin Ma)</t>
  </si>
  <si>
    <t>Purchase of Refurbished Cisco ASA 5525-X for Environmental Protection Department</t>
  </si>
  <si>
    <t>G250200052CP</t>
  </si>
  <si>
    <t>Environmental Protection Department</t>
  </si>
  <si>
    <t>WF62500321</t>
  </si>
  <si>
    <t>WF12500573</t>
  </si>
  <si>
    <t>Purchase of Refurbished H3C S5130S-10P-EI-Switch for Unam International Management SVC Ltd</t>
  </si>
  <si>
    <t>UID-25-05-0063</t>
  </si>
  <si>
    <t>L250400822CB</t>
  </si>
  <si>
    <t>Chan, Ina Y K / Fung, Hayden TC</t>
  </si>
  <si>
    <t>PSRT on Cisco Products for Customs And Excise Department</t>
  </si>
  <si>
    <t>Yau, Ricky CH / Law,Carman KM</t>
  </si>
  <si>
    <t>0Y03442400050N</t>
  </si>
  <si>
    <t>Co-Care Standard S5735-S48P4X for Chow Tai Fook Jewellery Co Ltd</t>
  </si>
  <si>
    <t>UID-25-05-0084</t>
  </si>
  <si>
    <t>L250590104CB</t>
  </si>
  <si>
    <t>1 Year Onsite Hardware Maintenance Service for Precious Blood Primary School</t>
  </si>
  <si>
    <t>UID-25-05-0087</t>
  </si>
  <si>
    <t>W250590125NI</t>
  </si>
  <si>
    <t>MFSC25050003</t>
  </si>
  <si>
    <t>PSRT on Cisco Products for First Commercial Bank Ltd</t>
  </si>
  <si>
    <t>UID-25-05-0088</t>
  </si>
  <si>
    <t>L250600786KW</t>
  </si>
  <si>
    <t>BIG-IP Service Premium on F5-BIG-LTM-I5800 for Digital Policy Office</t>
  </si>
  <si>
    <t>UID-25-05-0112</t>
  </si>
  <si>
    <t>G250600135CP</t>
  </si>
  <si>
    <t>SA ID#6028006</t>
  </si>
  <si>
    <t>BDP25-0525</t>
  </si>
  <si>
    <t>SNTP on Cisco Products for The University of Chicago Foundation in Hong Kong Limited</t>
  </si>
  <si>
    <t>Shirley Lau</t>
  </si>
  <si>
    <t>Novation Solutions Limited</t>
  </si>
  <si>
    <t>Q24978</t>
  </si>
  <si>
    <t>RPA Licensing - Standard Pack Automation Anywhere for 3 servers for CCC CG07 PCCW Solutions C/O EMPF Project (HKD 640,800.00)</t>
  </si>
  <si>
    <t>UID-25-05-0131</t>
  </si>
  <si>
    <t>4250700001NP</t>
  </si>
  <si>
    <t>Po, Nicky WY / Chow, Apple FP</t>
  </si>
  <si>
    <t>Cancel on 22/5</t>
  </si>
  <si>
    <t>RNL20250316</t>
  </si>
  <si>
    <t>PSS ND SUPT on EX3400-48T for S.K.H. Tin Shui Wai Ling Oi Primary School</t>
  </si>
  <si>
    <t>UID-25-05-0137</t>
  </si>
  <si>
    <t>W250500822L3</t>
  </si>
  <si>
    <t>DN25000530</t>
  </si>
  <si>
    <t>IN25000530</t>
  </si>
  <si>
    <t>combine with C600 HKD8655.62</t>
  </si>
  <si>
    <t>RNL20250234.V1</t>
  </si>
  <si>
    <t>PSS ND SUPT on EX2300-24T, etc for Wong Tai Sin Government Primary</t>
  </si>
  <si>
    <t>UID-25-05-0059</t>
  </si>
  <si>
    <t>W250101220L2</t>
  </si>
  <si>
    <t>Liang, Monster SY / Lui, Matthew CB</t>
  </si>
  <si>
    <t>DN25000532</t>
  </si>
  <si>
    <t>IN25000532</t>
  </si>
  <si>
    <t>SSTC, SNTP on Cisco Products for PCCW Digital Solutions Limited</t>
  </si>
  <si>
    <t>UID-25-05-0162</t>
  </si>
  <si>
    <t>L241201364YR</t>
  </si>
  <si>
    <t>Yau, Ricky CH / Ho, Julie SL</t>
  </si>
  <si>
    <t>PSRT on Cisco Products for Mass Mutual Asia Ltd - YF Life Insurance International Ltd</t>
  </si>
  <si>
    <t>UID-25-05-0166</t>
  </si>
  <si>
    <t>L250400834YR</t>
  </si>
  <si>
    <t>KDCHW20250213-124R1</t>
  </si>
  <si>
    <t>Hi-Care Onsite Premier S5731-H48T4XC for Chavalier Network Solutions Ltd C/O KWH</t>
  </si>
  <si>
    <t>UID-25-05-0175</t>
  </si>
  <si>
    <t>L250301457DW</t>
  </si>
  <si>
    <t>Tsui, Ivan PH / Chow, Apple FP</t>
  </si>
  <si>
    <t>KKIN2501002</t>
  </si>
  <si>
    <t>Premium Service for BIG-IP 7x24 for The Hong Kong and China Gas Company Limited</t>
  </si>
  <si>
    <t>UID-25-05-0178</t>
  </si>
  <si>
    <t>G250490063KW</t>
  </si>
  <si>
    <t>Wong Kiwi LF / Lai,Fonnie WF</t>
  </si>
  <si>
    <t>SA ID#6034015</t>
  </si>
  <si>
    <t>BDP25-0564</t>
  </si>
  <si>
    <t>BIG-IP Service: Premium (Level 1-3) for The Hong Kong and China Gas Company Limited</t>
  </si>
  <si>
    <t>Wong Kiwi LF/ Lai, Fonnie WF</t>
  </si>
  <si>
    <t>SA ID#6030268</t>
  </si>
  <si>
    <t>BDP25-0563</t>
  </si>
  <si>
    <t>SNT on Cisco Products for FTMF Distribution Ltd</t>
  </si>
  <si>
    <t>UID-25-05-0182</t>
  </si>
  <si>
    <t>G250500042YR</t>
  </si>
  <si>
    <t>Ingram Micro (China) Limited</t>
  </si>
  <si>
    <t>QUO-1978984-B8V4J9</t>
  </si>
  <si>
    <t>LIC-MX250-SDW-1Y License for Sumitronics HK Ltd</t>
  </si>
  <si>
    <t>UID-25-05-0193</t>
  </si>
  <si>
    <t>L250600888IL</t>
  </si>
  <si>
    <t>E-License 118838912</t>
  </si>
  <si>
    <t>10-57595-11</t>
  </si>
  <si>
    <t>LIC-MX85-SDW-1Y License for Sumitronics HK Ltd</t>
  </si>
  <si>
    <t>UID-25-05-0195</t>
  </si>
  <si>
    <t>L250590178IL</t>
  </si>
  <si>
    <t>E-License 118838953</t>
  </si>
  <si>
    <t>10-57602-11</t>
  </si>
  <si>
    <t>PSUP on Cisco Products for Hong Kong Aero Engine Service Ltd</t>
  </si>
  <si>
    <t>UID-25-05-0183</t>
  </si>
  <si>
    <t>P AV/7485/MAMA/LS24</t>
  </si>
  <si>
    <t>Cisco IPT amend to Networking</t>
  </si>
  <si>
    <t>SNTP on Cisco Products for Rich Union Development Limited</t>
  </si>
  <si>
    <t>UID-25-04-0165</t>
  </si>
  <si>
    <t>L250590256CB</t>
  </si>
  <si>
    <t>PSRT on Cisco Products for PCCW Solutions Ltd - End User: Immigration Department</t>
  </si>
  <si>
    <t>UID-25-05-0217</t>
  </si>
  <si>
    <t>L250590264YR</t>
  </si>
  <si>
    <t>ZM1537266</t>
  </si>
  <si>
    <t>Purchase of Refurbished Cisco ISR4451-X-SEC/K9 etc for PCCW Solutions Limited - Immigration Department</t>
  </si>
  <si>
    <t>PSUP on Cisco Products for HABIB Bank Zurich (HK) Ltd</t>
  </si>
  <si>
    <t>1-cisco</t>
  </si>
  <si>
    <t>UID-25-05-0228</t>
  </si>
  <si>
    <t>L250600788ND</t>
  </si>
  <si>
    <t>PSRT on Cisco Products for Cordoba Homes Management Ltd</t>
  </si>
  <si>
    <t>UID-25-05-0226</t>
  </si>
  <si>
    <t>L250101015CB</t>
  </si>
  <si>
    <t>Value Networking Technology Ltd</t>
  </si>
  <si>
    <t>VTN20250501</t>
  </si>
  <si>
    <t>Annual Maintenance of SIP for East Hong Kong (Citzplaza Holding Limited)</t>
  </si>
  <si>
    <t>No UID due to historical cases in 2022</t>
  </si>
  <si>
    <t>G221100051GA</t>
  </si>
  <si>
    <t>Wong, Ada SK / Fok, Paul KC</t>
  </si>
  <si>
    <t>VTN20250301</t>
  </si>
  <si>
    <t>RNL20250456.V1</t>
  </si>
  <si>
    <t>PSS Basic Support for EX2300-48P for Mitsubishi Elevator Hong Kong Co Ltd</t>
  </si>
  <si>
    <t>UID-25-06-0014</t>
  </si>
  <si>
    <t>L240500745ND</t>
  </si>
  <si>
    <t>DN25000556</t>
  </si>
  <si>
    <t>IN25000556</t>
  </si>
  <si>
    <t>RNL20250417</t>
  </si>
  <si>
    <t>PSS Next Day Support for EX4300-32F etc for Bishop Ford Memorial School</t>
  </si>
  <si>
    <t>UID-25-06-0013</t>
  </si>
  <si>
    <t>W250600913L2</t>
  </si>
  <si>
    <t>Liang, Monster SY / Chow, Apple FP</t>
  </si>
  <si>
    <t>DN25000557</t>
  </si>
  <si>
    <t>IN25000557</t>
    <phoneticPr fontId="0" type="noConversion"/>
  </si>
  <si>
    <t>Standard Service for BIG-IP Virtual Edition for Rolex (Hong Kong) Ltd</t>
  </si>
  <si>
    <t>UID-25-06-0041</t>
  </si>
  <si>
    <t>G250490242CF</t>
  </si>
  <si>
    <t>SA ID#6030327</t>
  </si>
  <si>
    <t>BDP25-0634</t>
  </si>
  <si>
    <t>A-FLEX-3 Collaboration Flex Plan 3.0 for Vitasoy International Holdings Ltd</t>
  </si>
  <si>
    <t>UID-25-06-0037</t>
  </si>
  <si>
    <t>P CI/7493/MA/KW24</t>
  </si>
  <si>
    <t>ANYSL on L-AC-APX-LIC= for Working Family And Student Financial Assistance Agency</t>
  </si>
  <si>
    <t>UID-25-05-0173</t>
  </si>
  <si>
    <t>G250700148CP</t>
  </si>
  <si>
    <t>0Y034421000733</t>
  </si>
  <si>
    <t>Co-Care Premier S5720-LI-12TP 39 Months renewal for Hong Kong International Theme Parks Limited</t>
  </si>
  <si>
    <t>UID-25-06-0066</t>
  </si>
  <si>
    <t>L250490151AC</t>
  </si>
  <si>
    <t>SNTP on Cisco Products for HKT Teleservices (HK) Ltd</t>
  </si>
  <si>
    <t>UID-25-06-0080</t>
  </si>
  <si>
    <t>L240990014YR</t>
  </si>
  <si>
    <t>SNTP on Cisco Products for Hong Kong Applied Science and Technology Research Institute Co Ltd</t>
  </si>
  <si>
    <t>UID-25-06-0075</t>
  </si>
  <si>
    <t>G250690182TS, L250690183TS</t>
  </si>
  <si>
    <t>SNTP on Cisco Products for Hong Kong Applied Science and Technolgy Research Institute Co Ltd</t>
  </si>
  <si>
    <t>PSUP on Cisco Products for Caravel Resources Limited</t>
  </si>
  <si>
    <t>UID-25-06-0091</t>
  </si>
  <si>
    <t>L250600745J2</t>
  </si>
  <si>
    <t>PSRT on Cisco Products for Judiciary Administrator</t>
  </si>
  <si>
    <t>UID-25-06-0092</t>
  </si>
  <si>
    <t>L250901208IL</t>
  </si>
  <si>
    <t xml:space="preserve">Leung, Ida PS / Law, Carman KM </t>
  </si>
  <si>
    <t>SNTP on Cisco Products for Credit Agricole CIB</t>
  </si>
  <si>
    <t>UID-25-06-0101</t>
  </si>
  <si>
    <t>L250690212NP</t>
  </si>
  <si>
    <t>20250610-C00019-001</t>
  </si>
  <si>
    <t>H3 Care Basic 24x7x4 on H3C Network Access Switches for Sino Administration Services Ltd</t>
  </si>
  <si>
    <t>UID-25-06-0073</t>
  </si>
  <si>
    <t>L250690173WC</t>
  </si>
  <si>
    <t>SI25-02653</t>
  </si>
  <si>
    <t>0Y03442400500J</t>
  </si>
  <si>
    <t>Co-Care Premier on S5731-H24T4XC etc for Government Flying Service</t>
  </si>
  <si>
    <t>UID-25-06-0107</t>
  </si>
  <si>
    <t>L250301500IL</t>
  </si>
  <si>
    <t>250014NW</t>
  </si>
  <si>
    <t>Purchase of Refurbished Cisco SNS-3695-K9 for Hospital Authority (Request by Martin)00R97029</t>
  </si>
  <si>
    <t>HK00988</t>
  </si>
  <si>
    <t>HK00988-0</t>
  </si>
  <si>
    <t>PID20250604-HWMA-HKT-20153</t>
  </si>
  <si>
    <t>Gold Enchanced Plan 24x7x4 on S5700-28C-PWR etc for Hong Kong Baptist University</t>
  </si>
  <si>
    <t>UID-25-06-0123</t>
  </si>
  <si>
    <t>L250600803ND</t>
  </si>
  <si>
    <t>2025-HKT-0009</t>
  </si>
  <si>
    <t>ZM1540706</t>
  </si>
  <si>
    <t>1 Year 7x24x4 Onsite Hardware Maintenance Service for The Clearwater Bay Golf &amp; Country Club</t>
  </si>
  <si>
    <t>UID-25-06-0124</t>
  </si>
  <si>
    <t>L250700136TH</t>
  </si>
  <si>
    <t>MFSC25060001</t>
  </si>
  <si>
    <t>ZWX1216033</t>
  </si>
  <si>
    <t>CloudFabric Foundation SW License for Hong Kong Police Force</t>
  </si>
  <si>
    <t>UID-25-06-0153</t>
  </si>
  <si>
    <t>L250690279CO</t>
  </si>
  <si>
    <t>Co-Care Premier Service for Hong Kong Police Force</t>
  </si>
  <si>
    <t>PSUP on Cisco Products for PCCW Solutions Limited</t>
  </si>
  <si>
    <t>UID-25-06-0161</t>
  </si>
  <si>
    <t>L250700975YR</t>
  </si>
  <si>
    <t>SNTP on Cisco Products for FWD Life Insurance Company Bermuda Ltd</t>
  </si>
  <si>
    <t>PSRT on Cisco Products for CA Indosuez Switzerland Sa Hong Kong</t>
  </si>
  <si>
    <t>UID-25-06-0168</t>
  </si>
  <si>
    <t>L250600743JI</t>
  </si>
  <si>
    <t>ZWX1216033 / ZWX1216033 SnS</t>
  </si>
  <si>
    <t>Co-Care Premier NetEngine &amp; SNS License for Hong Kong Police Force</t>
  </si>
  <si>
    <t>L250690282CO</t>
  </si>
  <si>
    <t>6027171_v3</t>
  </si>
  <si>
    <t>BIG-IP Service Standard on F5 Eqpt for N2N-AFE (Hong Kong) Ltd</t>
  </si>
  <si>
    <t>UID-25-06-0178</t>
  </si>
  <si>
    <t>G250600128ND</t>
  </si>
  <si>
    <t>SA ID: 6027171</t>
  </si>
  <si>
    <t>BDP25-0710</t>
  </si>
  <si>
    <t>471859884 / 411859495 / 411859497 / 491860263 / 491860270 / 431859272 / 342102098</t>
  </si>
  <si>
    <t>PSRT, PSUP, PSJ3, SW on Cisco Products for The Bank of East Asia Limited</t>
  </si>
  <si>
    <t>UID-25-06-0190</t>
  </si>
  <si>
    <t>L241190263JI</t>
  </si>
  <si>
    <t>R-ISE-VMC-K9 Support for The Bank of East Asia Limited</t>
  </si>
  <si>
    <t>eDelivery</t>
  </si>
  <si>
    <t>99422077 / 99271671 / 4761930492</t>
  </si>
  <si>
    <t>ISE-SEC-SUB License for The Bank of East Asia Limited</t>
  </si>
  <si>
    <t>Purchase of Refurbished C9200L-48T-4G-E for Mtce Support and charge as CoS (Request by Martin)</t>
  </si>
  <si>
    <t>HK00990</t>
  </si>
  <si>
    <t>Purchase of Refurbished WS-C3560-48PS-S etc for Mtce Support and change as CoS (Request by Martin Ma)</t>
  </si>
  <si>
    <t>WF62500412</t>
  </si>
  <si>
    <t>WF12500726</t>
  </si>
  <si>
    <t>Purchase of Refurbished H3C LS-5100-48P, C9200L-48P for Mtce Support and charge as CoS (Request by Martin)</t>
  </si>
  <si>
    <t>00244752</t>
  </si>
  <si>
    <t>PSUP, PSRT, PSBU on Cisco Products for The Bank of East Asia Limited</t>
  </si>
  <si>
    <t>KDCHW20250326-245</t>
  </si>
  <si>
    <t>Co-Care Premier S5731-S24T4X for Our Lady of Maryknoll Hospital</t>
  </si>
  <si>
    <t>UID-25-06-0230</t>
  </si>
  <si>
    <t>P AL/7551/MA/CO25</t>
  </si>
  <si>
    <t>KKIN2501246</t>
  </si>
  <si>
    <t xml:space="preserve">PSRT on Cisco Products for King &amp; Wood Mallesons </t>
  </si>
  <si>
    <t>UID-25-06-0245</t>
  </si>
  <si>
    <t>L250600829CB</t>
  </si>
  <si>
    <t>PSRT on Cisco Products for King &amp; Wood Mallesons</t>
  </si>
  <si>
    <t>Purchase of Refurbished ASA5508-K9, C2911-AX/K9, etc for The Bank of East Asia Limited</t>
  </si>
  <si>
    <t>HK00994</t>
  </si>
  <si>
    <t>HK00994-0</t>
  </si>
  <si>
    <t>ZZ1541642</t>
  </si>
  <si>
    <t>Purchase of Refurbished WS-C3850-48U-S for King &amp; Wood Mallesons</t>
  </si>
  <si>
    <t>ZM1541977</t>
  </si>
  <si>
    <t>email on 19/3/2025</t>
  </si>
  <si>
    <t>Purchase of Refurbished WS-X45-SUP7L-E= for CCB International Holdings Ltd</t>
  </si>
  <si>
    <t>UID-25-06-0286</t>
  </si>
  <si>
    <t xml:space="preserve">G250600040JI  </t>
  </si>
  <si>
    <t>PSRT, PSBU on Cisco Products for CCB International Holdings Ltd</t>
  </si>
  <si>
    <t>G250600040JI</t>
  </si>
  <si>
    <t>RNL20250635</t>
  </si>
  <si>
    <t>PSS ND SUPT on EX2300-48T for Mary Rose School</t>
  </si>
  <si>
    <t>UID-24-07-0226</t>
  </si>
  <si>
    <t>W240801218IL</t>
  </si>
  <si>
    <t>Leung, Ida PS / Liang, Monster SY</t>
  </si>
  <si>
    <t>process last year</t>
  </si>
  <si>
    <t>DN25000679</t>
  </si>
  <si>
    <t>IN25000679</t>
  </si>
  <si>
    <t>0000Hd00603451202505060002</t>
  </si>
  <si>
    <t>Compact Optiacl Splitterm OptixXstar for Hospital Authority (Spare Parts)</t>
  </si>
  <si>
    <t>UID-25-06-0077</t>
  </si>
  <si>
    <t>L250290093AC</t>
  </si>
  <si>
    <t>Packing List NO#0Y03442500800DHWA0001G - 4G</t>
  </si>
  <si>
    <t>HL2522788</t>
  </si>
  <si>
    <t>ZM1542449</t>
  </si>
  <si>
    <t>Purchase of Refurbished CISCO2911-SEC/K9 for Government Records Service</t>
  </si>
  <si>
    <t>UID-25-07-0008</t>
  </si>
  <si>
    <t>L250790003NI</t>
  </si>
  <si>
    <t>Wed ID 99496420</t>
  </si>
  <si>
    <t>ASF-CEI-G-INSP-HC Cisco Inspection Service on Cisco Products for Rich Union Development Ltd</t>
  </si>
  <si>
    <t>PSRT on Cisco Products for Ocean Park Corporation Hong Kong</t>
  </si>
  <si>
    <t>5-cisco</t>
  </si>
  <si>
    <t>UID-25-07-0023</t>
  </si>
  <si>
    <t>L250600846TH</t>
  </si>
  <si>
    <t>PSUP on Cisco Products for Ocean Park Corporation Hong Kong</t>
  </si>
  <si>
    <t>6-cisco</t>
  </si>
  <si>
    <t>4-cisco</t>
  </si>
  <si>
    <t>3-cisco</t>
  </si>
  <si>
    <t>2-cisco</t>
  </si>
  <si>
    <t>ISE-SEC-SUB Cisco Identity Service for Ocean Park Corporation</t>
  </si>
  <si>
    <t>UID-25-07-0025</t>
  </si>
  <si>
    <t>G250600133TH</t>
  </si>
  <si>
    <t>ISE-SEC-SUB Cisco Identity Service for Ocean Park Corportation</t>
  </si>
  <si>
    <t>PSUP, PSBU on Cisco Products for CEB International Investment Corporation Limited</t>
  </si>
  <si>
    <t>UID-25-07-0040</t>
  </si>
  <si>
    <t>G250700069JI</t>
  </si>
  <si>
    <t>CITG Netherlands B.V. (Aliter)</t>
  </si>
  <si>
    <t>Purchase of Refurbished WS-C4500X-24X-IPB for CEB International Investment Corporation Limited</t>
  </si>
  <si>
    <t>S2589453</t>
  </si>
  <si>
    <t>PSUP on Cisco Products for Joint Universities Computer Centre Ltd</t>
  </si>
  <si>
    <t>UID-25-07-0038</t>
  </si>
  <si>
    <t>L250790027CB</t>
  </si>
  <si>
    <t>ZM1543193</t>
  </si>
  <si>
    <t>Purchase of Refurbished WS-C2960G-8TC-L, etc for Ocean Park Corporation</t>
  </si>
  <si>
    <t>7-Man Fung</t>
  </si>
  <si>
    <t>Network Media Limited</t>
  </si>
  <si>
    <t>PCCW-08072028-PL/MA</t>
  </si>
  <si>
    <t>Annual Support Renewal on SCR-5 for Joint Universities Computer Centre Ltd</t>
  </si>
  <si>
    <t>DN-23072025-PCCW-006</t>
  </si>
  <si>
    <t>Edvance Technology (Hong Kong) Limited</t>
  </si>
  <si>
    <t>ETHKQ25004038-01-R1</t>
  </si>
  <si>
    <t>SolarWinds Network Performance Annual Mtce for Joint Universities Computer Centre Ltd</t>
  </si>
  <si>
    <t>ETHKIF26001336</t>
  </si>
  <si>
    <t>0Y034424003439</t>
  </si>
  <si>
    <t>Co-Care Premier 21 Months on S5720-52P-PWR-LI for Welfare Electronic Component Ltd</t>
  </si>
  <si>
    <t>UID-25-07-0049</t>
  </si>
  <si>
    <t>L250800843ND</t>
  </si>
  <si>
    <t>SSTC, PSUP on Cisco Products for As Watson Retail HK Ltd</t>
  </si>
  <si>
    <t>UID-25-06-0270</t>
  </si>
  <si>
    <t>L250490062J3</t>
  </si>
  <si>
    <t xml:space="preserve">eDelivery </t>
  </si>
  <si>
    <t>KDCHW20241112-1032R4</t>
  </si>
  <si>
    <t>Co-Care Premier S5731-S24T4X for Grantham Hospital</t>
  </si>
  <si>
    <t>UID-24-02-0012</t>
  </si>
  <si>
    <t>P AL/6808/MA/BL23</t>
  </si>
  <si>
    <t>Yim, Theo TP / Fung, Hayden TC</t>
  </si>
  <si>
    <t>KKIN2501342</t>
  </si>
  <si>
    <t>RNL20250515</t>
  </si>
  <si>
    <t>CW PSS ND SUPT on EX2300-48T, etc for The Hong Kong Institute of Bankers</t>
  </si>
  <si>
    <t>1-cyberworld</t>
  </si>
  <si>
    <t>UID-25-06-0154</t>
  </si>
  <si>
    <t>L250500770KW</t>
  </si>
  <si>
    <t>DN25000732</t>
  </si>
  <si>
    <t>IN25000732</t>
  </si>
  <si>
    <t>RNL20250515.V1</t>
  </si>
  <si>
    <t>CW PSS ND SUPT for The Hong Kong Institute of Bankers</t>
  </si>
  <si>
    <t>Price increased fm USD 1,076.8 to USD 1,121.6, PO#1544590.R1</t>
  </si>
  <si>
    <t>ZM1544596</t>
  </si>
  <si>
    <t>1 Year 8x5xNBD Onsite Support on XS-S1920 for Yuen Long Govt Primary School</t>
  </si>
  <si>
    <t>1-tritech distribution limited</t>
  </si>
  <si>
    <t>UID-25-07-0050</t>
  </si>
  <si>
    <t>W250590189L3</t>
  </si>
  <si>
    <t>Liang, Aka ZH / Chan, Dongdong SC</t>
    <phoneticPr fontId="6" type="noConversion"/>
  </si>
  <si>
    <t>TTDN152500821</t>
  </si>
  <si>
    <t>TTINV132500792</t>
  </si>
  <si>
    <t>Co-Care Premier 12 Months for Hospital Authority</t>
  </si>
  <si>
    <t>UID-24-10-0108</t>
  </si>
  <si>
    <t>L250790007AC</t>
  </si>
  <si>
    <t>c/o UID-25-07-0070</t>
  </si>
  <si>
    <t>welcome kit</t>
  </si>
  <si>
    <t>email on 22/10/2025</t>
  </si>
  <si>
    <t>HL2527015</t>
  </si>
  <si>
    <t>ZM1543874</t>
  </si>
  <si>
    <t>Purchase of Refurbished CLC-T-RGD,WS-C2960X-48LPD for Hong Kong Housing Authority</t>
  </si>
  <si>
    <t>UID-25-07-0062</t>
  </si>
  <si>
    <t>L250490137CP</t>
  </si>
  <si>
    <t>Purchase of Refurbished S5560X-54S-EI, etc for Environmental Protection Department</t>
  </si>
  <si>
    <t>1-man fung</t>
  </si>
  <si>
    <t>UID-25-07-0065</t>
  </si>
  <si>
    <t>L250790065NI</t>
  </si>
  <si>
    <t>0000Hzwx1216033202504300012</t>
  </si>
  <si>
    <t>Co-Care Premier 7 Months Renewal on AR502H-5G for HK Police Force</t>
  </si>
  <si>
    <t>ZM1544617</t>
  </si>
  <si>
    <t>Purchase of Refurbished Huawei Optixstar P813E for Hospital Authority</t>
  </si>
  <si>
    <t>CommVerge Solutions Limited</t>
  </si>
  <si>
    <t>MX10003-MX204</t>
  </si>
  <si>
    <t>CVG-OnSite Support 7x24 for Joint Universities Computer Centre Ltd</t>
  </si>
  <si>
    <t>eamil</t>
  </si>
  <si>
    <t>TE-SUB CiscoThousandEyes Renewal for AsiaWorld-Expo Management Limited</t>
  </si>
  <si>
    <t>UID-25-07-0083</t>
  </si>
  <si>
    <t>L250700916J2</t>
  </si>
  <si>
    <t>Co-Care Premier S5731-S24T4X for TWGHS Fung Yiu King Hospital</t>
  </si>
  <si>
    <t>KKIN2501387</t>
  </si>
  <si>
    <t>PSRT on Cisco Products for TVB New Wings Ltd (777 Atelier Limited)</t>
  </si>
  <si>
    <t>UID-25-07-0080</t>
  </si>
  <si>
    <t>L250700908CB</t>
  </si>
  <si>
    <t>ZM1544707</t>
  </si>
  <si>
    <t>Purchase of Refurbished C6880-X-LE, etc for Vocational Training Council</t>
  </si>
  <si>
    <t>2-man fung</t>
  </si>
  <si>
    <t>UID-25-07-0085</t>
  </si>
  <si>
    <t>L250790081NI</t>
  </si>
  <si>
    <t>3 Years Onsite Hardware Mtce Service for Island South Property Management Ltd</t>
  </si>
  <si>
    <t>UID-25-07-0087</t>
  </si>
  <si>
    <t>L250901201CP</t>
  </si>
  <si>
    <t>MFSC25070003</t>
  </si>
  <si>
    <t>Purchase of Refurbished WS-C3560-24PS-S for Island South Property Management Ltd</t>
  </si>
  <si>
    <t>PSUP on Cisco Products for Office of The Government Chief Information Officer</t>
  </si>
  <si>
    <t>UID-25-07-0106</t>
  </si>
  <si>
    <t>L250901159CP</t>
  </si>
  <si>
    <t>PSRT on Cisco Products for Industrial Bank of Korea</t>
  </si>
  <si>
    <t>UID-25-07-0108</t>
  </si>
  <si>
    <t>L251100853KW</t>
  </si>
  <si>
    <t>UID-25-07-0110</t>
  </si>
  <si>
    <t>L250901197KW</t>
  </si>
  <si>
    <t>PSUP, PSRT on Cisco Products for Yau Lee Bldg Construction &amp; Decoration Company Ltd (HK Sanatorium &amp; Hospital)</t>
  </si>
  <si>
    <t>UID-25-07-0097</t>
  </si>
  <si>
    <t>L250790091NI</t>
  </si>
  <si>
    <t>Ng, Ivy WY / Lai, Fonnie WF</t>
  </si>
  <si>
    <t>ETHKQ26000496-1</t>
  </si>
  <si>
    <t>Maintenance Renewal SolarWinds Kiwi CatTools for LIVI Bank Ltd</t>
  </si>
  <si>
    <t>UID-25-07-0098</t>
  </si>
  <si>
    <t>G250900070KW</t>
  </si>
  <si>
    <t>ETHKIF26001521</t>
  </si>
  <si>
    <t>ZM1546100</t>
  </si>
  <si>
    <t>KC-2025904288</t>
  </si>
  <si>
    <t>3 Years Maintenance Service on PRTG Network Monitor for LIVI Bank Ltd</t>
  </si>
  <si>
    <t>UID-25-07-0107</t>
  </si>
  <si>
    <t>G250900069KW</t>
  </si>
  <si>
    <r>
      <t>This PO is yearly billing, so this Invoice only pay the 1</t>
    </r>
    <r>
      <rPr>
        <b/>
        <vertAlign val="superscript"/>
        <sz val="10"/>
        <color rgb="FFFF0000"/>
        <rFont val="Arial"/>
        <family val="2"/>
      </rPr>
      <t>st</t>
    </r>
    <r>
      <rPr>
        <b/>
        <sz val="10"/>
        <color rgb="FFFF0000"/>
        <rFont val="Arial"/>
        <family val="2"/>
      </rPr>
      <t xml:space="preserve"> year amount of USD9,128.49 for Period: 14 Sept 2025 to 14 Sept 2026. Thanks.</t>
    </r>
  </si>
  <si>
    <r>
      <t>1</t>
    </r>
    <r>
      <rPr>
        <vertAlign val="superscript"/>
        <sz val="11"/>
        <color rgb="FFFF0000"/>
        <rFont val="Aptos"/>
        <family val="2"/>
      </rPr>
      <t>st</t>
    </r>
    <r>
      <rPr>
        <sz val="11"/>
        <color rgb="FFFF0000"/>
        <rFont val="Aptos"/>
        <family val="2"/>
      </rPr>
      <t xml:space="preserve"> year amount of USD9,128.49 (14 Sept 2025 to 14 Sept 2026)</t>
    </r>
  </si>
  <si>
    <r>
      <t>2</t>
    </r>
    <r>
      <rPr>
        <b/>
        <vertAlign val="superscript"/>
        <sz val="10"/>
        <color rgb="FFFF0000"/>
        <rFont val="Arial"/>
        <family val="2"/>
      </rPr>
      <t>nd</t>
    </r>
    <r>
      <rPr>
        <b/>
        <sz val="10"/>
        <color rgb="FFFF0000"/>
        <rFont val="Arial"/>
        <family val="2"/>
      </rPr>
      <t xml:space="preserve"> year</t>
    </r>
  </si>
  <si>
    <r>
      <t>2</t>
    </r>
    <r>
      <rPr>
        <vertAlign val="superscript"/>
        <sz val="11"/>
        <color rgb="FFFF0000"/>
        <rFont val="Aptos"/>
        <family val="2"/>
      </rPr>
      <t>nd</t>
    </r>
    <r>
      <rPr>
        <sz val="11"/>
        <color rgb="FFFF0000"/>
        <rFont val="Aptos"/>
        <family val="2"/>
      </rPr>
      <t xml:space="preserve"> year amount of USD9,128.49 (14 Sept 2026 to 14 Sept 2027)</t>
    </r>
  </si>
  <si>
    <r>
      <t>3</t>
    </r>
    <r>
      <rPr>
        <b/>
        <vertAlign val="superscript"/>
        <sz val="8"/>
        <color rgb="FFFF0000"/>
        <rFont val="Arial"/>
        <family val="2"/>
      </rPr>
      <t>rd</t>
    </r>
    <r>
      <rPr>
        <b/>
        <sz val="10"/>
        <color rgb="FFFF0000"/>
        <rFont val="Arial"/>
        <family val="2"/>
      </rPr>
      <t xml:space="preserve"> year</t>
    </r>
  </si>
  <si>
    <r>
      <t>3</t>
    </r>
    <r>
      <rPr>
        <vertAlign val="superscript"/>
        <sz val="11"/>
        <color rgb="FFFF0000"/>
        <rFont val="Aptos"/>
        <family val="2"/>
      </rPr>
      <t>rd</t>
    </r>
    <r>
      <rPr>
        <sz val="11"/>
        <color rgb="FFFF0000"/>
        <rFont val="Aptos"/>
        <family val="2"/>
      </rPr>
      <t xml:space="preserve"> year amount of USD9,128.49 (14 Sept 2027 to 14 Sept 2028)</t>
    </r>
  </si>
  <si>
    <t>PSRT on Cisco Products for Hong Kong Sanatorium &amp; Hospital Limited</t>
  </si>
  <si>
    <t>UID-25-07-0113</t>
  </si>
  <si>
    <t>P AL/7517/MA/CP25</t>
  </si>
  <si>
    <t>ZM1545330</t>
  </si>
  <si>
    <t>Purchase of Refurbished H3C S3100V2-8TP-EI for Beautiful Sky Investment Ltd</t>
  </si>
  <si>
    <t>UID-25-07-0109</t>
  </si>
  <si>
    <t>P NE/7530/MA/TH25</t>
  </si>
  <si>
    <t>KDCHW20250708-511</t>
  </si>
  <si>
    <t>Co-Care Premier 12 Months on S5735-L8T4S-A1, etc for Wong Chuk Hang Hospital</t>
  </si>
  <si>
    <t>UID-25-07-0118</t>
  </si>
  <si>
    <t>P/7660/WAWA/YT25</t>
  </si>
  <si>
    <t>Yim, Theo TP / Lai, Fonnie WF</t>
  </si>
  <si>
    <t>KKIN2501388</t>
  </si>
  <si>
    <t>Austin Hughes Electronics Limited</t>
  </si>
  <si>
    <t>Q2507094</t>
  </si>
  <si>
    <t>1 Year extended warranty for Cyberview for Wong Chuk Hang Hospital</t>
  </si>
  <si>
    <t>C4P, SSTC on Cisco Products for Tam Jai International Global Share Service Company Ltd</t>
  </si>
  <si>
    <t>UID-25-07-0059</t>
  </si>
  <si>
    <t>L250500772TH</t>
  </si>
  <si>
    <t>0Y034424004131</t>
  </si>
  <si>
    <t>Co-Care Premier 5 Months Renewals on S5720-28X-SI for LIVI Bank Ltd</t>
  </si>
  <si>
    <t>2-huawei</t>
  </si>
  <si>
    <t>UID-25-07-0128</t>
  </si>
  <si>
    <t>L250800800KW</t>
  </si>
  <si>
    <t>HL2519904</t>
  </si>
  <si>
    <t>Purchase of Refurbished S5720-28X-SI-AC for LIVI Bank Ltd</t>
  </si>
  <si>
    <t>2-wah fung</t>
  </si>
  <si>
    <t>LIVI Bank Ltd</t>
  </si>
  <si>
    <t>WF62500483</t>
  </si>
  <si>
    <t>WF12500811</t>
  </si>
  <si>
    <t>SNTP on Cisco Products for Hong Kong Telecommunications (HKT ) Limited</t>
  </si>
  <si>
    <t>UID-25-07-0136</t>
  </si>
  <si>
    <t>H250800236YR</t>
  </si>
  <si>
    <t>RNL20250633</t>
  </si>
  <si>
    <t>CW PSS ND SUPT on EX2300-24T, etc for The IMC of CCC Kei FAAT Primary School</t>
  </si>
  <si>
    <t>1-Cyberworld</t>
  </si>
  <si>
    <t>UID-25-07-0137</t>
  </si>
  <si>
    <t>W250800989L3</t>
  </si>
  <si>
    <t>Liang, Aka ZH / Chan, Dongdong SC</t>
  </si>
  <si>
    <t>DN25000755</t>
  </si>
  <si>
    <t>IN25000755</t>
  </si>
  <si>
    <t>ZM1546591</t>
  </si>
  <si>
    <t>Penny Li</t>
  </si>
  <si>
    <t>SoftwareOne Hong Kong Limited</t>
  </si>
  <si>
    <t>HK-QUO-179205</t>
  </si>
  <si>
    <t>Reinstatement to Total Plus 100 with 3 Years for HKSH Eastern Medical Centre Ltd</t>
  </si>
  <si>
    <t>2a-Softwareone Hong Kong Limited</t>
  </si>
  <si>
    <t xml:space="preserve">L250790091NI </t>
  </si>
  <si>
    <t>email</t>
  </si>
  <si>
    <t>HK-PSI-227339</t>
  </si>
  <si>
    <t>ANYSL on Cisco Products for Architectural Services Dept</t>
  </si>
  <si>
    <t>1-Cisco</t>
  </si>
  <si>
    <t>UID-25-07-0146</t>
  </si>
  <si>
    <t>L250790109NI</t>
  </si>
  <si>
    <t>hkt-spare_v2_from_wowold</t>
  </si>
  <si>
    <t>Purchase of S5731-S48T4X, etc for Towngas (Request by Martin Ma)00K05136</t>
  </si>
  <si>
    <t>00K05136</t>
  </si>
  <si>
    <t>KKIN2501519</t>
  </si>
  <si>
    <t>ZM1547716</t>
  </si>
  <si>
    <t>Purchase of CISCO 2921-SEC/K9, etc for HK Telecommunications (HK) Ltd - CSL</t>
  </si>
  <si>
    <t>UID-25-07-0148</t>
  </si>
  <si>
    <t>L250600799YR</t>
  </si>
  <si>
    <t>SOHK01021</t>
  </si>
  <si>
    <t>HK01021-0</t>
  </si>
  <si>
    <t>RNL20250528</t>
  </si>
  <si>
    <t>PSS RTF Support for EX3400-48T, etc for The IMC of Tack Ching Girls Secondary School</t>
  </si>
  <si>
    <t>UID-25-07-0157</t>
  </si>
  <si>
    <t>W250701077L3</t>
  </si>
  <si>
    <t>DN25000754</t>
  </si>
  <si>
    <t>IN25000754</t>
  </si>
  <si>
    <t>SNTP, SNT on Cisco Products for Hong Kong Telecommunications Ltd</t>
  </si>
  <si>
    <t>UID-25-07-0155</t>
  </si>
  <si>
    <t>L250600797YR</t>
  </si>
  <si>
    <t>SNTP, SSTC, SNT on Cisco Products for Hong Kong Telecommunications Ltd</t>
  </si>
  <si>
    <t>PSBU on Cisco Products for Vocational Training Council</t>
  </si>
  <si>
    <t>PSRT on Cisco Products for The Chinese University of HK (Request by Martin Ma) WO#L78938</t>
  </si>
  <si>
    <t>PSRT, PSUP on Cisco Products for Ricoh Asia Pacific Operation Ltd</t>
  </si>
  <si>
    <t>UID-25-07-0168</t>
  </si>
  <si>
    <t>L250400812YR</t>
  </si>
  <si>
    <t>Yau, Ricky CH / Chan, Dongdong SC</t>
  </si>
  <si>
    <t>RO4 on Cisco Products for Ricoh Asia Pacific Operation Ltd</t>
  </si>
  <si>
    <t>PSRT, PSUP, PSBU on Cisco Products for The Chinese University of Hong Kong</t>
  </si>
  <si>
    <t>3-Cisco</t>
  </si>
  <si>
    <t>UID-25-07-0153</t>
  </si>
  <si>
    <t>L250590270LS</t>
  </si>
  <si>
    <t>Purchase of Refurbished WS-C2960X-48LPD-L, etc for Hospital Authority (Request by Martin Ma) WO#R97029</t>
  </si>
  <si>
    <t>00R97029</t>
  </si>
  <si>
    <t>Purchase of Refurbished WS-C3850-48U-S, etc for Credit Agricole CIB</t>
  </si>
  <si>
    <t>1-Man Fung</t>
  </si>
  <si>
    <t>UID-25-07-0174</t>
  </si>
  <si>
    <t>L250700938JI</t>
  </si>
  <si>
    <t>SNTP on Cisco Products for Usana Health Sciences NZ Corporation</t>
  </si>
  <si>
    <t>Amendment price increase</t>
  </si>
  <si>
    <t>GUNA Technologies Limited</t>
  </si>
  <si>
    <t>QUO-109432</t>
  </si>
  <si>
    <t>7x24x4 Support with Advance Hardware Replacement for ASMPT Technology HK Ltd</t>
  </si>
  <si>
    <t>2-GUNA</t>
  </si>
  <si>
    <t>UID-25-07-0189</t>
  </si>
  <si>
    <t>L250790017CF</t>
  </si>
  <si>
    <t>MSA</t>
  </si>
  <si>
    <t>INV-407083</t>
  </si>
  <si>
    <t>SNTP, SSTC on Cisco Products for Retail Biz &amp; Assets (HKT)</t>
  </si>
  <si>
    <t>UID-25-07-0205</t>
  </si>
  <si>
    <t>L250500688YR</t>
  </si>
  <si>
    <t>eDelivery 119074538</t>
  </si>
  <si>
    <t>SNTP on Cisco Products for Retail Biz &amp; Assets (HKT)</t>
  </si>
  <si>
    <t>UID-25-07-0207</t>
  </si>
  <si>
    <t>ZM1547317</t>
  </si>
  <si>
    <t>Purchase of Refurbished S5720-32X-EI-AC, etc for Hong Kong Metropolitan University</t>
  </si>
  <si>
    <t>2-Man Fung</t>
  </si>
  <si>
    <t>UID-25-07-0217</t>
  </si>
  <si>
    <t>P MT/7561/MAMA/ND25</t>
  </si>
  <si>
    <t>E-mail Quote Dated 11 Jul 2025</t>
  </si>
  <si>
    <t>H3Care Basic 24x7x4 Support on H3C Eqpt for ASMPT Technology HK Ltd</t>
  </si>
  <si>
    <t>1-Tech Data</t>
  </si>
  <si>
    <t>Man, Connie OM / Lai, Fonnie WF</t>
  </si>
  <si>
    <t>UGRENT</t>
  </si>
  <si>
    <t>25086528 RI / 25086529 RI</t>
  </si>
  <si>
    <t>3186298 / 3186301</t>
  </si>
  <si>
    <t>6020014 v1</t>
  </si>
  <si>
    <t>BIG-IP Service: Premium on F5 Eqpt for Fubon Bank (Hong Kong) Limited</t>
  </si>
  <si>
    <t>5-B&amp;Data</t>
  </si>
  <si>
    <t>UID-25-07-0210</t>
  </si>
  <si>
    <t>G250300074LS</t>
  </si>
  <si>
    <t>BDKD25-0748</t>
  </si>
  <si>
    <t>BDI25-1689</t>
  </si>
  <si>
    <t>B&amp;Data Professional Service 12 Tokens for Fubon Bank (Hong Kong) Limted</t>
  </si>
  <si>
    <t>6-B&amp;Data</t>
  </si>
  <si>
    <t>Leung, Sammi SM/ Fung, Hayden TC</t>
  </si>
  <si>
    <t>BDKD25-0765</t>
  </si>
  <si>
    <t>BDI25-1713</t>
  </si>
  <si>
    <t>PSRT on Cisco Products for PCCW Solutions Ltd C/O Water Services Dept of HK Govt</t>
  </si>
  <si>
    <t>UID-25-08-0003</t>
  </si>
  <si>
    <t>L251000948YR</t>
  </si>
  <si>
    <t>Lui Lo Wan</t>
  </si>
  <si>
    <t>E-mail Quote Dated 14 Jul 2025</t>
  </si>
  <si>
    <t>Purchase of Refurbished Ruckus ICX7150-24P-4X1G for KBQUEST Hong Kong Limited</t>
  </si>
  <si>
    <t>UID-25-08-0007</t>
  </si>
  <si>
    <t>L250700973TH</t>
  </si>
  <si>
    <t xml:space="preserve">PSRT on Cisco Products for Hospital Authority (Request by Martin Ma) </t>
  </si>
  <si>
    <t>ZM1550592</t>
  </si>
  <si>
    <t>Purchase of Refurbished HP 5500-24G-SFP EI Switch, etc for HKC Hotel Limited</t>
  </si>
  <si>
    <t>UID-24-07-0018</t>
  </si>
  <si>
    <t>L240700972AZ</t>
  </si>
  <si>
    <t xml:space="preserve">Amendment </t>
  </si>
  <si>
    <t>PSRT on Cisco Products for Avers Solutions Limited</t>
  </si>
  <si>
    <t>UID-25-08-0030</t>
  </si>
  <si>
    <t>L250901196CB</t>
  </si>
  <si>
    <t>Chan, Ina YK / Poon, Nelson kM</t>
  </si>
  <si>
    <t>Cancelled by Purchasing (Request by Cisco, change customer name)</t>
  </si>
  <si>
    <t>Cancel 14/10</t>
  </si>
  <si>
    <t>PSRT, PSBU on Cisco Products for The Clearwater Bay Golf &amp; Country Club</t>
  </si>
  <si>
    <t>UID-25-08-0017</t>
  </si>
  <si>
    <t>L250800822TH</t>
  </si>
  <si>
    <t>8-Cisco</t>
  </si>
  <si>
    <t>Purchase of Refurbished WS-C2960S-48FPS-L, etc for HKT Mtce Spare base and charge as CoS (RFQ#250084NW - Request by Martin)</t>
  </si>
  <si>
    <t>WF62500502</t>
  </si>
  <si>
    <t>WF12500853</t>
  </si>
  <si>
    <t>PSRT on Cisco Products for Office of The Government Chief Information Officer</t>
  </si>
  <si>
    <t>UID-25-08-0025</t>
  </si>
  <si>
    <t>L251001021CP</t>
  </si>
  <si>
    <t>6003392 1.1 / 1.2</t>
  </si>
  <si>
    <t>BIG-IP Service: Premium on F5 Eqpt for ET net Limited</t>
  </si>
  <si>
    <t>1-B&amp;Data</t>
  </si>
  <si>
    <t>UID-25-08-0041</t>
  </si>
  <si>
    <t>L250300072J3 &amp; L250300073J3</t>
  </si>
  <si>
    <t>BDP25-0936 / 0937</t>
  </si>
  <si>
    <t>BDI25-1367</t>
  </si>
  <si>
    <t>ZM1549903</t>
  </si>
  <si>
    <t>RNL20250211</t>
  </si>
  <si>
    <t>PSS SD SUPT on EX3400-24T for SMBC Nikko Securities (HK) Ltd</t>
  </si>
  <si>
    <t>1A-Cyberworld</t>
  </si>
  <si>
    <t>UID-25-08-0046</t>
  </si>
  <si>
    <t>L250290084CB</t>
  </si>
  <si>
    <t>DN25000821</t>
  </si>
  <si>
    <t>IN25000821</t>
  </si>
  <si>
    <t>RNL20250628</t>
  </si>
  <si>
    <t>PSS Same Day Support on EX4600-40F-AFO for Judiciary Administrator</t>
  </si>
  <si>
    <t>UID-25-08-0048</t>
  </si>
  <si>
    <t>L250600828IL</t>
  </si>
  <si>
    <t>DN26000320</t>
  </si>
  <si>
    <t>IN26000320</t>
  </si>
  <si>
    <t>SNT on Cisco Products for FWD Life Insurance Company (Bermuda) Ltd</t>
  </si>
  <si>
    <t>17-Cisco</t>
  </si>
  <si>
    <t>1 Year Onsite Hardware Mtce Service on EX3300-24T for Judiciary Administrator</t>
  </si>
  <si>
    <t>MFSC25080001</t>
  </si>
  <si>
    <t>Purchase of Refurbished Huawei 600GB for Servier Hard Disk (Request by Martin Ma)</t>
  </si>
  <si>
    <t>K09867</t>
  </si>
  <si>
    <t>WF62500511</t>
  </si>
  <si>
    <t>WF12500862</t>
  </si>
  <si>
    <t>Purchase of Refurbished WS-C2960XR-24PS-I, etc for The Clearwater Bay Golf &amp; Country Club</t>
  </si>
  <si>
    <t>Puchase of Refurbished WS-C3650-24TD-E, etc for Mtce Support and charge as CoS (RFQ#250014NW Request by Martin)</t>
  </si>
  <si>
    <t>SOHK01029</t>
  </si>
  <si>
    <t>HK01029-0</t>
  </si>
  <si>
    <t>Purchase of Refurbished WS-X45-SUP6-E/2, etc for Mtce Support and charge as CoS (RFQ#250014NW Request by Martin)</t>
  </si>
  <si>
    <t>WF62500543</t>
  </si>
  <si>
    <t>WF12500914</t>
  </si>
  <si>
    <t>Purchase of Refurbished N9K-X9736PQ for Mtce Support and charge as CoS (RFQ#250029NW Request by Martin)</t>
  </si>
  <si>
    <t>Order: S2592646</t>
  </si>
  <si>
    <t>Purchase of Refurbished Huawei S5735-L24P4X-A1, etc for Mtce Support and charge as CoS F5016</t>
  </si>
  <si>
    <t>HK01024-1</t>
  </si>
  <si>
    <t>HK01024-0</t>
  </si>
  <si>
    <t>Quote Dated: 13 Aug 2025</t>
  </si>
  <si>
    <t>Ruijie Renewal 1 Year 8x5xNBD Onsite Support for Fanling Public School</t>
  </si>
  <si>
    <t>1-Tritech</t>
  </si>
  <si>
    <t>UID-25-08-0081</t>
  </si>
  <si>
    <t>W250800865L3</t>
  </si>
  <si>
    <t>TTDN152501123</t>
  </si>
  <si>
    <t>TTINV132501066</t>
  </si>
  <si>
    <t>Purchase of Refurbished N5K-C5596UP-FA for PCCW-HKT- Limited</t>
  </si>
  <si>
    <t>UID-25-08-0075</t>
  </si>
  <si>
    <t>L250800746YR</t>
  </si>
  <si>
    <t>ZM1550393</t>
  </si>
  <si>
    <t>Purchase of Refurbished C9200L-24P-4X-E for Rich Union Development Limited</t>
  </si>
  <si>
    <t>11-Man Fung</t>
  </si>
  <si>
    <t>Rich Union Development Limited</t>
  </si>
  <si>
    <t>RNL20250311</t>
  </si>
  <si>
    <t>PSS ND SUPT EX2300-C-12T, etc for The Fullerton Ocean Park Hotel (Parkland HK Ltd)</t>
  </si>
  <si>
    <t>UID-25-08-0097</t>
  </si>
  <si>
    <t>P/7526/MAMA/CF24</t>
  </si>
  <si>
    <t>DN25000847</t>
  </si>
  <si>
    <t>IN25000847</t>
  </si>
  <si>
    <t>Purchase of Refurbished S5735-S24P4X, etc for The Fullerton Ocean Park Hotel (Parkland HK Ltd)</t>
  </si>
  <si>
    <t>9-Man Fung</t>
  </si>
  <si>
    <t>PSRT on Cisco Products for AASTOCK.COM LIMITED</t>
  </si>
  <si>
    <t>UID-25-08-0100</t>
  </si>
  <si>
    <t>L250600734CB</t>
  </si>
  <si>
    <t>Purchase of Refurbished WS-C3650-24TS-E for AA STOCK.COM LIMITED</t>
  </si>
  <si>
    <t>0Y034424003230</t>
  </si>
  <si>
    <t>Co-Care Premier 12 Months Renewals on S6730-H48X6C, etc for The Fullerton Ocean Park Hotel (Parkland HK Limited)</t>
  </si>
  <si>
    <t>3-Huawei</t>
  </si>
  <si>
    <t>UID-25-08-0105</t>
  </si>
  <si>
    <t>G250900087IL</t>
  </si>
  <si>
    <t>UID-25-08-0104</t>
  </si>
  <si>
    <t>L250790223IL</t>
  </si>
  <si>
    <t>ZM1550594</t>
  </si>
  <si>
    <t>HKT_20250815_01</t>
  </si>
  <si>
    <t>Purchase of Refurbished HP 5130-24G-POE+-4SFP, etc for HKC Hotel Limited</t>
  </si>
  <si>
    <t>1-PICS Telecom</t>
  </si>
  <si>
    <t>HK01028</t>
  </si>
  <si>
    <t>HK01028-0</t>
  </si>
  <si>
    <t>PSRT, PSUP on Cisco Products for Customs &amp; Excise Department</t>
  </si>
  <si>
    <t>UID-25-08-0127</t>
  </si>
  <si>
    <t>L250890154IL</t>
  </si>
  <si>
    <t>ISE-SEC-SUB Cisco Indentity Service for The Legislative Council</t>
  </si>
  <si>
    <t>2-Cisco</t>
  </si>
  <si>
    <t>PSRT on Cisco Products for Vocational Training Council</t>
  </si>
  <si>
    <t>UID-25-08-0133</t>
  </si>
  <si>
    <t>L251001054CP</t>
  </si>
  <si>
    <t>ZM1550852</t>
  </si>
  <si>
    <t>Purchase of Refurbished Nortel ERS 4550T-PWR Ethermet Routing for Howse Williams</t>
  </si>
  <si>
    <t>UID-25-08-0137</t>
  </si>
  <si>
    <t>P/7381/MAMA/CB25</t>
  </si>
  <si>
    <t>Purchase of Refurbished Cisco Catalyst 4500 1000W AC Power Supply for Caravel Resources Ltd</t>
  </si>
  <si>
    <t>UID-25-08-0145</t>
  </si>
  <si>
    <t>L250890032J2</t>
  </si>
  <si>
    <t>UID-25-08-0150</t>
  </si>
  <si>
    <t>L250890042JI</t>
  </si>
  <si>
    <t>ZM1552045</t>
  </si>
  <si>
    <t>Purchase of Refurbished WS-C2960-24PC-L, etc for Ocean Park Corporation</t>
  </si>
  <si>
    <t>G250600134TH</t>
  </si>
  <si>
    <t>HK01037</t>
  </si>
  <si>
    <t>HK01037-0</t>
  </si>
  <si>
    <t>PSRT on Cisco Products for Customs &amp; Excise Department</t>
  </si>
  <si>
    <t>UID-25-08-0170</t>
  </si>
  <si>
    <t>L250390046YR</t>
  </si>
  <si>
    <t>KDCHW20250714-534</t>
  </si>
  <si>
    <t xml:space="preserve">Co-Care Premier 12 Months Renewals on S5731-S24T4X for Pok Oi Hospital </t>
  </si>
  <si>
    <t>5-Karin</t>
  </si>
  <si>
    <t>UID-25-08-0176</t>
  </si>
  <si>
    <t>P/7612/MAMA/YT25</t>
  </si>
  <si>
    <t>KKIN2501648</t>
  </si>
  <si>
    <t>Purchase of Refurbished N3K-C3172TQ-10GT, etc for Vocational Training Council</t>
  </si>
  <si>
    <t>UID-25-08-0193</t>
  </si>
  <si>
    <t>L250800842CP</t>
  </si>
  <si>
    <t>Cancel 10/9</t>
  </si>
  <si>
    <t>PSUP on Cisco Products for Vocational Training Council</t>
  </si>
  <si>
    <t>F5_250116_HKT_BOC_299949_v1</t>
  </si>
  <si>
    <t>B&amp;D Maintenance Support on F5 Eqpt for Bank of China (HK) Limited</t>
  </si>
  <si>
    <t>UID-25-08-0201</t>
  </si>
  <si>
    <t>G250700038AW</t>
  </si>
  <si>
    <t>Wong, Ada SK / Yuen, Vivien MC</t>
  </si>
  <si>
    <t>BDKD25-0636</t>
  </si>
  <si>
    <t>BDI25-1416</t>
  </si>
  <si>
    <t>PSUP, PSRT on Cisco Products for Fubon Bank Hong Kong Ltd</t>
  </si>
  <si>
    <t>8-Cisco Part 1</t>
  </si>
  <si>
    <t>8-Cisco  Part 2</t>
  </si>
  <si>
    <t>PSUP on Cisco Products for Fubon Bank Hong Kong Ltd</t>
  </si>
  <si>
    <t>8-Cisco Part 3</t>
  </si>
  <si>
    <t>Purchase of Refurbished PWR-1941-AC for Caben Asia Pacific Limited</t>
  </si>
  <si>
    <t>UID-25-08-0271</t>
  </si>
  <si>
    <t>L250790097TH</t>
  </si>
  <si>
    <t>Web Order ID 99838552</t>
  </si>
  <si>
    <t>Cisco Hardware Success Tracks Support package for AsiaWorld-Expo Management Limited</t>
  </si>
  <si>
    <t>UID-25-08-0300</t>
  </si>
  <si>
    <t>L250890238J2</t>
  </si>
  <si>
    <t>6501107118 / 6501107121</t>
  </si>
  <si>
    <t>3177466 / 3177468</t>
  </si>
  <si>
    <t>1 Year Onsite Maintenance Service for Ricoh Asia Pacific Operations Ltd</t>
  </si>
  <si>
    <t>UID-25-08-0348</t>
  </si>
  <si>
    <t>H250400572YR</t>
  </si>
  <si>
    <t xml:space="preserve">MFSC25090001 </t>
  </si>
  <si>
    <t>1A- Man Fung</t>
  </si>
  <si>
    <t>H250400573YR</t>
  </si>
  <si>
    <t>Yau, Ricky CH / Chan Dongdong SC</t>
  </si>
  <si>
    <t xml:space="preserve">MFSC25100001 </t>
  </si>
  <si>
    <t>BIG-IP Service Premium on F5 Eqpt for The HK &amp; China Gas Co Ltd</t>
  </si>
  <si>
    <t>UID-25-08-0428</t>
  </si>
  <si>
    <t>L250590091KW</t>
  </si>
  <si>
    <t>BDKD25-0635</t>
  </si>
  <si>
    <t>BDI25-1415</t>
  </si>
  <si>
    <t>HKT_20251105_01</t>
  </si>
  <si>
    <t>Purchase of Refurbished C9200-24T-E, etc for Hong Kong Air Cargo Terminals Ltd</t>
  </si>
  <si>
    <t>1-PICS Telecom Int'l</t>
  </si>
  <si>
    <t>UID-25-08-0425</t>
  </si>
  <si>
    <t>L250890131KW</t>
  </si>
  <si>
    <t>HK01075</t>
  </si>
  <si>
    <t>HK01075-0</t>
  </si>
  <si>
    <t>0Y03442300120Y</t>
  </si>
  <si>
    <t>Co-Care Premier 12 Months on S5731-S48T4X, etc for The HK &amp; China Gas Co Ltd</t>
  </si>
  <si>
    <t>2-Huawei</t>
  </si>
  <si>
    <t>HL2524034</t>
    <phoneticPr fontId="0" type="noConversion"/>
  </si>
  <si>
    <t>0Y03442400040H</t>
  </si>
  <si>
    <t>Co-Care Premier 12 Months on S5731-S24T4X for The HK &amp; China Gas Co Ltd</t>
  </si>
  <si>
    <t>HL2524028</t>
    <phoneticPr fontId="0" type="noConversion"/>
  </si>
  <si>
    <t>0Y03442301060T</t>
  </si>
  <si>
    <t>4-Huawei</t>
  </si>
  <si>
    <t>HL2524086</t>
    <phoneticPr fontId="0" type="noConversion"/>
  </si>
  <si>
    <t>0Y03442400790N</t>
  </si>
  <si>
    <t>Co-Care Premier 12 Months on S5731-S48T4X for The HK &amp; China Gas Co Ltd</t>
  </si>
  <si>
    <t>7A-Huawei</t>
  </si>
  <si>
    <t>HL2524033</t>
    <phoneticPr fontId="0" type="noConversion"/>
  </si>
  <si>
    <t>UID-25-08-0365</t>
  </si>
  <si>
    <t>L250890218J3</t>
  </si>
  <si>
    <t xml:space="preserve">Cisco International Limited </t>
  </si>
  <si>
    <t>PSRT on Cisco Products for Hong Kong Education City Limited</t>
  </si>
  <si>
    <t>UID-25-08-0429</t>
  </si>
  <si>
    <t>W250800904L3</t>
  </si>
  <si>
    <t>Purchase of Refurbished WS-X4712-SFP+E for The Peninsula Hong Kong</t>
  </si>
  <si>
    <t>UID-25-09-0010</t>
  </si>
  <si>
    <t>L250800834CF</t>
  </si>
  <si>
    <t>Mak, Connie OM / Poon, Nelson KH</t>
    <phoneticPr fontId="6" type="noConversion"/>
  </si>
  <si>
    <t>ZM1552873</t>
  </si>
  <si>
    <t>Q2507128</t>
  </si>
  <si>
    <t xml:space="preserve">1 Year warranty for Cyberview on RKP119-S1601e for Kwong Wah Hospital </t>
  </si>
  <si>
    <t>4-Austin Hughes Electronics Ltd</t>
  </si>
  <si>
    <t>UID-25-08-0432</t>
  </si>
  <si>
    <t>P/7066/WAWA/YT25</t>
  </si>
  <si>
    <t>RNL20250710</t>
  </si>
  <si>
    <t>CW PSS ND SUPT on EX2300-48T for Mary Rose School</t>
  </si>
  <si>
    <t>UID-25-09-0002</t>
  </si>
  <si>
    <t>W250800936L2</t>
  </si>
  <si>
    <t>DN25000929</t>
  </si>
  <si>
    <t>IN25000929</t>
  </si>
  <si>
    <t>0Y03442400740G</t>
  </si>
  <si>
    <t>Co-Care Premier 12 Months on S5735-S48T4X for Water Oasis Company Limited</t>
  </si>
  <si>
    <t>1-Huawei</t>
  </si>
  <si>
    <t>UID-25-09-0021</t>
  </si>
  <si>
    <t>L251001055CF</t>
  </si>
  <si>
    <t>Mak, Connie OM / Poon, Nelson KH</t>
  </si>
  <si>
    <t>H3Care Basic 8x5xNBD on LS-5130S-52S for China Minsheng Banking Corp Ltd</t>
  </si>
  <si>
    <t>3-Tech Data</t>
  </si>
  <si>
    <t>UID-25-09-0022</t>
  </si>
  <si>
    <t>P AV/7650/MA/JI25</t>
  </si>
  <si>
    <t>25087500 RI</t>
  </si>
  <si>
    <t>Exclusive Networks JJNet Hong Kong Limited</t>
  </si>
  <si>
    <t>KY25031401 (Rev1)</t>
  </si>
  <si>
    <t>ICX7250-SVL, WatchDog NBD Parts Support for The Fullerton Ocean Park Hotel</t>
  </si>
  <si>
    <t>10-JJNet</t>
  </si>
  <si>
    <t>IF0825865</t>
  </si>
  <si>
    <t>INHK020000774</t>
  </si>
  <si>
    <t>Purchase of Refurbished WS-C2960S-48FPS-L, etc to support Mtce Base and charge as CoS.  (RFQ#250127NW Request by Martin Ma)</t>
  </si>
  <si>
    <t>SOHK01040</t>
  </si>
  <si>
    <t>INV#HK01040-0</t>
  </si>
  <si>
    <t>Purchase of Refurbished PAC60S12-AN, etc to support Mtce Base and charge as CoS. (RFQ#250127NW Request by Martin Ma)</t>
  </si>
  <si>
    <t>Purchase of Refurbished N9K-X9736PQ to support Mtce Base and charge as Cos. (RFQ#250131NW Request by Martin Ma)</t>
  </si>
  <si>
    <t>Cancel PO and issue PR for same items</t>
  </si>
  <si>
    <t>Cancel 4/9</t>
  </si>
  <si>
    <t>PSUP on Cisco Products for Peak Tramways Via Meco Engineering Ltd</t>
  </si>
  <si>
    <t>5-Cisco</t>
  </si>
  <si>
    <t>UID-25-08-0410</t>
  </si>
  <si>
    <t>G250900072CF</t>
  </si>
  <si>
    <t>PSRT on Cisco Products for Pacific Century Asset Mgt HK Ltd</t>
  </si>
  <si>
    <t>UID-25-09-0054</t>
  </si>
  <si>
    <t>L250201280YR</t>
  </si>
  <si>
    <t>Purchase of Refurbished N9K-C9508-FM to support Mtce Base and charge as CoS. (RFQ#250131NW Request by Martin Ma)</t>
  </si>
  <si>
    <t>WF62500568</t>
  </si>
  <si>
    <t>WF12500957</t>
  </si>
  <si>
    <t>PSUP on Cisco Products for The Hong Kong &amp; China Gas Co Ltd</t>
  </si>
  <si>
    <t>6-Cisco</t>
  </si>
  <si>
    <t>6005367_v1</t>
  </si>
  <si>
    <t>BIG-IP Service Premium on F5 Eqpt for Pacific Century Asset Management (HK) Limited</t>
  </si>
  <si>
    <t>4-B&amp;Data</t>
  </si>
  <si>
    <t>BDKD25-0655</t>
  </si>
  <si>
    <t>BDI25-1502</t>
  </si>
  <si>
    <t>Purchase of Refurbished N9K-X9736PQ to support Mtce Base and charge as CoS. (RFQ#250131NW, request by Martin Ma)</t>
  </si>
  <si>
    <t>SO HK01036</t>
  </si>
  <si>
    <t>HK01036-0</t>
  </si>
  <si>
    <t>Heidy Lam</t>
  </si>
  <si>
    <t>Global Technology Integrator Ltd</t>
  </si>
  <si>
    <t>SI-MQ-254724</t>
  </si>
  <si>
    <t>Mtce Renewal for InMon Traffic Sentinel for Hospital Authority</t>
  </si>
  <si>
    <t>1-Global Technology Integrator Ltd</t>
  </si>
  <si>
    <t>UID-25-09-0061</t>
  </si>
  <si>
    <t>L250600816YT</t>
  </si>
  <si>
    <t>MA-SI-2509612R9</t>
  </si>
  <si>
    <t>BMI2025090033</t>
  </si>
  <si>
    <t>ZM1554430</t>
  </si>
  <si>
    <t>RNL20250709</t>
  </si>
  <si>
    <t>PSS RTF Support for EX2300-24T, etc for Dr Catherine F Woo Memorial School</t>
  </si>
  <si>
    <t>UID-25-09-0062</t>
  </si>
  <si>
    <t>W250800861L2</t>
  </si>
  <si>
    <t>DN25000939</t>
  </si>
  <si>
    <t>IN25000939</t>
  </si>
  <si>
    <t>PSUP on Cisco Products for Kim Eng Securities Hong Kong Ltd</t>
  </si>
  <si>
    <t>UID-25-09-0089</t>
  </si>
  <si>
    <t>L250301560JI</t>
  </si>
  <si>
    <t>KDCHW20240920-840R2</t>
  </si>
  <si>
    <t>Co-Care Premier S5731-S24T4X for The Cheshire Home, Chung Hom Kok</t>
  </si>
  <si>
    <t>7-Karin</t>
  </si>
  <si>
    <t>UID-25-09-0081</t>
  </si>
  <si>
    <t>P/7646/MAMA/YT25</t>
  </si>
  <si>
    <t>KKIN2501771</t>
  </si>
  <si>
    <t>PSRT on Cisco Products for KPMG Hong Kong</t>
  </si>
  <si>
    <t>UID-25-09-0138</t>
  </si>
  <si>
    <t>L250990033AC</t>
  </si>
  <si>
    <t>UID-25-09-0136</t>
  </si>
  <si>
    <t>L250990149IL</t>
  </si>
  <si>
    <t>QUO-2183887-L1Q4V8</t>
  </si>
  <si>
    <t>PSS Next Day Support for EX2300-C-12P for Hong Kong Air Cargo Terminals Ltd (HACTL)</t>
  </si>
  <si>
    <t>1-Ingram Micro</t>
  </si>
  <si>
    <t>UID-25-09-0201</t>
  </si>
  <si>
    <t>L250990173WC</t>
  </si>
  <si>
    <t xml:space="preserve">Wong, Cammy SL / Lai, Fonnie WF </t>
  </si>
  <si>
    <t xml:space="preserve">Agreement # 0068380942 </t>
  </si>
  <si>
    <t>10-83652-11</t>
  </si>
  <si>
    <t>Purchase of Refurbished Juniper Switch EX2300-C-12P for Hong Kong Air Cargo Terminals Ltd (HACTL)</t>
  </si>
  <si>
    <t>PSUP on Cisco Products for Livi Bank Ltd</t>
  </si>
  <si>
    <t>UID-25-09-0215</t>
  </si>
  <si>
    <t>G251000064KW</t>
  </si>
  <si>
    <t>W.O. D34444</t>
  </si>
  <si>
    <t>Purchase of Refurbished WS-C2960-24TC-L for Drainage Services Department</t>
  </si>
  <si>
    <t>UID-25-09-0234</t>
  </si>
  <si>
    <t>L250990154CP</t>
  </si>
  <si>
    <t>W.O. J14052</t>
  </si>
  <si>
    <t>PSUP on Cisco Products for HK Exchanges &amp; Clearing Ltd</t>
  </si>
  <si>
    <t>UID-25-09-0238</t>
  </si>
  <si>
    <t>G250900056KW</t>
  </si>
  <si>
    <t>MASS13272</t>
  </si>
  <si>
    <t>PSRT on Cisco Products for CA-CIB (warranty gap to WO#V88541 Request by Martin)</t>
  </si>
  <si>
    <t>00V88541</t>
  </si>
  <si>
    <t xml:space="preserve">WO V88541 </t>
  </si>
  <si>
    <t>email (only first 2 items)</t>
  </si>
  <si>
    <t>Purchase of Refurbished Meraki Switch for Keppel Seghers Hong Kong Ltd</t>
  </si>
  <si>
    <t>3-Man Fung</t>
  </si>
  <si>
    <t>UID-25-09-0236</t>
  </si>
  <si>
    <t>L250990202NP</t>
  </si>
  <si>
    <t>Keppel Seghers Hong Kong Ltd</t>
  </si>
  <si>
    <t>WB</t>
  </si>
  <si>
    <t>6217826 - cancelled</t>
  </si>
  <si>
    <t>RO4 on Meraki Switch for Keppel Seghers Hong Kong Ltd</t>
  </si>
  <si>
    <t>Wed ID 99993101</t>
  </si>
  <si>
    <t>License and Support on Meraki Switch for Keppel Seghers Hong Kong Ltd</t>
  </si>
  <si>
    <t>9999767014 / 9999756397</t>
  </si>
  <si>
    <t>318071 / 3180734</t>
  </si>
  <si>
    <t>RNL20250809</t>
  </si>
  <si>
    <t>Juniper Switch Maintenance Renewal for Kwai Tsing District Health Centre (YCHB) // Yan Chai Hospital</t>
  </si>
  <si>
    <t>UID-25-09-0285</t>
  </si>
  <si>
    <t>L250901209YT</t>
  </si>
  <si>
    <t>DN25001011</t>
  </si>
  <si>
    <t>IN25001011</t>
  </si>
  <si>
    <t>KDCHW20250815-674</t>
  </si>
  <si>
    <t>Co-Care Premier S5731-S24T4X for HAHO</t>
  </si>
  <si>
    <t>6-Karin</t>
  </si>
  <si>
    <t>UID-25-09-0288</t>
  </si>
  <si>
    <t>P /7608/MAMA/YT25</t>
  </si>
  <si>
    <t>KKIN2501926</t>
  </si>
  <si>
    <t>PSUP on Cisco Products for Transport Department</t>
  </si>
  <si>
    <t>UID-25-09-0317</t>
  </si>
  <si>
    <t>L250990230NI</t>
  </si>
  <si>
    <t>MASS14106</t>
  </si>
  <si>
    <t>Purchase of Refurbished Cisco ISR 4321 Sec bundle w/SEC license, (P/N: ISR4321-SEC/K9 &amp; ISR4451-X-SEC/K9) for Transport Department</t>
  </si>
  <si>
    <t>Transport Department</t>
  </si>
  <si>
    <t>ZM1558473</t>
  </si>
  <si>
    <t>Purchase of Refurbished Cisco Catalyst 9200L 247-port PoE+, 4x10G, Network Essentials for Transport Department</t>
  </si>
  <si>
    <t>SO:HK01054</t>
  </si>
  <si>
    <t>HK01054-0</t>
  </si>
  <si>
    <t>SNTP on Cisco Products for Hong Kong Telecommunicatins HKT Ltd</t>
  </si>
  <si>
    <t>UID-25-09-0324</t>
  </si>
  <si>
    <t>L250702907YR</t>
  </si>
  <si>
    <t>J87597 &amp; D20429</t>
  </si>
  <si>
    <t>SNTP on Cisco Products for HKT ENGINEERING</t>
  </si>
  <si>
    <t>UID-25-09-0322</t>
  </si>
  <si>
    <t xml:space="preserve">L250990229YR </t>
  </si>
  <si>
    <t>D38098</t>
  </si>
  <si>
    <t>SNTP on Cisco Products for PCCW-HKT LTD</t>
  </si>
  <si>
    <t>UID-25-09-0170</t>
  </si>
  <si>
    <t>L250901136YR</t>
  </si>
  <si>
    <t>I70960, I70961</t>
  </si>
  <si>
    <t>SNTP on Cisco Products for BUSINESS AND ASSETS OF HKTC (HKT)</t>
  </si>
  <si>
    <t>UID-25-09-0171</t>
  </si>
  <si>
    <t>G251000023YR</t>
  </si>
  <si>
    <t>I70958, I70959</t>
  </si>
  <si>
    <t>SNTP on Cisco Products for The Hong Kong &amp; Shanghai Banking Corporation Ltd</t>
  </si>
  <si>
    <t>UID-25-09-0325</t>
  </si>
  <si>
    <t>G251000021YR</t>
  </si>
  <si>
    <t>I88308 , I88309 , I88324</t>
  </si>
  <si>
    <t>SSTC, SNTP on Cisco Products for PCCW Powerbase Data Centre Services (HK) Ltd</t>
  </si>
  <si>
    <t>UID-25-09-0316</t>
  </si>
  <si>
    <t>L250901138YR</t>
  </si>
  <si>
    <t>D54891</t>
  </si>
  <si>
    <t>9999772503 / (9999772510 $0)</t>
  </si>
  <si>
    <t>RNL20250825</t>
  </si>
  <si>
    <t>CW PSS ND SUPT EX2300-24T for Salesian School</t>
  </si>
  <si>
    <t>UID-25-09-0368</t>
  </si>
  <si>
    <t>W250901287L3</t>
  </si>
  <si>
    <t xml:space="preserve">Liang, Aka ZH / Chan, Dongdong SC </t>
  </si>
  <si>
    <t>D87066-1</t>
  </si>
  <si>
    <t>DN25001010</t>
  </si>
  <si>
    <t>IN25001010</t>
  </si>
  <si>
    <t>451962887</t>
  </si>
  <si>
    <t>UID-25-09-0394</t>
  </si>
  <si>
    <t>L250990269IL</t>
  </si>
  <si>
    <t>Leung, Ida PS / Law Carman KM</t>
  </si>
  <si>
    <t>J29828</t>
  </si>
  <si>
    <t>ZM1557111</t>
  </si>
  <si>
    <t>Purchase of Refurbished Cisco ISR4321-SEC/K9, LT 1-3 weeks for Customs &amp; Excise Department</t>
  </si>
  <si>
    <t>Customs &amp; Excise Department</t>
  </si>
  <si>
    <t>PSUP on Cisco Products for Credit Agricole CIB (HKD118552.74)</t>
  </si>
  <si>
    <t>Cisco</t>
  </si>
  <si>
    <t xml:space="preserve">UD24-2292 </t>
  </si>
  <si>
    <t>I96172</t>
  </si>
  <si>
    <t>Cisco Quote 292275348 as the serial nos. are covered by Cisco contract (PO 1555983 / PR 6218077 refers).   Therefore,  this PR 6221330 will return to you for cancellation due to the reason of duplicate record</t>
  </si>
  <si>
    <t>CXL</t>
  </si>
  <si>
    <t>email date 17/9/2025</t>
  </si>
  <si>
    <t>Purchase of Refurbished DS-CAC-1200W-E for PCCW Solutions Limited</t>
  </si>
  <si>
    <t>UID-25-09-0380</t>
  </si>
  <si>
    <t>G251100036YR</t>
  </si>
  <si>
    <t>PCCW Solutions Limited</t>
  </si>
  <si>
    <t>J18895</t>
  </si>
  <si>
    <t>312189372 &amp; 421975678</t>
  </si>
  <si>
    <t>PSRT on Cisco Products for PCCW Solutions Limited</t>
  </si>
  <si>
    <t>9999772537 / 9999783125</t>
  </si>
  <si>
    <t>3180155 / 3180157</t>
  </si>
  <si>
    <t>SNTP on Cisco Products for William E Connor &amp; Associates Ltd</t>
  </si>
  <si>
    <t>2a-Cisco</t>
  </si>
  <si>
    <t>UID-25-09-0409</t>
  </si>
  <si>
    <t>G251100097CF</t>
  </si>
  <si>
    <t>William E Connor &amp; Associates Ltd</t>
  </si>
  <si>
    <t>MASS12389, MASS12389-1</t>
  </si>
  <si>
    <t>PSRT on Cisco Products for HK Exchanges &amp; Clearing Ltd</t>
  </si>
  <si>
    <t>UID-25-10-0011</t>
  </si>
  <si>
    <t>G251200185KW</t>
  </si>
  <si>
    <t>HK Exchanges &amp; Clearing Ltd</t>
  </si>
  <si>
    <t>D39705-1</t>
  </si>
  <si>
    <t>PSRT on Cisco Products for Rich Union Development Ltd</t>
  </si>
  <si>
    <t>item 8</t>
  </si>
  <si>
    <t>I37887-1, I37888-1 &amp; I19315-1 (Refer to I37887, I37888 &amp; I19315)</t>
  </si>
  <si>
    <t>email date 29/7/2025</t>
  </si>
  <si>
    <t>Purchase of Refurbished C1-ASR1001-HX/K9 / N77-C7706-B26S2E-R / N9K-C92160YC-X for HKSH Eastern Medical Centre Ltd</t>
  </si>
  <si>
    <t>UID-25-10-0013</t>
  </si>
  <si>
    <t>L240500714CO</t>
  </si>
  <si>
    <t>HKSH Eastern Medical Centre Ltd</t>
  </si>
  <si>
    <t>D52769</t>
  </si>
  <si>
    <t>ZM1559465</t>
  </si>
  <si>
    <t>email date 29/8/2025</t>
  </si>
  <si>
    <t>Purchase of Refurbished Cisco Catalyst C6807-XL Chassis, includes C6800-SUP6T, C6800-32P10G, C6807-XL-FAN, 2x C6800-XL-3KW-AC  for HKSH Eastern Medical Centre Ltd</t>
  </si>
  <si>
    <t>SO#HK01059</t>
  </si>
  <si>
    <t>HK01059-0</t>
  </si>
  <si>
    <t>F5_250721_HKT_CDC_6004559 6002395_v2</t>
  </si>
  <si>
    <t>BIG-IP Service Premium on F5 Eqpt for Café De Coral</t>
  </si>
  <si>
    <t>UID-25-10-0017</t>
  </si>
  <si>
    <t>G250900027CF</t>
  </si>
  <si>
    <t>Café De Coral</t>
  </si>
  <si>
    <t>MASS13742, MASS13335</t>
  </si>
  <si>
    <t>BDKD25-0730</t>
  </si>
  <si>
    <t>BDI25-1625</t>
  </si>
  <si>
    <t>PSRT on Cisco Products for Hong Kong Life Insurance Ltd</t>
  </si>
  <si>
    <t>UID-25-10-0010</t>
  </si>
  <si>
    <t>P/7764/MA/KW25</t>
  </si>
  <si>
    <t>Hong Kong Life Insurance Ltd</t>
  </si>
  <si>
    <t>D60110</t>
  </si>
  <si>
    <t>PSRT on Cisco Products for Environmental Protection Department</t>
  </si>
  <si>
    <t>UID-25-10-0032</t>
  </si>
  <si>
    <t>L251090012NI</t>
  </si>
  <si>
    <t>MASS14120</t>
  </si>
  <si>
    <r>
      <t xml:space="preserve">ZM1587058 </t>
    </r>
    <r>
      <rPr>
        <b/>
        <strike/>
        <sz val="10"/>
        <rFont val="Arial"/>
        <family val="2"/>
      </rPr>
      <t>ZM1558138</t>
    </r>
  </si>
  <si>
    <t>Purchase of Refurbished Cisco ASA 5516-X with FirePOWER services for Environmental Protection Department</t>
  </si>
  <si>
    <t>MFSC26040007</t>
  </si>
  <si>
    <t>email date 1/9/2025</t>
  </si>
  <si>
    <t>Purchase of Refurbished Allied Telesis (ATI) Media Converter AT-MMC2000/LC for Hong Kong Life Insurance Ltd</t>
  </si>
  <si>
    <t>ZM1558137</t>
  </si>
  <si>
    <t>Purchase of Refurbished ISR4331/K9 for Customs &amp; Excise Department</t>
  </si>
  <si>
    <t>UID-25-10-0039</t>
  </si>
  <si>
    <t>L251090018IL</t>
  </si>
  <si>
    <t>I37169</t>
  </si>
  <si>
    <t>ZM1558745</t>
  </si>
  <si>
    <t>Purchase of Refurbished Cisco C9200L-24T-4G-E, GLC-SX-MMD for Customs &amp; Excise Department</t>
  </si>
  <si>
    <t>UID-25-10-0045</t>
  </si>
  <si>
    <t>L2510900241IL</t>
  </si>
  <si>
    <t>I60952</t>
  </si>
  <si>
    <t>ZM1558748</t>
  </si>
  <si>
    <t>Purchase of Refurbished Cisco 891 GigaE SecRouter for Drainage Services Department</t>
  </si>
  <si>
    <t>UID-25-08-0376</t>
  </si>
  <si>
    <t>L250890298NI</t>
  </si>
  <si>
    <t>F40072</t>
  </si>
  <si>
    <t>PSUP on Cisco Products for CEB International Investment Corp Ltd</t>
  </si>
  <si>
    <t>UID-25-10-0073</t>
  </si>
  <si>
    <t xml:space="preserve">L250800760JI </t>
  </si>
  <si>
    <t>CEB International Investment Corp Ltd</t>
  </si>
  <si>
    <t>Hsui, Janet WJ / Yuen Vivien MC</t>
  </si>
  <si>
    <t>I41268 (WA Case)</t>
  </si>
  <si>
    <t>PSUP on Cisco Products for Cosco Shipping Container Line Agencies</t>
  </si>
  <si>
    <t>UID-25-10-0105</t>
  </si>
  <si>
    <t>L251201026CB</t>
  </si>
  <si>
    <t>Sunry (Holdings) Hong Kong Limited</t>
  </si>
  <si>
    <t>I30496, I30496-1, I30496-2 &amp; I30496-3</t>
  </si>
  <si>
    <t>9999812537 / 9999812538 / 9999812526</t>
  </si>
  <si>
    <t>3180800 / 3180801</t>
  </si>
  <si>
    <t>0000Ht84082253202509170012</t>
  </si>
  <si>
    <t>Co-Care Premier S5735-S24P4X for Sunry (Holdings) Hong Kong Limited</t>
  </si>
  <si>
    <t>1-HUAWEI</t>
  </si>
  <si>
    <t>UID-25-10-0119</t>
  </si>
  <si>
    <t>L250800819CB</t>
  </si>
  <si>
    <t>D44021</t>
  </si>
  <si>
    <t>HL2527405</t>
  </si>
  <si>
    <t>RNL20250714</t>
  </si>
  <si>
    <t>CW PSS ND SUPT on EX3400-48T for S.K.H. Tin Shui Wai Ling Oi Primary School</t>
  </si>
  <si>
    <t>UID-25-10-0007</t>
  </si>
  <si>
    <t>W250901292L3</t>
  </si>
  <si>
    <t>S.K.H. Tin Shui Wai Ling Oi Primary School</t>
  </si>
  <si>
    <t>J74207-1</t>
  </si>
  <si>
    <t>DN25001044</t>
  </si>
  <si>
    <t>IN25001044</t>
  </si>
  <si>
    <t>PSUP on Cisco Products for Contempo Limited</t>
  </si>
  <si>
    <t>UID-25-10-0199</t>
  </si>
  <si>
    <t>L251000975ND</t>
  </si>
  <si>
    <t>Contempo Limited</t>
  </si>
  <si>
    <t>D58776, D58835</t>
  </si>
  <si>
    <t>RNL20250609.v1</t>
  </si>
  <si>
    <t>PSS RTF Support on EX2300-48T, etc for The IMC of Chi Yun School</t>
  </si>
  <si>
    <t>UID-25-10-0185</t>
  </si>
  <si>
    <t>W251001122L3</t>
  </si>
  <si>
    <t>The IMC of Chi Yun School</t>
  </si>
  <si>
    <t>J73590-1</t>
  </si>
  <si>
    <t xml:space="preserve">BTB </t>
  </si>
  <si>
    <t>DN25001077</t>
  </si>
  <si>
    <t>SI25000926</t>
  </si>
  <si>
    <t>e-mail dated 15/9/2025</t>
  </si>
  <si>
    <t>Purchase of Refurhished SFP-10G-LR-S for MyTV Super Limited</t>
  </si>
  <si>
    <t>UID-25-10-0218</t>
  </si>
  <si>
    <t>L251090047TS</t>
  </si>
  <si>
    <t>MYTV Super Limited</t>
  </si>
  <si>
    <t>MASS14124</t>
  </si>
  <si>
    <t>PSRT on Cisco Products for Zhongcai Securities Limited</t>
  </si>
  <si>
    <t>UID-25-10-0243</t>
  </si>
  <si>
    <t>L241201868ND</t>
  </si>
  <si>
    <t>Zhongcai Securities Limited</t>
  </si>
  <si>
    <t>F81443 / F81444 (MA Case)</t>
  </si>
  <si>
    <t>Web Order ID: 11000000717</t>
  </si>
  <si>
    <t>License on Cisco Products for William E Connor &amp; Associates Ltd</t>
  </si>
  <si>
    <t>1a-Cisco</t>
  </si>
  <si>
    <t>PSRT on Cisco Products for MYTV Super Limited</t>
  </si>
  <si>
    <t>ZM1560344</t>
  </si>
  <si>
    <t>HKT_20251021_01</t>
  </si>
  <si>
    <t>Purchase of Refurbished Ethernet Switch, Mini Media Converter etc. for Hotel Icon Limited</t>
  </si>
  <si>
    <t>UID-25-10-0265</t>
  </si>
  <si>
    <t>L251001007CB</t>
  </si>
  <si>
    <t>Hotel Icon Limited</t>
  </si>
  <si>
    <t>I43931, I84027 &amp; R91963</t>
  </si>
  <si>
    <t>SO#HK01067</t>
  </si>
  <si>
    <t>HK01067-0</t>
  </si>
  <si>
    <t>ZM1561791</t>
  </si>
  <si>
    <t>TD-HKT-H3C161025</t>
  </si>
  <si>
    <t>H3Care Basic 8x5xNBD for Hotel Icon Limited</t>
  </si>
  <si>
    <t>I43931, I84027, I84028 &amp; R91963</t>
  </si>
  <si>
    <t>PSUP on Cisco Products for Bank of China Hong Kong Ltd</t>
  </si>
  <si>
    <t>L241201382AW</t>
  </si>
  <si>
    <t>Bank of China Hong Kong Ltd</t>
  </si>
  <si>
    <t>31//12//2025</t>
  </si>
  <si>
    <t>A29395, A29410, A29727, A29736, A29737, A29906</t>
  </si>
  <si>
    <t>UID-25-10-0333</t>
  </si>
  <si>
    <t>L250590220IL</t>
  </si>
  <si>
    <t>I60298 I85565</t>
  </si>
  <si>
    <t>ZM1560604</t>
    <phoneticPr fontId="6" type="noConversion"/>
  </si>
  <si>
    <t>H3C Mtce Ethernet Switch for ITC Properties Management Ltd</t>
  </si>
  <si>
    <t>UID-25-10-0004</t>
  </si>
  <si>
    <t>P/7888/WBWB/TS25</t>
  </si>
  <si>
    <t>ITC Properties Management Ltd</t>
  </si>
  <si>
    <t>Tan, Simon HH / Yuen Vivien MC</t>
  </si>
  <si>
    <t>28359400 &amp; 28359500</t>
  </si>
  <si>
    <t xml:space="preserve">MFSC25110001 </t>
  </si>
  <si>
    <t>Purchase of Refurbished Cisco Switch for Hospital Authority</t>
  </si>
  <si>
    <t>UID-25-10-0374</t>
  </si>
  <si>
    <t>L251201112YT</t>
  </si>
  <si>
    <t>Hospital Authority</t>
  </si>
  <si>
    <t>Chan, Abby NY / Yim, Theo TP</t>
  </si>
  <si>
    <t xml:space="preserve">Cancel </t>
  </si>
  <si>
    <t>Cancel</t>
  </si>
  <si>
    <t>UID-25-10-0373</t>
  </si>
  <si>
    <t>L250890135IL</t>
  </si>
  <si>
    <t>I37256</t>
  </si>
  <si>
    <t>PSRT, PSUP, PSBU on Cisco Products for Hospital Authority</t>
  </si>
  <si>
    <t>MASS12246, MASS13826, MASS12292, MASS12455, MASS13202</t>
  </si>
  <si>
    <t>PSUP, PSBU on Cisco Products for Hospital Authority</t>
  </si>
  <si>
    <t>4-Cisco</t>
  </si>
  <si>
    <t>ZM1560885</t>
  </si>
  <si>
    <t>Purchase of Refurbished P/N: CISCO1941/K9 for CSL Mobile Limited</t>
  </si>
  <si>
    <t>UID-25-10-0384</t>
  </si>
  <si>
    <t>H250201262YR</t>
  </si>
  <si>
    <t>CSL Mobile Limited</t>
  </si>
  <si>
    <t>MASS08826</t>
  </si>
  <si>
    <t>PSRT on Cisco Products for Hospital Authority</t>
  </si>
  <si>
    <t>L251201112AC</t>
  </si>
  <si>
    <t>Ruijie Renewal 1 Year 8x5xNBD Onsite Support for Heung To Secondary School (Tseung Kwan O)</t>
  </si>
  <si>
    <t>1-Tritech Distribution Limited</t>
  </si>
  <si>
    <t>UID-25-10-0389</t>
  </si>
  <si>
    <t>W250701032L2</t>
  </si>
  <si>
    <t>Heung To Secondary School (Tseung Kwan O)</t>
  </si>
  <si>
    <t>I34547</t>
  </si>
  <si>
    <t>MA confirmation</t>
  </si>
  <si>
    <t>TTINV20251031_19</t>
  </si>
  <si>
    <t>L1NBD, SNTP, SNT on Cisco Products for Hong Kong Telecommunications (HKT) Ltd</t>
  </si>
  <si>
    <t>UID-25-10-0391</t>
  </si>
  <si>
    <t>L250700952YR</t>
  </si>
  <si>
    <t>Hong Kong Telecommunications (HKT) Ltd</t>
  </si>
  <si>
    <t>D54812</t>
  </si>
  <si>
    <t>SUB-TNC on Cisco Products for Joint Electronic Teller Services Ltd</t>
  </si>
  <si>
    <t>UID-25-10-0388</t>
  </si>
  <si>
    <t xml:space="preserve">L251090138TS </t>
  </si>
  <si>
    <t>Joint Electronic Teller Services Ltd</t>
  </si>
  <si>
    <t>Tan, Simon HH / Fung Hayden TC</t>
  </si>
  <si>
    <t>MASS14132</t>
  </si>
  <si>
    <t>6501139530 / 6501129204</t>
  </si>
  <si>
    <t>3198531 / 3198528</t>
  </si>
  <si>
    <t>PSUP on Cisco Products for William E Connor &amp; Associates Ltd</t>
  </si>
  <si>
    <t>UID-25-10-0395</t>
  </si>
  <si>
    <t>L251201205CF</t>
  </si>
  <si>
    <t>D82678, D82679</t>
  </si>
  <si>
    <t>ZM1561714</t>
  </si>
  <si>
    <t>ETHKQ26002288-01</t>
  </si>
  <si>
    <t xml:space="preserve"> HPE Partner-Branded NBD Support SVC for William E Connor &amp; Associates Ltd</t>
  </si>
  <si>
    <t>2-Edvance</t>
  </si>
  <si>
    <t>UID-25-10-0396</t>
  </si>
  <si>
    <t>L260101167CF</t>
  </si>
  <si>
    <t>D82762</t>
  </si>
  <si>
    <t>PSUP on Cisco Products for Lanson Place</t>
  </si>
  <si>
    <t>UID-25-10-0404</t>
  </si>
  <si>
    <t>L251001013TH</t>
  </si>
  <si>
    <t>Lanson Place</t>
  </si>
  <si>
    <t>Ng, Dennis WL / Law, Carman KM</t>
  </si>
  <si>
    <t>MASS13346 MASS13346-1</t>
  </si>
  <si>
    <t>Purchase of Refurbished P/N: PWR-C45-1000AC for The Hong Kong Jockey Club</t>
  </si>
  <si>
    <t>4-Man Fung</t>
  </si>
  <si>
    <t>UID-25-10-0402</t>
  </si>
  <si>
    <t>P/7693/MAMA/LS25 + P/7954/MAMA/LS25</t>
  </si>
  <si>
    <t>The Hong Kong Jockey Club</t>
  </si>
  <si>
    <t>PSUP on Cisco Products for China Galaxy International Financial Holdings Ltd</t>
  </si>
  <si>
    <t>item 1</t>
  </si>
  <si>
    <t>UID-25-10-0436</t>
  </si>
  <si>
    <t>H240900188ND, L251000963ND &amp; G250900031ND</t>
  </si>
  <si>
    <t>China Galaxy International Financial Holdings Ltd</t>
  </si>
  <si>
    <t>D59161/WB</t>
  </si>
  <si>
    <t>dated 23 Oct 2025</t>
  </si>
  <si>
    <t>BIG-IP SERVICE: PREMIUM, (LEVEL 1-3) on F5-BIG-AWF-I2600 for GF Holdings (HK) Corporation Limited</t>
  </si>
  <si>
    <t>GF Holdings (HK) Corporation Limited</t>
  </si>
  <si>
    <t>Tsui, Ivan PH / Ng, Dennis WL</t>
  </si>
  <si>
    <t>D58862</t>
  </si>
  <si>
    <t>BDKD25-0776</t>
  </si>
  <si>
    <t>BDI25-1735</t>
  </si>
  <si>
    <t>Purchase of Refurbished Cisco Switch for CGS International Holdings Ltd</t>
  </si>
  <si>
    <t>item 6</t>
  </si>
  <si>
    <t>CGS International Holdings Ltd</t>
  </si>
  <si>
    <t>MASS10567/MASS10565/J51493-1 Multi WO</t>
  </si>
  <si>
    <t>0Y034424004532</t>
  </si>
  <si>
    <t>Co-Care Premier Renewal for CGS International Holdings Ltd</t>
  </si>
  <si>
    <t>item 3</t>
  </si>
  <si>
    <t>MASS12288/D59162/J51529</t>
  </si>
  <si>
    <t>Cert. (email)</t>
  </si>
  <si>
    <t>HL2529630</t>
  </si>
  <si>
    <t>ZM1561994</t>
  </si>
  <si>
    <t>PSRT on Cisco Products for William E Connor &amp; Associates Ltd</t>
  </si>
  <si>
    <t>D39608</t>
  </si>
  <si>
    <t>ZM1561827</t>
  </si>
  <si>
    <t>Purchase of Refurbished Cisco Switch for Ultimate Lead Limited</t>
  </si>
  <si>
    <t>5-Man Fung</t>
  </si>
  <si>
    <t>UID-25-10-0468</t>
  </si>
  <si>
    <t>PNE/7567/MAMA/TH25</t>
  </si>
  <si>
    <t>Ultimate Lead Limited</t>
  </si>
  <si>
    <t>J76967</t>
  </si>
  <si>
    <t>3188840 / 3188858</t>
  </si>
  <si>
    <t>0Y034424004531</t>
  </si>
  <si>
    <t>item 5</t>
  </si>
  <si>
    <t>HL2529629</t>
  </si>
  <si>
    <t>RNL20250910</t>
  </si>
  <si>
    <t>PSS Same Day Support for EX4300-32F for Good Standing (Hong Kong) Limited</t>
  </si>
  <si>
    <t>5-Cyberworld</t>
  </si>
  <si>
    <t>UID-25-10-0472</t>
  </si>
  <si>
    <t>G251000050JI</t>
  </si>
  <si>
    <t>Good Standing (Hong Kong) Limited</t>
  </si>
  <si>
    <t>J39662</t>
  </si>
  <si>
    <t>DN25001107</t>
  </si>
  <si>
    <t>IN25001107</t>
  </si>
  <si>
    <t>ZM1561999</t>
  </si>
  <si>
    <t>Purchase of Refurbished CISCO 1921/K9 for Civil Aviation Department</t>
  </si>
  <si>
    <t>UID-25-10-0482</t>
  </si>
  <si>
    <t>L251090140C</t>
  </si>
  <si>
    <t>Civil Aviation Department</t>
  </si>
  <si>
    <t>F02701, F02702, F02703, F02704, F16612</t>
  </si>
  <si>
    <t>SNTP on Cisco Products</t>
  </si>
  <si>
    <t>UID-25-10-0500</t>
  </si>
  <si>
    <t>G251000986J3</t>
  </si>
  <si>
    <t>DBS Bank Hong Kong Limited</t>
  </si>
  <si>
    <t>Lam, Jessica WS / Poon, Nelson KH</t>
  </si>
  <si>
    <t>I54933</t>
  </si>
  <si>
    <t xml:space="preserve">F5_250813_PCCW_Bank of Montreal (Hong Kong) Ltd_6025181_6032439  6004577_v3		</t>
  </si>
  <si>
    <t>BIG-IP Service: Premium on F5-BIG-BTA-I5800</t>
  </si>
  <si>
    <t>UID-25-10-0502</t>
  </si>
  <si>
    <t>G251090113J2</t>
  </si>
  <si>
    <t>Bank of Montreal (Hong Kong) Ltd</t>
  </si>
  <si>
    <t>I95960</t>
  </si>
  <si>
    <t>BDKD25-0791</t>
  </si>
  <si>
    <t>BDI25-1763</t>
  </si>
  <si>
    <t>PSUP, PSBU on Cisco Products</t>
  </si>
  <si>
    <t>UID-25-10-0503</t>
  </si>
  <si>
    <t>L250901152J2</t>
  </si>
  <si>
    <t>Chinese Estates Ltd</t>
  </si>
  <si>
    <t>D22335</t>
  </si>
  <si>
    <t>ZM1562868</t>
  </si>
  <si>
    <t>Purchase of Refurbished N9K-C93180YC-FX3, N9K-C93180YC-FX3S, etc</t>
  </si>
  <si>
    <t>3-Man Fung (Part 1)</t>
  </si>
  <si>
    <t>ZM1562870</t>
  </si>
  <si>
    <t>Purchase of Refurbished WS-C2960X-48TD-L, WS-C2850-48F-S, etc</t>
  </si>
  <si>
    <t>3-Man Fung (Part 2)</t>
  </si>
  <si>
    <t>PSRT on Cisco Products</t>
  </si>
  <si>
    <t>UID-25-10-0509</t>
  </si>
  <si>
    <t>L251100833CB</t>
  </si>
  <si>
    <t>The HK University of Science &amp; Technology</t>
  </si>
  <si>
    <t>D61730-1 &amp; D61730-2</t>
  </si>
  <si>
    <t>UID-25-11-0001</t>
  </si>
  <si>
    <t>L251090128IL</t>
  </si>
  <si>
    <t>Security Bureau</t>
  </si>
  <si>
    <t>F33898</t>
  </si>
  <si>
    <t>ZM1563491</t>
  </si>
  <si>
    <t>Information Union World Company Limited</t>
  </si>
  <si>
    <t>A10-HKT-2025912</t>
  </si>
  <si>
    <t>Maintenance Support 24 x 7 on A10 TH1040S-IUW</t>
  </si>
  <si>
    <t>1-IUWorld</t>
  </si>
  <si>
    <t>UID-25-11-0011</t>
  </si>
  <si>
    <t>G251100059CP</t>
  </si>
  <si>
    <t>Food &amp; Environmental Hygiene Department</t>
  </si>
  <si>
    <t>J95902, J95902-1</t>
  </si>
  <si>
    <t>INVIUW-25117</t>
  </si>
  <si>
    <t>ZM1563375</t>
  </si>
  <si>
    <t>PSUP on Cisco Products</t>
  </si>
  <si>
    <t>1A-Cisco</t>
  </si>
  <si>
    <t>UID-25-10-0512</t>
  </si>
  <si>
    <t>G251090276KW</t>
  </si>
  <si>
    <t>Airstar Bank Ltd</t>
  </si>
  <si>
    <t>MASS12860</t>
  </si>
  <si>
    <t>ZM1563816</t>
  </si>
  <si>
    <t>RNL20251005</t>
  </si>
  <si>
    <t xml:space="preserve">PSS Same Day Support on PAR-SD-EX23-C12P </t>
  </si>
  <si>
    <t>UID-25-11-0068</t>
  </si>
  <si>
    <t>L251100875CB</t>
  </si>
  <si>
    <t>Protech Property Management Ltd</t>
  </si>
  <si>
    <t>D43968</t>
  </si>
  <si>
    <t>DN25001135</t>
  </si>
  <si>
    <t>ZM1563787</t>
  </si>
  <si>
    <t>UID-25-11-0070</t>
  </si>
  <si>
    <t>L250990036CP</t>
  </si>
  <si>
    <t>Agriculture Fisheries And Conservation Dept</t>
  </si>
  <si>
    <t>I60296, I85517</t>
  </si>
  <si>
    <t>ZM1565379</t>
  </si>
  <si>
    <t>ETHKQ26002477-01</t>
  </si>
  <si>
    <t>FortiCare Premium Support</t>
  </si>
  <si>
    <t>1-Edvance</t>
  </si>
  <si>
    <t>UID-25-11-0080</t>
  </si>
  <si>
    <t>G251190039IL</t>
  </si>
  <si>
    <t>Home Affair Department</t>
  </si>
  <si>
    <t>D38699, I00579</t>
  </si>
  <si>
    <t>ETHKIF26003209</t>
  </si>
  <si>
    <t>ZM1564616</t>
  </si>
  <si>
    <t>6025181_6032439 6004577_v2</t>
  </si>
  <si>
    <t>BIG-IP Service: Premium on F5 Equipment</t>
  </si>
  <si>
    <t>UID-25-11-0083</t>
  </si>
  <si>
    <t>G251090115J2</t>
  </si>
  <si>
    <t>Bank of Montreal (Hong Kong) Branch</t>
  </si>
  <si>
    <t>I40949, I40946, J56820</t>
  </si>
  <si>
    <t>BDKD25-0805</t>
  </si>
  <si>
    <t>ZM1564464</t>
    <phoneticPr fontId="6" type="noConversion"/>
  </si>
  <si>
    <t>202510160006</t>
  </si>
  <si>
    <t>Purchase HKT Huawei Demo Lab Equipment Cloud Management (Request by Martin Ma)</t>
  </si>
  <si>
    <t>HKT</t>
  </si>
  <si>
    <t>SW0R00Hy00504820202510160006001</t>
  </si>
  <si>
    <t>HL2533092</t>
  </si>
  <si>
    <t>ZM1564139</t>
  </si>
  <si>
    <t>Purchase of Refurbished C3KX-SM-10G</t>
  </si>
  <si>
    <t>UID-25-11-0085</t>
  </si>
  <si>
    <t>L250990053YR</t>
  </si>
  <si>
    <t>MASS09959</t>
  </si>
  <si>
    <t>ZM1564224</t>
  </si>
  <si>
    <t>E-mail Dated 31 Oct 2025</t>
  </si>
  <si>
    <t>Purchase of Refurbished ASA5506-K9, CISCO2901-SEC/K9, etc</t>
  </si>
  <si>
    <t>UID-25-11-0093</t>
  </si>
  <si>
    <t>G251000044LS</t>
  </si>
  <si>
    <t>Fubon Securities (Hong Kong) Ltd</t>
  </si>
  <si>
    <t>A81143</t>
  </si>
  <si>
    <t>ZM1564638</t>
  </si>
  <si>
    <t>UID-25-11-0095</t>
  </si>
  <si>
    <t>P/7711/MAMA/MZ25</t>
  </si>
  <si>
    <t>The Chinese University of Hong Kong</t>
  </si>
  <si>
    <t>Cheung, Marcus TH / Poon, Nelson KH</t>
  </si>
  <si>
    <t>I00462</t>
  </si>
  <si>
    <t xml:space="preserve">Non-BTB </t>
  </si>
  <si>
    <t>ZM1564412</t>
  </si>
  <si>
    <t>UID-25-11-0096</t>
  </si>
  <si>
    <t>L251200932J2</t>
  </si>
  <si>
    <t>Bank of Montreal Hong Kong Branch</t>
  </si>
  <si>
    <t>I41038, I40960, I40942</t>
  </si>
  <si>
    <t>ZM1564413</t>
  </si>
  <si>
    <t>ZM1564414</t>
  </si>
  <si>
    <t>PSUP on Cisco Products ($0 - SFP only)</t>
  </si>
  <si>
    <t>ZM1564494</t>
  </si>
  <si>
    <t xml:space="preserve">E-mail Dated 5 Nov 2025 </t>
  </si>
  <si>
    <t>Purchase of Refurbished WS-C2960+24TC-S</t>
  </si>
  <si>
    <t>UID-25-11-0102</t>
  </si>
  <si>
    <t>P/7720/MAMA/TH25</t>
  </si>
  <si>
    <t>Hong Kong Shue Yan University</t>
  </si>
  <si>
    <t>D18970</t>
  </si>
  <si>
    <t>ZM1564639</t>
  </si>
  <si>
    <t>UID-25-11-0104</t>
  </si>
  <si>
    <t>L251100877IL</t>
  </si>
  <si>
    <t>Registration &amp; Electoral Office</t>
  </si>
  <si>
    <t>I38884</t>
  </si>
  <si>
    <t>ZM1566806</t>
  </si>
  <si>
    <t>RNL20250923</t>
  </si>
  <si>
    <t>PSS Next Day Support for SRX345-SYS-JB-2AC, etc</t>
  </si>
  <si>
    <t>3-Cyberworld (Part 1)</t>
  </si>
  <si>
    <t>G250900076IL, L251100877IL</t>
  </si>
  <si>
    <t>I70351, I60097</t>
  </si>
  <si>
    <t>DN25001192</t>
  </si>
  <si>
    <t>IN25001192</t>
  </si>
  <si>
    <t>ZM1566769</t>
  </si>
  <si>
    <t>RNL20250919</t>
  </si>
  <si>
    <t>PSS Next Day Support for EX4300-48T, etc</t>
  </si>
  <si>
    <t>3-Cyberworld (Part 2)</t>
  </si>
  <si>
    <t>DN25001193</t>
  </si>
  <si>
    <t>IN25001193</t>
  </si>
  <si>
    <t>ZM1564777</t>
  </si>
  <si>
    <t xml:space="preserve">Purchase of Refurbished WS-C3850-24T-L </t>
  </si>
  <si>
    <t>UID-25-11-0123</t>
  </si>
  <si>
    <t>L251001059ND</t>
  </si>
  <si>
    <t>Yung's Enterprise Holdings Limited</t>
  </si>
  <si>
    <t>J76992</t>
  </si>
  <si>
    <t>ZM1566365</t>
  </si>
  <si>
    <t>Ruijie Renewal 1 Year 8x5xNBD Onsite Support Service</t>
  </si>
  <si>
    <t>UID-25-11-0122</t>
  </si>
  <si>
    <t>W251100946L2</t>
  </si>
  <si>
    <t>I34222</t>
  </si>
  <si>
    <t>TTDN20251125_11</t>
  </si>
  <si>
    <t xml:space="preserve">TTINV20251125_13 </t>
  </si>
  <si>
    <t>ZM1564996</t>
  </si>
  <si>
    <t>UID-25-11-0125</t>
  </si>
  <si>
    <t>L251190175IL</t>
  </si>
  <si>
    <t>D85825</t>
  </si>
  <si>
    <t>ZM1565143</t>
  </si>
  <si>
    <t>UID-25-11-0097</t>
  </si>
  <si>
    <t>L251190110J2</t>
  </si>
  <si>
    <t>I41256, I40958, I40941</t>
  </si>
  <si>
    <t>ZM1565152</t>
  </si>
  <si>
    <t>2-Cisco (Part 1)</t>
  </si>
  <si>
    <t>ZM1565153</t>
  </si>
  <si>
    <t>2-Cisco (Part 2)</t>
  </si>
  <si>
    <t>ZM1565243</t>
  </si>
  <si>
    <t>L231190110J2</t>
  </si>
  <si>
    <t>ZM1565083</t>
  </si>
  <si>
    <t>UID-25-11-0137</t>
  </si>
  <si>
    <t>L251190184NI</t>
  </si>
  <si>
    <t>Department of Health</t>
  </si>
  <si>
    <t>Ng, Ivy WY / Cheung, Sindy SY / Law, Carman KM</t>
  </si>
  <si>
    <t>MASS12742-2</t>
  </si>
  <si>
    <t>ZZ1565264</t>
  </si>
  <si>
    <t>E-mail Dated 5 Sep 2025</t>
  </si>
  <si>
    <t>Purchase of Refurbished N2200-PAC-400W (Request by Martin Ma)</t>
  </si>
  <si>
    <t>RFQ#250144NW</t>
  </si>
  <si>
    <t>ZM1565856</t>
  </si>
  <si>
    <t>E-mail Dated 10 Oct 2025</t>
  </si>
  <si>
    <t>Purchase of Refurbished WS-C2960-24PC-L, etc (Request by Martin Ma)</t>
  </si>
  <si>
    <t>250162NW</t>
  </si>
  <si>
    <t>WF62500712</t>
  </si>
  <si>
    <t>WF12501192</t>
  </si>
  <si>
    <t>ZZ1565315</t>
  </si>
  <si>
    <t>E-mail Dated 9 Oct 2025</t>
  </si>
  <si>
    <t>Purchase of Refurbished WS-C3560-24PS-E (Request by Martin Ma)</t>
  </si>
  <si>
    <t>S2500109439</t>
  </si>
  <si>
    <t>ZM1565377</t>
  </si>
  <si>
    <t>E-mail Dated 4 Nov 2025</t>
  </si>
  <si>
    <t>Purchase of Refurbished H3C S3100V2-8TP-EI, H3C S3100V2-26TP-EI</t>
  </si>
  <si>
    <t>UID-25-11-0153</t>
  </si>
  <si>
    <t>P/7713/MAMA/TH25</t>
  </si>
  <si>
    <t>Himson Enterprises Limited</t>
  </si>
  <si>
    <t>A80614, F02692</t>
  </si>
  <si>
    <t>ZM1565677</t>
  </si>
  <si>
    <t>Purchase of Refurbished H3C S5560-30S-EI L3 Ethernet Switch</t>
  </si>
  <si>
    <t>UID-25-11-0172</t>
  </si>
  <si>
    <t>G251190204AC</t>
  </si>
  <si>
    <t>Union Hospital</t>
  </si>
  <si>
    <t>MASS14159, MASS14160 &amp; MASS14157</t>
  </si>
  <si>
    <t>ZM1565675</t>
  </si>
  <si>
    <t>E-mail Date 29 Aug 2025</t>
  </si>
  <si>
    <t>Purchase of Refurbished WS-C2960-24TC-L, WS-C2960-24PC-L, etc</t>
  </si>
  <si>
    <t>UID-25-11-0174</t>
  </si>
  <si>
    <t>P/7656/MAMA/TH25</t>
  </si>
  <si>
    <t>Favour Link Int'l Ltd</t>
  </si>
  <si>
    <t>F15711, F67929, F15711, F78852, F68499</t>
  </si>
  <si>
    <t>ZM1567074</t>
  </si>
  <si>
    <t>RNL20250802</t>
  </si>
  <si>
    <t>1 Year Wired Assurance Subscription for EX24 port Switches, etc (Item 1,4,5 for Networking)</t>
  </si>
  <si>
    <t>UID-25-11-0154</t>
  </si>
  <si>
    <t>G251100053CF</t>
  </si>
  <si>
    <t>Craigengower Cricket Club</t>
  </si>
  <si>
    <t>K35460, K35461, K46170</t>
  </si>
  <si>
    <t>DN25001277</t>
  </si>
  <si>
    <t>IN25001277</t>
  </si>
  <si>
    <t>ZM1566071</t>
  </si>
  <si>
    <t>Purchase of Refurbished SFP-10F-SR=, N55-M16UP=, etc</t>
  </si>
  <si>
    <t>UID-25-11-0215</t>
  </si>
  <si>
    <t>L251100841YR</t>
  </si>
  <si>
    <t>J17479</t>
  </si>
  <si>
    <t>ZM1566755</t>
  </si>
  <si>
    <t>RNL20251125</t>
  </si>
  <si>
    <t>PSS Same Day Support on EX4300-24T, EX4600-40F</t>
  </si>
  <si>
    <t>UID-25-11-0216</t>
  </si>
  <si>
    <t>L251090042CB</t>
  </si>
  <si>
    <t>Aedas International Limited</t>
  </si>
  <si>
    <t xml:space="preserve">Coey </t>
  </si>
  <si>
    <t>MASS11209</t>
  </si>
  <si>
    <t>DN25001205</t>
  </si>
  <si>
    <t>IN25001205</t>
  </si>
  <si>
    <t>ZM1566425</t>
  </si>
  <si>
    <t>Purchase of Refurbished Cisco 6500 3-slot Chassis, etc</t>
  </si>
  <si>
    <t>UID-25-11-0217</t>
  </si>
  <si>
    <t>L251100842YR</t>
  </si>
  <si>
    <t>Y99164, Z45224</t>
  </si>
  <si>
    <t>ZM1566875</t>
  </si>
  <si>
    <t>20251124-C00019-004</t>
  </si>
  <si>
    <t>H3Care 7x24x4 on LS-5130S-28P-EI-H1</t>
  </si>
  <si>
    <t>1-SIS International Limited</t>
  </si>
  <si>
    <t>UID-25-11-0276</t>
  </si>
  <si>
    <t>L231202092KW</t>
  </si>
  <si>
    <t>Banque Pictet &amp; CIE Sa Hong Kong Branch</t>
  </si>
  <si>
    <t>I67728</t>
  </si>
  <si>
    <t>SI25-05274</t>
  </si>
  <si>
    <t>ZM1566947</t>
  </si>
  <si>
    <t>KDCHW20250321-225R1</t>
  </si>
  <si>
    <t>Co-Care Premier Service on S5731-S24T4X</t>
  </si>
  <si>
    <t>3-Karin</t>
  </si>
  <si>
    <t>UID-25-11-0279</t>
  </si>
  <si>
    <t>P/7772/MAMA/YT25</t>
  </si>
  <si>
    <t>Queen Mary Hospital</t>
  </si>
  <si>
    <t>I38889</t>
  </si>
  <si>
    <t>KKIN2502385</t>
  </si>
  <si>
    <t>ZM1566912</t>
  </si>
  <si>
    <t>PSRT, PSUP on Cisco Products</t>
  </si>
  <si>
    <t>UID-25-11-0148</t>
  </si>
  <si>
    <t>L251201144KW</t>
  </si>
  <si>
    <t>MUFG Securities Asia Ltd</t>
  </si>
  <si>
    <t>D18918, D62815 &amp; J80062</t>
  </si>
  <si>
    <t>ZM1566873</t>
  </si>
  <si>
    <t>UID-25-11-0312</t>
  </si>
  <si>
    <t>L251190250NI</t>
  </si>
  <si>
    <t>Department of Justice</t>
  </si>
  <si>
    <t>MASS14166</t>
  </si>
  <si>
    <t>ZM1566874</t>
  </si>
  <si>
    <t xml:space="preserve">Purchase of Refurbished Cisco Catalyst 9200L 48-port </t>
  </si>
  <si>
    <t>UID-25-11-0326</t>
  </si>
  <si>
    <t>L251190252NI</t>
  </si>
  <si>
    <t>MASS14169</t>
  </si>
  <si>
    <t>ZM1566878</t>
  </si>
  <si>
    <t>E-mail Dated 15 Sep 2025</t>
  </si>
  <si>
    <t>Purchase of Refurbished Cisco 10GBASE-LR SPF-10G-LR-S</t>
  </si>
  <si>
    <t>UID-25-11-0290</t>
  </si>
  <si>
    <t>L251190246TS</t>
  </si>
  <si>
    <t>Tan, Simon HH / Wong, Gigi WC / Fung, Hayden TC</t>
  </si>
  <si>
    <t>MASS14164</t>
  </si>
  <si>
    <t>ZM1566985</t>
  </si>
  <si>
    <t>UID-25-11-0336</t>
  </si>
  <si>
    <t>L251000974CB</t>
  </si>
  <si>
    <t>Cofco Futures International Company Ltd</t>
  </si>
  <si>
    <t>D21617</t>
  </si>
  <si>
    <t>ZM1567248</t>
  </si>
  <si>
    <t>KDCHW20250902-739</t>
  </si>
  <si>
    <t>Co-Care Premier on S5731-S24T4X</t>
  </si>
  <si>
    <t>UID-25-11-0348</t>
  </si>
  <si>
    <t>P/7862/MAMA/YT25</t>
  </si>
  <si>
    <t>Grantham Hospital</t>
  </si>
  <si>
    <t>I38890</t>
  </si>
  <si>
    <t>KKIN2502384</t>
  </si>
  <si>
    <t>ZM1567666</t>
  </si>
  <si>
    <t>TVB ComLtd</t>
  </si>
  <si>
    <t>ZM1567667</t>
  </si>
  <si>
    <t>SSTC, SNTP on Cisco Products</t>
  </si>
  <si>
    <t>UID-25-11-0384</t>
  </si>
  <si>
    <t>L251190075IL</t>
  </si>
  <si>
    <t>I60965</t>
  </si>
  <si>
    <t>eDelivery 119548724</t>
  </si>
  <si>
    <t>9999950668 / 9999950674</t>
  </si>
  <si>
    <t>3190054 / 3190160 / 3190162</t>
  </si>
  <si>
    <t>ZM1568159</t>
  </si>
  <si>
    <t>UID-25-11-0385</t>
  </si>
  <si>
    <t>L251090124KW</t>
  </si>
  <si>
    <t>Dah Chong Hong Ltd</t>
  </si>
  <si>
    <t>I50980-1</t>
  </si>
  <si>
    <t>ZM1567668</t>
  </si>
  <si>
    <t>222273045, 382204127, 362204209</t>
  </si>
  <si>
    <t>SUB-TNC on Cisco Products</t>
  </si>
  <si>
    <t>eDelivery -</t>
  </si>
  <si>
    <t>6501146734 / 6501156768</t>
  </si>
  <si>
    <t>3189392 / 3190514</t>
  </si>
  <si>
    <t>ZM1568199</t>
  </si>
  <si>
    <t>RNL20250818</t>
  </si>
  <si>
    <t>CW PSS SD SUPT on EX2300-24P, EX2300-24T, EX2300-48P</t>
  </si>
  <si>
    <t>UID-25-11-0391</t>
  </si>
  <si>
    <t>L251100879KW</t>
  </si>
  <si>
    <t xml:space="preserve">Secom Security Hong Kong Ltd - ADT Alarm Montoring Hong Kong Ltd </t>
  </si>
  <si>
    <t>I38874, I38874-1</t>
  </si>
  <si>
    <t>DN25001226</t>
  </si>
  <si>
    <t>IN25001226</t>
  </si>
  <si>
    <t>ZM1568034</t>
  </si>
  <si>
    <t>SNT, PSRT, ECMU on Cisco Products</t>
  </si>
  <si>
    <t>UID-25-12-0024</t>
  </si>
  <si>
    <t>L251100868CP</t>
  </si>
  <si>
    <t>Office of The Government Chief Information Officer - Digital Policy Office</t>
  </si>
  <si>
    <t>D43364, D54658, D54740</t>
  </si>
  <si>
    <t>ZM1568047</t>
  </si>
  <si>
    <t>E-mail Dated 3 Sep 2025</t>
  </si>
  <si>
    <t>Purchase of Refurbished C9300-48P-A, ISR4331-AX/K9</t>
  </si>
  <si>
    <t>D43364, D54658</t>
  </si>
  <si>
    <t>ZM1568686</t>
  </si>
  <si>
    <t>ZM1568830</t>
  </si>
  <si>
    <t>S2500112435</t>
  </si>
  <si>
    <t>Purchase of Refurbished N9K-C92160YC-X</t>
  </si>
  <si>
    <t>2-Circular IT Group</t>
  </si>
  <si>
    <t>UID-25-12-0063</t>
  </si>
  <si>
    <t>L251201069MZ</t>
  </si>
  <si>
    <t>Hong Kong Air Cargo Terminals Ltd</t>
  </si>
  <si>
    <t>D39681</t>
  </si>
  <si>
    <t>FEDEX 887261333788</t>
  </si>
  <si>
    <t>ZM1569411</t>
  </si>
  <si>
    <t>UID-25-12-0070</t>
  </si>
  <si>
    <t>L251201040CF</t>
  </si>
  <si>
    <t>Hotel Panorama Ease Million Ltd</t>
  </si>
  <si>
    <t>I52249, D91683, MASS13922</t>
  </si>
  <si>
    <t>ZM1569409</t>
  </si>
  <si>
    <t>UID-25-12-0115</t>
  </si>
  <si>
    <t>L251290101J3</t>
  </si>
  <si>
    <t>MASS14194</t>
  </si>
  <si>
    <t>ZM1569557</t>
  </si>
  <si>
    <t>QUO-109889</t>
  </si>
  <si>
    <t>7x24x4 Support with Advance Hardware Replacement for Park Hotel International Limited</t>
  </si>
  <si>
    <t>1-GUNA</t>
  </si>
  <si>
    <t>UID-25-12-0119</t>
  </si>
  <si>
    <t>G251290077CF</t>
  </si>
  <si>
    <t>Park Hotel International Limited</t>
  </si>
  <si>
    <t>R85751</t>
  </si>
  <si>
    <t>INV-407553</t>
  </si>
  <si>
    <t>ZM1569542</t>
  </si>
  <si>
    <t>UID-25-12-0112</t>
  </si>
  <si>
    <t>L251200285KW</t>
  </si>
  <si>
    <t>The HK &amp; China Gas Co Ltd</t>
  </si>
  <si>
    <t>Bulk order</t>
  </si>
  <si>
    <t>ZM1569541</t>
  </si>
  <si>
    <t>ZM1569562</t>
  </si>
  <si>
    <t>E-mail Dated 12 Nov 2025</t>
  </si>
  <si>
    <t>Purchase of Refurbished WS-C3650-48TD-L, WS-C3560X-48T-L</t>
  </si>
  <si>
    <t>ZM1569780</t>
  </si>
  <si>
    <t>RNL20251127</t>
  </si>
  <si>
    <t>CW PSS SD SUPT on EX2300-24T, EX2300-48T</t>
  </si>
  <si>
    <t>UID-25-12-0126</t>
  </si>
  <si>
    <t>W251190237L3</t>
  </si>
  <si>
    <t>Salesian School</t>
  </si>
  <si>
    <t>Liang, Aka ZH / Chan Dongdong SC</t>
  </si>
  <si>
    <t>J73615</t>
  </si>
  <si>
    <t>DN25001263</t>
  </si>
  <si>
    <t>IN25001263</t>
  </si>
  <si>
    <t>ZM1569676</t>
  </si>
  <si>
    <t>PSRT, PSBU on Cisco Products</t>
  </si>
  <si>
    <t>UID-25-12-0130</t>
  </si>
  <si>
    <t>L251290089IL</t>
  </si>
  <si>
    <t>D48319</t>
  </si>
  <si>
    <t>ZM1570244</t>
  </si>
  <si>
    <t>0Y03442401610Z / 0000Ht84082253202511120038</t>
  </si>
  <si>
    <t xml:space="preserve">Co-Care Premier 12 Months Renewals </t>
  </si>
  <si>
    <t>UID-25-12-0132</t>
  </si>
  <si>
    <t>P/7706/MAMA/CO25</t>
  </si>
  <si>
    <t>Hong Kong Police Force</t>
  </si>
  <si>
    <t>J14078</t>
  </si>
  <si>
    <t>ZM1569839</t>
  </si>
  <si>
    <t>0Y03442300820X</t>
  </si>
  <si>
    <t>Co-Care Standard 12 Months Support</t>
  </si>
  <si>
    <t>UID-25-12-0136</t>
  </si>
  <si>
    <t>L251290084CP</t>
  </si>
  <si>
    <t>Construction Industry Council</t>
  </si>
  <si>
    <t>I51399</t>
  </si>
  <si>
    <t>UID-25-12-0137</t>
  </si>
  <si>
    <t>G251200189JI</t>
  </si>
  <si>
    <t>Hong Kong Interbank Clearing Limited</t>
  </si>
  <si>
    <t>J89505, I19288, I19280</t>
  </si>
  <si>
    <t>ZM1573963</t>
  </si>
  <si>
    <t>6023092_v1.1</t>
  </si>
  <si>
    <t>4-B&amp;Data (Part 1)</t>
  </si>
  <si>
    <t>BDKD26-0165</t>
  </si>
  <si>
    <t>ZM1570851</t>
  </si>
  <si>
    <t>Starcom Electronics Limited</t>
  </si>
  <si>
    <t>20251204_S600W_HKICL</t>
  </si>
  <si>
    <t>Maintenance Support for S600 units</t>
  </si>
  <si>
    <t>8-Starcom</t>
  </si>
  <si>
    <t>ZM1570797</t>
  </si>
  <si>
    <t>Purchase of Refurbished ASR1000-2T+20X1GE</t>
  </si>
  <si>
    <t>ZM1571377</t>
  </si>
  <si>
    <t>20251215A</t>
  </si>
  <si>
    <t>H3Care 7x24x4 and Professional Service</t>
  </si>
  <si>
    <t>6-SIS (Part 1)</t>
  </si>
  <si>
    <t>SI25-05289</t>
  </si>
  <si>
    <t>ZM1571454</t>
  </si>
  <si>
    <t>20251125Dv2</t>
  </si>
  <si>
    <t>H3Care Basic 8x5xNBD, H3Care Onsite 24x7x4 Service</t>
  </si>
  <si>
    <t>6-SIS (Part 2)</t>
  </si>
  <si>
    <t>SI25-05290</t>
  </si>
  <si>
    <t>ZM1570033</t>
  </si>
  <si>
    <t>UID-25-12-0148</t>
  </si>
  <si>
    <t>L251290127TS</t>
  </si>
  <si>
    <t>DHL Global Forwarding Hong Kong Limited</t>
  </si>
  <si>
    <t>MASS14198</t>
  </si>
  <si>
    <t>ZM1570512</t>
  </si>
  <si>
    <t>PSUP, PSRT, PSBU on Cisco Products</t>
  </si>
  <si>
    <t xml:space="preserve"> 1-Cisco </t>
  </si>
  <si>
    <t>UID-25-12-0153</t>
  </si>
  <si>
    <t>L251290131AC</t>
  </si>
  <si>
    <t>KGI Hong Kong Ltd</t>
  </si>
  <si>
    <t>MASS12514, MASS13482, MASS13285</t>
  </si>
  <si>
    <t>ZM1570209</t>
  </si>
  <si>
    <t>SNTP, PSBU on Cisco Products</t>
  </si>
  <si>
    <t>UID-25-12-0142</t>
  </si>
  <si>
    <t>G251100032YR</t>
  </si>
  <si>
    <t>J76720</t>
  </si>
  <si>
    <t>SNTP, ECMU, SNT on Cisco Products</t>
  </si>
  <si>
    <t xml:space="preserve"> 2-Cisco </t>
  </si>
  <si>
    <t>UID-25-12-0172</t>
  </si>
  <si>
    <t>L251200923KW</t>
  </si>
  <si>
    <t>ZM1570276</t>
  </si>
  <si>
    <t>Purchase of Refurbished ASA5508-K9, ASA5508-SSD</t>
  </si>
  <si>
    <t>LSNTP on Cisco Products</t>
  </si>
  <si>
    <t>31/12/26</t>
  </si>
  <si>
    <t>SNT on Cisco Products</t>
  </si>
  <si>
    <t>7-Cisco</t>
  </si>
  <si>
    <t>ZM1570513</t>
  </si>
  <si>
    <t>SNT, SNTP on Cisco Products</t>
  </si>
  <si>
    <t>ZM1570452</t>
  </si>
  <si>
    <t>Purchase of Refurbished WS-C3650-48TD-L, N5K-C5672UP</t>
  </si>
  <si>
    <t xml:space="preserve">L251290131AC </t>
  </si>
  <si>
    <t>KGI HK LTD</t>
  </si>
  <si>
    <t>0/1/2026</t>
  </si>
  <si>
    <t>MASS12514 MASS13482 MASS13285</t>
  </si>
  <si>
    <t>ZM1570456</t>
  </si>
  <si>
    <t>6 Months Onsite Hardware Maintenance Service</t>
  </si>
  <si>
    <t>MFSC25120002</t>
  </si>
  <si>
    <t>ZM1570817</t>
  </si>
  <si>
    <t xml:space="preserve">Purchase of Refurbished Huawei S12704 Agile Switch Chassis </t>
  </si>
  <si>
    <t>UID-25-12-0129</t>
  </si>
  <si>
    <t>L251201070MZ</t>
  </si>
  <si>
    <t xml:space="preserve">Cheung, Marcus TH / Poon, Nelson KH </t>
  </si>
  <si>
    <t>D50941</t>
  </si>
  <si>
    <t>9-Cisco</t>
  </si>
  <si>
    <t>L14HR on Cisco Products</t>
  </si>
  <si>
    <t>10-Cisco</t>
  </si>
  <si>
    <t>ZM1570802</t>
  </si>
  <si>
    <t>11-Cisco</t>
  </si>
  <si>
    <t>E-Delivery</t>
  </si>
  <si>
    <t xml:space="preserve">SNTP on Cisco Products </t>
  </si>
  <si>
    <t>12-Cisco</t>
  </si>
  <si>
    <t>13-Cisco</t>
  </si>
  <si>
    <t>ZM1571094</t>
  </si>
  <si>
    <t>RNL20251124</t>
  </si>
  <si>
    <t>CW PSS ND SUPT EX2300-24P &amp; CW PSS ND SUPT EX2300-48P</t>
  </si>
  <si>
    <t>UID-25-12-0169</t>
  </si>
  <si>
    <t>W251201285L3</t>
  </si>
  <si>
    <t>THE IMC OF HOLY TRINITY COLLEGE</t>
  </si>
  <si>
    <t>D86245</t>
  </si>
  <si>
    <t>DN25001300</t>
  </si>
  <si>
    <t>IN25001300</t>
  </si>
  <si>
    <t>ZM1570709</t>
  </si>
  <si>
    <t>UID-25-12-0195</t>
  </si>
  <si>
    <t>L251290150TS</t>
  </si>
  <si>
    <t>Swire Properties Ltd</t>
  </si>
  <si>
    <t>MASS14207</t>
  </si>
  <si>
    <t>ZM1570750</t>
  </si>
  <si>
    <t>L251290127TS, G251290129TS</t>
  </si>
  <si>
    <t>DHL Global Forwarding (Hong Kong) Limited</t>
  </si>
  <si>
    <t>MASS14199</t>
  </si>
  <si>
    <t>UID-25-12-0203</t>
  </si>
  <si>
    <t>L260101154CB</t>
  </si>
  <si>
    <t>Sun Fook Kong Construction Management Ltd</t>
  </si>
  <si>
    <t xml:space="preserve">MASS11563 </t>
  </si>
  <si>
    <t>UID-25-12-0205</t>
  </si>
  <si>
    <t>L251100821CP</t>
  </si>
  <si>
    <t>D54619, MASS12936</t>
  </si>
  <si>
    <t>ZM1570837</t>
  </si>
  <si>
    <t>Purchase of Refurbished P/N: Cisco Catalyst 2960-X 48 GigE, 4 x 1G SFP, LAN Base,P/N: WS-C2960X-48TS-L</t>
  </si>
  <si>
    <t>PSJ1 on Cisco Products</t>
  </si>
  <si>
    <t>UID-25-12-0215</t>
  </si>
  <si>
    <t>H260100325CO</t>
  </si>
  <si>
    <t>HKSH Eastern Medical Centre Limited</t>
  </si>
  <si>
    <t>D54700</t>
  </si>
  <si>
    <t>ZM1571948</t>
  </si>
  <si>
    <t>ETHKQ26003171-01</t>
  </si>
  <si>
    <t>SolarWinds Observability Self-Hosted Advanced A500</t>
  </si>
  <si>
    <t>7-Edvance</t>
  </si>
  <si>
    <t>UID-25-12-0218</t>
  </si>
  <si>
    <t>L251201218J2</t>
  </si>
  <si>
    <t>Zurich Services (Hong Kong) Ltd</t>
  </si>
  <si>
    <t>MASS12926</t>
  </si>
  <si>
    <t>ETHKIF26003868</t>
  </si>
  <si>
    <t>Hong Kong Air Cargo Terminals Limited</t>
  </si>
  <si>
    <t>Cheung, Marcus TH / Poon Nelson KH</t>
  </si>
  <si>
    <t>ZM1571206</t>
  </si>
  <si>
    <t>F5_251014_HKT_Zurich Insurance Hong Kong_6021088</t>
  </si>
  <si>
    <t xml:space="preserve">BIG-IP SERVICE: PREMIUM, (LEVEL 1-3) </t>
  </si>
  <si>
    <t>8-B&amp;DATA</t>
  </si>
  <si>
    <t>MASS13476</t>
  </si>
  <si>
    <t>ZM1571504</t>
  </si>
  <si>
    <t>0Y0344200750N</t>
  </si>
  <si>
    <t>Co-Care Standard 12 Months on AR6300, etc</t>
  </si>
  <si>
    <t>UID-25-12-0182</t>
  </si>
  <si>
    <t>L260101062CP</t>
  </si>
  <si>
    <t>Culture Sports and Tourism Bureau</t>
  </si>
  <si>
    <t>I35897, I35898</t>
  </si>
  <si>
    <t>HL2600086</t>
  </si>
  <si>
    <t>ZM1571663</t>
  </si>
  <si>
    <t>email dated 27 Nov 2025</t>
  </si>
  <si>
    <t xml:space="preserve">F5 Virtual Edition Subscription Better Bundle 1 Year Contract </t>
  </si>
  <si>
    <t>13-B&amp;DATA</t>
  </si>
  <si>
    <t>MASS13476-1</t>
  </si>
  <si>
    <t>BDKD26-0145</t>
  </si>
  <si>
    <t>ZM1570982</t>
  </si>
  <si>
    <t>email dated 7 Nov 2025</t>
  </si>
  <si>
    <t>Purchase of Refurbished P/N: WS-C2960S-48FPD-L, N2K-C2232PP-10GE ,N2K-C2232PP, N2232PP-FA-BUN</t>
  </si>
  <si>
    <t>12--Man Fung</t>
  </si>
  <si>
    <t>MASS11133</t>
  </si>
  <si>
    <t>delete line 1</t>
  </si>
  <si>
    <t>KC-20251297-891</t>
  </si>
  <si>
    <t>1 year for 2 x Arista Switch 720XP-48Y6, 7x24x4 onsite labour hardware replacement Support Period: 1 Jan 2026 to 31 Dec 2026</t>
  </si>
  <si>
    <t>9-ACW</t>
  </si>
  <si>
    <t>MASS13478</t>
  </si>
  <si>
    <t>3199697/3199765</t>
  </si>
  <si>
    <t>ZM1571505</t>
  </si>
  <si>
    <t>0Y03442200750P</t>
  </si>
  <si>
    <t>Co-Care Standard 12 Months on S5731-S48T4X</t>
  </si>
  <si>
    <t>INV#HL2600087</t>
  </si>
  <si>
    <t xml:space="preserve">D92725-1, I69052, I69053, MASS12491, 12924, 11133 </t>
  </si>
  <si>
    <t xml:space="preserve">MASS13052 </t>
  </si>
  <si>
    <t>MASS13477</t>
  </si>
  <si>
    <t>PSBU on Cisco Products</t>
  </si>
  <si>
    <t>UID-25-12-0211</t>
  </si>
  <si>
    <t>L251201170CF</t>
  </si>
  <si>
    <t>Rolex Hong Kong Ltd</t>
  </si>
  <si>
    <t>Mak, Connie OM / Poon Nelson KH</t>
  </si>
  <si>
    <t>J98741-1</t>
  </si>
  <si>
    <t>Web Order ID: 11000448587</t>
  </si>
  <si>
    <t>License R-ISE-VMC-K9= &amp; CON-L1SW-RISE9KVM on Cisco Products</t>
  </si>
  <si>
    <t>MASS12927</t>
  </si>
  <si>
    <t>10000032053 / 10000032052</t>
  </si>
  <si>
    <t>3194077 / 3194079</t>
  </si>
  <si>
    <t>V87656</t>
  </si>
  <si>
    <t>J98741, J98869-1, I20325, I20098, I20325-1</t>
  </si>
  <si>
    <t>V87658</t>
  </si>
  <si>
    <t>ZM1576422</t>
  </si>
  <si>
    <t>MASS11133-2</t>
  </si>
  <si>
    <t>ZM1570983</t>
  </si>
  <si>
    <t>I95382</t>
  </si>
  <si>
    <t>ZM1570996</t>
  </si>
  <si>
    <t>UID-25-12-0226</t>
  </si>
  <si>
    <t>L260200911J2</t>
  </si>
  <si>
    <t>MASS13911</t>
  </si>
  <si>
    <t>ZM1571610</t>
  </si>
  <si>
    <t>0Y034425001532</t>
  </si>
  <si>
    <t>Co-Care Premier 12 Months on S5731-S24T4X</t>
  </si>
  <si>
    <t>UID-25-12-0189</t>
  </si>
  <si>
    <t>P/7822/MAMA/CO25</t>
  </si>
  <si>
    <t>HKSH Eastern Medical Centre</t>
  </si>
  <si>
    <t>I70001</t>
  </si>
  <si>
    <t>HL2535718</t>
  </si>
  <si>
    <t>ZM1570998</t>
  </si>
  <si>
    <t>UID-25-12-0246</t>
  </si>
  <si>
    <t>L260400049CB</t>
  </si>
  <si>
    <t>Megahub Ltd</t>
  </si>
  <si>
    <t>MASS13869</t>
  </si>
  <si>
    <t>ZM1571247</t>
  </si>
  <si>
    <t>Purchase of Refurbished ASA5525-FPWR-K9</t>
  </si>
  <si>
    <t>UID-25-12-0293</t>
  </si>
  <si>
    <t>G250990214YR</t>
  </si>
  <si>
    <t>J78260</t>
  </si>
  <si>
    <t>ZM1572005</t>
  </si>
  <si>
    <t>E-mail Dated 17 Dec 2025</t>
  </si>
  <si>
    <t>Purchase of C9200L-24P-4X-A, C9200L-24T-4X-A, C9200-24T-E</t>
  </si>
  <si>
    <t>9-PICS Telecom Int'l</t>
  </si>
  <si>
    <t>Rolex (Hong Kong) Limited</t>
  </si>
  <si>
    <t>SF1551051362359 &amp; SF1551051362368</t>
  </si>
  <si>
    <t>09/04/2026 &amp; 30/04/2026</t>
  </si>
  <si>
    <t>HK01119-0</t>
  </si>
  <si>
    <t>ZM1572054</t>
  </si>
  <si>
    <t>0Y03442400000B</t>
  </si>
  <si>
    <t>Co-Care Premier 12 Months on USG6525F, S5731, etc</t>
  </si>
  <si>
    <t>UID-25-12-0212</t>
  </si>
  <si>
    <t>L250400786</t>
  </si>
  <si>
    <t>R79622, R79624</t>
  </si>
  <si>
    <t>ZM1571658</t>
  </si>
  <si>
    <t>UID-25-12-0300</t>
  </si>
  <si>
    <t>L251290184KW</t>
  </si>
  <si>
    <t>DCH Business Innovations Limited (Dah Chong Hong Ltd)</t>
  </si>
  <si>
    <t>I50980-4, I50980-5</t>
  </si>
  <si>
    <t>ZM1572129</t>
  </si>
  <si>
    <t>KDCHW20250923-823</t>
  </si>
  <si>
    <t>Co-Care Premier 12 Months on S5731-S24T4X, S5735-L12P4S-A</t>
  </si>
  <si>
    <t>1-Karin</t>
  </si>
  <si>
    <t>UID-25-12-0275</t>
  </si>
  <si>
    <t>P/7727/MAMA/YT25</t>
  </si>
  <si>
    <t>Hospital Authority - Haven of Hope Hospital</t>
  </si>
  <si>
    <t>KKIN2600009</t>
  </si>
  <si>
    <t>ZM1571657</t>
  </si>
  <si>
    <t>UID-25-12-0250</t>
  </si>
  <si>
    <t>L251201128KW</t>
  </si>
  <si>
    <t>Livi Bank Ltd</t>
  </si>
  <si>
    <t>MASS13098</t>
  </si>
  <si>
    <t>UID-25-12-0305</t>
  </si>
  <si>
    <t>L251201131TH</t>
  </si>
  <si>
    <t>Mandarin Oriental Hotel Group Ltd</t>
  </si>
  <si>
    <t>MASS12497</t>
  </si>
  <si>
    <r>
      <t>ZM1590444&lt;--</t>
    </r>
    <r>
      <rPr>
        <b/>
        <strike/>
        <sz val="10"/>
        <rFont val="Arial"/>
        <family val="2"/>
      </rPr>
      <t>1571794</t>
    </r>
  </si>
  <si>
    <t>Synnex Technology International (HK) Limited</t>
  </si>
  <si>
    <t>000Hy60099436202512010004</t>
  </si>
  <si>
    <t>Co-Care Standard 22 Months on UPS2000-H-6KRTL-L</t>
  </si>
  <si>
    <t>Huawei cert.</t>
  </si>
  <si>
    <t>V260HK0021219</t>
  </si>
  <si>
    <t>3.1-Cisco</t>
  </si>
  <si>
    <t>Hsui, Janet WJ / Wong Ada SK</t>
  </si>
  <si>
    <t>3.2-Cisco</t>
  </si>
  <si>
    <t>3.3-Cisco</t>
  </si>
  <si>
    <t>ZM1572006</t>
  </si>
  <si>
    <t>Purchase of Refurbished C9300L-24T-4X-A, etc</t>
  </si>
  <si>
    <t>8-Man Fung</t>
  </si>
  <si>
    <t>L251201171CF</t>
  </si>
  <si>
    <t>Rolex (HK) Limited</t>
  </si>
  <si>
    <t>J98471, I51290</t>
  </si>
  <si>
    <t>ZM1572555</t>
  </si>
  <si>
    <t>F5_250605_HKT</t>
  </si>
  <si>
    <t>Cloud Services Console Package</t>
  </si>
  <si>
    <t>UID-25-12-0299</t>
  </si>
  <si>
    <t>G260100059LS</t>
  </si>
  <si>
    <t>Fubon Bank (Hong Kong) Limited</t>
  </si>
  <si>
    <t>D57309</t>
  </si>
  <si>
    <t>BDKD26-0147</t>
  </si>
  <si>
    <t>BDI26-0195</t>
  </si>
  <si>
    <t>ZM1572003</t>
  </si>
  <si>
    <t>Purchase of Refurbished Cisco 3745 Multiservice Access Router</t>
  </si>
  <si>
    <t>UID-25-12-0230</t>
  </si>
  <si>
    <t>H251200652CF</t>
  </si>
  <si>
    <t>Luen Thai International Group Ltd</t>
  </si>
  <si>
    <t>MASS11977</t>
  </si>
  <si>
    <t>ZM1571912</t>
  </si>
  <si>
    <t>PID20251205-HWMA-HKT-20915v2</t>
  </si>
  <si>
    <t>Co-Care Premier 24x7x4 hours response support</t>
  </si>
  <si>
    <t>6-DCSS</t>
  </si>
  <si>
    <t>G251201128KW</t>
  </si>
  <si>
    <t>ZM1571796</t>
  </si>
  <si>
    <t>PID20241115-HWMA-HKT-9455v3</t>
  </si>
  <si>
    <t>7-DCSS</t>
  </si>
  <si>
    <t>ZM1572325</t>
  </si>
  <si>
    <t xml:space="preserve">F5_250923_HKT_HKEX-CCI F5_6006113		</t>
  </si>
  <si>
    <t>UID-25-12-0125</t>
  </si>
  <si>
    <t>G241200175KW</t>
  </si>
  <si>
    <t>Wong, Kiwi LF / Lai, Foonie WF</t>
  </si>
  <si>
    <t>D18889-1</t>
  </si>
  <si>
    <t>BDKD26-0148</t>
  </si>
  <si>
    <t>BDI26-0196</t>
  </si>
  <si>
    <t>ZM1572258</t>
  </si>
  <si>
    <t>Hardware maintenance service for 16 units of network equipment</t>
  </si>
  <si>
    <t>UID-25-12-0361</t>
  </si>
  <si>
    <t>L251290205NI (2025WB1064NI)</t>
  </si>
  <si>
    <t>Christian &amp; Missionary Alliance Sun Kei Primary School</t>
  </si>
  <si>
    <t>Ng, Ivy WY / Chan Dongdong</t>
  </si>
  <si>
    <t>MASS14212</t>
  </si>
  <si>
    <t xml:space="preserve">MFSC26010002 </t>
  </si>
  <si>
    <t>ZM1572217</t>
  </si>
  <si>
    <t xml:space="preserve">3 Year Onsite Support Service (labour only) </t>
  </si>
  <si>
    <t>UID-25-12-0359</t>
  </si>
  <si>
    <t>L251290200NI</t>
  </si>
  <si>
    <t>The Yuen Yuen Institute</t>
  </si>
  <si>
    <t>I01484</t>
  </si>
  <si>
    <t xml:space="preserve">MFSC26010003 </t>
  </si>
  <si>
    <t>ZM1572214</t>
  </si>
  <si>
    <t>QHK020001492</t>
  </si>
  <si>
    <t>ICX7150-SVL-RPSDPA-3 - SpcPtr Spt REN, NBD RMA, ICX7150, 3 Year Support Service</t>
  </si>
  <si>
    <t>1-JJNet</t>
  </si>
  <si>
    <t>IF0947398</t>
  </si>
  <si>
    <t>ZM1572218</t>
  </si>
  <si>
    <t>email dated 23/12/2025</t>
  </si>
  <si>
    <t>Purchase of Refurbished C9200-48T-E &amp; CE6875-48S4CQ-EI</t>
  </si>
  <si>
    <t>UID-25-12-0364</t>
  </si>
  <si>
    <t>L251290208NI</t>
  </si>
  <si>
    <t>Schindler Lifts (HK) Ltd</t>
  </si>
  <si>
    <t>MASS14217</t>
  </si>
  <si>
    <t>ZM1572587</t>
  </si>
  <si>
    <t>000Ht84082253202512230004</t>
  </si>
  <si>
    <t>4-Huawei International</t>
  </si>
  <si>
    <t>ZM1572305</t>
  </si>
  <si>
    <t>F5_250905_HKT_HKEX_F5 WAF 6002796 6003876_v1.3</t>
  </si>
  <si>
    <t>Big-IP Service: Peremium, (Level 1-3)</t>
  </si>
  <si>
    <t>2-B&amp;Data</t>
  </si>
  <si>
    <t>UID-25-12-0128</t>
  </si>
  <si>
    <t>G251290104KW</t>
  </si>
  <si>
    <t>MASS13863 MASS13863-1</t>
  </si>
  <si>
    <t>ZM1572302</t>
  </si>
  <si>
    <t>F5_250905_HKT_HKEX_F5 WAF 6002796 6003876_v1.4</t>
  </si>
  <si>
    <t xml:space="preserve">Professional Service - 1Tokens   </t>
  </si>
  <si>
    <t>BDKD26-0142</t>
  </si>
  <si>
    <t>ZM1572456</t>
  </si>
  <si>
    <t>UID-25-12-0360</t>
  </si>
  <si>
    <t>L260101153IL</t>
  </si>
  <si>
    <t>Social Welfare Department</t>
  </si>
  <si>
    <t>I08552</t>
  </si>
  <si>
    <t>PSRT, PSBU, PSJ1 on Cisco Products</t>
  </si>
  <si>
    <t>UID-25-12-0171</t>
  </si>
  <si>
    <t>P/7257/WA/CP25</t>
  </si>
  <si>
    <t>Lau, Coco Wy / Chow, Apple FP</t>
  </si>
  <si>
    <t>UID-25-12-0304</t>
  </si>
  <si>
    <t>P/7884/MAMA/CB25</t>
  </si>
  <si>
    <t>Cordoba Homes Management Ltd</t>
  </si>
  <si>
    <t>I20453, I37859, I67927</t>
  </si>
  <si>
    <t>ZM1572260</t>
  </si>
  <si>
    <t>Hardware maintenance service for 5 units of equipment</t>
  </si>
  <si>
    <t xml:space="preserve">MFSC26010001 </t>
  </si>
  <si>
    <t>ZM1572894</t>
  </si>
  <si>
    <t>UID-25-12-0377</t>
  </si>
  <si>
    <t>L250490159NP</t>
  </si>
  <si>
    <t>Mast Industries (Far East) Ltd</t>
  </si>
  <si>
    <t>ZM1572973</t>
  </si>
  <si>
    <t>0Y034424004838_Co-Care_12M_HKT</t>
  </si>
  <si>
    <t>Co-Care Premier 12 Months on S12708 Chassis, etc</t>
  </si>
  <si>
    <t>UID-25-12-0306</t>
  </si>
  <si>
    <t>L251201180CB</t>
  </si>
  <si>
    <t>Television Broadcasts Ltd</t>
  </si>
  <si>
    <t>ZM1572850</t>
  </si>
  <si>
    <t xml:space="preserve"> HK-QUO-184843</t>
  </si>
  <si>
    <t>Progress License Renewal for WhatsUp Gold</t>
  </si>
  <si>
    <t>7-Softwareone Hong Kong Limited</t>
  </si>
  <si>
    <t>UID-25-12-0396</t>
  </si>
  <si>
    <t>G251200201JI</t>
  </si>
  <si>
    <t xml:space="preserve">Hong Kong Interbank Clearing Limited </t>
  </si>
  <si>
    <t xml:space="preserve">Hsui, Janet WJ / Yuen, Vivien MC </t>
  </si>
  <si>
    <t xml:space="preserve">MASS12868 &amp; MASS12868-1, MASS10594 </t>
  </si>
  <si>
    <t>HK-PSI-236858</t>
  </si>
  <si>
    <t>HK-PSS-244851</t>
  </si>
  <si>
    <t>ZM1572835</t>
  </si>
  <si>
    <t>QUO-2266519-L9P5Y2</t>
  </si>
  <si>
    <t>SolarWinds Network Configuration Manager DL500 (up to 500 nodes) – Subscription</t>
  </si>
  <si>
    <t>9-Ingram</t>
  </si>
  <si>
    <t>E-mail Quote Dated 15 Dec 2025</t>
  </si>
  <si>
    <t>Purchase of Refurbished LS-5100-24P-EI, LS-S3100-26T-SI</t>
  </si>
  <si>
    <t>UID-25-12-0347</t>
  </si>
  <si>
    <t>L251201177TH</t>
  </si>
  <si>
    <t>SoHotel</t>
  </si>
  <si>
    <t>B03734</t>
  </si>
  <si>
    <t>ZM1572467</t>
  </si>
  <si>
    <t>UID-25-12-0395</t>
  </si>
  <si>
    <t>L251201007ND</t>
  </si>
  <si>
    <t>CLP Power Hong Kong Ltd</t>
  </si>
  <si>
    <t>MASS12488, MASS11997, D18974,D50481, D50382, D50518</t>
  </si>
  <si>
    <t>ZM1572589</t>
  </si>
  <si>
    <t>UID-25-12-0389</t>
  </si>
  <si>
    <t>L260101078CB</t>
  </si>
  <si>
    <t>Hong Kong University of Science and Technology</t>
  </si>
  <si>
    <t>MASS13881</t>
  </si>
  <si>
    <t>PSRT, PSBU, PSUP on Cisco Products</t>
  </si>
  <si>
    <t>UID-25-12-0397</t>
  </si>
  <si>
    <t>G251290239YT</t>
  </si>
  <si>
    <t>Hong Kong Baptist Hospital</t>
  </si>
  <si>
    <t>Yim, Theo TP / Law, Carman KM</t>
  </si>
  <si>
    <t>I42334</t>
  </si>
  <si>
    <t>ZM1573222</t>
  </si>
  <si>
    <t>0Y03442300290D</t>
  </si>
  <si>
    <t xml:space="preserve">Hi-Care Onsite Premier 12 Months on S5720-28X-LI-AC, AP7060DN mainframe </t>
  </si>
  <si>
    <t>UID-26-01-0002</t>
  </si>
  <si>
    <t>L251200980JI</t>
  </si>
  <si>
    <t>China Construction Bank (Asia) Corp Ltd</t>
  </si>
  <si>
    <t>D43976, I01235</t>
  </si>
  <si>
    <t>ZM1573254</t>
  </si>
  <si>
    <t>0Y034423002430</t>
  </si>
  <si>
    <t>Hi-Care Onsite Premier 12 Months on AP7060DN mainframe</t>
  </si>
  <si>
    <t>ZM1572895</t>
  </si>
  <si>
    <t>E-mail Quote Dated 1 Dec 2025</t>
  </si>
  <si>
    <t>Purchase of Refurbished Huawei S6720-50L-HI-48S, Huawei Switch S5730-44C-PWH-HI</t>
  </si>
  <si>
    <t>ZM1572896</t>
  </si>
  <si>
    <t>Purchase of Refurbished Cisco Products</t>
  </si>
  <si>
    <t>ZM1573395</t>
  </si>
  <si>
    <t>UID-26-01-0020</t>
  </si>
  <si>
    <t>L251200993CB</t>
  </si>
  <si>
    <t>Chow Tai Fook Jewellery Co Ltd</t>
  </si>
  <si>
    <t>MASS12296</t>
  </si>
  <si>
    <t>ZM1573546</t>
  </si>
  <si>
    <t>0Y034425001436</t>
  </si>
  <si>
    <t>Co-Care Standard 12 Months Renewals on S5731-S24T4X</t>
  </si>
  <si>
    <t>UID-26-01-0029</t>
  </si>
  <si>
    <t>P/7824/MAMA/CO25</t>
  </si>
  <si>
    <t>D43304</t>
  </si>
  <si>
    <t>ZM1573399</t>
  </si>
  <si>
    <t>E-mail Quote Dated 20 Nov 2025</t>
  </si>
  <si>
    <t>Purchase of H3C S3100-16T-SI, H3C S3100-8T-SI</t>
  </si>
  <si>
    <t>2-PICS Telecom Int'l</t>
  </si>
  <si>
    <t>UID-26-01-0028</t>
  </si>
  <si>
    <t>P/7717/MAMA/TH25</t>
  </si>
  <si>
    <t>Regal Airport Hotel</t>
  </si>
  <si>
    <t>N37046</t>
  </si>
  <si>
    <t>HK01116</t>
  </si>
  <si>
    <t>ZM1573707</t>
  </si>
  <si>
    <t>0Y03442000820K</t>
  </si>
  <si>
    <t>Co-Care Standard 34 Months on S5720-12TP-LI-AC, 35 Months on NetEngine 8000 M6 Basic</t>
  </si>
  <si>
    <t>UID-26-01-0032</t>
  </si>
  <si>
    <t>L260190026WC</t>
  </si>
  <si>
    <t>Digital Policy Office</t>
  </si>
  <si>
    <t>Wong, Cammy SL / Chow, Apple FP</t>
  </si>
  <si>
    <t>MASS14227</t>
  </si>
  <si>
    <t>ZM1573403</t>
  </si>
  <si>
    <t xml:space="preserve">Purchase of Refurbished Huawei NetEngine 8000 M6 Chassis, Huawei S5720-12TP-LI-AC Switch </t>
  </si>
  <si>
    <t>ZM1573967</t>
  </si>
  <si>
    <t>6023092 v1.2</t>
  </si>
  <si>
    <t>BIG-IP Service: Premium (Level 1-3), RMA HW Replacement on F5-BIG-BR-I5800</t>
  </si>
  <si>
    <t>4-B&amp;Data (Part2)</t>
  </si>
  <si>
    <t>Hong Kong Interbank Clearing Ltd</t>
  </si>
  <si>
    <t>BDKD26-0167</t>
  </si>
  <si>
    <t>ZM1573966</t>
  </si>
  <si>
    <t>6023092 v1.3</t>
  </si>
  <si>
    <t>4-B&amp;Data (Part 3)</t>
  </si>
  <si>
    <t>BDKD26-0166</t>
  </si>
  <si>
    <t>ZM1573969</t>
  </si>
  <si>
    <t>6023092 v1.4</t>
  </si>
  <si>
    <t>BIG-IP Service: Premium (Level 1-3), RMA HW REplacement on F5-BIG-BR-I5800</t>
  </si>
  <si>
    <t>4-B&amp;Data (Part4)</t>
  </si>
  <si>
    <t>BDKD26-0168</t>
  </si>
  <si>
    <t>ZM1573920</t>
  </si>
  <si>
    <t>UID-26-01-0046</t>
  </si>
  <si>
    <t>L251200968J3, L260190066J3</t>
  </si>
  <si>
    <t>China Citic Bank International Ltd</t>
  </si>
  <si>
    <t>MASS13949, MASS08794, MASS14229</t>
  </si>
  <si>
    <t>e-Delivery</t>
  </si>
  <si>
    <t>L251200868J3, L260190066J3</t>
  </si>
  <si>
    <t>China Citic Bank International Limited</t>
  </si>
  <si>
    <t>10000069441 / 10000069440</t>
  </si>
  <si>
    <t>3194411 / 3194423</t>
  </si>
  <si>
    <t>ZM1573960</t>
  </si>
  <si>
    <t>E-mail Quote Dated 17 Jul 2025</t>
  </si>
  <si>
    <t>Purchase of Refurbished C1921-AX/K9, CISCO2901-SEC/K9, etc</t>
  </si>
  <si>
    <t>ZM1573932</t>
  </si>
  <si>
    <t>1-Cisco (Part 1)</t>
  </si>
  <si>
    <t>UID-26-01-0016</t>
  </si>
  <si>
    <t>G260190013J3</t>
  </si>
  <si>
    <t>FWD Group Management Holdings Limited</t>
  </si>
  <si>
    <t>MASS14225</t>
  </si>
  <si>
    <t>ZM1573924</t>
  </si>
  <si>
    <t>1-Cisco (Part 2)</t>
  </si>
  <si>
    <t>FWD Life Insurance Company Bermuda Ltd</t>
  </si>
  <si>
    <t>ZM1575295</t>
  </si>
  <si>
    <t>1-Cisco (Part 3)</t>
  </si>
  <si>
    <t>Hutchison Global Communications Limited</t>
  </si>
  <si>
    <t>ZM1573929</t>
  </si>
  <si>
    <t>UID-26-01-0065</t>
  </si>
  <si>
    <t>L251201200NP</t>
  </si>
  <si>
    <t>UOB Kay Hian Hong Kong Ltd</t>
  </si>
  <si>
    <t>J52978, MASS11335, D50297. I68492</t>
  </si>
  <si>
    <t>ZM1574811</t>
  </si>
  <si>
    <t>E-mail Quote Dated 6 Jan 2026</t>
  </si>
  <si>
    <t>Purchase of Refurbished C9200-L-24T-4X-E, WS-C2960X-24TS-LL, etc</t>
  </si>
  <si>
    <t>J52978, MASS11335, D50297, I68492</t>
  </si>
  <si>
    <t>ZM1573930</t>
  </si>
  <si>
    <t>J52978, MASS11335. D50297, I68492</t>
  </si>
  <si>
    <t>ZM1575615</t>
  </si>
  <si>
    <t>HKT_20260116_01</t>
  </si>
  <si>
    <t>Purchase of Refurbished Cisco ASR 1002-X Router, Cisco ASA 5585 Appliance</t>
  </si>
  <si>
    <t>UID-26-01-0067</t>
  </si>
  <si>
    <t>L250301536IL</t>
  </si>
  <si>
    <t>Hong Kong Telecommunication Ltd</t>
  </si>
  <si>
    <t>J17403, F88683, F88651</t>
  </si>
  <si>
    <t>SO#HK01123</t>
  </si>
  <si>
    <t>PSRT, PSUP, SSTC on Cisco Products</t>
  </si>
  <si>
    <t>L2512000968J3, L260190066J3</t>
  </si>
  <si>
    <t>Lam, Jessica WS / Wong, Gigi WC / Yuen, Vivien MC</t>
  </si>
  <si>
    <t>10000074556 / 10000074563</t>
  </si>
  <si>
    <t>3194461 / 3194746</t>
  </si>
  <si>
    <t>ZM1574492</t>
  </si>
  <si>
    <t>Purchase of Refurbished WS-C4948E-S, ASA5585-S20-K8, etc</t>
  </si>
  <si>
    <t>UID-26-01-0098</t>
  </si>
  <si>
    <t>G250100083IL</t>
  </si>
  <si>
    <t>PCCW HKT Limited</t>
  </si>
  <si>
    <t>B47680, A80993</t>
  </si>
  <si>
    <t>ZM1574812</t>
  </si>
  <si>
    <t>UID-26-01-0094</t>
  </si>
  <si>
    <t>L250800751YR</t>
  </si>
  <si>
    <t>Hong Kong Telecommunications HKT Limited</t>
  </si>
  <si>
    <t>J39559</t>
  </si>
  <si>
    <t>UID-26-01-0095</t>
  </si>
  <si>
    <t>L260200918KW</t>
  </si>
  <si>
    <t>ECO Aviation Fuel Services Ltd</t>
  </si>
  <si>
    <t>D14909</t>
  </si>
  <si>
    <t>UID-26-01-0099</t>
  </si>
  <si>
    <t>L250201203YR</t>
  </si>
  <si>
    <t>J87523</t>
  </si>
  <si>
    <t>ZM1574501</t>
  </si>
  <si>
    <t>0000Ht00235055202601130008</t>
  </si>
  <si>
    <t>Network Management License, 1 Year Subscription and Support</t>
  </si>
  <si>
    <t>UID-26-01-0100</t>
  </si>
  <si>
    <t>L251201187LS, L250600896LS, L251201186LS, L251201190LS, L251190010LS &amp; L251201188LS</t>
  </si>
  <si>
    <t>I68322, I68477, I68977, MASS13041</t>
  </si>
  <si>
    <t>ZM1574592</t>
  </si>
  <si>
    <t>0Y03442500110K</t>
  </si>
  <si>
    <t>Co-Care Premier 12 Months on S5731-S48T4X, S6730-H48X6C Bundle, S5731-S24T 4X</t>
  </si>
  <si>
    <t>The Hong Kong Jocky Club</t>
  </si>
  <si>
    <t>I68322, I68477, I68977, I95365, MASS13041</t>
  </si>
  <si>
    <t>ZM1574619</t>
  </si>
  <si>
    <t>0000Ht00235055202601130012</t>
  </si>
  <si>
    <t>License SNS, 1 Year Subscription and Support</t>
  </si>
  <si>
    <t>ZM1574805</t>
  </si>
  <si>
    <t>SNTP, SSTC on Cisco Products</t>
  </si>
  <si>
    <t>UID-26-01-0106</t>
  </si>
  <si>
    <t>L251190031YR</t>
  </si>
  <si>
    <t>PCCW HKT Limited (Retails Biz &amp; Assets)</t>
  </si>
  <si>
    <t>I19875</t>
  </si>
  <si>
    <t>ZM1574682</t>
  </si>
  <si>
    <t>Purchase of Refurbished Cisco Catalyst 3750 48 10/100/1000T + 4 SFP + IPS Image</t>
  </si>
  <si>
    <t>UID-26-01-0105</t>
  </si>
  <si>
    <t>L260190100YR</t>
  </si>
  <si>
    <t>N79076, B91746-1, etc</t>
  </si>
  <si>
    <t>UID-26-01-0107</t>
  </si>
  <si>
    <t>L260101103CB</t>
  </si>
  <si>
    <t>TVB Com Ltd (MYTV Super Ltd)</t>
  </si>
  <si>
    <t>MASS13873</t>
  </si>
  <si>
    <t>ZM1574686</t>
  </si>
  <si>
    <t>E-mail Quote Dated 7 Jan 2026</t>
  </si>
  <si>
    <t>Purchase of Refurbished SFP-H10GB-CU3M</t>
  </si>
  <si>
    <t>UID-26-01-0118</t>
  </si>
  <si>
    <t>L260190073CP</t>
  </si>
  <si>
    <t>Hong Kong Housing Authority</t>
  </si>
  <si>
    <t>J90223</t>
  </si>
  <si>
    <t>UID-26-01-0119</t>
  </si>
  <si>
    <t>D39481 &amp; D39481-1</t>
  </si>
  <si>
    <t>UID-26-01-0121</t>
  </si>
  <si>
    <t>L260190104NI</t>
  </si>
  <si>
    <t>Leisure and Cultural Services Department</t>
  </si>
  <si>
    <t>MASS14233, MASS14233-1</t>
  </si>
  <si>
    <t>UID-26-01-0126</t>
  </si>
  <si>
    <t>L260190110TS</t>
  </si>
  <si>
    <t>Bank of Montreal</t>
  </si>
  <si>
    <t>MASS14235</t>
  </si>
  <si>
    <t>ZM1575424</t>
  </si>
  <si>
    <t>QUO-109538</t>
  </si>
  <si>
    <t xml:space="preserve">ASP Service Fee(Yearly), Shared License*1000; Express - Advanced QoS Module , per year*1; Express - Dual-WAN Module, per year*1; </t>
  </si>
  <si>
    <t>5-GUNA Technologies Limited</t>
  </si>
  <si>
    <t>UID-26-01-0133</t>
  </si>
  <si>
    <t>L251290110CB</t>
  </si>
  <si>
    <t xml:space="preserve">HYSAN IT SERVICES COMPANY LIMITED </t>
  </si>
  <si>
    <t>MASS12961</t>
  </si>
  <si>
    <t>ZM1575413</t>
  </si>
  <si>
    <t>PSUP, PSRT on Cisco Products</t>
  </si>
  <si>
    <t>ZM1575946</t>
  </si>
  <si>
    <t>3.4-Cisco</t>
  </si>
  <si>
    <t>ZM1575947</t>
  </si>
  <si>
    <t>3.5-Cisco</t>
  </si>
  <si>
    <t>ZM1575949</t>
  </si>
  <si>
    <t>3.6-Cisco</t>
  </si>
  <si>
    <t>ZM1575607</t>
  </si>
  <si>
    <t>E-Mail Quote Dated 8 Jan 2026</t>
  </si>
  <si>
    <t>Purchase of Refurbished CISCO WS-C2960G-48TC-L</t>
  </si>
  <si>
    <t>UID-26-01-0143</t>
  </si>
  <si>
    <t>L260301815CP</t>
  </si>
  <si>
    <t>RCL Asia Limited</t>
  </si>
  <si>
    <t>H93772</t>
  </si>
  <si>
    <t>ZM1575860</t>
  </si>
  <si>
    <t>E-Mail Quote Dated 5 Nov 2025</t>
  </si>
  <si>
    <t>Purchase of Refurbished WS-C3650-24TS-E &amp; ASA5506-SEC-BUN-K8</t>
  </si>
  <si>
    <t>UID-26-01-0164</t>
  </si>
  <si>
    <t>G251190089TH</t>
  </si>
  <si>
    <t>Multi Order</t>
  </si>
  <si>
    <t>ZM1576184</t>
  </si>
  <si>
    <t>0Y03442100670N_CoCare_2026</t>
  </si>
  <si>
    <t>Co-Care Premier 12 Months on S5731-S24T4X, CE8850-32CQ-EI Switch</t>
  </si>
  <si>
    <t>UID-26-01-0144</t>
  </si>
  <si>
    <t>L251201189LS</t>
  </si>
  <si>
    <t>MASS13842</t>
  </si>
  <si>
    <t>ZM1576187</t>
  </si>
  <si>
    <t>0Y03442100670N_SnS_2026</t>
  </si>
  <si>
    <t>License SnS 1 Year Annual Support on N1-S57S-M-SnS-1Y</t>
  </si>
  <si>
    <t>ZM1576530</t>
  </si>
  <si>
    <t xml:space="preserve">Don Chan </t>
  </si>
  <si>
    <t>0Y03442000980N_CoCare_2026</t>
  </si>
  <si>
    <t>Co-Care premier on CE8850-32CQ-EI Switch, S5735-S24T4X</t>
  </si>
  <si>
    <t>ZM1576531</t>
  </si>
  <si>
    <t>0Y03442000980N_SnS_2026</t>
  </si>
  <si>
    <t>N1-CloudFabric Management SW License on N1-CE88CFMM-SnS1Y</t>
  </si>
  <si>
    <t>ZM1575941</t>
  </si>
  <si>
    <t>Purchase of Refurbished Cisco ASR 1001-X Chassis, 6 built-in GE,Dual P/S 8GB DRAM, P/N: ASR1001-X</t>
  </si>
  <si>
    <t>Leisure And Cultural Services</t>
  </si>
  <si>
    <t>ZM1575944</t>
  </si>
  <si>
    <t>QEYC260121HKT01</t>
  </si>
  <si>
    <t>1 Year 8x5xNBD Onsite Support Service on Switch</t>
  </si>
  <si>
    <t>UID-26-01-0181</t>
  </si>
  <si>
    <t>W251201260L3</t>
  </si>
  <si>
    <t>Liu Po Shan Memorial College</t>
  </si>
  <si>
    <t>I34281</t>
  </si>
  <si>
    <t>TTDN152502294</t>
  </si>
  <si>
    <t>TTINV132502135</t>
  </si>
  <si>
    <t>ZM1576646</t>
  </si>
  <si>
    <t>0000Hh60099625202601140002</t>
  </si>
  <si>
    <t>Co-Care Standard 12 Months Renewals</t>
  </si>
  <si>
    <t>UID-26-01-0185</t>
  </si>
  <si>
    <t>G260100065CO</t>
  </si>
  <si>
    <t>I53202</t>
  </si>
  <si>
    <t>ZM1576987</t>
  </si>
  <si>
    <t>20260121-C00019-001</t>
  </si>
  <si>
    <t>H3Care Basic 7x24x4 Support on LS-5570S-28S-HPWR-EI-A</t>
  </si>
  <si>
    <t>2-SIS International Limited</t>
  </si>
  <si>
    <t>HYSAN IT SERVICES COMPANY LIMITED</t>
  </si>
  <si>
    <t>SI26-01265</t>
  </si>
  <si>
    <t>ZM1576430</t>
  </si>
  <si>
    <t>RNL20250525</t>
  </si>
  <si>
    <t>PSS RTF Support on EX3400-48T &amp; EX3400-48T-DC, EX3400-24T</t>
  </si>
  <si>
    <t>UID-26-01-0187</t>
  </si>
  <si>
    <t>W250600949L2</t>
  </si>
  <si>
    <t>The IMC of C&amp;W District ST Anthony's School</t>
  </si>
  <si>
    <t>D44115</t>
  </si>
  <si>
    <t>DN26000094</t>
  </si>
  <si>
    <t>IN26000094</t>
  </si>
  <si>
    <t>E-mail Quote Dated 6 Nov 2025</t>
  </si>
  <si>
    <t>Purchase of Refurbished Firepower 2110, ASA-5508-X</t>
  </si>
  <si>
    <t>UID-26-01-0199</t>
  </si>
  <si>
    <t>L251201049ND/G251200168ND</t>
  </si>
  <si>
    <t>FWD Life (Hong Kong) Limited</t>
  </si>
  <si>
    <t>J76846, MASS13521</t>
  </si>
  <si>
    <t>ZM1576801</t>
  </si>
  <si>
    <t>UID-26-01-0202</t>
  </si>
  <si>
    <t>L260190152IL</t>
  </si>
  <si>
    <t>Judiciary Administrator</t>
  </si>
  <si>
    <t>D70038</t>
  </si>
  <si>
    <t>ZM1576794</t>
  </si>
  <si>
    <t>PSRT, PSUP, SNT, SNTP, PSBU on Cisco Products</t>
  </si>
  <si>
    <t xml:space="preserve">G251190089TH            </t>
  </si>
  <si>
    <t>PUBLIC FINANCE LIMITED</t>
  </si>
  <si>
    <t>Yushiko</t>
  </si>
  <si>
    <t>ZM1582660</t>
  </si>
  <si>
    <t>SSTC on Cisco Products</t>
  </si>
  <si>
    <t>UID-26-01-0249</t>
  </si>
  <si>
    <t>L251200950TH</t>
  </si>
  <si>
    <t>BANK OF SINGAPORE LIMITED</t>
  </si>
  <si>
    <t>10000324016 / 10000324017 / 10000324018</t>
  </si>
  <si>
    <t>ZM1577271</t>
  </si>
  <si>
    <t>E-mail Quote Dated: 27 Jan 2026</t>
  </si>
  <si>
    <t>H3Care Basic 7x24x4 Support on LS-5120-28P-PWR-SI-H3</t>
  </si>
  <si>
    <t>UID-26-01-0278</t>
  </si>
  <si>
    <t>L260101097CF</t>
  </si>
  <si>
    <t>K6 Management Company Limited</t>
  </si>
  <si>
    <t>MASS11179-1</t>
  </si>
  <si>
    <t>SI26-01246</t>
  </si>
  <si>
    <t>ZM1580141</t>
  </si>
  <si>
    <t>Purchase of Refurbished H3C S5120-28P-HPWR-SI, H3C-S5120-52P-SI, H3C S5120-20P, H3C S5120-28C-PWR-EI</t>
  </si>
  <si>
    <t>UID-26-01-0298</t>
  </si>
  <si>
    <t>L260190164AC</t>
  </si>
  <si>
    <t>Soravit Hotel Group Ltd</t>
  </si>
  <si>
    <t>Cheung, Sindy SY / Lai, Fonnie WF</t>
  </si>
  <si>
    <t>J01566, F79580</t>
  </si>
  <si>
    <t>ZM1577675</t>
  </si>
  <si>
    <t>Purchase of Refurbished VIC3-2E-M, PVDM2-8, CISCO2801-V/K9</t>
  </si>
  <si>
    <t>UID-26-01-0335</t>
  </si>
  <si>
    <t>L260190190TS</t>
  </si>
  <si>
    <t>CNOOC Limited</t>
  </si>
  <si>
    <t>H93206</t>
  </si>
  <si>
    <t>UID-25-12-0193</t>
  </si>
  <si>
    <t>L251290148NI</t>
  </si>
  <si>
    <t>Lands Department</t>
  </si>
  <si>
    <t>MASS14206</t>
  </si>
  <si>
    <t>LIC-MX85-SDW-1Y, Meraki MX85 Secure SD-WAN Plus License and Support</t>
  </si>
  <si>
    <t>UID-26-02-0014</t>
  </si>
  <si>
    <t>L260200958IL</t>
  </si>
  <si>
    <t>Sumitronics HK Ltd</t>
  </si>
  <si>
    <t>I86832</t>
  </si>
  <si>
    <t>UID-26-02-0031</t>
  </si>
  <si>
    <t>L260101102KW</t>
  </si>
  <si>
    <t>MUFG BANK LTD</t>
  </si>
  <si>
    <t xml:space="preserve">Wong, Kiwi LF / Lai, Fonnie WF </t>
  </si>
  <si>
    <t>J80084</t>
  </si>
  <si>
    <t>ZM1578286</t>
  </si>
  <si>
    <t>TD-HKT-H3C080126</t>
  </si>
  <si>
    <t>H3C Maintenance Service Renewals</t>
  </si>
  <si>
    <t>UID-26-02-0034</t>
  </si>
  <si>
    <t>L250890183CB</t>
  </si>
  <si>
    <t>Hong Kong Convention &amp; Exhibition Centre</t>
  </si>
  <si>
    <t>I73276</t>
  </si>
  <si>
    <t>26030842RI</t>
  </si>
  <si>
    <t>ZM1578288</t>
  </si>
  <si>
    <t>PSUP, SSTC on Cisco Products</t>
  </si>
  <si>
    <t>UID-26-02-0037</t>
  </si>
  <si>
    <t>L260190120AC</t>
  </si>
  <si>
    <t>MASS14243</t>
  </si>
  <si>
    <t>10000142915 / 10000142977</t>
  </si>
  <si>
    <t>3198534 / 3198535</t>
  </si>
  <si>
    <t>ZM1580173</t>
  </si>
  <si>
    <t xml:space="preserve">L251201170CF </t>
  </si>
  <si>
    <t>ROLEX HONG KONG LTD</t>
  </si>
  <si>
    <t>I20325-2</t>
  </si>
  <si>
    <t>ZM1579034</t>
  </si>
  <si>
    <t>Purchase of Refurbished WS-C2960S-48FPS-L</t>
  </si>
  <si>
    <t>UID-26-02-0046</t>
  </si>
  <si>
    <t>P/7319/MAMA/CB24</t>
  </si>
  <si>
    <t>Henderson Real Estate Agency Ltd</t>
  </si>
  <si>
    <t>ANYSL on Cisco Products</t>
  </si>
  <si>
    <t>UID-26-02-0076</t>
  </si>
  <si>
    <t>L260290120NI</t>
  </si>
  <si>
    <t>Architectural Services Department</t>
  </si>
  <si>
    <t>10000140465 / 10000140481</t>
  </si>
  <si>
    <t>3198270 / 3198272</t>
  </si>
  <si>
    <t>10000140506 / 10000140506</t>
  </si>
  <si>
    <t>ZM1580247</t>
  </si>
  <si>
    <t>UID-26-02-0077</t>
  </si>
  <si>
    <t>L260290121NI</t>
  </si>
  <si>
    <t>ZM1579042</t>
  </si>
  <si>
    <t>Purchase of Refurbished WS-C3850-48F-L, WS-C3850-48P-L</t>
  </si>
  <si>
    <t>UID-26-02-0084</t>
  </si>
  <si>
    <t>L250290152CB</t>
  </si>
  <si>
    <t>The University of Chicago Foundation in Hong Kong Limited</t>
  </si>
  <si>
    <t>J90324-1</t>
  </si>
  <si>
    <t>ZM1579656</t>
  </si>
  <si>
    <t>0Y034425003732_Co-Care_12M_HKT</t>
  </si>
  <si>
    <t>Co-Care Premier on S5731-H24T4XC, S5731-S48T4X 12 Months</t>
  </si>
  <si>
    <t>UID-26-02-0085</t>
  </si>
  <si>
    <t>L260301732IL</t>
  </si>
  <si>
    <t>Government Flying Service</t>
  </si>
  <si>
    <t>I08927</t>
  </si>
  <si>
    <r>
      <rPr>
        <b/>
        <strike/>
        <sz val="10"/>
        <rFont val="Arial"/>
        <family val="2"/>
      </rPr>
      <t>ZM1579301</t>
    </r>
    <r>
      <rPr>
        <b/>
        <sz val="10"/>
        <rFont val="Arial"/>
        <family val="2"/>
      </rPr>
      <t xml:space="preserve"> --&gt; ZZ1589557</t>
    </r>
  </si>
  <si>
    <t>UID-26-02-0092</t>
  </si>
  <si>
    <t>G260200031CP</t>
  </si>
  <si>
    <t>J95916</t>
  </si>
  <si>
    <t>Cancel on 23 Apr</t>
  </si>
  <si>
    <t>ZM1579859</t>
  </si>
  <si>
    <t>L250290143CB</t>
  </si>
  <si>
    <t>31/08/26</t>
  </si>
  <si>
    <t>30/01/26</t>
  </si>
  <si>
    <t>29/01/27</t>
  </si>
  <si>
    <t>J36861-1</t>
  </si>
  <si>
    <t>ZM1579862</t>
  </si>
  <si>
    <t>J27841</t>
  </si>
  <si>
    <t>ZM1579307</t>
  </si>
  <si>
    <t>ZM1579310</t>
  </si>
  <si>
    <t>ZM1579309</t>
  </si>
  <si>
    <t>UID-26-02-0088</t>
  </si>
  <si>
    <t>L251201163CB</t>
  </si>
  <si>
    <t>Promise (HK) Co Ltd</t>
  </si>
  <si>
    <t>J24350-1</t>
  </si>
  <si>
    <t>ZM1579886</t>
  </si>
  <si>
    <t>0Y03442401580S</t>
  </si>
  <si>
    <t>Co-Care Premier S5735-L48T4S 12 Months Renewal</t>
  </si>
  <si>
    <t>UID-26-02-0091</t>
  </si>
  <si>
    <t>L260290133CF</t>
  </si>
  <si>
    <t>Gi-Go Toys Factory Ltd</t>
  </si>
  <si>
    <t>K46286</t>
  </si>
  <si>
    <t>ZM1579823</t>
  </si>
  <si>
    <t>0Y034425002237</t>
  </si>
  <si>
    <t>Co-Care Standard S5735-S48P4X 12 Months Renewal</t>
  </si>
  <si>
    <t>UID-26-02-0096</t>
  </si>
  <si>
    <t>G260300047CB</t>
  </si>
  <si>
    <t>Q64578</t>
  </si>
  <si>
    <t>HL2604980</t>
  </si>
  <si>
    <t>ZM1579559</t>
  </si>
  <si>
    <t>E-mail Quote Dated 2 Feb 2026</t>
  </si>
  <si>
    <t>Purchase of Refurbished C2911-CME-SRST/K9, C3KX-NM-1G, WS-X45-SUP6L-E</t>
  </si>
  <si>
    <t>UID-26-02-0098</t>
  </si>
  <si>
    <t>L260290135TS</t>
  </si>
  <si>
    <t>Esquel Enterprises Limited</t>
  </si>
  <si>
    <t>MASS11747 &amp; MASS11747-1, MASS11747-2</t>
  </si>
  <si>
    <t>ZM1579560</t>
  </si>
  <si>
    <t>ZM1579558</t>
  </si>
  <si>
    <t>E-mail Quote Dated 28 Jan 2026</t>
  </si>
  <si>
    <t>Purchase of Refurbished S5720-28P-SI-AC</t>
  </si>
  <si>
    <t>UID-26-02-0103</t>
  </si>
  <si>
    <t>L250301582WC</t>
  </si>
  <si>
    <t>J78980</t>
  </si>
  <si>
    <t>ZM1580027</t>
  </si>
  <si>
    <t>UID-26-02-0104</t>
  </si>
  <si>
    <t>H251200605MZ</t>
  </si>
  <si>
    <t>Jardine Matheson Limited</t>
  </si>
  <si>
    <t>MASS12038, MASS13007, MASS12039</t>
  </si>
  <si>
    <t>10000175818/10000175833</t>
  </si>
  <si>
    <t>3201476 / 3201475</t>
  </si>
  <si>
    <t>ZM1579860</t>
  </si>
  <si>
    <t>3A-Cisco</t>
  </si>
  <si>
    <t>UID-26-02-0033</t>
  </si>
  <si>
    <t>P/7878/MAMA/TH25</t>
  </si>
  <si>
    <t>HK Parkview Management Services Ltd</t>
  </si>
  <si>
    <t>ZM1580228</t>
  </si>
  <si>
    <t>202602060004</t>
  </si>
  <si>
    <t>Networking License 1 Year Subscription and Support</t>
  </si>
  <si>
    <t>UID-25-07-0061</t>
  </si>
  <si>
    <t>L250600895LS</t>
  </si>
  <si>
    <t>I41705</t>
  </si>
  <si>
    <t>ZM1580323</t>
  </si>
  <si>
    <t>12a-Cisco</t>
  </si>
  <si>
    <t>ZM1580482</t>
  </si>
  <si>
    <t>RNL20260125</t>
  </si>
  <si>
    <t>CW PSS ND SUPT EX3400-24P, CW PSS ND SUPT EX3400-48P</t>
  </si>
  <si>
    <t>UID-26-02-0139</t>
  </si>
  <si>
    <t>W260301896L3</t>
  </si>
  <si>
    <t>ST Paul's Catholic Day Nursery</t>
  </si>
  <si>
    <t>D54167-1</t>
  </si>
  <si>
    <t>DN26000180</t>
  </si>
  <si>
    <t>IN26000180</t>
  </si>
  <si>
    <t>ZM1583196</t>
  </si>
  <si>
    <t>Purchase of Refurbished Cisco ASA 5525-X Firewall</t>
  </si>
  <si>
    <t>UID-26-02-0162</t>
  </si>
  <si>
    <t>G251200216YR</t>
  </si>
  <si>
    <t>MASS10089</t>
  </si>
  <si>
    <t>ZM1581136</t>
  </si>
  <si>
    <t>0Y034425000533</t>
  </si>
  <si>
    <t>Co-Care Standard S5731-S24T4X 12 Months Renewals</t>
  </si>
  <si>
    <t>UID-26-02-0195</t>
  </si>
  <si>
    <t>P/7879/MAMA/YR25</t>
  </si>
  <si>
    <t>PCCW Digital Solutions Limited</t>
  </si>
  <si>
    <t>ZM1580947</t>
  </si>
  <si>
    <t>UID-26-02-0173</t>
  </si>
  <si>
    <t>L260290221NI</t>
  </si>
  <si>
    <t>MASS14263</t>
  </si>
  <si>
    <t>ZM1581194</t>
  </si>
  <si>
    <t>Purchase of Refurbished Cisco ASA5550-BUN-K9</t>
  </si>
  <si>
    <t>UID-26-02-0198</t>
  </si>
  <si>
    <t>G250990004YR</t>
  </si>
  <si>
    <t>N79019</t>
  </si>
  <si>
    <t>ZM1581198</t>
  </si>
  <si>
    <t>1B-Cisco</t>
  </si>
  <si>
    <t>UID-26-02-0148</t>
  </si>
  <si>
    <t>L260301707YR</t>
  </si>
  <si>
    <t>The Hong Kong &amp; Shanghai Banking Corporation Ltd</t>
  </si>
  <si>
    <t>I70994</t>
  </si>
  <si>
    <t>ZM1581196</t>
  </si>
  <si>
    <t>PSRT, SSTC on Cisco Products</t>
  </si>
  <si>
    <t>UID-26-02-0197</t>
  </si>
  <si>
    <t>L260200919CB</t>
  </si>
  <si>
    <t>Eddid Fintech Limited</t>
  </si>
  <si>
    <t>I37651</t>
  </si>
  <si>
    <t>10000175810/10000175872</t>
  </si>
  <si>
    <t>3202095 / 3202100</t>
  </si>
  <si>
    <t>ZM1581197</t>
  </si>
  <si>
    <t>UID-26-02-0222</t>
  </si>
  <si>
    <t>L260290233TS</t>
  </si>
  <si>
    <t>TVB New Media Group Limited</t>
  </si>
  <si>
    <t>MASS14265</t>
  </si>
  <si>
    <t>ZM1581446</t>
  </si>
  <si>
    <t>RNL20260203</t>
  </si>
  <si>
    <t>PSS Next Day Support for EX2300-24T, EX2300-48T</t>
  </si>
  <si>
    <t>UID-26-02-0245</t>
  </si>
  <si>
    <t>W260301880L3</t>
  </si>
  <si>
    <t>Islamic Primary School</t>
  </si>
  <si>
    <t>J73543</t>
  </si>
  <si>
    <t>DN26000203</t>
  </si>
  <si>
    <t>IN26000203</t>
  </si>
  <si>
    <t>ZM1581825</t>
  </si>
  <si>
    <t>Purchase of Refurbished WS-C4500X-24X-ES</t>
  </si>
  <si>
    <t>UID-26-02-0249</t>
  </si>
  <si>
    <t>L250600910CF</t>
  </si>
  <si>
    <t>Cheerlord Investment Ltd C/O W Hong Kong</t>
  </si>
  <si>
    <t>J12733, MASS09914</t>
  </si>
  <si>
    <t>ZM1581823</t>
  </si>
  <si>
    <t>UID-26-02-0260</t>
  </si>
  <si>
    <t>L260290278IL</t>
  </si>
  <si>
    <t>I37183, I70184, I70185</t>
  </si>
  <si>
    <t>ZM1581813</t>
  </si>
  <si>
    <t>UID-26-02-0256</t>
  </si>
  <si>
    <t>L250700945TH</t>
  </si>
  <si>
    <t>HGNH International Financial Corporation Limited</t>
  </si>
  <si>
    <t>I58896</t>
  </si>
  <si>
    <t>ZM1581821</t>
  </si>
  <si>
    <t>UID-26-02-0252</t>
  </si>
  <si>
    <t>L260101067CP</t>
  </si>
  <si>
    <t>D39659, I36376</t>
  </si>
  <si>
    <t>ZM1582377</t>
  </si>
  <si>
    <t>TD-HKT-H3C020326</t>
  </si>
  <si>
    <t>H3Care Onsite 24x7x4 Annual Year on S3100V3-28TP-PWR-EI</t>
  </si>
  <si>
    <t>UID-26-02-0220</t>
  </si>
  <si>
    <t>L260301801WW</t>
  </si>
  <si>
    <t>Oasis Rainbow Limited</t>
  </si>
  <si>
    <t>Chow, Winnie WY / Yuen, Vivien MC</t>
  </si>
  <si>
    <t>D33359</t>
  </si>
  <si>
    <t>26039702RI</t>
  </si>
  <si>
    <t>ZM1582028</t>
  </si>
  <si>
    <t>KDCHW20251223-1256</t>
  </si>
  <si>
    <t>Co-Care Standard Service on S5731-S24T4X</t>
  </si>
  <si>
    <t>UID-26-02-0267</t>
  </si>
  <si>
    <t>P/8032/WAWA/YT25</t>
  </si>
  <si>
    <t>Q65923</t>
  </si>
  <si>
    <t>KKIN2600565-DN</t>
  </si>
  <si>
    <t>KKIN2600565-INV</t>
  </si>
  <si>
    <t>ZM1582206</t>
  </si>
  <si>
    <t>TD-HKT-HPE030326</t>
  </si>
  <si>
    <t xml:space="preserve">HPE Foundation Care 24*7 SVC </t>
  </si>
  <si>
    <t>10-Tech Data</t>
  </si>
  <si>
    <t>Yim, Theo TP / Lai Fonnie WF</t>
  </si>
  <si>
    <t>23398888, 23385791</t>
  </si>
  <si>
    <t>26032063RI</t>
  </si>
  <si>
    <t>ZM1582279</t>
  </si>
  <si>
    <t>SSTC, PSUP on Cisco Products</t>
  </si>
  <si>
    <t>UID-26-03-0013</t>
  </si>
  <si>
    <t>L260290137J3</t>
  </si>
  <si>
    <t xml:space="preserve">As Watson Retail HK Ltd </t>
  </si>
  <si>
    <t>D93228</t>
  </si>
  <si>
    <t>ZM1583089</t>
  </si>
  <si>
    <t>0Y03442200860C</t>
  </si>
  <si>
    <t>Co-Care Premier on S5735-L8T4X, CE6881-48S6CQ</t>
  </si>
  <si>
    <t>UID-26-03-0020</t>
  </si>
  <si>
    <t>L260390064AC</t>
  </si>
  <si>
    <t>MASS14273</t>
  </si>
  <si>
    <t>ZZ1582416</t>
  </si>
  <si>
    <t>Coey Yuen</t>
  </si>
  <si>
    <t>Purchase of Spare Part Refurbished WS-C2960G-48TC-L mtce support and charge as CoS (Request by Martin RFQ#250207NW)</t>
  </si>
  <si>
    <t>WF62600246</t>
  </si>
  <si>
    <t>WF12600360</t>
  </si>
  <si>
    <t>ZZ1582425</t>
  </si>
  <si>
    <t>Purchase of Spare Part Refurbished PWR-RGD-AC-DC-H, GLC-FE-100FX-RGD, etc mtce support and charge as CoS.(Request by Martin RFQ#250207NW)</t>
  </si>
  <si>
    <t>WF62600247</t>
  </si>
  <si>
    <t>WF12600361</t>
  </si>
  <si>
    <t>ZZ1582431</t>
  </si>
  <si>
    <t>E-mail Quote Dated 5 Jan 2026</t>
  </si>
  <si>
    <t>Purchase of Spare Part Refurbished C1111-4PLTE mtce support and charge as CoS (Request by Martin RFQ#250207NW)</t>
  </si>
  <si>
    <t>ZM1583090</t>
  </si>
  <si>
    <t>E-mail Quote Date 5 Dec 2025</t>
  </si>
  <si>
    <t>Purchase of Sapre part Refurbished SFP-10GLR-31, H3C PSR150-A, etc mtce support and charge as CoS (Request by Martin RFQ#250193NW)</t>
  </si>
  <si>
    <t>WF62600300</t>
  </si>
  <si>
    <t>WF12600448</t>
  </si>
  <si>
    <t>ZM1583085</t>
  </si>
  <si>
    <t>UID-26-03-0056</t>
  </si>
  <si>
    <t>L260200953CB</t>
  </si>
  <si>
    <t>Shanghai Commercial Bank Ltd</t>
  </si>
  <si>
    <t>D92160</t>
  </si>
  <si>
    <t>ZM1583282</t>
  </si>
  <si>
    <t>UID-26-03-0062</t>
  </si>
  <si>
    <t>L260200903YR</t>
  </si>
  <si>
    <t>F69596-1</t>
  </si>
  <si>
    <t>ZM1583281</t>
  </si>
  <si>
    <t>ZM1583280</t>
  </si>
  <si>
    <t>UID-26-03-0069</t>
  </si>
  <si>
    <t>L260390097CO</t>
  </si>
  <si>
    <t>HKSH EASTERN MEDICAL CENTRE</t>
  </si>
  <si>
    <t xml:space="preserve">Chan, Connie WC / Lai, Fonnie WF </t>
  </si>
  <si>
    <t>D70471</t>
  </si>
  <si>
    <t>ZM1583549</t>
  </si>
  <si>
    <t>ZM1583288</t>
  </si>
  <si>
    <t>20260310-C00019-001</t>
  </si>
  <si>
    <t>H3Care 8x5xNBD on LS-5560S-52S-EI-GL</t>
  </si>
  <si>
    <t>UID-26-03-0073</t>
  </si>
  <si>
    <t>W260400674L2</t>
  </si>
  <si>
    <t>Heung To Middle School</t>
  </si>
  <si>
    <t>I85613</t>
  </si>
  <si>
    <t>SI26-01577</t>
  </si>
  <si>
    <t>ZM1583721</t>
  </si>
  <si>
    <t>UID-26-03-0091</t>
  </si>
  <si>
    <t>L260400636KW</t>
  </si>
  <si>
    <t>MUFG SECURITIES ASIA LIMITED</t>
  </si>
  <si>
    <t>I05488</t>
  </si>
  <si>
    <t>ZM1584659</t>
  </si>
  <si>
    <t>Purchase of Refurbished Cisco C6807-XL Switch Bundle</t>
  </si>
  <si>
    <t>UID-26-03-0059</t>
  </si>
  <si>
    <t>L260390083IL</t>
  </si>
  <si>
    <t>MASS12949</t>
  </si>
  <si>
    <t>ZM1584003</t>
  </si>
  <si>
    <t>UID-26-02-0251-2</t>
  </si>
  <si>
    <t>P/7873/MAMA/CB26</t>
  </si>
  <si>
    <t>FIRST PACIFIC INVESTMENT MANAGEMENT LIMITED</t>
  </si>
  <si>
    <t>ZM1584212</t>
  </si>
  <si>
    <t>UID-26-03-0104</t>
  </si>
  <si>
    <t>L260101046YR</t>
  </si>
  <si>
    <t>HONG KONG TELECOMMUNICATIONS (HKT) LIMITED</t>
  </si>
  <si>
    <t>J78290, J78288, J78287</t>
  </si>
  <si>
    <t>ZM1584226</t>
  </si>
  <si>
    <t>UID-26-03-0106</t>
  </si>
  <si>
    <t xml:space="preserve">L260390127WC </t>
  </si>
  <si>
    <t>EUROP ASSISTANCE HONG KONG LTD</t>
  </si>
  <si>
    <t>Wong, Cammy SL / Poon, Nelson KH</t>
  </si>
  <si>
    <t>MASS14284</t>
  </si>
  <si>
    <t>ZM1584228</t>
  </si>
  <si>
    <t>PSRT, PSUP, ECMU on Cisco Products</t>
  </si>
  <si>
    <t>UID-26-03-0107</t>
  </si>
  <si>
    <t>L260301746CO</t>
  </si>
  <si>
    <t>HKSH EASTERN MEDICAL CTR (5AKN) LTD</t>
  </si>
  <si>
    <t>Chan, Connie WC / Poon, Nelson KH</t>
  </si>
  <si>
    <t>D48566, D48596, D53877, D53994, D48580, D59680, D70500</t>
  </si>
  <si>
    <t>ZM1584667</t>
  </si>
  <si>
    <t>UID-26-03-0125</t>
  </si>
  <si>
    <t>L260400635KW</t>
  </si>
  <si>
    <t>MUFG SECURITIES ASIA LTD</t>
  </si>
  <si>
    <t>I04835</t>
  </si>
  <si>
    <t>ZZ1584504</t>
  </si>
  <si>
    <t>Purchase of Refurbished Cisco ASR1002 Chassis, 4 built-in GE, Dual P/S, 4GB</t>
  </si>
  <si>
    <t>UID-26-03-0131</t>
  </si>
  <si>
    <t>L260101082YR</t>
  </si>
  <si>
    <t>HKT Telecommunication</t>
  </si>
  <si>
    <t>A80952</t>
  </si>
  <si>
    <t>ZZ1584715</t>
  </si>
  <si>
    <t>E-mail Quote Date 10 Mar 2026</t>
  </si>
  <si>
    <t>Purchase of Refurbished Cisco WS-C3850-12X48U-S</t>
  </si>
  <si>
    <t>UID-26-03-0148</t>
  </si>
  <si>
    <t>L260400602JI</t>
  </si>
  <si>
    <t>Citic Capital Holdings Limited</t>
  </si>
  <si>
    <t xml:space="preserve">J24600 </t>
  </si>
  <si>
    <t>ZM1585249</t>
  </si>
  <si>
    <t>F5_260108_HKT_Aedas_6016867_v1</t>
  </si>
  <si>
    <t>BIG-IP Service: Premium (Level 1-3), RMA HW REplacement on F5-LTM-I2600</t>
  </si>
  <si>
    <t>1A-B&amp;Data</t>
  </si>
  <si>
    <t>UID-26-03-0103</t>
  </si>
  <si>
    <t>G260300031CB</t>
  </si>
  <si>
    <t>MASS13113</t>
  </si>
  <si>
    <t>BDKD26-0296</t>
  </si>
  <si>
    <t>ZM1584863</t>
  </si>
  <si>
    <t>UID-26-02-0224</t>
  </si>
  <si>
    <t>L250590232YR</t>
  </si>
  <si>
    <t>PCCW MEDIA LIMITED</t>
  </si>
  <si>
    <t>D39532</t>
  </si>
  <si>
    <t>ZM1585034</t>
  </si>
  <si>
    <t>UID-26-02-0225</t>
  </si>
  <si>
    <t>G250590231YR</t>
  </si>
  <si>
    <t>HONG KONG TELECOMMUNICATIONS  HKT  LIMITED</t>
  </si>
  <si>
    <t>F16285</t>
  </si>
  <si>
    <t>ZM1585033</t>
  </si>
  <si>
    <t>UID-26-02-0209</t>
  </si>
  <si>
    <t>L250990012YR</t>
  </si>
  <si>
    <t>HKT ENGINEERING</t>
  </si>
  <si>
    <t>J17438, J17483</t>
  </si>
  <si>
    <t>ZM1585274</t>
  </si>
  <si>
    <t>F5_260312_HKT_ET net</t>
  </si>
  <si>
    <t>BIG-IP Service Premium (Level 1-3) on F5 Equipment</t>
  </si>
  <si>
    <t>L250300072J3</t>
  </si>
  <si>
    <t>ET Net Limited</t>
  </si>
  <si>
    <t>J71995</t>
  </si>
  <si>
    <t>ZM1585218</t>
  </si>
  <si>
    <t>SNTP, SNT on Cisco Products</t>
  </si>
  <si>
    <t>UID-26-02-0219</t>
  </si>
  <si>
    <t>L260101083YR</t>
  </si>
  <si>
    <t>PCCW MEDIA LTD - TV &amp; CONTENT</t>
  </si>
  <si>
    <t>J52445</t>
  </si>
  <si>
    <t>ZM1585029</t>
  </si>
  <si>
    <t>UID-26-02-0215</t>
  </si>
  <si>
    <t>L250990007YR</t>
  </si>
  <si>
    <t>D54812-2</t>
  </si>
  <si>
    <t>ZM1585030</t>
  </si>
  <si>
    <t>ZM1584930</t>
  </si>
  <si>
    <t>0Y034425001634</t>
  </si>
  <si>
    <t>Co-Care Premier 12 Months on S5731-S24T4X, S5735-S24T4X, etc</t>
  </si>
  <si>
    <t>UID-26-03-0155</t>
  </si>
  <si>
    <t>L260390070CF</t>
  </si>
  <si>
    <t>Tai Hing Worldwide Development Limited</t>
  </si>
  <si>
    <t>I01431</t>
  </si>
  <si>
    <t>ZM1585221</t>
  </si>
  <si>
    <t>0000Ht84082253202603040018</t>
  </si>
  <si>
    <t>SW License,SnS,Per Device,1 Year</t>
  </si>
  <si>
    <t>ZM1585222</t>
  </si>
  <si>
    <t>UID-26-02-0223</t>
  </si>
  <si>
    <t>L250990025YR</t>
  </si>
  <si>
    <t>J78249</t>
  </si>
  <si>
    <t>ZM1586940</t>
  </si>
  <si>
    <t>1 Year Onsite Hardware Mtce Service on H3C Switchs</t>
  </si>
  <si>
    <t>1-Man Fung (Part A)</t>
  </si>
  <si>
    <t>UID-26-03-0174</t>
  </si>
  <si>
    <t>L260390189WC</t>
  </si>
  <si>
    <t>Sino Estates Services Limited</t>
  </si>
  <si>
    <t>MASS14291</t>
  </si>
  <si>
    <t>MFSC2640004</t>
  </si>
  <si>
    <t xml:space="preserve">ZM1585225 </t>
  </si>
  <si>
    <t>1 Year Onsite Hardware Mtce Service on HPE SN3000B 16GB 24-PORT</t>
  </si>
  <si>
    <t>UID-26-03-0169</t>
  </si>
  <si>
    <t>H260400469YR</t>
  </si>
  <si>
    <t>Ricoh Asia Pacific Operatons Ltd</t>
  </si>
  <si>
    <t>MASS12627</t>
  </si>
  <si>
    <t>MFSC26040001</t>
  </si>
  <si>
    <t>ZZ1585126</t>
  </si>
  <si>
    <t>Purchase of Refurbished H3C LSPM2150A</t>
  </si>
  <si>
    <t>1-Man Fung (part B)</t>
  </si>
  <si>
    <t>ZM1585358</t>
  </si>
  <si>
    <t>ZM1585357</t>
  </si>
  <si>
    <t>ZM1585393</t>
  </si>
  <si>
    <t>ZM1585394</t>
  </si>
  <si>
    <t>ZM1585352</t>
  </si>
  <si>
    <t>UID-26-03-0170</t>
  </si>
  <si>
    <t>H260400470YR</t>
  </si>
  <si>
    <t>Ricoh Asia Pacific Operations Ltd</t>
  </si>
  <si>
    <t>MASS12628</t>
  </si>
  <si>
    <t>MFSC26040002</t>
  </si>
  <si>
    <t>ZM1585226</t>
  </si>
  <si>
    <t>UID-26-02-0149</t>
  </si>
  <si>
    <t>G260200020YR</t>
  </si>
  <si>
    <t>PCCW HKT LIMITED</t>
  </si>
  <si>
    <t>I52618-1, I52619</t>
  </si>
  <si>
    <t>ZM1585359</t>
  </si>
  <si>
    <t>UID-26-02-0151</t>
  </si>
  <si>
    <t>G260200021YR</t>
  </si>
  <si>
    <t>HONG KONG TELECOMMUNICATION LIMITED</t>
  </si>
  <si>
    <t>I52676, I19831, I52680</t>
  </si>
  <si>
    <t>ZM1585351</t>
  </si>
  <si>
    <t>UID-26-02-0150</t>
  </si>
  <si>
    <t xml:space="preserve">G260200022YR </t>
  </si>
  <si>
    <t>BUSINESS AND ASSETS OF HKTC (HKT)</t>
  </si>
  <si>
    <t>I52681 &amp; I52682</t>
  </si>
  <si>
    <t>ZZ1585296</t>
  </si>
  <si>
    <t>E-mail Quote Date 22 Jan 2026</t>
  </si>
  <si>
    <t xml:space="preserve">Purchase of Refurbished S5720-36PC-EI-AC, S5720-56C-EI-AC </t>
  </si>
  <si>
    <t>6-Man Fung</t>
  </si>
  <si>
    <t>UID-26-03-0188</t>
  </si>
  <si>
    <t>P AV/7905/MA/KW25</t>
  </si>
  <si>
    <t>Wong, Kiwi LF / Poon, Nelson KH</t>
  </si>
  <si>
    <t>D53925</t>
  </si>
  <si>
    <t>ZM1585850</t>
  </si>
  <si>
    <t>UID-26-03-0175-1</t>
  </si>
  <si>
    <t>L260190176YR</t>
  </si>
  <si>
    <t>RICOH ASIA PACIFIC OPERATION LTD</t>
  </si>
  <si>
    <t>MASS12181, MASS12181-1, MASS12673-1, MASS12673-2, D62250</t>
  </si>
  <si>
    <t>ZM1585852</t>
  </si>
  <si>
    <t>UID-26-03-0219</t>
  </si>
  <si>
    <t>L260390202NI</t>
  </si>
  <si>
    <t>CUSTOMS &amp; EXCISE DEPT</t>
  </si>
  <si>
    <t>D85871</t>
  </si>
  <si>
    <t>ZM1585853</t>
  </si>
  <si>
    <t>UID-26-03-0222</t>
  </si>
  <si>
    <t>L260390204NI</t>
  </si>
  <si>
    <t>MASS14296</t>
  </si>
  <si>
    <t>ZZ1585717</t>
  </si>
  <si>
    <t>Purchase of Refurbished Cisco Catalyst 9200 24-port data only</t>
  </si>
  <si>
    <t>L260390202NI'</t>
  </si>
  <si>
    <t>ZM1585855</t>
  </si>
  <si>
    <t>UID-26-03-0203-1</t>
  </si>
  <si>
    <t xml:space="preserve">L260300086CF </t>
  </si>
  <si>
    <t>SOUTH CHINA MORNING POST PUBILSHERS LTD</t>
  </si>
  <si>
    <t>D50258, J72305, D14676, D50647</t>
  </si>
  <si>
    <t>ZM1585854</t>
  </si>
  <si>
    <t>ZM1585939</t>
  </si>
  <si>
    <t>UID-26-02-0221</t>
  </si>
  <si>
    <t>L250990026YR</t>
  </si>
  <si>
    <t>I00635</t>
  </si>
  <si>
    <t>ZM1585934</t>
  </si>
  <si>
    <t>UID-26-03-0203</t>
  </si>
  <si>
    <t>ZM1585936</t>
  </si>
  <si>
    <t>352235446 / 11001065918</t>
  </si>
  <si>
    <t>10000323038 / 10000323040 / 10000323041</t>
  </si>
  <si>
    <t>3207366 / 3207370 / 3207374</t>
  </si>
  <si>
    <t>ZM1585856</t>
  </si>
  <si>
    <t>UID-26-03-0224</t>
  </si>
  <si>
    <t>L260390205NI</t>
  </si>
  <si>
    <t>HONG KONG SANATORIUM &amp; HOSPITAL</t>
  </si>
  <si>
    <t>Ng, Ivy WY / Fok, Paul</t>
  </si>
  <si>
    <t>MASS14297</t>
  </si>
  <si>
    <t>ZM1586077</t>
  </si>
  <si>
    <t>G251200053YR</t>
  </si>
  <si>
    <t>I19866, I19866-1</t>
  </si>
  <si>
    <t>ZM1586298</t>
  </si>
  <si>
    <t>ZM1586082</t>
  </si>
  <si>
    <t>UID-26-02-0234</t>
  </si>
  <si>
    <t>G251200048YR</t>
  </si>
  <si>
    <t>HONG KONG TELECOMMUNICATIONS HKT LTD</t>
  </si>
  <si>
    <t>J78235 &amp; J78281</t>
  </si>
  <si>
    <t>ZM1586083</t>
  </si>
  <si>
    <t>ZM1586081</t>
  </si>
  <si>
    <t>UID-26-02-0233</t>
  </si>
  <si>
    <t>L250990024YR</t>
  </si>
  <si>
    <t>J78249-1</t>
  </si>
  <si>
    <t>ZM1586080</t>
  </si>
  <si>
    <t>UID-26-03-0241</t>
  </si>
  <si>
    <t>L260390209NI</t>
  </si>
  <si>
    <t>BUILDINGS DEPARTMENT</t>
  </si>
  <si>
    <t>MASS14300</t>
  </si>
  <si>
    <t>ZM1586078</t>
  </si>
  <si>
    <t>ZM1586079</t>
  </si>
  <si>
    <t>UID-26-03-0228</t>
  </si>
  <si>
    <t>H260301535WW</t>
  </si>
  <si>
    <t>Rifa Securities Ltd</t>
  </si>
  <si>
    <t>Chow, Winnie WY / Yuen, Vivien WY</t>
  </si>
  <si>
    <t xml:space="preserve">MASS13942 </t>
  </si>
  <si>
    <t>ZM1586311</t>
  </si>
  <si>
    <t>Purchase of Refurbished Cisco Catalyst 6807-XL Chassis+Fan Tray+</t>
  </si>
  <si>
    <t>Ng, Ivy WY / Fok, Paul KC</t>
  </si>
  <si>
    <t>ZM1586299</t>
  </si>
  <si>
    <t>UID-26-03-0303</t>
  </si>
  <si>
    <t>L260400609CB</t>
  </si>
  <si>
    <t>EDDID FINTECH LIMITED</t>
  </si>
  <si>
    <t>Chan, Ina YK / Yuen, Vivien MC</t>
  </si>
  <si>
    <t xml:space="preserve">D59070, D59176 </t>
  </si>
  <si>
    <t>ZM1586307</t>
  </si>
  <si>
    <t>ZM1586309</t>
  </si>
  <si>
    <t>UID-26-03-0320</t>
  </si>
  <si>
    <t>L260301717CB</t>
  </si>
  <si>
    <t>CHOW TAI FOOK JEWELLERY COMPANY LTD</t>
  </si>
  <si>
    <t xml:space="preserve">D83197 </t>
  </si>
  <si>
    <t>ZM1586937</t>
  </si>
  <si>
    <t>UID-25-12-0315</t>
  </si>
  <si>
    <t>L251190043CO</t>
  </si>
  <si>
    <t>D48554 D52794 J02982</t>
  </si>
  <si>
    <t>ZM1586413</t>
  </si>
  <si>
    <t>ZM1586552</t>
  </si>
  <si>
    <t>Purchase of Refurbished WS-C2950G-12-EI, WS-C2950G-24-EI, etc…</t>
  </si>
  <si>
    <t>D48554</t>
  </si>
  <si>
    <t>ZM1586654</t>
  </si>
  <si>
    <t>UID-26-04-0003</t>
  </si>
  <si>
    <t>L260301748CO</t>
  </si>
  <si>
    <t>D48584 D48596</t>
  </si>
  <si>
    <t>ZM1586936</t>
  </si>
  <si>
    <t>L1NBD on Cisco Products</t>
  </si>
  <si>
    <t>UID-26-04-0006</t>
  </si>
  <si>
    <t>L260301784KW</t>
  </si>
  <si>
    <t>KPMG</t>
  </si>
  <si>
    <t>MASS13933</t>
  </si>
  <si>
    <t>ZM1586926</t>
  </si>
  <si>
    <t>E-mail Quote Date 11 Mar 2026</t>
  </si>
  <si>
    <t>Standard Service for BIG-IP Virtual Edition, BIG-IP Subscription: Adv WAF Threat Campaigns License for VE 1YR</t>
  </si>
  <si>
    <t>UID-26-04-0008</t>
  </si>
  <si>
    <t>G260500053CF</t>
  </si>
  <si>
    <t>K45996</t>
  </si>
  <si>
    <t>BDKD26-0372</t>
  </si>
  <si>
    <t>ZM1586941</t>
  </si>
  <si>
    <t>1 Year Onsite Hardware Mtce Service for H3C Switchs</t>
  </si>
  <si>
    <t>1-Man Fung (Part B)</t>
  </si>
  <si>
    <t>MFSC26040005</t>
  </si>
  <si>
    <t>ZM1587077</t>
  </si>
  <si>
    <t>MAY CXL</t>
  </si>
  <si>
    <t>KDCHW20260311-182</t>
  </si>
  <si>
    <t>Hi-Care Repair on S5731-S24T4X, S5735-L8T4S-A1</t>
  </si>
  <si>
    <t>UID-26-04-0013</t>
  </si>
  <si>
    <t>P/7947/MAMA/YT25</t>
  </si>
  <si>
    <t>HA Wong Chuk Hang Hospital</t>
  </si>
  <si>
    <t>Cancel on 5 May</t>
  </si>
  <si>
    <t>ZM1586976</t>
  </si>
  <si>
    <t>1 Year Onsite Hardware Mtce Service for Cisco 2951 Security Bundle</t>
  </si>
  <si>
    <t>UID-26-04-0014</t>
  </si>
  <si>
    <t>L260390081NI</t>
  </si>
  <si>
    <t>F33728, MASS14281</t>
  </si>
  <si>
    <t>ZZ1586966</t>
  </si>
  <si>
    <t>Purchase of Refurbished H3C S5560-54S-EI, H3C S5130S-52S-EI</t>
  </si>
  <si>
    <t>ZM1587061</t>
  </si>
  <si>
    <t>PSBU, PSRT, SSTC on Cisco Products</t>
  </si>
  <si>
    <t>UID-26-04-0017</t>
  </si>
  <si>
    <t>L260101169J3</t>
  </si>
  <si>
    <t>YF LIFE INSURANCE INTERNATIONAL LTD</t>
  </si>
  <si>
    <t>Lam, Jessica WS / Lai, Fionnie WF</t>
  </si>
  <si>
    <t>J89534 &amp; J89534-1</t>
  </si>
  <si>
    <t>ZM1587293</t>
  </si>
  <si>
    <t>PSUP, SW on Cisco Products</t>
  </si>
  <si>
    <t>UID-26-04-0018</t>
  </si>
  <si>
    <t>L260490029NI</t>
  </si>
  <si>
    <t>HONG KONG HOUSING SOCIETY</t>
  </si>
  <si>
    <t>Ng, Ivy WY /Chow, Apple FP</t>
  </si>
  <si>
    <t>MASS14312</t>
  </si>
  <si>
    <t>ZM1587184</t>
  </si>
  <si>
    <t>UID-26-04-0021</t>
  </si>
  <si>
    <t>L260301726CB</t>
  </si>
  <si>
    <t>FAIRWOOD FAST FOOD LTD</t>
  </si>
  <si>
    <t>H90577, Y99671, J54752, F48474, D82692, D83247, D83323, D83337 &amp; I51555</t>
  </si>
  <si>
    <t>ZM1587185</t>
  </si>
  <si>
    <t>Purchase of Refurbished WS-C3560CX-12PC-S, C9200-24P-A, etc</t>
  </si>
  <si>
    <t>ZM1587238</t>
  </si>
  <si>
    <t>000Hy00504820202603110002 &amp; 0000Hy00504820202603110004</t>
  </si>
  <si>
    <t xml:space="preserve">CloudCampus Service 2 Years </t>
  </si>
  <si>
    <t>UID-26-04-0020</t>
  </si>
  <si>
    <t>L250800817CF</t>
  </si>
  <si>
    <t>Shangri-La International Management Limited</t>
  </si>
  <si>
    <t>MASS13386 &amp; MASS1391</t>
  </si>
  <si>
    <t>ZM1587186</t>
  </si>
  <si>
    <t>0000Ht84082253202603090060</t>
  </si>
  <si>
    <t>CloudCampus Service 2 Years SNS License</t>
  </si>
  <si>
    <t>ZZ1587432</t>
  </si>
  <si>
    <t>Purchase of Cisco 1M Type 4 Stacking Cable, 1 Stacking Cable</t>
  </si>
  <si>
    <t>UID-26-03-0175</t>
  </si>
  <si>
    <t>RICOH ASIA PACIFIC OPERATIONS LTD</t>
  </si>
  <si>
    <t>ZM1587996</t>
  </si>
  <si>
    <t>UID-26-04-0040</t>
  </si>
  <si>
    <t>L260301783KW</t>
  </si>
  <si>
    <t>Wong, Kiwi LF / Lai Foinnie WF</t>
  </si>
  <si>
    <t>MASS13574 &amp; MASS13946</t>
  </si>
  <si>
    <t>ZM1588253</t>
  </si>
  <si>
    <t>UID-26-04-0043</t>
  </si>
  <si>
    <t>L260200915WW &amp; G260490062WW</t>
  </si>
  <si>
    <t>CIMB BANK BERHAD</t>
  </si>
  <si>
    <t xml:space="preserve">D33947_ D33950 </t>
  </si>
  <si>
    <t>ZM1588256</t>
  </si>
  <si>
    <t>ZM1588988</t>
  </si>
  <si>
    <t>202604010004</t>
  </si>
  <si>
    <t>Purchase of CE6863H-48S6CQ Switch for Hospital Authority (WO R97029, Request by Martin Ma)</t>
  </si>
  <si>
    <t>R79029</t>
  </si>
  <si>
    <t>ZM1588353</t>
  </si>
  <si>
    <t>QUO-2530568-J1N9V3</t>
  </si>
  <si>
    <t>Meraki MX250 Secure SD-WAN Plus License and Support 1YR</t>
  </si>
  <si>
    <t>1-Ingram</t>
  </si>
  <si>
    <t>UID-26-04-0041</t>
  </si>
  <si>
    <t>L260500533IL</t>
  </si>
  <si>
    <t>I51294</t>
  </si>
  <si>
    <t>DN10-3317-11</t>
  </si>
  <si>
    <t>10-33171-11</t>
  </si>
  <si>
    <t>ZM1588397</t>
  </si>
  <si>
    <t>202604080026</t>
  </si>
  <si>
    <t>Co-Care Premier 12Months on S5732-H48UM2CC</t>
  </si>
  <si>
    <t>L250800096CF</t>
  </si>
  <si>
    <t>MASS13386 &amp; MASS13391</t>
  </si>
  <si>
    <t>ZM1588085</t>
  </si>
  <si>
    <t>202603090060</t>
  </si>
  <si>
    <t>SNS License 2 Year CloudCampus</t>
  </si>
  <si>
    <t>ZM1589057</t>
  </si>
  <si>
    <t>ECMU on Cisco Products</t>
  </si>
  <si>
    <t>1-Cisco (#2)</t>
  </si>
  <si>
    <t>UID-26-04-0045</t>
  </si>
  <si>
    <t>L260390185MZ</t>
  </si>
  <si>
    <t>OCBC BANK HONG KONG LTD</t>
  </si>
  <si>
    <t>Cheung, Marcus TH /  Poon, Nelson KH</t>
  </si>
  <si>
    <t>I84046, I68458, J23685, MASS13516, F98283</t>
  </si>
  <si>
    <t>ZM1589059</t>
  </si>
  <si>
    <t>1-Cisco (#3)</t>
  </si>
  <si>
    <t>ZM1589060</t>
  </si>
  <si>
    <t>1-Cisco (#4)</t>
  </si>
  <si>
    <t>ZM1588105</t>
  </si>
  <si>
    <t>202603180048</t>
  </si>
  <si>
    <t>UID-26-04-0046</t>
  </si>
  <si>
    <t>L260490037LS</t>
  </si>
  <si>
    <t>MASS13041-1</t>
  </si>
  <si>
    <t>ZM1588934</t>
  </si>
  <si>
    <t>2 Years Onsite Hardware Maintenance Service on Huawei Eqpt</t>
  </si>
  <si>
    <t>UID-26-04-0049</t>
  </si>
  <si>
    <t>L260490068YR</t>
  </si>
  <si>
    <t>MASS14315</t>
  </si>
  <si>
    <t>MFSC26040011</t>
  </si>
  <si>
    <t>ZM1588823</t>
  </si>
  <si>
    <t>UID-26-04-0062</t>
  </si>
  <si>
    <t>L260400599AC</t>
  </si>
  <si>
    <t>MASS12047</t>
  </si>
  <si>
    <t>ZM1588832</t>
  </si>
  <si>
    <t>ZM1588830</t>
  </si>
  <si>
    <t>WF42600500</t>
  </si>
  <si>
    <t>Purchase Refurbished Cisco SFP-10G-LR-S etc (Request by Martin Ma WO#II73541)</t>
  </si>
  <si>
    <t>Hong Kong Baptist University</t>
  </si>
  <si>
    <t>WF62600352</t>
  </si>
  <si>
    <t>WF12600513</t>
  </si>
  <si>
    <t>ZM1588830</t>
    <phoneticPr fontId="6" type="noConversion"/>
  </si>
  <si>
    <t>Natalie Wu</t>
    <phoneticPr fontId="6" type="noConversion"/>
  </si>
  <si>
    <t>WF62600361</t>
  </si>
  <si>
    <t>WF12600522</t>
  </si>
  <si>
    <t>ZM1588927</t>
  </si>
  <si>
    <t>LIC-ENT-1YR Meraki MR Enterprise License, 1YR</t>
  </si>
  <si>
    <t>UID-26-03-0147</t>
  </si>
  <si>
    <t>L260390171NP</t>
  </si>
  <si>
    <t>CTF Services Limited</t>
  </si>
  <si>
    <t xml:space="preserve">Po Nicky MY / Lai, Fonnie WF  </t>
  </si>
  <si>
    <t>MASS14288</t>
  </si>
  <si>
    <t>ZM1588932</t>
  </si>
  <si>
    <t>Purchase of Refurbished C9200-24T-E, C9200-48P-E</t>
  </si>
  <si>
    <t>5A-Man Fung</t>
  </si>
  <si>
    <t>UID-26-04-0044</t>
  </si>
  <si>
    <t>L260301813TH</t>
  </si>
  <si>
    <t>Lanson Place Hotel</t>
  </si>
  <si>
    <t>I87623</t>
  </si>
  <si>
    <t>ZM1589058</t>
  </si>
  <si>
    <t>UID-26-04-0075</t>
  </si>
  <si>
    <t>L260400656J3</t>
  </si>
  <si>
    <t>MASS MUTUAL ASIA LTD</t>
  </si>
  <si>
    <t>J89802</t>
  </si>
  <si>
    <t>ZM1589186</t>
  </si>
  <si>
    <t>UID-26-04-0111</t>
  </si>
  <si>
    <t>L260490098NI</t>
  </si>
  <si>
    <t>JUDICIARY ADMINISTRATOR</t>
  </si>
  <si>
    <t>MASS13551           </t>
  </si>
  <si>
    <t>ZM1589163</t>
  </si>
  <si>
    <t>UID-26-04-0085</t>
  </si>
  <si>
    <t>L260400623WW</t>
  </si>
  <si>
    <t>Hong Kong Metropolitan University</t>
  </si>
  <si>
    <t>MASS12623</t>
  </si>
  <si>
    <t>MFSC26040010</t>
  </si>
  <si>
    <t>ZM1589225</t>
  </si>
  <si>
    <t>Chan Yuk Fun</t>
    <phoneticPr fontId="6" type="noConversion"/>
  </si>
  <si>
    <t>MERAKI-SUB Meraki SW Subscription Initial/Renewal Term:12/0</t>
  </si>
  <si>
    <t>ZM1588970</t>
  </si>
  <si>
    <t>202602120004</t>
  </si>
  <si>
    <t>ZM1589728</t>
  </si>
  <si>
    <t>UID-26-04-0121</t>
  </si>
  <si>
    <t>L260490109IL</t>
  </si>
  <si>
    <t>LEGISLATIVE COUNCIL SECRETARIAT</t>
  </si>
  <si>
    <t>I60297 MASS14318</t>
  </si>
  <si>
    <t>ZM1589363</t>
  </si>
  <si>
    <t>E-mail Quote Date 31 Mar 2026</t>
  </si>
  <si>
    <t>Purchase of Refurbished C9300L-48P-4X-E</t>
  </si>
  <si>
    <t>ZM1589727</t>
  </si>
  <si>
    <t>UID-26-04-0134</t>
  </si>
  <si>
    <t>L260200942YT</t>
  </si>
  <si>
    <t>HOSPITAL AUTHORITY</t>
  </si>
  <si>
    <t>Yim, Theo TP  / Lai, Fonnie WF</t>
  </si>
  <si>
    <t>MASS13838-18 MASS13838-19 MASS13838-20</t>
  </si>
  <si>
    <t>ZZ1589557 &lt;-- ZM1579301</t>
  </si>
  <si>
    <t>S2600127027</t>
  </si>
  <si>
    <t>Purchase of Refurbished ASA5525-FPWR-K9, ASA5508-K9 REF CISCO</t>
  </si>
  <si>
    <t>3-Circular IT Group</t>
  </si>
  <si>
    <t>cancel on 28/08/26</t>
  </si>
  <si>
    <t>ZM1590009</t>
  </si>
  <si>
    <t>UID-26-04-0167</t>
  </si>
  <si>
    <t>L260290166YR</t>
  </si>
  <si>
    <t>PACIFIC CENTURY ASSET MGT HK LTD</t>
  </si>
  <si>
    <t>J88457</t>
  </si>
  <si>
    <t>ZM1590008</t>
  </si>
  <si>
    <t>ZM1590504</t>
  </si>
  <si>
    <t>F5_251231_HKT_Pacific Century_6005367_v1</t>
  </si>
  <si>
    <t>BIG-IP Service: Premium (Level 1-3) on F5 Eqpt</t>
  </si>
  <si>
    <t>3-B&amp;Data</t>
  </si>
  <si>
    <t>J88460</t>
  </si>
  <si>
    <t>BDKD26-0435</t>
  </si>
  <si>
    <t>ZM1590474</t>
  </si>
  <si>
    <t>UID-26-04-0143</t>
  </si>
  <si>
    <t>L260400641CB</t>
  </si>
  <si>
    <t>RICH UNION DEVELOPMENT LIMITED</t>
  </si>
  <si>
    <t>ZM1590193</t>
  </si>
  <si>
    <t>ZM1590196</t>
  </si>
  <si>
    <t>ZM1590191</t>
  </si>
  <si>
    <t>ZM1590473</t>
  </si>
  <si>
    <t>UID-26-04-0184</t>
  </si>
  <si>
    <t>L260400621KW</t>
  </si>
  <si>
    <t>HONG KONG EXCHANGES AND CLEARING LIMITED</t>
  </si>
  <si>
    <t>MASS13637</t>
  </si>
  <si>
    <t>ZM1590756</t>
  </si>
  <si>
    <t>Q2603049</t>
  </si>
  <si>
    <t>6a-Austin Hughes Electronics Ltd</t>
  </si>
  <si>
    <t>WONG CHUK HANG HOSPITAL</t>
  </si>
  <si>
    <t>R91996</t>
  </si>
  <si>
    <t xml:space="preserve"> Quote 471975383  duplicate with 431974813</t>
  </si>
  <si>
    <t>UID-26-04-0197</t>
  </si>
  <si>
    <t>L251190272YR</t>
  </si>
  <si>
    <t>MASS11750</t>
  </si>
  <si>
    <t>cancel 5/11/2026</t>
  </si>
  <si>
    <t>ZM1590465</t>
  </si>
  <si>
    <t>Purchase of Refurbished N2K-C2232-FAN, N2K-C2232PP-10GE, etc</t>
  </si>
  <si>
    <t>ZM1590718</t>
  </si>
  <si>
    <t>Quote Date 20 Apr 2026</t>
  </si>
  <si>
    <t>Level 1-3 Premium Service for BIG-IP &amp; Replacement Service</t>
  </si>
  <si>
    <t>UID-26-04-0207</t>
  </si>
  <si>
    <t>G260600078TH</t>
  </si>
  <si>
    <t>PUBLIC BANK (HONG KONG) LIMITED</t>
  </si>
  <si>
    <t>I41481</t>
  </si>
  <si>
    <t>BDKD26-0438</t>
  </si>
  <si>
    <t>BDI26-0898</t>
    <phoneticPr fontId="6" type="noConversion"/>
  </si>
  <si>
    <t>ZM1590879</t>
  </si>
  <si>
    <t>UID-26-04-0214</t>
  </si>
  <si>
    <t xml:space="preserve">2026WB115WC </t>
  </si>
  <si>
    <t>TECHTRONIC INDUSTRIES COMPANY LTD</t>
  </si>
  <si>
    <t>Wong, Cammy SL / Poon Nelson KH</t>
  </si>
  <si>
    <t>MASS14319-5, MASS14319-7, MASS14320-1, MASS14321-3</t>
  </si>
  <si>
    <t>cancel on 5/26/2026</t>
  </si>
  <si>
    <t>ZM1590876</t>
  </si>
  <si>
    <t xml:space="preserve"> 2-Cisco (Part 1)</t>
  </si>
  <si>
    <t>J87547, J17480, A80935</t>
  </si>
  <si>
    <t>ZM1590878</t>
  </si>
  <si>
    <t xml:space="preserve"> 2-Cisco (Part 2)</t>
  </si>
  <si>
    <t>ZM1590877</t>
  </si>
  <si>
    <t xml:space="preserve"> 2-Cisco (Part 3)</t>
  </si>
  <si>
    <t>ZM1591822</t>
  </si>
  <si>
    <t>F5_251222_HKT_Fubon Bank (Hong Kong) Limited_6020014_v1</t>
  </si>
  <si>
    <t>BIG-IP Service: Premium (Level 1-3), RMA HW Replacement on F5 Eqpt</t>
  </si>
  <si>
    <t>UID-26-04-0221</t>
  </si>
  <si>
    <t>L251190077LS</t>
  </si>
  <si>
    <t>MASS13022</t>
  </si>
  <si>
    <t>BDKD26-0449</t>
  </si>
  <si>
    <t>BDI26-0958</t>
    <phoneticPr fontId="6" type="noConversion"/>
  </si>
  <si>
    <t>ZM1591915</t>
  </si>
  <si>
    <t>F5_250326_HKT_Fubon_6025593_v5</t>
  </si>
  <si>
    <t>BIG-IP Service: premium (Level 1-3), RMA HW Replacement on F5Eqpt</t>
  </si>
  <si>
    <t>D92547</t>
  </si>
  <si>
    <t>BDKD26-0453</t>
  </si>
  <si>
    <t>ZM1591682</t>
  </si>
  <si>
    <t>UID-26-05-0020</t>
  </si>
  <si>
    <t xml:space="preserve">L260200906YR </t>
  </si>
  <si>
    <t>RETAIL BIZ &amp; ASSETS (HKT)</t>
  </si>
  <si>
    <t>Yau, Ricky CH / Yuen, Vivien MC</t>
  </si>
  <si>
    <t>I19876, I19876-1, I19876-2 [MA Case]</t>
  </si>
  <si>
    <t>ZM1591605</t>
  </si>
  <si>
    <t>KDCHW20260311-182R1</t>
  </si>
  <si>
    <t>Co-Care Premier on S5731-S24T4X, S5735-L8T4S-A1</t>
  </si>
  <si>
    <t>5a-Karin</t>
  </si>
  <si>
    <t>DN KKIN2600970</t>
  </si>
  <si>
    <t>Invoice KKIN2600970</t>
  </si>
  <si>
    <t>ZM1591678</t>
  </si>
  <si>
    <t xml:space="preserve"> 6-Cisco </t>
  </si>
  <si>
    <t>FUBON BANK HONG KONG LTD</t>
  </si>
  <si>
    <t>D39678, F14745, J23988, MASS11881, MASS12032 &amp; MASS12033</t>
  </si>
  <si>
    <t>ZM1591685</t>
  </si>
  <si>
    <t>S2600131272</t>
  </si>
  <si>
    <t>Purchase of ASR1002-HX REF CISCO, ASR1000X-AC-750W REF CISCO</t>
  </si>
  <si>
    <t>2a-Circular IT Group</t>
  </si>
  <si>
    <t>P286518</t>
  </si>
  <si>
    <t>ZM1593059</t>
  </si>
  <si>
    <t>0Y03442500740T</t>
  </si>
  <si>
    <t xml:space="preserve">Hi-Care Onsite Premier DC908 Assembly Chassis 12 Months </t>
  </si>
  <si>
    <t>V87621, I97473, V88285</t>
  </si>
  <si>
    <t>HL2613267</t>
    <phoneticPr fontId="6" type="noConversion"/>
  </si>
  <si>
    <t>ZM1591631</t>
  </si>
  <si>
    <t>PID20260316</t>
  </si>
  <si>
    <t>24x7x4 hours response parts onsite labor and technical support</t>
  </si>
  <si>
    <t>3-DCSS</t>
  </si>
  <si>
    <t>2026-HKT-0007</t>
    <phoneticPr fontId="6" type="noConversion"/>
  </si>
  <si>
    <t>ZM1592643</t>
  </si>
  <si>
    <t>T26032628</t>
  </si>
  <si>
    <t xml:space="preserve">N1-NetEngine 8000 M14 Series Advance License SnS, Co-Care Premier Support </t>
  </si>
  <si>
    <t>6-Huawei (Synnex)</t>
  </si>
  <si>
    <t>Joint Universities Computer Centre Ltd</t>
  </si>
  <si>
    <t>MASS10298</t>
  </si>
  <si>
    <t>ZM1591773</t>
  </si>
  <si>
    <t>UID-26-05-0045</t>
  </si>
  <si>
    <t>W260400697L3</t>
  </si>
  <si>
    <t>Precious Blood Primary School</t>
  </si>
  <si>
    <t>MASS13988</t>
  </si>
  <si>
    <t>Cert MFSC26050001</t>
  </si>
  <si>
    <t>ZM1591999</t>
  </si>
  <si>
    <t>RVT20260413_06</t>
  </si>
  <si>
    <t>PSS Next Day Support for EX3400-48T-DC</t>
  </si>
  <si>
    <t>1a-Cyberworld</t>
  </si>
  <si>
    <t>UID-26-05-0034</t>
  </si>
  <si>
    <t>W260500586L3</t>
  </si>
  <si>
    <t>SKH Tin Shui Wai Ling Oi Primary School</t>
  </si>
  <si>
    <t>Liang, Aka ZH / Law, Carman KM</t>
  </si>
  <si>
    <t>J74098</t>
  </si>
  <si>
    <t>DN26000438</t>
    <phoneticPr fontId="6" type="noConversion"/>
  </si>
  <si>
    <t>IN26000438</t>
    <phoneticPr fontId="6" type="noConversion"/>
  </si>
  <si>
    <t>ZZ1591920</t>
    <phoneticPr fontId="6" type="noConversion"/>
  </si>
  <si>
    <t>Purchase of Refurbished WS-4500X-32SFP+</t>
  </si>
  <si>
    <t>UID-26-05-0062</t>
  </si>
  <si>
    <t>L260500477KW</t>
  </si>
  <si>
    <t>BOC Group Life Assurance Co Ltd</t>
  </si>
  <si>
    <t>F82186, H90071, F17397</t>
  </si>
  <si>
    <t>ZM1592003</t>
  </si>
  <si>
    <t>RVT20260415_02</t>
  </si>
  <si>
    <t>PSS Basic Support for EX4300-48P, PSS Next Day Support for EX2300-48T, EX2300-24P</t>
  </si>
  <si>
    <t>UID-26-05-0064</t>
  </si>
  <si>
    <t>W260500582L3</t>
  </si>
  <si>
    <t>STFA Leung Kau Kui College</t>
  </si>
  <si>
    <t>J29966-1</t>
  </si>
  <si>
    <t>DN26000465</t>
    <phoneticPr fontId="6" type="noConversion"/>
  </si>
  <si>
    <t>IN26000465</t>
    <phoneticPr fontId="6" type="noConversion"/>
  </si>
  <si>
    <t>ZM1592409</t>
  </si>
  <si>
    <t>UID-26-05-0070</t>
  </si>
  <si>
    <t>L260390244TH</t>
  </si>
  <si>
    <t>PARFUMS CHRISTIAN DIOR HONG KONG LTD</t>
  </si>
  <si>
    <t>MASS13581 MASS13582</t>
  </si>
  <si>
    <t>ZM1592360</t>
  </si>
  <si>
    <t>R1KDCHW20260305-167</t>
  </si>
  <si>
    <t>Co-Care Premier 12 Months on S5731-H48T4XC, S5731-S24T4X</t>
  </si>
  <si>
    <t>UID-26-05-0004</t>
  </si>
  <si>
    <t>L260301711YT</t>
  </si>
  <si>
    <t>Chevalier (Network Solutions) Ltd C/O Kwong Wah Hospital</t>
  </si>
  <si>
    <t>I42489</t>
  </si>
  <si>
    <t>DN#KKIN2601066</t>
  </si>
  <si>
    <t>INV#KKIN2601066</t>
  </si>
  <si>
    <t>ZZ1592356</t>
  </si>
  <si>
    <t>Purchase of Refurbished S3100-8TP-PWR-EI</t>
  </si>
  <si>
    <t>UID-26-05-0069</t>
  </si>
  <si>
    <t>P/7916/MAMA/CF25</t>
  </si>
  <si>
    <t>Noah's Ark Management</t>
  </si>
  <si>
    <t>ZM1594387</t>
  </si>
  <si>
    <t>PID20260309</t>
  </si>
  <si>
    <t>1-DCSS</t>
  </si>
  <si>
    <t>UID-26-05-0084</t>
  </si>
  <si>
    <t>L260590165TS</t>
  </si>
  <si>
    <t>King &amp; Wood</t>
  </si>
  <si>
    <t>MASS14331</t>
  </si>
  <si>
    <t>2026-HKT-0008</t>
    <phoneticPr fontId="6" type="noConversion"/>
  </si>
  <si>
    <t>ZM1593140</t>
  </si>
  <si>
    <t>UID-26-05-0006</t>
  </si>
  <si>
    <t>P/7987/MAMA/LS26</t>
  </si>
  <si>
    <t>HONG KONG AERO ENGINE SERVICES LTD</t>
  </si>
  <si>
    <t>I01334 (Under 22603000 PABX)</t>
  </si>
  <si>
    <t>ZM1593058</t>
  </si>
  <si>
    <t>QUO-2601624-D9G6T1</t>
  </si>
  <si>
    <t>Meraki MX85 Secure SD-WAN Plus License and Support 1YR</t>
  </si>
  <si>
    <t>UID-26-05-0125</t>
  </si>
  <si>
    <t>L260600792IL</t>
  </si>
  <si>
    <t>I51294-1</t>
  </si>
  <si>
    <t>10-39299-11</t>
  </si>
  <si>
    <t>ZM1593143</t>
  </si>
  <si>
    <t>UID-26-05-0130</t>
  </si>
  <si>
    <t>L260590181WC</t>
  </si>
  <si>
    <t>OFFICE OF THE GOVERNMENT CHIEF INFORMATION OFFICER</t>
  </si>
  <si>
    <t>MASS14332</t>
  </si>
  <si>
    <t>ZZ1593355</t>
  </si>
  <si>
    <t>RFQ#260062NW</t>
  </si>
  <si>
    <t>Purchase of Refurbished HDEBL04JAA51 / UCS-HD600G10K12N for HKT Mtce (Request by Martin Ma)</t>
  </si>
  <si>
    <t>ZZ1593361</t>
  </si>
  <si>
    <t>Purchase of Refurbished ASA5585-PWR-AC for HKT Mtce (Request by Martin Ma)</t>
  </si>
  <si>
    <t>S2600133426</t>
  </si>
  <si>
    <t>ZM1594563</t>
  </si>
  <si>
    <t>Purchase of Refurbished Cisco C921-4P, C9300-48T-A for HKT Mtce (Request by Martin Ma)</t>
  </si>
  <si>
    <t>WF62600472</t>
  </si>
  <si>
    <t>WF12600706</t>
  </si>
  <si>
    <t>WF62600492</t>
  </si>
  <si>
    <t>WF12600728</t>
  </si>
  <si>
    <t>ZM1593821</t>
  </si>
  <si>
    <t>UID-26-05-0150</t>
  </si>
  <si>
    <t>L260600728WW</t>
  </si>
  <si>
    <t>HABIB BANK ZURICH (HK) LTD</t>
  </si>
  <si>
    <t>J98939, MASS11294, MASS11295</t>
  </si>
  <si>
    <t>ZM1594561</t>
  </si>
  <si>
    <t>S2600131903</t>
  </si>
  <si>
    <t>Purchase of Refurbished ASA5585-S10F10-K9 (5585-X SSP-10, FirePOWER SSP-10, 16GE, 4GEMg, 2xAC</t>
  </si>
  <si>
    <t>1-Circular IT Group</t>
  </si>
  <si>
    <t>UID-26-05-0160</t>
  </si>
  <si>
    <t>G260390126YR</t>
  </si>
  <si>
    <t>HKT Telecommunication (HKT) Limited</t>
  </si>
  <si>
    <t>J52478</t>
  </si>
  <si>
    <t>DHL 965994332</t>
    <phoneticPr fontId="6" type="noConversion"/>
  </si>
  <si>
    <t>ZM1594567</t>
  </si>
  <si>
    <t>31-Cisco</t>
  </si>
  <si>
    <t>I19315-1, I37887-1 &amp; I37888-1 (Refer to I19315, I37887 &amp; I37888)</t>
  </si>
  <si>
    <t>ZM1594570</t>
  </si>
  <si>
    <t>F5_260313_HKT</t>
  </si>
  <si>
    <t>UID-26-05-0161</t>
  </si>
  <si>
    <t>L260390051KW</t>
  </si>
  <si>
    <t>I30402-1, R65278 &amp; MASS11247-1</t>
  </si>
  <si>
    <t>BDKD26-0497</t>
  </si>
  <si>
    <t>ZM1594818</t>
  </si>
  <si>
    <t>F5_260330_HKT</t>
  </si>
  <si>
    <t>F5-SVC-BIG Level 1-3 Premium Service on F5 Equipment</t>
  </si>
  <si>
    <t>8-B&amp;Data</t>
  </si>
  <si>
    <t>BDKD26-0520</t>
  </si>
  <si>
    <t>BDI26-1142</t>
    <phoneticPr fontId="6" type="noConversion"/>
  </si>
  <si>
    <t>ZM1594776</t>
  </si>
  <si>
    <t>F5_260330_HKT_6030268_v1</t>
  </si>
  <si>
    <t>BIG-IP Service: Premium (Level 1 - 3), RMA HW Replacement on F5 Equipment</t>
  </si>
  <si>
    <t>9-B&amp;Data</t>
  </si>
  <si>
    <t>BDKD26-0496</t>
  </si>
  <si>
    <t>ZM1594516</t>
  </si>
  <si>
    <t>000Ht84082253202605120002</t>
  </si>
  <si>
    <t>Co-Care Premier 24 Months Renewals</t>
  </si>
  <si>
    <t>2,3,4,5-Huawei</t>
  </si>
  <si>
    <t>HL2614249</t>
    <phoneticPr fontId="6" type="noConversion"/>
  </si>
  <si>
    <t>ZM1594558</t>
  </si>
  <si>
    <t>email dated 29/5/2026</t>
  </si>
  <si>
    <t>Purchase of Refurbished Huawei CloudEngine S5732-H24UM2CC</t>
  </si>
  <si>
    <t>MASS14306</t>
  </si>
  <si>
    <t>WF62600473</t>
  </si>
  <si>
    <t>WF12600707</t>
  </si>
  <si>
    <t>ZM1594562</t>
  </si>
  <si>
    <t>UID-26-05-0184</t>
  </si>
  <si>
    <t>G260590207J2</t>
  </si>
  <si>
    <t>DHL GLOBAL FORWARDING (HONG KONG) LIMITED</t>
  </si>
  <si>
    <r>
      <t>MASS14199</t>
    </r>
    <r>
      <rPr>
        <b/>
        <sz val="12"/>
        <color rgb="FF242424"/>
        <rFont val="Calibri"/>
        <family val="2"/>
        <charset val="1"/>
      </rPr>
      <t> </t>
    </r>
  </si>
  <si>
    <t>ZM1594559</t>
  </si>
  <si>
    <t>ZM1594565</t>
  </si>
  <si>
    <t>RMY-20260410</t>
  </si>
  <si>
    <t>CW PSS ND SUPT EX3400-24T, CW PSS ND SUPT EX2300-48T</t>
  </si>
  <si>
    <t>UID-26-05-0191</t>
  </si>
  <si>
    <t>L260500542KW</t>
  </si>
  <si>
    <t>The Hong Kong Institute of Bankers</t>
  </si>
  <si>
    <t>V11146</t>
  </si>
  <si>
    <t>DN26000459</t>
  </si>
  <si>
    <t>IN26000459</t>
  </si>
  <si>
    <t>ZZ1594383</t>
  </si>
  <si>
    <t>E-mail Quote Date 28 Aug 2025</t>
  </si>
  <si>
    <t>Purchase of Refurbished WS-C3650-48PS-S</t>
  </si>
  <si>
    <t>UID-26-05-0205</t>
  </si>
  <si>
    <t>G250900052TH</t>
  </si>
  <si>
    <t>Fujifilm Business Innovation HK Ltd</t>
  </si>
  <si>
    <t>MASS11389</t>
  </si>
  <si>
    <t>ZM1594913</t>
  </si>
  <si>
    <t>UID-26-05-0216</t>
  </si>
  <si>
    <t>L260500488JI</t>
  </si>
  <si>
    <t>CREDIT AGRICOLE CIB</t>
  </si>
  <si>
    <t xml:space="preserve">I68986, I68987, I68988 </t>
  </si>
  <si>
    <t>ZM1594947</t>
  </si>
  <si>
    <t>PSRT, PSUP, SNT on Cisco Products</t>
  </si>
  <si>
    <t>UID-26-05-0233</t>
  </si>
  <si>
    <t>L260590183J3</t>
  </si>
  <si>
    <t>GUOTAI JUNAN</t>
  </si>
  <si>
    <t xml:space="preserve">MASS12722-2 </t>
  </si>
  <si>
    <t>ZM1594946</t>
  </si>
  <si>
    <t>ZM1595107</t>
  </si>
  <si>
    <t>0Y034425002736</t>
  </si>
  <si>
    <t xml:space="preserve">Co-Care Premier 12 Months on S5732-H48UM2CC </t>
  </si>
  <si>
    <t>Guotai Junan (HK) Ltd</t>
  </si>
  <si>
    <t>HL2614561</t>
    <phoneticPr fontId="6" type="noConversion"/>
  </si>
  <si>
    <t>ZM1595062</t>
    <phoneticPr fontId="6" type="noConversion"/>
  </si>
  <si>
    <t>E-mail Quote Date 20 Apr 2026</t>
  </si>
  <si>
    <t>H3Care Basic 8x5xNBD on H3C Equipment</t>
  </si>
  <si>
    <t>6-Tech Data</t>
  </si>
  <si>
    <t>ZM1595066</t>
  </si>
  <si>
    <t>Foundtech International Limited</t>
  </si>
  <si>
    <t>FQN 13000</t>
  </si>
  <si>
    <t xml:space="preserve">TACACS net Support Renewal </t>
  </si>
  <si>
    <t>7-Foundtech International Limited</t>
  </si>
  <si>
    <t>FIN_08738</t>
    <phoneticPr fontId="6" type="noConversion"/>
  </si>
  <si>
    <t>ZM1595469</t>
  </si>
  <si>
    <t>UID-26-05-0247</t>
  </si>
  <si>
    <t>L260600694YR</t>
  </si>
  <si>
    <t>IMMIGRATION DEPARTMENT</t>
  </si>
  <si>
    <t>MASS14000</t>
  </si>
  <si>
    <t>ZZ1595046</t>
  </si>
  <si>
    <t>Purchase of Refurbished H3C S5120-28P-HPWR-SI, H3C S5120-20P, H3C S5120-28C-PWR-EI</t>
  </si>
  <si>
    <t>UID-26-05-0236</t>
  </si>
  <si>
    <t>L260590238AC</t>
  </si>
  <si>
    <t>Soravit Hotels Group Limited</t>
  </si>
  <si>
    <t>J02938</t>
  </si>
  <si>
    <t>Cancel 17/06/2026</t>
  </si>
  <si>
    <t>ZZ1595099</t>
  </si>
  <si>
    <t>Purchase of Refurbished Cisco N2K-C2232PF</t>
  </si>
  <si>
    <t>ZM1595687</t>
  </si>
  <si>
    <t>KDCHW20260311-181R1</t>
  </si>
  <si>
    <t>Co-Care Premier 8 Months Renewals on S5731-S24T4X</t>
  </si>
  <si>
    <t>5A-Karin</t>
  </si>
  <si>
    <t>UID-26-05-0245</t>
  </si>
  <si>
    <t>P/8116/MAMA/YT26</t>
  </si>
  <si>
    <t>DN_KKIN2601169</t>
  </si>
  <si>
    <t>KKIN2601169</t>
  </si>
  <si>
    <t>ZM1595478</t>
  </si>
  <si>
    <t>QEYC260416PCCW01R1</t>
  </si>
  <si>
    <t>UID-26-05-0215</t>
  </si>
  <si>
    <t>W260500603L3</t>
  </si>
  <si>
    <t>Yuen Long Government Primary School</t>
  </si>
  <si>
    <t>D86404</t>
  </si>
  <si>
    <t>TTDN152600453</t>
    <phoneticPr fontId="6" type="noConversion"/>
  </si>
  <si>
    <t>TTINV132600350</t>
    <phoneticPr fontId="6" type="noConversion"/>
  </si>
  <si>
    <t>ZM1595700</t>
  </si>
  <si>
    <t>E-mail Quote Date 27 May 2026</t>
  </si>
  <si>
    <t>Purchase of Refurbished WS-C3850-24S-S, WS-C3850-48T-S (RFQ#260062NW, Request by Martin - HA Spare)</t>
    <phoneticPr fontId="6" type="noConversion"/>
  </si>
  <si>
    <t>WF62600598</t>
    <phoneticPr fontId="6" type="noConversion"/>
  </si>
  <si>
    <t>WF12600863</t>
    <phoneticPr fontId="6" type="noConversion"/>
  </si>
  <si>
    <t>Purchase of Refurbished N3K-C3172PQ-10GE (RFQ#260062NW, Request by Martin - HA Spare)</t>
    <phoneticPr fontId="6" type="noConversion"/>
  </si>
  <si>
    <t>WF62600621</t>
    <phoneticPr fontId="6" type="noConversion"/>
  </si>
  <si>
    <t>WF12600893</t>
    <phoneticPr fontId="6" type="noConversion"/>
  </si>
  <si>
    <t>ZM1595984</t>
    <phoneticPr fontId="6" type="noConversion"/>
  </si>
  <si>
    <t>E-mail Quote Date 4 May 2026</t>
  </si>
  <si>
    <t>Purchase of Refurbished N9K-C93180YC-FX3S (RFQ#260062NW, Request by Martin - HA Spare)</t>
  </si>
  <si>
    <t>SOHK001208</t>
    <phoneticPr fontId="6" type="noConversion"/>
  </si>
  <si>
    <t>HK001208-0</t>
    <phoneticPr fontId="6" type="noConversion"/>
  </si>
  <si>
    <t>ZM1595695</t>
  </si>
  <si>
    <t>80005466 &amp; 80005467</t>
  </si>
  <si>
    <t>1 Year Labour Support Service plus One-time Firmware Upgrade Service and License</t>
  </si>
  <si>
    <t>MFSC26060003</t>
    <phoneticPr fontId="6" type="noConversion"/>
  </si>
  <si>
    <t>ZM1595694</t>
  </si>
  <si>
    <t>UID-26-06-0007</t>
  </si>
  <si>
    <t>L260600836TH</t>
  </si>
  <si>
    <t>WONG TUNG &amp; PARTNERS LTD</t>
  </si>
  <si>
    <t>J13160</t>
  </si>
  <si>
    <t>ZM1596190</t>
    <phoneticPr fontId="6" type="noConversion"/>
  </si>
  <si>
    <t>E-mail Quote Date 22 May 2026</t>
  </si>
  <si>
    <t>Purchase of Refurbished C9300-48UXM-E</t>
  </si>
  <si>
    <t>ZM1595808</t>
  </si>
  <si>
    <t>RVT20260515_01</t>
  </si>
  <si>
    <t>PSS Next Day Support for EX4300-32F, EX2300-48P, EX2300-C-12P</t>
  </si>
  <si>
    <t>UID-26-06-0015</t>
  </si>
  <si>
    <t>W260600843L3</t>
  </si>
  <si>
    <t>BISHOP FORD MEMORIAL SCHOOL</t>
  </si>
  <si>
    <t>D86701-1</t>
  </si>
  <si>
    <t>DN26000494</t>
    <phoneticPr fontId="6" type="noConversion"/>
  </si>
  <si>
    <t>IN26000494</t>
    <phoneticPr fontId="6" type="noConversion"/>
  </si>
  <si>
    <t>ZM1596010</t>
  </si>
  <si>
    <t>0000Hh60099625202603050014 / 0000Hh60099625202603020028</t>
  </si>
  <si>
    <t>Co-Care Premier 7 Months Renewals on Huawei Equipment</t>
  </si>
  <si>
    <t>UID-26-03-0101</t>
  </si>
  <si>
    <t>L260290091CO</t>
  </si>
  <si>
    <t>I37220 I35832 I19207 MASS12528 I60259 I37218</t>
  </si>
  <si>
    <t>HL2616944</t>
    <phoneticPr fontId="6" type="noConversion"/>
  </si>
  <si>
    <t>ZM1595988</t>
  </si>
  <si>
    <t>0000Ht84082253202604100006</t>
  </si>
  <si>
    <t>Co-Care Premier 6 Months Renewals</t>
  </si>
  <si>
    <t>UID-26-06-0019</t>
  </si>
  <si>
    <t>L260600820KW</t>
  </si>
  <si>
    <t>The World Wide Investment Co Ltd</t>
  </si>
  <si>
    <t>J98829</t>
  </si>
  <si>
    <t>HL2615389</t>
    <phoneticPr fontId="6" type="noConversion"/>
  </si>
  <si>
    <t>ZM1596828</t>
    <phoneticPr fontId="6" type="noConversion"/>
  </si>
  <si>
    <t>ZM1596826</t>
    <phoneticPr fontId="6" type="noConversion"/>
  </si>
  <si>
    <t>PSRT, PSUP, PSBU on Cisco Products</t>
  </si>
  <si>
    <t>ZZ1595877</t>
  </si>
  <si>
    <t>E-mail Quote Date 14 May 2026</t>
  </si>
  <si>
    <t>Purchase of Refurbished Huawei Switch S5720-52P-PWR-LI-AC</t>
  </si>
  <si>
    <t>2-Wah Fung</t>
  </si>
  <si>
    <t>WF62600493</t>
  </si>
  <si>
    <t>WF12600729</t>
  </si>
  <si>
    <t>ZZ1595921</t>
  </si>
  <si>
    <t>Purchase of Refurbished Huawei Switch S5735-L8P4X-IA1</t>
  </si>
  <si>
    <t>L260390091CO</t>
  </si>
  <si>
    <t>ZM1596185</t>
  </si>
  <si>
    <t>0000Ht00235055202605180006</t>
  </si>
  <si>
    <t>1 Year Subscription and Support</t>
  </si>
  <si>
    <t>UID-26-06-0042</t>
  </si>
  <si>
    <t>L260600814LS</t>
  </si>
  <si>
    <t>HL2615712</t>
    <phoneticPr fontId="6" type="noConversion"/>
  </si>
  <si>
    <t>ZM1596255</t>
  </si>
  <si>
    <t>CSEMAIL-SEC-SUB Cisco Secure Email XaaS Subscription Initial/Renewal Term:12/0</t>
  </si>
  <si>
    <t>Guotai Junan</t>
  </si>
  <si>
    <t>ZM1596191</t>
  </si>
  <si>
    <t>-</t>
    <phoneticPr fontId="6" type="noConversion"/>
  </si>
  <si>
    <t>RO4 on Cisco Products</t>
  </si>
  <si>
    <t>UID-26-06-0049</t>
  </si>
  <si>
    <t>P/7395/MAMA/TH26</t>
  </si>
  <si>
    <t>HYATT REGENCY HONG KONG, TST</t>
  </si>
  <si>
    <t>Ivan Tsui email@20261206 - Please on hold this order. This is budget reserve</t>
  </si>
  <si>
    <t>Cancel 29/06/26</t>
  </si>
  <si>
    <t>ZM1596192</t>
    <phoneticPr fontId="6" type="noConversion"/>
  </si>
  <si>
    <t>ZM1596366</t>
  </si>
  <si>
    <t>UID-26-06-0052</t>
  </si>
  <si>
    <t>L260690102NI</t>
  </si>
  <si>
    <t>MASS14364</t>
  </si>
  <si>
    <t>ZM1596256</t>
  </si>
  <si>
    <t>L-AC-APX-LIC= Secure Client Premier Term License, Total Unique Users</t>
  </si>
  <si>
    <t>UID-26-06-0055</t>
  </si>
  <si>
    <t>G260390192JI</t>
  </si>
  <si>
    <t>THE BANK OF EAST ASIA LTD</t>
  </si>
  <si>
    <t>Hsui Janet WJ / Yuen, Vivien MC</t>
  </si>
  <si>
    <t xml:space="preserve">J20565-1, J88815, J88526-1 </t>
  </si>
  <si>
    <t>ZM1596257</t>
  </si>
  <si>
    <t>ISE-SEC-SUB Cisco Identity Service Engine Subscription Initial/Renewal Term:12/0</t>
  </si>
  <si>
    <t>ZM1596258</t>
  </si>
  <si>
    <t>Cisco Identity Service Engine Subscription Initial/Renewal Term:12/0</t>
  </si>
  <si>
    <t>ZM1596365</t>
    <phoneticPr fontId="6" type="noConversion"/>
  </si>
  <si>
    <t>UID-26-06-0055</t>
    <phoneticPr fontId="6" type="noConversion"/>
  </si>
  <si>
    <t>ZM1596825</t>
    <phoneticPr fontId="6" type="noConversion"/>
  </si>
  <si>
    <t>ZM1596823</t>
    <phoneticPr fontId="6" type="noConversion"/>
  </si>
  <si>
    <t>UID-26-06-0084</t>
  </si>
  <si>
    <t>L260690126J3</t>
  </si>
  <si>
    <t>WING FUNG FINANCIAL GROUP LTD</t>
  </si>
  <si>
    <t>Lam, Jessica WS / Law, Carman KM</t>
  </si>
  <si>
    <t>MASS14365</t>
  </si>
  <si>
    <t>ZM1596829</t>
    <phoneticPr fontId="6" type="noConversion"/>
  </si>
  <si>
    <t>E-mail Quote Date 26 May 2026</t>
  </si>
  <si>
    <t>1 Year Onsite Hardware Maintenance Service 8x5xNBD on 3CR17333-91-UK</t>
  </si>
  <si>
    <t>UID-26-06-0078</t>
  </si>
  <si>
    <t>L260600791TH</t>
  </si>
  <si>
    <t>South Jacob Ltd</t>
  </si>
  <si>
    <t>S94629</t>
  </si>
  <si>
    <t>MFSC26060002</t>
    <phoneticPr fontId="6" type="noConversion"/>
  </si>
  <si>
    <t>ZZ1596907</t>
  </si>
  <si>
    <t>E-mail Quote Date 13 May 2026</t>
  </si>
  <si>
    <t>Purchase of Refurbished LS-5120-28P-HPWR-SI</t>
  </si>
  <si>
    <t>UID-26-06-0094</t>
  </si>
  <si>
    <t>L260500524TH</t>
  </si>
  <si>
    <t>Montgomery Enterprises Ltd</t>
  </si>
  <si>
    <t>A79564</t>
  </si>
  <si>
    <t>ZM1597481</t>
    <phoneticPr fontId="6" type="noConversion"/>
  </si>
  <si>
    <t>UID-26-06-0099</t>
    <phoneticPr fontId="6" type="noConversion"/>
  </si>
  <si>
    <t>L260690145AC</t>
  </si>
  <si>
    <t>F52674</t>
  </si>
  <si>
    <t>ZM1597317</t>
    <phoneticPr fontId="6" type="noConversion"/>
  </si>
  <si>
    <t>A-FLEX-3 Collaboration Flex Plan 3.0 Initial/Renewal Term:12/0</t>
  </si>
  <si>
    <t xml:space="preserve">3-Cisco </t>
  </si>
  <si>
    <t>UID-26-06-0096</t>
  </si>
  <si>
    <t>P/8013/MAMA/CF25</t>
  </si>
  <si>
    <t>VITASOY INTERNATIONAL HOLDINGS LTD</t>
  </si>
  <si>
    <t>DT1568</t>
  </si>
  <si>
    <t>ZM1597480</t>
    <phoneticPr fontId="6" type="noConversion"/>
  </si>
  <si>
    <t>Purchase of Refurbished Huawei S5731-S48T4X Switch</t>
  </si>
  <si>
    <t>L260600814LS</t>
    <phoneticPr fontId="6" type="noConversion"/>
  </si>
  <si>
    <t>WF62600657</t>
    <phoneticPr fontId="6" type="noConversion"/>
  </si>
  <si>
    <t>WF1260936</t>
    <phoneticPr fontId="6" type="noConversion"/>
  </si>
  <si>
    <t>Remarks: Change Vendor Man Fung to Wah Fung</t>
  </si>
  <si>
    <t>ZZ1597454</t>
  </si>
  <si>
    <t>E-mail Quote Date 4 Sep 2025</t>
  </si>
  <si>
    <t>Purchase of Refurbished N55-PAC-750W-B for HKT Mtce Support (RFQ#250144NW Request by Martin)</t>
  </si>
  <si>
    <t>WF62600576</t>
    <phoneticPr fontId="6" type="noConversion"/>
  </si>
  <si>
    <t>WF12600825</t>
    <phoneticPr fontId="6" type="noConversion"/>
  </si>
  <si>
    <t>ZZ1597460</t>
  </si>
  <si>
    <t>Purchase of Refurbished N2200-PAC-400W for HKT Mtce Support (RFQ#250144NW Request by Martin Ma)</t>
  </si>
  <si>
    <t>ZZ1597462</t>
  </si>
  <si>
    <t>E-mail Quote Date 2 March 2026</t>
  </si>
  <si>
    <t>Purchase of Refurbished N5548P-FAN-B, ASA5585-PWR-AC, N5K-PAC-750W for BOC Spare Part (RFQ#260032NW Request by Martin Ma)</t>
  </si>
  <si>
    <t>WF62600575</t>
    <phoneticPr fontId="6" type="noConversion"/>
  </si>
  <si>
    <t>WF12600824</t>
    <phoneticPr fontId="6" type="noConversion"/>
  </si>
  <si>
    <t>ZM1597661</t>
    <phoneticPr fontId="6" type="noConversion"/>
  </si>
  <si>
    <t>E-mail Quote Date 4 Mar 2026</t>
  </si>
  <si>
    <t>Purchase of Refurbished CE6881-48S6CQ-F for HKPF and HA Mtce Support (RFQ#260032NW Request by Martin Ma)</t>
  </si>
  <si>
    <t>HK001214</t>
  </si>
  <si>
    <t>SOHK001214</t>
    <phoneticPr fontId="6" type="noConversion"/>
  </si>
  <si>
    <t>ZM1597668</t>
    <phoneticPr fontId="6" type="noConversion"/>
  </si>
  <si>
    <t>Purchase of Refurbished WS-C3560X-24T-S, C6807-XL-S6T-BUN, WS-C3850-12XS-S, etc</t>
  </si>
  <si>
    <t>19-Man Fung</t>
  </si>
  <si>
    <t>UID-26-06-0005</t>
  </si>
  <si>
    <t>L260690006NI</t>
  </si>
  <si>
    <t>Vocational Training Council</t>
  </si>
  <si>
    <t>MASS13607, MASS12174, MASS12333, MASS09027</t>
  </si>
  <si>
    <t>ZM1598108</t>
    <phoneticPr fontId="6" type="noConversion"/>
  </si>
  <si>
    <t>1 Year hardware maintenance service for 81 units of Ruckus Networking Eqpt, CUS:Vocational Training Council</t>
  </si>
  <si>
    <t>20-Man Fung</t>
  </si>
  <si>
    <t>ZM1597814</t>
    <phoneticPr fontId="6" type="noConversion"/>
  </si>
  <si>
    <t>Q2601041</t>
  </si>
  <si>
    <t>1 Year extended warranty for Cyberview 8x5xNBD</t>
  </si>
  <si>
    <t>UID-26-06-0121</t>
  </si>
  <si>
    <t>P/8187/MAMA/YT26</t>
  </si>
  <si>
    <t>Kwong Wah Hospital</t>
  </si>
  <si>
    <t>I42477 &amp; I58790</t>
  </si>
  <si>
    <t xml:space="preserve">VOCATIONAL TRAINING COUNCIL </t>
  </si>
  <si>
    <t>MASS13607, MASS12174, MASS12333, MASS09027-4</t>
  </si>
  <si>
    <t>Revised Quote#: 382266397</t>
  </si>
  <si>
    <t>ZM1600302</t>
    <phoneticPr fontId="6" type="noConversion"/>
  </si>
  <si>
    <t>ZM1598498</t>
    <phoneticPr fontId="6" type="noConversion"/>
  </si>
  <si>
    <t>ZM1598425</t>
    <phoneticPr fontId="6" type="noConversion"/>
  </si>
  <si>
    <t xml:space="preserve">4-Cisco </t>
  </si>
  <si>
    <t>UID-26-06-0005</t>
    <phoneticPr fontId="6" type="noConversion"/>
  </si>
  <si>
    <t>ZM1598500</t>
    <phoneticPr fontId="6" type="noConversion"/>
  </si>
  <si>
    <t xml:space="preserve">5-Cisco </t>
  </si>
  <si>
    <t>ZM1597915</t>
    <phoneticPr fontId="6" type="noConversion"/>
  </si>
  <si>
    <t xml:space="preserve">6-Cisco </t>
  </si>
  <si>
    <t>ZM1597891</t>
    <phoneticPr fontId="6" type="noConversion"/>
  </si>
  <si>
    <t xml:space="preserve">7-Cisco </t>
  </si>
  <si>
    <t>ZM1597912</t>
    <phoneticPr fontId="6" type="noConversion"/>
  </si>
  <si>
    <t xml:space="preserve">9-Cisco </t>
  </si>
  <si>
    <t>ZM1597916</t>
    <phoneticPr fontId="6" type="noConversion"/>
  </si>
  <si>
    <t xml:space="preserve">10-Cisco </t>
  </si>
  <si>
    <t>ZM1597890</t>
    <phoneticPr fontId="6" type="noConversion"/>
  </si>
  <si>
    <t xml:space="preserve">11-Cisco </t>
  </si>
  <si>
    <t>ZM1598410</t>
    <phoneticPr fontId="6" type="noConversion"/>
  </si>
  <si>
    <t xml:space="preserve">12-Cisco </t>
  </si>
  <si>
    <t>ZM1599441</t>
    <phoneticPr fontId="6" type="noConversion"/>
  </si>
  <si>
    <t xml:space="preserve">13-Cisco </t>
  </si>
  <si>
    <t xml:space="preserve">Revised Quote#: 272340210 </t>
  </si>
  <si>
    <t>ZM1598187</t>
    <phoneticPr fontId="6" type="noConversion"/>
  </si>
  <si>
    <t xml:space="preserve">14-Cisco </t>
  </si>
  <si>
    <t>ZM1598186</t>
    <phoneticPr fontId="6" type="noConversion"/>
  </si>
  <si>
    <t xml:space="preserve">15-Cisco </t>
  </si>
  <si>
    <t>ZM1598496</t>
    <phoneticPr fontId="6" type="noConversion"/>
  </si>
  <si>
    <t xml:space="preserve">16-Cisco </t>
  </si>
  <si>
    <t>ZM1598499</t>
    <phoneticPr fontId="6" type="noConversion"/>
  </si>
  <si>
    <t xml:space="preserve"> 17-Cisco  </t>
  </si>
  <si>
    <t>returned PR on 15 Jul</t>
    <phoneticPr fontId="6" type="noConversion"/>
  </si>
  <si>
    <t xml:space="preserve"> 18-Cisco  </t>
  </si>
  <si>
    <t>Cancel 16/07/2026</t>
  </si>
  <si>
    <t>ZM1597971</t>
    <phoneticPr fontId="6" type="noConversion"/>
  </si>
  <si>
    <t>returned PR on 31 Jul</t>
    <phoneticPr fontId="6" type="noConversion"/>
  </si>
  <si>
    <t>R1KDCHW20260305-167R1</t>
  </si>
  <si>
    <t>Co-Care Premier 12 Months Renewals on S5731-H48T4XC, S5731-S24T4X</t>
  </si>
  <si>
    <t>11-Karin</t>
  </si>
  <si>
    <t>PO1597971 cancelled on 31 Jul 2026 due to duplicate with PO1592360</t>
    <phoneticPr fontId="6" type="noConversion"/>
  </si>
  <si>
    <t>ZM1598113</t>
    <phoneticPr fontId="6" type="noConversion"/>
  </si>
  <si>
    <t>UID-26-06-0026</t>
  </si>
  <si>
    <t>G260700133CP</t>
  </si>
  <si>
    <t>Working Family and Student Financial Assistance Agency</t>
  </si>
  <si>
    <t>D96507</t>
  </si>
  <si>
    <t>ZM1598110</t>
    <phoneticPr fontId="6" type="noConversion"/>
  </si>
  <si>
    <t>1 Year Onsite Hardware Maintenance Service 7x24x4 on ISR4431-AX/K9</t>
  </si>
  <si>
    <t>4a-Man Fung</t>
  </si>
  <si>
    <t>UID-26-06-0099</t>
  </si>
  <si>
    <t>J80090</t>
  </si>
  <si>
    <t>ZM1598201</t>
    <phoneticPr fontId="6" type="noConversion"/>
  </si>
  <si>
    <t xml:space="preserve">The configuration service with consult service fee (Non Office Hour) </t>
  </si>
  <si>
    <t>1a-Man Fung</t>
  </si>
  <si>
    <t>UID-26-06-0130</t>
  </si>
  <si>
    <t>G260690212AC</t>
  </si>
  <si>
    <t>MASS14370</t>
  </si>
  <si>
    <t>ZM1598950</t>
    <phoneticPr fontId="6" type="noConversion"/>
  </si>
  <si>
    <t>UID-26-06-0150</t>
  </si>
  <si>
    <t>G260500032TH</t>
  </si>
  <si>
    <t>FTMF DISTRIBUTION LTD</t>
  </si>
  <si>
    <t>MASS13567</t>
  </si>
  <si>
    <t>ZZ1598589</t>
    <phoneticPr fontId="6" type="noConversion"/>
  </si>
  <si>
    <t>E-mail Quote Date 20 May 2026</t>
  </si>
  <si>
    <t>Purchase of Refurbished ASA5508-K9, Refurbished ASA-5508-X with FirePOWER services</t>
  </si>
  <si>
    <t>ZM1599282</t>
    <phoneticPr fontId="6" type="noConversion"/>
  </si>
  <si>
    <t>UID-26-06-0164</t>
  </si>
  <si>
    <t>P/8022/MAMA/CO25</t>
  </si>
  <si>
    <t>HONG KONG SANATORIUM &amp; HOSPITAL LIMITED</t>
  </si>
  <si>
    <t>D33927  (29171000)</t>
  </si>
  <si>
    <t>ZM1599913</t>
    <phoneticPr fontId="6" type="noConversion"/>
  </si>
  <si>
    <t>0Y03442500770N</t>
  </si>
  <si>
    <t>Hi-Care Onsite Premier Support</t>
  </si>
  <si>
    <t>6-Huawei</t>
  </si>
  <si>
    <t>UID-26-06-0165</t>
  </si>
  <si>
    <t>L260190172JI</t>
  </si>
  <si>
    <t>P27308, I39927, P27308, I39927</t>
  </si>
  <si>
    <t>HL2618305</t>
    <phoneticPr fontId="6" type="noConversion"/>
  </si>
  <si>
    <t>ZM1599889</t>
    <phoneticPr fontId="6" type="noConversion"/>
  </si>
  <si>
    <t>0Y034422004037</t>
  </si>
  <si>
    <t>7-Huawei</t>
  </si>
  <si>
    <t>HL2617942</t>
    <phoneticPr fontId="6" type="noConversion"/>
  </si>
  <si>
    <t>ZM1599927</t>
    <phoneticPr fontId="6" type="noConversion"/>
  </si>
  <si>
    <t>0Y03442500770N_SNS</t>
  </si>
  <si>
    <t>SnS Renew</t>
  </si>
  <si>
    <t>8-Huawei</t>
  </si>
  <si>
    <t>HL2618307</t>
    <phoneticPr fontId="6" type="noConversion"/>
  </si>
  <si>
    <t>ZM1599168</t>
    <phoneticPr fontId="6" type="noConversion"/>
  </si>
  <si>
    <t>202604280014SnS</t>
  </si>
  <si>
    <t>9-Huawei</t>
  </si>
  <si>
    <t>HL2618306</t>
    <phoneticPr fontId="6" type="noConversion"/>
  </si>
  <si>
    <t>ZM1599241</t>
    <phoneticPr fontId="6" type="noConversion"/>
  </si>
  <si>
    <t>0Y034422000938_SNS</t>
  </si>
  <si>
    <t>UID-26-06-0169</t>
  </si>
  <si>
    <t>L260600813LS</t>
  </si>
  <si>
    <t>D56384</t>
  </si>
  <si>
    <t>HL2620776</t>
    <phoneticPr fontId="6" type="noConversion"/>
  </si>
  <si>
    <t>ZM1599587</t>
    <phoneticPr fontId="6" type="noConversion"/>
  </si>
  <si>
    <t>0Y034424001530</t>
  </si>
  <si>
    <t>Co-Care Premier CE6865-48S8CQ-EI 6 Months Renewals</t>
  </si>
  <si>
    <t>HL2620757</t>
    <phoneticPr fontId="6" type="noConversion"/>
  </si>
  <si>
    <t>ZM1599283</t>
    <phoneticPr fontId="6" type="noConversion"/>
  </si>
  <si>
    <t>SNTP, SNT, ECMU on Cisco Products</t>
  </si>
  <si>
    <t>ZM1599284</t>
    <phoneticPr fontId="6" type="noConversion"/>
  </si>
  <si>
    <t>ZM1599285</t>
    <phoneticPr fontId="6" type="noConversion"/>
  </si>
  <si>
    <t>ZM1599287</t>
    <phoneticPr fontId="6" type="noConversion"/>
  </si>
  <si>
    <t>ZM1599281</t>
    <phoneticPr fontId="6" type="noConversion"/>
  </si>
  <si>
    <t>ZM1599862</t>
    <phoneticPr fontId="6" type="noConversion"/>
  </si>
  <si>
    <t>PID20260521-HWMA-HKT-21560v2</t>
  </si>
  <si>
    <t>Hi-Care Onsite Premier 24x7x4 Support</t>
  </si>
  <si>
    <t>ZM1600838</t>
    <phoneticPr fontId="6" type="noConversion"/>
  </si>
  <si>
    <t>E-mail Quote Date 6 Feb 2026</t>
  </si>
  <si>
    <t>Purchase of Refurbished C2911-AX/K9, CISCO3945-SEC/K9, etc</t>
  </si>
  <si>
    <t>10-PICS Telecom Int'l</t>
  </si>
  <si>
    <t>HK001215</t>
  </si>
  <si>
    <t>ZM1600898</t>
    <phoneticPr fontId="6" type="noConversion"/>
  </si>
  <si>
    <t>Purchase of Refurbished Huawei CE6865-48S8CQ-EI Switch</t>
  </si>
  <si>
    <t>WF62600680</t>
    <phoneticPr fontId="6" type="noConversion"/>
  </si>
  <si>
    <t>WF12600959</t>
    <phoneticPr fontId="6" type="noConversion"/>
  </si>
  <si>
    <t>ZM1602840</t>
    <phoneticPr fontId="6" type="noConversion"/>
  </si>
  <si>
    <t>E-mail Quote Date 9 Jun 2026</t>
  </si>
  <si>
    <t>Purchase of Refurbished WS-C2960X-24PD-L, C9300X-24Y-A, C9500-24Y4C-A</t>
  </si>
  <si>
    <t>UID-26-06-0181</t>
  </si>
  <si>
    <t>L260600779TH</t>
  </si>
  <si>
    <t>Ocean Park Corporation</t>
  </si>
  <si>
    <t>multi order</t>
  </si>
  <si>
    <t>SOHK001217</t>
    <phoneticPr fontId="6" type="noConversion"/>
  </si>
  <si>
    <t>HK001217-0</t>
    <phoneticPr fontId="6" type="noConversion"/>
  </si>
  <si>
    <t>ZM1599648</t>
    <phoneticPr fontId="6" type="noConversion"/>
  </si>
  <si>
    <t>PSRT, SNT, PSUP on Cisco Products</t>
  </si>
  <si>
    <t>ZM1599647</t>
    <phoneticPr fontId="6" type="noConversion"/>
  </si>
  <si>
    <t>ZM1599653</t>
    <phoneticPr fontId="6" type="noConversion"/>
  </si>
  <si>
    <t>ZM1599654</t>
    <phoneticPr fontId="6" type="noConversion"/>
  </si>
  <si>
    <t>ZM1599656</t>
    <phoneticPr fontId="6" type="noConversion"/>
  </si>
  <si>
    <t>ZM1600298</t>
    <phoneticPr fontId="6" type="noConversion"/>
  </si>
  <si>
    <t>ZZ1599706</t>
    <phoneticPr fontId="6" type="noConversion"/>
  </si>
  <si>
    <t>Purchase of Refurbished Cisco ASA 5585-X Chassis</t>
  </si>
  <si>
    <t>UID-26-06-0226</t>
  </si>
  <si>
    <t>L260490075YR</t>
  </si>
  <si>
    <t>ZM1601393</t>
    <phoneticPr fontId="6" type="noConversion"/>
  </si>
  <si>
    <t>ZM1601392</t>
    <phoneticPr fontId="6" type="noConversion"/>
  </si>
  <si>
    <t>ZM1600178</t>
    <phoneticPr fontId="6" type="noConversion"/>
  </si>
  <si>
    <t>UID-26-06-0175</t>
  </si>
  <si>
    <t>G260600072TH</t>
  </si>
  <si>
    <t>F78782</t>
  </si>
  <si>
    <t>ZM1600179</t>
    <phoneticPr fontId="6" type="noConversion"/>
  </si>
  <si>
    <t>ZM1600307</t>
    <phoneticPr fontId="6" type="noConversion"/>
  </si>
  <si>
    <t>UID-26-06-0245</t>
  </si>
  <si>
    <t>G260600021JI</t>
  </si>
  <si>
    <t>CCB INTERNATIONAL  HOLDINGS  LTD</t>
  </si>
  <si>
    <t>MASS13683</t>
  </si>
  <si>
    <t>ZZ1600180</t>
    <phoneticPr fontId="6" type="noConversion"/>
  </si>
  <si>
    <t>E-mail Quote Date 18 Jun 2026</t>
  </si>
  <si>
    <t>Purchase of Refurbished Cisco WS-C3850-48T, WS-C3850-24T</t>
  </si>
  <si>
    <t>ZM1600915</t>
    <phoneticPr fontId="6" type="noConversion"/>
  </si>
  <si>
    <t>0Y03442401100L</t>
  </si>
  <si>
    <t>Co-Care premier 12 Months Renewals on S5735-L8T4S-A-V2, S5731-S48T4X, etc</t>
  </si>
  <si>
    <t>UID-26-06-0250</t>
  </si>
  <si>
    <t>P/8231/WAWA/YT26</t>
  </si>
  <si>
    <t>HOSPITAL AUTHORITY -United Christian Hospital</t>
  </si>
  <si>
    <t>K35601</t>
  </si>
  <si>
    <t>HL2620760</t>
    <phoneticPr fontId="6" type="noConversion"/>
  </si>
  <si>
    <t>ZM1600705</t>
    <phoneticPr fontId="6" type="noConversion"/>
  </si>
  <si>
    <t>WF42600821</t>
  </si>
  <si>
    <t>Purchase of C9300-48T-A, N3K-C3172PQ-10GE, N9K-C93180YC-EX, WS-C3850-24S-S, WS-C3850-48T-S</t>
  </si>
  <si>
    <t>UID-26-06-0283</t>
  </si>
  <si>
    <t>L260690291YT</t>
  </si>
  <si>
    <t>MASS13202</t>
  </si>
  <si>
    <t>WF62600704</t>
  </si>
  <si>
    <t>WF12600992</t>
  </si>
  <si>
    <t>ZM1601395</t>
    <phoneticPr fontId="6" type="noConversion"/>
  </si>
  <si>
    <t xml:space="preserve">Wong, Cammy SL / Poon, Nelson KH </t>
  </si>
  <si>
    <t>ZM1601394</t>
    <phoneticPr fontId="6" type="noConversion"/>
  </si>
  <si>
    <t>UID-26-06-0235</t>
  </si>
  <si>
    <t>H260800153YR</t>
  </si>
  <si>
    <t>J87515</t>
  </si>
  <si>
    <t>ZM1600712</t>
    <phoneticPr fontId="6" type="noConversion"/>
  </si>
  <si>
    <t>ZM1600902</t>
    <phoneticPr fontId="6" type="noConversion"/>
  </si>
  <si>
    <t>UID-26-07-0001</t>
  </si>
  <si>
    <t>L260490081YR</t>
  </si>
  <si>
    <t>ZM1601012</t>
    <phoneticPr fontId="6" type="noConversion"/>
  </si>
  <si>
    <t>RMY-20260416</t>
  </si>
  <si>
    <t>CW PSS SAME DAY SUPPORT FOR EX4600-40F</t>
  </si>
  <si>
    <t>UID-26-07-0003</t>
  </si>
  <si>
    <t>L260600751IL</t>
  </si>
  <si>
    <t>MASS13642</t>
  </si>
  <si>
    <t>IN26000582</t>
    <phoneticPr fontId="6" type="noConversion"/>
  </si>
  <si>
    <t>ZM1600972</t>
    <phoneticPr fontId="6" type="noConversion"/>
  </si>
  <si>
    <t>1 Year Onsite Hardware Maintenance Service 7x24x4 on ED3300-24T Switch</t>
  </si>
  <si>
    <t>ZZ1600659</t>
    <phoneticPr fontId="6" type="noConversion"/>
  </si>
  <si>
    <t>E-mail Quote Date 30 Jan 2026</t>
  </si>
  <si>
    <t>Purchase of Refurbished HWIC-2FE, PWR-1941-AC, HWIC-2T</t>
  </si>
  <si>
    <t>10-Man Fung</t>
  </si>
  <si>
    <t>ZE1601259</t>
    <phoneticPr fontId="6" type="noConversion"/>
  </si>
  <si>
    <t>Jason Mak</t>
    <phoneticPr fontId="6" type="noConversion"/>
  </si>
  <si>
    <t>262334892-01</t>
  </si>
  <si>
    <t>SNTP &amp; FTDMI on Cisco Products</t>
  </si>
  <si>
    <t>UID-26-07-0004</t>
  </si>
  <si>
    <t>L260790004YR</t>
  </si>
  <si>
    <t>PCCW Solutions Limited - Correctional Services Dept</t>
  </si>
  <si>
    <t>MASS14380, MASS14387</t>
  </si>
  <si>
    <t>Welcome Kit for Contract # 207206331</t>
    <phoneticPr fontId="6" type="noConversion"/>
  </si>
  <si>
    <t>10-51189-11</t>
    <phoneticPr fontId="6" type="noConversion"/>
  </si>
  <si>
    <t>ZE1601256</t>
    <phoneticPr fontId="6" type="noConversion"/>
  </si>
  <si>
    <t>262334892-02</t>
  </si>
  <si>
    <t>ZZ1601407</t>
    <phoneticPr fontId="6" type="noConversion"/>
  </si>
  <si>
    <t>Purchase of Refurbished H3C S3100V2-16TP-EI Switch</t>
  </si>
  <si>
    <t>UID-26-07-0044</t>
  </si>
  <si>
    <t>P/8053/MAMA/CB26</t>
  </si>
  <si>
    <t>HK University of Science &amp; Technology</t>
  </si>
  <si>
    <t>ZZ1601411</t>
    <phoneticPr fontId="6" type="noConversion"/>
  </si>
  <si>
    <t>Purchase of Refurbished ISR4331-SEC/K9</t>
  </si>
  <si>
    <t>UID-26-07-0045</t>
  </si>
  <si>
    <t>L260700688IL</t>
  </si>
  <si>
    <t>Social Welfare Department</t>
    <phoneticPr fontId="6" type="noConversion"/>
  </si>
  <si>
    <t>MASS13655</t>
  </si>
  <si>
    <t>ZM1601952</t>
    <phoneticPr fontId="6" type="noConversion"/>
  </si>
  <si>
    <t>PID20260703</t>
  </si>
  <si>
    <t xml:space="preserve">3a-DCSS </t>
  </si>
  <si>
    <t>UID-26-07-0047</t>
  </si>
  <si>
    <t>G260790074AC</t>
  </si>
  <si>
    <t>Chan, Abby NY / Fai, Fonnie WF</t>
  </si>
  <si>
    <t>MASS14389</t>
  </si>
  <si>
    <t>ZM1601793</t>
    <phoneticPr fontId="6" type="noConversion"/>
  </si>
  <si>
    <t>C4P on Cisco Products</t>
  </si>
  <si>
    <t>UID-26-07-0056</t>
  </si>
  <si>
    <t>L260500544TH</t>
  </si>
  <si>
    <t>Tam Jai International Company Ltd</t>
  </si>
  <si>
    <t>MASS13666, MASS13666-2, MASS13666-3</t>
  </si>
  <si>
    <t>ZM1601965</t>
    <phoneticPr fontId="6" type="noConversion"/>
  </si>
  <si>
    <t>UID-26-07-0059</t>
  </si>
  <si>
    <t>L260600752CB</t>
  </si>
  <si>
    <t>King &amp; Wood Mallesons</t>
  </si>
  <si>
    <t>MASS10790</t>
  </si>
  <si>
    <t>ZZ1601736</t>
    <phoneticPr fontId="6" type="noConversion"/>
  </si>
  <si>
    <t>E-mail Quote Date 28 May 2026</t>
  </si>
  <si>
    <t>Purchase of Refurbished WS-C2960L-48TQ-LL</t>
  </si>
  <si>
    <t>3-Tophope</t>
  </si>
  <si>
    <t>UID-26-07-0066</t>
  </si>
  <si>
    <t>G260700039JI</t>
  </si>
  <si>
    <t>D57618-1</t>
  </si>
  <si>
    <t>DN035/26</t>
    <phoneticPr fontId="6" type="noConversion"/>
  </si>
  <si>
    <t>INV043/26</t>
    <phoneticPr fontId="6" type="noConversion"/>
  </si>
  <si>
    <t>ZM1601966</t>
    <phoneticPr fontId="6" type="noConversion"/>
  </si>
  <si>
    <t>ZZ1601800</t>
    <phoneticPr fontId="6" type="noConversion"/>
  </si>
  <si>
    <t>E-mail Quote Date 2 Jul 2026</t>
  </si>
  <si>
    <t>Purchase of Refurbished Ruckus ICX7250-48-2X10G Switch, Ruckus ICX7150-24-4X1G Switch</t>
  </si>
  <si>
    <t>12-Man Fung</t>
  </si>
  <si>
    <t>UID-26-07-0068</t>
  </si>
  <si>
    <t>P/8027/MAMA/CF25</t>
  </si>
  <si>
    <t>The Fullerton Ocean Park Hotel</t>
  </si>
  <si>
    <t>I00517, I00516, I37901</t>
  </si>
  <si>
    <t>ZM1602262</t>
    <phoneticPr fontId="6" type="noConversion"/>
  </si>
  <si>
    <t>QHK020002973</t>
  </si>
  <si>
    <t>ICX7250-SVL-RNDP-1, WatchDog NBD Parts Only Support Ren, ICX 7250 24p &amp; 48p configurations</t>
  </si>
  <si>
    <t>9-Exclusive JJNet</t>
  </si>
  <si>
    <t>IF1602262</t>
  </si>
  <si>
    <t>ZM1602518</t>
    <phoneticPr fontId="6" type="noConversion"/>
  </si>
  <si>
    <t>RMY-20260416v1</t>
  </si>
  <si>
    <t>PSS Same Day Support for EX4600-40F, PSS Same Day Supt EX4300-24P, etc</t>
  </si>
  <si>
    <t>ZM1602260</t>
    <phoneticPr fontId="6" type="noConversion"/>
  </si>
  <si>
    <t>0Y034425003539</t>
  </si>
  <si>
    <t>Co-Care Premier 24 Months Renewals on S5735-S24P4X, S6730-H48X6C, etc</t>
  </si>
  <si>
    <t>ZM1602855</t>
    <phoneticPr fontId="6" type="noConversion"/>
  </si>
  <si>
    <t>Man Fung Technology Limited</t>
    <phoneticPr fontId="6" type="noConversion"/>
  </si>
  <si>
    <t>Purchase of Refurbished Cisco C9400-LC-24XS=</t>
    <phoneticPr fontId="6" type="noConversion"/>
  </si>
  <si>
    <t>UID-26-07-0074</t>
    <phoneticPr fontId="6" type="noConversion"/>
  </si>
  <si>
    <t>L260800843IL</t>
  </si>
  <si>
    <t>The Treasury</t>
  </si>
  <si>
    <t xml:space="preserve"> </t>
  </si>
  <si>
    <t>ZM1602861</t>
    <phoneticPr fontId="6" type="noConversion"/>
  </si>
  <si>
    <t>Wah Fung Computer Services Limited</t>
    <phoneticPr fontId="6" type="noConversion"/>
  </si>
  <si>
    <t>Purchase of Refurbished Cisco C9600-PWR-2KWAC=</t>
    <phoneticPr fontId="6" type="noConversion"/>
  </si>
  <si>
    <t>UID-26-07-0074</t>
  </si>
  <si>
    <t>WF62600705</t>
  </si>
  <si>
    <t>WF12600993</t>
  </si>
  <si>
    <t>ZM1602285</t>
    <phoneticPr fontId="6" type="noConversion"/>
  </si>
  <si>
    <t>1 Year Onsite Hardware Maintenance Service 7x24x4 on WS-C2960-48PST-S</t>
  </si>
  <si>
    <t>UID-26-07-0063</t>
  </si>
  <si>
    <t>P/8046/MAMA/WW26</t>
  </si>
  <si>
    <t>Ryoden Property Development Co Ltd</t>
  </si>
  <si>
    <t>MASS10407</t>
  </si>
  <si>
    <t>ZM1602847</t>
    <phoneticPr fontId="6" type="noConversion"/>
  </si>
  <si>
    <t>RMY-20260702</t>
  </si>
  <si>
    <t xml:space="preserve">PSS Next Day Support for EX2300-C12P </t>
  </si>
  <si>
    <t>2-Cyberworld</t>
  </si>
  <si>
    <t>UID-26-07-0100</t>
  </si>
  <si>
    <t>L260790098NI</t>
  </si>
  <si>
    <t>MASS14397</t>
  </si>
  <si>
    <t>ZM1602510</t>
    <phoneticPr fontId="6" type="noConversion"/>
  </si>
  <si>
    <t>UID-26-07-0098</t>
  </si>
  <si>
    <t>L260600800MZ</t>
  </si>
  <si>
    <t>Cheung, Marcus TH / Lai, Fonnie WF</t>
  </si>
  <si>
    <t>D60157 bulk order</t>
  </si>
  <si>
    <t>ZM1602474</t>
    <phoneticPr fontId="6" type="noConversion"/>
  </si>
  <si>
    <t>SSTC on Cisco Products</t>
    <phoneticPr fontId="6" type="noConversion"/>
  </si>
  <si>
    <t>UID-26-07-0098</t>
    <phoneticPr fontId="6" type="noConversion"/>
  </si>
  <si>
    <t>L260600800MZ</t>
    <phoneticPr fontId="6" type="noConversion"/>
  </si>
  <si>
    <t>ZM1603095</t>
    <phoneticPr fontId="6" type="noConversion"/>
  </si>
  <si>
    <t>SNT, PSRT on Cisco Products</t>
  </si>
  <si>
    <t>ZM1603099</t>
    <phoneticPr fontId="6" type="noConversion"/>
  </si>
  <si>
    <t>PSUP, PSBU, PSRT on Cisco Products</t>
  </si>
  <si>
    <t>ZM1603098</t>
    <phoneticPr fontId="6" type="noConversion"/>
  </si>
  <si>
    <t>PSUP, SSSW, ECMUS on Cisco Products</t>
  </si>
  <si>
    <t>ZM1603092</t>
    <phoneticPr fontId="6" type="noConversion"/>
  </si>
  <si>
    <t>UID-26-07-0122</t>
  </si>
  <si>
    <t>L260700639CB</t>
  </si>
  <si>
    <t>77 Atelier Limited</t>
  </si>
  <si>
    <t>MASS12748 &amp; MASS12748-1</t>
  </si>
  <si>
    <t>ZM1603094</t>
    <phoneticPr fontId="6" type="noConversion"/>
  </si>
  <si>
    <t>UID-26-07-0125</t>
  </si>
  <si>
    <t>L261000735TH</t>
  </si>
  <si>
    <t>MASS13346 &amp; MASS13346-1</t>
  </si>
  <si>
    <t>ZM1603097</t>
    <phoneticPr fontId="6" type="noConversion"/>
  </si>
  <si>
    <t>UID-26-07-0130</t>
  </si>
  <si>
    <t>L260500504MZ</t>
  </si>
  <si>
    <t>Hong Kong Air cargo Terminals Limited</t>
  </si>
  <si>
    <t>D14525</t>
  </si>
  <si>
    <t>ZM1603430</t>
    <phoneticPr fontId="6" type="noConversion"/>
  </si>
  <si>
    <t>UID-26-07-0138</t>
  </si>
  <si>
    <t>P/8256/MAMA/TH26</t>
  </si>
  <si>
    <t>Citizen Watch HK Ltd</t>
  </si>
  <si>
    <t>Tan, Simon HH / Law, Carman KM</t>
  </si>
  <si>
    <t>F68332, F84478</t>
  </si>
  <si>
    <t>ZM1603783</t>
    <phoneticPr fontId="6" type="noConversion"/>
  </si>
  <si>
    <t>RVT20260518_03</t>
  </si>
  <si>
    <t>PSS RTF Support for EX2300-C-12P, EX3400-48T</t>
  </si>
  <si>
    <t>UID-26-07-0039</t>
  </si>
  <si>
    <t>W260700764L3</t>
  </si>
  <si>
    <t>The IMC of Tack Ching Girls Secondary School</t>
  </si>
  <si>
    <t>J73622-1</t>
  </si>
  <si>
    <t>ZM1603648</t>
    <phoneticPr fontId="6" type="noConversion"/>
  </si>
  <si>
    <t>UID-26-07-0163</t>
  </si>
  <si>
    <t>L260790159NI</t>
  </si>
  <si>
    <t>Financial Services and the Treasury Bureau</t>
  </si>
  <si>
    <t>MASS14404</t>
  </si>
  <si>
    <t>ZM1603734</t>
    <phoneticPr fontId="6" type="noConversion"/>
  </si>
  <si>
    <t>UID-26-07-0168</t>
  </si>
  <si>
    <t>L260700637YR</t>
  </si>
  <si>
    <t>Hong Kong Telecommunications HKT Ltd</t>
  </si>
  <si>
    <t>J87597</t>
  </si>
  <si>
    <t>ZM1603717</t>
    <phoneticPr fontId="6" type="noConversion"/>
  </si>
  <si>
    <t>Purchase of Refurbished ICX7150-48PF-2X10G</t>
  </si>
  <si>
    <t>UID-26-07-0173</t>
  </si>
  <si>
    <t>L260790158AC</t>
  </si>
  <si>
    <t>Marco Polo Hotel Group</t>
  </si>
  <si>
    <t>MASS13760 &amp; MASS13701</t>
  </si>
  <si>
    <t>ZM1604332</t>
    <phoneticPr fontId="6" type="noConversion"/>
  </si>
  <si>
    <t xml:space="preserve">Purchase of Refurbished HP 5500-24G-SFP EI Switch, etc </t>
  </si>
  <si>
    <t>UID-26-07-0175</t>
  </si>
  <si>
    <t>L260700660TH</t>
  </si>
  <si>
    <t>HKC Hotel Limited</t>
  </si>
  <si>
    <t>J02991, J02994, J38794</t>
  </si>
  <si>
    <t>ZM1604690</t>
    <phoneticPr fontId="6" type="noConversion"/>
  </si>
  <si>
    <t>0000Ht60116489202606300008</t>
  </si>
  <si>
    <t>Technical Support Service on OptiXstar</t>
    <phoneticPr fontId="6" type="noConversion"/>
  </si>
  <si>
    <t>UID-26-07-0189</t>
    <phoneticPr fontId="6" type="noConversion"/>
  </si>
  <si>
    <t>L260790181AC</t>
  </si>
  <si>
    <t>Hospital Authority</t>
    <phoneticPr fontId="6" type="noConversion"/>
  </si>
  <si>
    <t>Chan, Abby NY / Poon, Nelson KH</t>
  </si>
  <si>
    <t>MASS14408, MASS14410</t>
  </si>
  <si>
    <t>ZM1604692</t>
    <phoneticPr fontId="6" type="noConversion"/>
  </si>
  <si>
    <t>0000Ht84082253202607220028</t>
  </si>
  <si>
    <t>Co-Care Standard Service Renewals on CE6863-48S6CQ-B Switch</t>
  </si>
  <si>
    <t>UID-26-07-0189</t>
  </si>
  <si>
    <t>ZM1605509</t>
    <phoneticPr fontId="6" type="noConversion"/>
  </si>
  <si>
    <t>QEYC260609PCCW01R1</t>
  </si>
  <si>
    <t>UID-26-07-0080</t>
  </si>
  <si>
    <t>W260800871L3</t>
  </si>
  <si>
    <t>Fanling Public School</t>
  </si>
  <si>
    <t>J74213-1</t>
  </si>
  <si>
    <t>ZM1604749</t>
    <phoneticPr fontId="6" type="noConversion"/>
  </si>
  <si>
    <t>UID-26-07-0191</t>
  </si>
  <si>
    <t>L260900678IL</t>
  </si>
  <si>
    <t>I60957</t>
  </si>
  <si>
    <t>ZM1605336</t>
    <phoneticPr fontId="6" type="noConversion"/>
  </si>
  <si>
    <t xml:space="preserve">1 Year Onsite Hardware Maintenance Service </t>
  </si>
  <si>
    <t>UID-26-07-0171</t>
  </si>
  <si>
    <t>W260790164NI</t>
  </si>
  <si>
    <t>Tai Po Methodist School</t>
  </si>
  <si>
    <t>Ng, Ivy WY / Chan, Dongdong SC</t>
  </si>
  <si>
    <t>MASS14406</t>
  </si>
  <si>
    <t>ZM1604782</t>
    <phoneticPr fontId="6" type="noConversion"/>
  </si>
  <si>
    <t>Cyberworld (Asia) Limited</t>
    <phoneticPr fontId="6" type="noConversion"/>
  </si>
  <si>
    <t>RNL20260703</t>
  </si>
  <si>
    <t>CW PSS ND SUPT PSS Basic Support for EX2300-24T, EX3400-48T, EX2300-VC</t>
  </si>
  <si>
    <t>UID-26-07-0203</t>
  </si>
  <si>
    <t>W260800970L3</t>
  </si>
  <si>
    <t>The IMC of CCC Kei Faat Primary School</t>
  </si>
  <si>
    <t>I19425</t>
  </si>
  <si>
    <t>ZM1606402</t>
    <phoneticPr fontId="6" type="noConversion"/>
  </si>
  <si>
    <t>1 Year Onsite Hardware Maintenance Service (Split into two Vendors: Man Fung: $3,310 / Cyberworld: $1,307.03)</t>
  </si>
  <si>
    <t>1-Man Fung / Cyberworld</t>
  </si>
  <si>
    <t>UID-26-07-0205</t>
  </si>
  <si>
    <t>W260790229NI</t>
  </si>
  <si>
    <t>Lok Sin Tong Lau Tak Primary School</t>
  </si>
  <si>
    <t>MASS14412</t>
  </si>
  <si>
    <t>ZM1606398</t>
    <phoneticPr fontId="6" type="noConversion"/>
  </si>
  <si>
    <t>RVT20260708_08</t>
    <phoneticPr fontId="6" type="noConversion"/>
  </si>
  <si>
    <t>1 Year Onsite Hardware Maintenance Service (Split into two Vendors: Man Fung: $3,310 / Cyberworld: $1,307.03)</t>
    <phoneticPr fontId="6" type="noConversion"/>
  </si>
  <si>
    <t>ZM1605425</t>
    <phoneticPr fontId="6" type="noConversion"/>
  </si>
  <si>
    <t>TD-HKT-H3C230726</t>
  </si>
  <si>
    <t>UID-26-07-0224</t>
  </si>
  <si>
    <t>P/8130/MAMA/JI26</t>
  </si>
  <si>
    <t>China Minsheng Banking Corp Ltd</t>
  </si>
  <si>
    <t>D44467</t>
  </si>
  <si>
    <t>ZM1605005</t>
    <phoneticPr fontId="6" type="noConversion"/>
  </si>
  <si>
    <t>L260790268J3</t>
  </si>
  <si>
    <t>MASS12722-4</t>
  </si>
  <si>
    <t>ZM1605335</t>
    <phoneticPr fontId="6" type="noConversion"/>
  </si>
  <si>
    <t>TD-HKT-H3C280726-ASMPT-01</t>
  </si>
  <si>
    <t>H3Care Basic 24x7x4 on H3C Equipment</t>
  </si>
  <si>
    <t>UID-26-07-0182</t>
  </si>
  <si>
    <t>L260700644CF</t>
  </si>
  <si>
    <t>ASMPT Technology Hong Kong Limited</t>
  </si>
  <si>
    <t>I54832</t>
  </si>
  <si>
    <t>ZM1605603</t>
    <phoneticPr fontId="6" type="noConversion"/>
  </si>
  <si>
    <t>QUO-110492</t>
  </si>
  <si>
    <t>7x24x4 support with Advance Hardware Replacement - 3 years</t>
  </si>
  <si>
    <t>ZM1605754</t>
    <phoneticPr fontId="6" type="noConversion"/>
  </si>
  <si>
    <t>0Y03442501400V</t>
  </si>
  <si>
    <t>Co-Care Premier 29 Months Renewals on S5735-S24T4XE-V2</t>
  </si>
  <si>
    <t>UID-26-07-0169</t>
  </si>
  <si>
    <t>L260800812KW</t>
  </si>
  <si>
    <t>MASS12844-1</t>
  </si>
  <si>
    <t>ZM1605755</t>
    <phoneticPr fontId="6" type="noConversion"/>
  </si>
  <si>
    <t>Lok Wan</t>
    <phoneticPr fontId="6" type="noConversion"/>
  </si>
  <si>
    <t>ETHKQ27001484-01</t>
  </si>
  <si>
    <t>SolarWinds Kiwi CatTools Full install - Subscription</t>
  </si>
  <si>
    <t>3-Edvance</t>
  </si>
  <si>
    <t>D34446-1</t>
  </si>
  <si>
    <t>ETHKIF27002293</t>
  </si>
  <si>
    <t>ZM1605483</t>
    <phoneticPr fontId="6" type="noConversion"/>
  </si>
  <si>
    <t>KDCHW20251028-935R3</t>
  </si>
  <si>
    <t>Co-Care Premier 12 Months Renewals on S5735-L24P4XE-A-V2</t>
  </si>
  <si>
    <t>4-Karin</t>
  </si>
  <si>
    <t>UID-26-04-0179</t>
  </si>
  <si>
    <t>P/7990/WAWA/YT25_B</t>
    <phoneticPr fontId="6" type="noConversion"/>
  </si>
  <si>
    <t>Tung Wah Group of Hospital</t>
  </si>
  <si>
    <t>R94326</t>
  </si>
  <si>
    <t>KKIN2601667</t>
    <phoneticPr fontId="6" type="noConversion"/>
  </si>
  <si>
    <t>ZM1505782</t>
    <phoneticPr fontId="6" type="noConversion"/>
  </si>
  <si>
    <t>UID-26-08-0006</t>
  </si>
  <si>
    <t>L251201181MZ</t>
  </si>
  <si>
    <t>Chinese University of Hong Kong</t>
  </si>
  <si>
    <t>J80024</t>
  </si>
  <si>
    <t>ZM1606256</t>
    <phoneticPr fontId="6" type="noConversion"/>
  </si>
  <si>
    <t>SNT on Cisco Products</t>
    <phoneticPr fontId="6" type="noConversion"/>
  </si>
  <si>
    <t>UID-26-08-0018</t>
    <phoneticPr fontId="6" type="noConversion"/>
  </si>
  <si>
    <t>L260800759YR</t>
    <phoneticPr fontId="6" type="noConversion"/>
  </si>
  <si>
    <t>HKT LIMITED</t>
    <phoneticPr fontId="6" type="noConversion"/>
  </si>
  <si>
    <t>Yau, Ricky CH / Chan, Dongdong SC</t>
    <phoneticPr fontId="40" type="noConversion"/>
  </si>
  <si>
    <t>Alice</t>
    <phoneticPr fontId="6" type="noConversion"/>
  </si>
  <si>
    <t>J39559</t>
    <phoneticPr fontId="6" type="noConversion"/>
  </si>
  <si>
    <t>BTB</t>
    <phoneticPr fontId="6" type="noConversion"/>
  </si>
  <si>
    <t>ZM1607403</t>
    <phoneticPr fontId="6" type="noConversion"/>
  </si>
  <si>
    <t>Purchase of Refurbished CE6863-48S6CQ, S5731-S48T4X, etc</t>
    <phoneticPr fontId="6" type="noConversion"/>
  </si>
  <si>
    <t>L260790181AC</t>
    <phoneticPr fontId="6" type="noConversion"/>
  </si>
  <si>
    <t>MASS14408, MASS14411</t>
  </si>
  <si>
    <t>ZM1606258</t>
    <phoneticPr fontId="6" type="noConversion"/>
  </si>
  <si>
    <t>UID-26-08-0021</t>
    <phoneticPr fontId="6" type="noConversion"/>
  </si>
  <si>
    <t>G260490188YR</t>
  </si>
  <si>
    <t xml:space="preserve">Hong Kong Telecommunications (HKT) Limited </t>
    <phoneticPr fontId="40" type="noConversion"/>
  </si>
  <si>
    <t>F64171</t>
    <phoneticPr fontId="6" type="noConversion"/>
  </si>
  <si>
    <t>ZM1607280</t>
    <phoneticPr fontId="6" type="noConversion"/>
  </si>
  <si>
    <t>WF42600902</t>
  </si>
  <si>
    <t>Purchase of Refurbished N9K-C93108TC-FX3P, N9K-C9504-B3-E, etc</t>
  </si>
  <si>
    <t>15a-Wah Fung</t>
  </si>
  <si>
    <t>Bank of China (HK) Ltd</t>
  </si>
  <si>
    <t>D89539, A29395, A29410</t>
  </si>
  <si>
    <t>ZM1606260</t>
    <phoneticPr fontId="6" type="noConversion"/>
  </si>
  <si>
    <t>UID-26-08-0019</t>
    <phoneticPr fontId="6" type="noConversion"/>
  </si>
  <si>
    <t>D 8063 WA CP26</t>
    <phoneticPr fontId="6" type="noConversion"/>
  </si>
  <si>
    <t>HONG KONG PRODUCTIVITY COUNCIL</t>
    <phoneticPr fontId="6" type="noConversion"/>
  </si>
  <si>
    <t>Lau, Coco WY / Chow, Apple FP</t>
    <phoneticPr fontId="6" type="noConversion"/>
  </si>
  <si>
    <t>Lau, Coco WY / Chow, Apple FP</t>
    <phoneticPr fontId="40" type="noConversion"/>
  </si>
  <si>
    <t>I86990</t>
    <phoneticPr fontId="6" type="noConversion"/>
  </si>
  <si>
    <t>ZM1606475</t>
    <phoneticPr fontId="6" type="noConversion"/>
  </si>
  <si>
    <t>UID-26-08-0020</t>
  </si>
  <si>
    <t>L260890064IL</t>
  </si>
  <si>
    <t>CUSTOMS &amp; EXCISE DEPARTMENT</t>
  </si>
  <si>
    <t>Leung, Ida PS / Law, Carman KM</t>
    <phoneticPr fontId="6" type="noConversion"/>
  </si>
  <si>
    <t>Vanessa</t>
  </si>
  <si>
    <t>MASS12785 -2</t>
  </si>
  <si>
    <t>ZM1607082</t>
    <phoneticPr fontId="6" type="noConversion"/>
  </si>
  <si>
    <t>F5_250116_HKT_BOC_299949</t>
  </si>
  <si>
    <t>Year 2026 - 2028 Maintenance Support on F5 Equipment</t>
  </si>
  <si>
    <t>UID-26-08-0034</t>
  </si>
  <si>
    <t>G260700023KW</t>
  </si>
  <si>
    <t>F81811, J47246, I97535, I97553</t>
  </si>
  <si>
    <t>BDKD26-0791</t>
  </si>
  <si>
    <t>ZM1606497</t>
    <phoneticPr fontId="6" type="noConversion"/>
  </si>
  <si>
    <t>UID-26-08-0024</t>
    <phoneticPr fontId="6" type="noConversion"/>
  </si>
  <si>
    <t>L260900716CP</t>
    <phoneticPr fontId="6" type="noConversion"/>
  </si>
  <si>
    <t>OFFICE OF THE GOVT CHIEF INFO OFFICER</t>
    <phoneticPr fontId="6" type="noConversion"/>
  </si>
  <si>
    <t>I60698</t>
    <phoneticPr fontId="6" type="noConversion"/>
  </si>
  <si>
    <t>ZM1606755</t>
    <phoneticPr fontId="6" type="noConversion"/>
  </si>
  <si>
    <t>L260890086CO</t>
  </si>
  <si>
    <t>Co-Care Premier 12 Months on Huawei Equipment</t>
  </si>
  <si>
    <t>UID-26-08-0046</t>
  </si>
  <si>
    <t>R79624</t>
  </si>
  <si>
    <t>ZZ1606458</t>
    <phoneticPr fontId="6" type="noConversion"/>
  </si>
  <si>
    <t>Vanessa Wong</t>
    <phoneticPr fontId="6" type="noConversion"/>
  </si>
  <si>
    <t>Purchase of Refurbished CISCO2811-V/K9</t>
    <phoneticPr fontId="6" type="noConversion"/>
  </si>
  <si>
    <t>1-Man Fung</t>
    <phoneticPr fontId="6" type="noConversion"/>
  </si>
  <si>
    <t>UID-26-08-0039</t>
    <phoneticPr fontId="6" type="noConversion"/>
  </si>
  <si>
    <t>L260700708CF</t>
    <phoneticPr fontId="6" type="noConversion"/>
  </si>
  <si>
    <t>WILSON GARMENT ACCESSORIES (INTL) LTD</t>
    <phoneticPr fontId="6" type="noConversion"/>
  </si>
  <si>
    <t>X92737, Z48509</t>
    <phoneticPr fontId="6" type="noConversion"/>
  </si>
  <si>
    <t>ZM1606881</t>
    <phoneticPr fontId="6" type="noConversion"/>
  </si>
  <si>
    <t>0Y03442300510E</t>
  </si>
  <si>
    <t>Co-Care 15 Months Renewals on S5735-L48T4XE-A-V2, CE8850-64CQ-EI Switch, etc</t>
  </si>
  <si>
    <t>UID-26-08-0053</t>
  </si>
  <si>
    <t>L260790278YT</t>
  </si>
  <si>
    <t>I59823, I55942</t>
  </si>
  <si>
    <t>ZM1607653</t>
    <phoneticPr fontId="6" type="noConversion"/>
  </si>
  <si>
    <t>Purchase of Refurbished S5735-L48T4XE-A-V2, C9500-40X, Cisco C9300L-48P-4X-E</t>
  </si>
  <si>
    <t>ZM1606615</t>
    <phoneticPr fontId="6" type="noConversion"/>
  </si>
  <si>
    <t>Purchase of Refurbished C9300L-24T-4G-E</t>
  </si>
  <si>
    <t>UID-26-08-0057</t>
  </si>
  <si>
    <t>L260790013IL</t>
  </si>
  <si>
    <t>ZM1606729</t>
    <phoneticPr fontId="6" type="noConversion"/>
  </si>
  <si>
    <t>1 Year Onsite Hardware Maintenance Service on RUIJIE Equipment</t>
  </si>
  <si>
    <t>UID-26-08-0059</t>
  </si>
  <si>
    <t>L260890088NI</t>
  </si>
  <si>
    <t>SPHRC Kung Yik She Secondary School</t>
  </si>
  <si>
    <t>MASS14421</t>
  </si>
  <si>
    <t>ZM1606926</t>
  </si>
  <si>
    <t>UID-26-08-0053</t>
    <phoneticPr fontId="6" type="noConversion"/>
  </si>
  <si>
    <t>HONG KONG BAPTIST HOSPITAL</t>
  </si>
  <si>
    <t>Lai, Fonnie WF/ Yim, Theo TP</t>
  </si>
  <si>
    <t>I55942 &amp; I59823</t>
  </si>
  <si>
    <t>ZM1606656</t>
    <phoneticPr fontId="6" type="noConversion"/>
  </si>
  <si>
    <t>Email Dated 20/7/2026</t>
  </si>
  <si>
    <t>Purchase of Refurbished C1000-16FP-2G-L</t>
  </si>
  <si>
    <t>UID-26-08-0061</t>
  </si>
  <si>
    <t>L260800827TH</t>
  </si>
  <si>
    <t>The Clearwater Bay Golf &amp; Country Club</t>
  </si>
  <si>
    <t>D85674, I20047, J10109, J10114, J51161, MASS13236</t>
  </si>
  <si>
    <t>UID-26-08-0040</t>
    <phoneticPr fontId="6" type="noConversion"/>
  </si>
  <si>
    <t>L261000689YR</t>
    <phoneticPr fontId="6" type="noConversion"/>
  </si>
  <si>
    <t>PCCW SOLUTIONS LTD C O WATER SERVICES DEPT OF HK GOVT</t>
    <phoneticPr fontId="6" type="noConversion"/>
  </si>
  <si>
    <t>J78749, D39526</t>
    <phoneticPr fontId="6" type="noConversion"/>
  </si>
  <si>
    <t>ZM1607222</t>
    <phoneticPr fontId="6" type="noConversion"/>
  </si>
  <si>
    <t>Digital China (HK) Ltd</t>
  </si>
  <si>
    <t>0Y03442200670XSnS</t>
  </si>
  <si>
    <t>3-Digital China</t>
  </si>
  <si>
    <t>UID-26-06-0197</t>
  </si>
  <si>
    <t>P/7985/MAMA/J225</t>
  </si>
  <si>
    <t>Airport Authority</t>
  </si>
  <si>
    <t>I73273</t>
  </si>
  <si>
    <t>ZM1606789</t>
    <phoneticPr fontId="6" type="noConversion"/>
  </si>
  <si>
    <t>0Y03442200670X</t>
  </si>
  <si>
    <t>Co-Care Premier 17 Months Renewal on S6730-H48X6C, S5731-S48T4X, S12700E-4</t>
  </si>
  <si>
    <t>5-Digital China</t>
  </si>
  <si>
    <t>ZM1607061</t>
    <phoneticPr fontId="6" type="noConversion"/>
  </si>
  <si>
    <t>S-A16229951</t>
  </si>
  <si>
    <t>ZM1607246</t>
    <phoneticPr fontId="6" type="noConversion"/>
  </si>
  <si>
    <t>1 Year Onsite Hardware Maintenance Service, including parts and labour</t>
  </si>
  <si>
    <t>Jardine Matheson Ltd</t>
  </si>
  <si>
    <t>MASS12038, MASS13007, MASS12039, MASS13008, MASS12039, MASS12525</t>
  </si>
  <si>
    <t>ZM1607254</t>
    <phoneticPr fontId="6" type="noConversion"/>
  </si>
  <si>
    <t>4-Cisco</t>
    <phoneticPr fontId="6" type="noConversion"/>
  </si>
  <si>
    <t>UID-26-08-0072</t>
    <phoneticPr fontId="6" type="noConversion"/>
  </si>
  <si>
    <t>L260790279YT</t>
    <phoneticPr fontId="6" type="noConversion"/>
  </si>
  <si>
    <t>HONG KONG BAPTIST HOSPITAL</t>
    <phoneticPr fontId="6" type="noConversion"/>
  </si>
  <si>
    <t>Yim, Theo TP / Lai, Fonnie WF</t>
    <phoneticPr fontId="6" type="noConversion"/>
  </si>
  <si>
    <t>I42334, I55942 </t>
    <phoneticPr fontId="6" type="noConversion"/>
  </si>
  <si>
    <t>UID-26-08-0061</t>
    <phoneticPr fontId="6" type="noConversion"/>
  </si>
  <si>
    <t>L260800827TH</t>
    <phoneticPr fontId="6" type="noConversion"/>
  </si>
  <si>
    <t>THE CLEARWATER BAY GOLF &amp; COUNTRY CLUB</t>
    <phoneticPr fontId="6" type="noConversion"/>
  </si>
  <si>
    <t>Tsui, Ivan PH / Law, Carman KM</t>
    <phoneticPr fontId="6" type="noConversion"/>
  </si>
  <si>
    <t>D85674, I20047, J10109, J10114, J51161, MASS13236</t>
    <phoneticPr fontId="6" type="noConversion"/>
  </si>
  <si>
    <t>ZM1607818</t>
    <phoneticPr fontId="6" type="noConversion"/>
  </si>
  <si>
    <t>E-mail Quote Date 11 Aug 2026</t>
  </si>
  <si>
    <t>UID-26-08-0063</t>
  </si>
  <si>
    <t>G260590256CB</t>
  </si>
  <si>
    <t>The University of Hong Kong</t>
  </si>
  <si>
    <t>K09446</t>
  </si>
  <si>
    <t>BDKD26-0778</t>
    <phoneticPr fontId="6" type="noConversion"/>
  </si>
  <si>
    <t>BDP26-1225</t>
    <phoneticPr fontId="6" type="noConversion"/>
  </si>
  <si>
    <t>ZM1608037</t>
    <phoneticPr fontId="6" type="noConversion"/>
  </si>
  <si>
    <t>QUO-110375</t>
  </si>
  <si>
    <t xml:space="preserve">1 Year 7x24x4 Support </t>
  </si>
  <si>
    <t>K09416</t>
  </si>
  <si>
    <t>ZM1608268</t>
    <phoneticPr fontId="6" type="noConversion"/>
  </si>
  <si>
    <t>Marcus Cheng</t>
    <phoneticPr fontId="6" type="noConversion"/>
  </si>
  <si>
    <t>KDCHW20260414-304R1</t>
  </si>
  <si>
    <t>Co-Care Premier 12 Months Renewals on S5731-S24T4X</t>
  </si>
  <si>
    <t>UID-26-08-0131</t>
  </si>
  <si>
    <t>P/8134/MAMA/YT26</t>
  </si>
  <si>
    <t>HA - The Cheshire Home, Chung Hom Kok</t>
  </si>
  <si>
    <t>DN KKIN2601789</t>
  </si>
  <si>
    <t>INV KKIN2601789</t>
  </si>
  <si>
    <t>SNTP on Cisco Products</t>
    <phoneticPr fontId="6" type="noConversion"/>
  </si>
  <si>
    <t>UID-26-08-0119</t>
    <phoneticPr fontId="6" type="noConversion"/>
  </si>
  <si>
    <t>L260890060LS</t>
    <phoneticPr fontId="6" type="noConversion"/>
  </si>
  <si>
    <t>THE HONG KONG JOCKEY CLUB</t>
  </si>
  <si>
    <t>Leung, Sammi SM / Fung, Hayden TC</t>
    <phoneticPr fontId="6" type="noConversion"/>
  </si>
  <si>
    <t>P27529</t>
    <phoneticPr fontId="6" type="noConversion"/>
  </si>
  <si>
    <t>UID-26-08-0130</t>
    <phoneticPr fontId="6" type="noConversion"/>
  </si>
  <si>
    <t>L260790137IL</t>
    <phoneticPr fontId="6" type="noConversion"/>
  </si>
  <si>
    <t>CUSTOMS &amp; EXCISE DEPARTMENT</t>
    <phoneticPr fontId="6" type="noConversion"/>
  </si>
  <si>
    <t>Law, Carman KM / Leung, Ida PS</t>
    <phoneticPr fontId="6" type="noConversion"/>
  </si>
  <si>
    <t>I37256</t>
    <phoneticPr fontId="6" type="noConversion"/>
  </si>
  <si>
    <t>ZM1608534</t>
    <phoneticPr fontId="6" type="noConversion"/>
  </si>
  <si>
    <t>0Y034423004133, CLP NCE-T 20210508, CLP S-A10025164</t>
  </si>
  <si>
    <t>Hi-Care Onsite Support, SnS Renew</t>
  </si>
  <si>
    <t>UID-26-08-0155</t>
  </si>
  <si>
    <t>L270200793WW</t>
  </si>
  <si>
    <t>CLP Power Hong Kong Limited</t>
  </si>
  <si>
    <t>D14786</t>
  </si>
  <si>
    <t>ISE-SEC-SUB Cisco Identity Service Engine Subscription</t>
    <phoneticPr fontId="6" type="noConversion"/>
  </si>
  <si>
    <t>UID-26-08-0124</t>
    <phoneticPr fontId="6" type="noConversion"/>
  </si>
  <si>
    <t>G260800056MZ</t>
    <phoneticPr fontId="6" type="noConversion"/>
  </si>
  <si>
    <t>MUFG BANK, LTD</t>
    <phoneticPr fontId="6" type="noConversion"/>
  </si>
  <si>
    <t>Vanessa</t>
    <phoneticPr fontId="6" type="noConversion"/>
  </si>
  <si>
    <t>D62040</t>
    <phoneticPr fontId="6" type="noConversion"/>
  </si>
  <si>
    <t>1-Cisco</t>
    <phoneticPr fontId="6" type="noConversion"/>
  </si>
  <si>
    <t>UID-26-08-0158</t>
    <phoneticPr fontId="40" type="noConversion"/>
  </si>
  <si>
    <t>L260890242WC</t>
    <phoneticPr fontId="40" type="noConversion"/>
  </si>
  <si>
    <t xml:space="preserve">PRIME TRADER INTERNATIONAL LIMITED </t>
    <phoneticPr fontId="40" type="noConversion"/>
  </si>
  <si>
    <t xml:space="preserve">Wong, Cammy SL / Poon, Nelson KH </t>
    <phoneticPr fontId="6" type="noConversion"/>
  </si>
  <si>
    <t>J94113-1</t>
    <phoneticPr fontId="6" type="noConversion"/>
  </si>
  <si>
    <t>ZM1609194</t>
    <phoneticPr fontId="6" type="noConversion"/>
  </si>
  <si>
    <t>ACW_TA05_20260820_2</t>
  </si>
  <si>
    <t>A-Care Sofware &amp; 24x7x4 Hour Hardware Replacement</t>
  </si>
  <si>
    <t>1-ACW</t>
  </si>
  <si>
    <t>ZM1609728</t>
    <phoneticPr fontId="6" type="noConversion"/>
  </si>
  <si>
    <t>Purchase of Refurbished C9200CX-12T-2X, C9300-24UX-E</t>
  </si>
  <si>
    <t>D34444, D59607, D89122</t>
  </si>
  <si>
    <t>ZM1609190</t>
  </si>
  <si>
    <t>0000Ht84082253202608040040</t>
  </si>
  <si>
    <t>SnS Renew e-Sight</t>
  </si>
  <si>
    <t>3A-Huawei</t>
  </si>
  <si>
    <t>MASS13092</t>
  </si>
  <si>
    <t>ZM1609399</t>
    <phoneticPr fontId="6" type="noConversion"/>
  </si>
  <si>
    <t>KDCHW20260414-306R1</t>
  </si>
  <si>
    <t>UID-26-08-0199</t>
  </si>
  <si>
    <t>P/8099/MAMA/YT26</t>
  </si>
  <si>
    <t>Pok Oi Hospital</t>
  </si>
  <si>
    <t>I19190</t>
  </si>
  <si>
    <t>2-Cisco</t>
    <phoneticPr fontId="6" type="noConversion"/>
  </si>
  <si>
    <t>UID-26-08-0200</t>
    <phoneticPr fontId="6" type="noConversion"/>
  </si>
  <si>
    <t>G260190022YR</t>
    <phoneticPr fontId="6" type="noConversion"/>
  </si>
  <si>
    <t>HONG KONG TELECOMMUNICATIONS (HKT) LIMITED</t>
    <phoneticPr fontId="6" type="noConversion"/>
  </si>
  <si>
    <t>Chan, Dongdong SC / Yau, Ricky CH</t>
    <phoneticPr fontId="6" type="noConversion"/>
  </si>
  <si>
    <t>I19866-2</t>
    <phoneticPr fontId="6" type="noConversion"/>
  </si>
  <si>
    <t>UID-26-08-0209</t>
    <phoneticPr fontId="6" type="noConversion"/>
  </si>
  <si>
    <t>L250890148YR</t>
    <phoneticPr fontId="6" type="noConversion"/>
  </si>
  <si>
    <t>MASS13116</t>
    <phoneticPr fontId="6" type="noConversion"/>
  </si>
  <si>
    <t>ZM1609423</t>
    <phoneticPr fontId="6" type="noConversion"/>
  </si>
  <si>
    <t>BIG-IP Service: Premium Virtual Edition Level 1-3 on F5 Equipment</t>
  </si>
  <si>
    <t>UID-26-08-0212</t>
  </si>
  <si>
    <t>L260890273J3</t>
  </si>
  <si>
    <t>Modern Terminals Limited</t>
  </si>
  <si>
    <t>MASS14437</t>
  </si>
  <si>
    <t>BDKD26-0801</t>
  </si>
  <si>
    <t>SNTP &amp; SSTC on Cisco Products</t>
    <phoneticPr fontId="6" type="noConversion"/>
  </si>
  <si>
    <t>UID-26-08-0211</t>
    <phoneticPr fontId="6" type="noConversion"/>
  </si>
  <si>
    <t>L260890269YR</t>
    <phoneticPr fontId="6" type="noConversion"/>
  </si>
  <si>
    <t>MASS14436</t>
    <phoneticPr fontId="6" type="noConversion"/>
  </si>
  <si>
    <t>ZM1610007</t>
    <phoneticPr fontId="6" type="noConversion"/>
  </si>
  <si>
    <t>RMY-20260830</t>
  </si>
  <si>
    <t xml:space="preserve">PSS Next Day Support for EX2400-24T </t>
  </si>
  <si>
    <t>UID-26-08-0242</t>
  </si>
  <si>
    <t>L260800769TH</t>
  </si>
  <si>
    <t>Casdon HK Limited</t>
  </si>
  <si>
    <t>I51338</t>
  </si>
  <si>
    <t>ZZ1609472</t>
    <phoneticPr fontId="6" type="noConversion"/>
  </si>
  <si>
    <t>CPQ-986652 R1</t>
  </si>
  <si>
    <t>Purchase of Refurbished EX4100 and EX3400 150W PC Power Supply</t>
  </si>
  <si>
    <t>ZM1609982</t>
    <phoneticPr fontId="6" type="noConversion"/>
  </si>
  <si>
    <t>Sandra Lee</t>
    <phoneticPr fontId="6" type="noConversion"/>
  </si>
  <si>
    <t>UID-26-08-0259</t>
  </si>
  <si>
    <t>H260890344WC</t>
  </si>
  <si>
    <t>Gold Coast Hotel Ltd</t>
  </si>
  <si>
    <t>MASS14444, MASS14444-1</t>
  </si>
  <si>
    <t>ZM1609948</t>
    <phoneticPr fontId="6" type="noConversion"/>
  </si>
  <si>
    <t>QUO-2792173-W1N1W8</t>
  </si>
  <si>
    <t>PAR-ND-EX3424T on EX3400-24T</t>
  </si>
  <si>
    <t>UID-26-08-0265</t>
  </si>
  <si>
    <t>L260890348WC</t>
  </si>
  <si>
    <t>Invest Hong Kong</t>
  </si>
  <si>
    <t>MASS14445</t>
  </si>
  <si>
    <t>8-Cisco</t>
    <phoneticPr fontId="6" type="noConversion"/>
  </si>
  <si>
    <t>L260690006NI</t>
    <phoneticPr fontId="6" type="noConversion"/>
  </si>
  <si>
    <t>VOCATIONAL TRAINING COUNCIL</t>
    <phoneticPr fontId="6" type="noConversion"/>
  </si>
  <si>
    <t>Ng, Ivy WY / Chow, Apple FP</t>
    <phoneticPr fontId="6" type="noConversion"/>
  </si>
  <si>
    <t>MASS13607, MASS12174, MASS12333, MASS09027-4…etc.</t>
    <phoneticPr fontId="6" type="noConversion"/>
  </si>
  <si>
    <t>ZM1610099</t>
    <phoneticPr fontId="6" type="noConversion"/>
  </si>
  <si>
    <t>ZM1610089</t>
    <phoneticPr fontId="6" type="noConversion"/>
  </si>
  <si>
    <t>0Y03442300400D</t>
  </si>
  <si>
    <t xml:space="preserve">Co-Care Premier S5731-S24T4X 17 Months Renewals </t>
  </si>
  <si>
    <t>UID-26-08-0270</t>
  </si>
  <si>
    <t>P/7414/MAMA/YT24</t>
  </si>
  <si>
    <t>I55954, I86903</t>
  </si>
  <si>
    <t>UID-26-09-0010</t>
    <phoneticPr fontId="6" type="noConversion"/>
  </si>
  <si>
    <t>L260800771JI</t>
    <phoneticPr fontId="6" type="noConversion"/>
  </si>
  <si>
    <t>CEB INTERNATIONAL INVESTMENT CORPORATION LIMITED</t>
  </si>
  <si>
    <t>Yuen, Vivien MC / Hsui, Janet WJ</t>
    <phoneticPr fontId="6" type="noConversion"/>
  </si>
  <si>
    <t>I41268</t>
    <phoneticPr fontId="6" type="noConversion"/>
  </si>
  <si>
    <t>ZZ1609979</t>
    <phoneticPr fontId="6" type="noConversion"/>
  </si>
  <si>
    <t>Purchase of Refurbished N2K-C2248 TF-E</t>
  </si>
  <si>
    <t>UID-26-09-0016</t>
  </si>
  <si>
    <t>L261100767YR</t>
  </si>
  <si>
    <t>UID-26-09-0015</t>
    <phoneticPr fontId="6" type="noConversion"/>
  </si>
  <si>
    <t>L260900710IL</t>
    <phoneticPr fontId="6" type="noConversion"/>
  </si>
  <si>
    <t>JUDICIARY</t>
    <phoneticPr fontId="6" type="noConversion"/>
  </si>
  <si>
    <t>I32022</t>
    <phoneticPr fontId="6" type="noConversion"/>
  </si>
  <si>
    <t>ZM1610160</t>
    <phoneticPr fontId="6" type="noConversion"/>
  </si>
  <si>
    <t>TD-HKT-H3C310826</t>
  </si>
  <si>
    <t>UID-26-08-0266</t>
  </si>
  <si>
    <t>P/8237/MAMA/CF26</t>
  </si>
  <si>
    <t>Century Gold Investment Ltd - The Otto Hotel</t>
  </si>
  <si>
    <t>J12526, J39837, D91670</t>
  </si>
  <si>
    <t>3-Cisco</t>
    <phoneticPr fontId="6" type="noConversion"/>
  </si>
  <si>
    <t>UID-26-09-0022</t>
    <phoneticPr fontId="6" type="noConversion"/>
  </si>
  <si>
    <t>L261100760CB</t>
    <phoneticPr fontId="6" type="noConversion"/>
  </si>
  <si>
    <t>THE HK UNIVERSITY OF SCIENCE &amp; TECHNOLOGY</t>
    <phoneticPr fontId="6" type="noConversion"/>
  </si>
  <si>
    <t>Fung, Hayden TC / Chan, Ina YK</t>
    <phoneticPr fontId="6" type="noConversion"/>
  </si>
  <si>
    <t>D61730-1, D61730-2</t>
    <phoneticPr fontId="6" type="noConversion"/>
  </si>
  <si>
    <t>ZM1610555</t>
    <phoneticPr fontId="6" type="noConversion"/>
  </si>
  <si>
    <t>Purchase of Refurbished C9200-24P-E, SNS-3495-K9 Spare Part for HKT (PQ260104YF - Request by Martin)</t>
  </si>
  <si>
    <t>Hong Kong Telecommuniations (HKT) Ltd</t>
  </si>
  <si>
    <t>UID-26-08-0174</t>
    <phoneticPr fontId="6" type="noConversion"/>
  </si>
  <si>
    <t>L260400592WW</t>
    <phoneticPr fontId="6" type="noConversion"/>
  </si>
  <si>
    <t>ATOS INFORMATION TECHNOLOGY  HK  LTD</t>
    <phoneticPr fontId="6" type="noConversion"/>
  </si>
  <si>
    <t>Yuen, Vivien MC / Chow, Winnie WY</t>
    <phoneticPr fontId="6" type="noConversion"/>
  </si>
  <si>
    <t>J89824 / MASS13645</t>
    <phoneticPr fontId="6" type="noConversion"/>
  </si>
  <si>
    <t>ZM1610278</t>
    <phoneticPr fontId="6" type="noConversion"/>
  </si>
  <si>
    <t>RMY-20260715</t>
  </si>
  <si>
    <t>PSS RTF Support for EX2300-C-12P, EX4300-32F, EX2300-24T, EX2300-48T EX2300-VC</t>
  </si>
  <si>
    <t>UID-26-09-0028</t>
  </si>
  <si>
    <t>W260790092L3</t>
  </si>
  <si>
    <t>Dr Catherine F Woo Memorial School</t>
  </si>
  <si>
    <t>I34021-1</t>
  </si>
  <si>
    <t>UID-26-09-0030</t>
    <phoneticPr fontId="6" type="noConversion"/>
  </si>
  <si>
    <t>L260990022NI</t>
    <phoneticPr fontId="6" type="noConversion"/>
  </si>
  <si>
    <t>Ng, Ivy WY / Law, Carman KM</t>
    <phoneticPr fontId="6" type="noConversion"/>
  </si>
  <si>
    <t>MASS14448</t>
    <phoneticPr fontId="6" type="noConversion"/>
  </si>
  <si>
    <t>ZE1610374</t>
  </si>
  <si>
    <t>Jason Mok</t>
  </si>
  <si>
    <t>QUO-2798182-C6Y5N6</t>
  </si>
  <si>
    <t>Cisco Firpower Management</t>
  </si>
  <si>
    <t>UID-26-09-0044</t>
  </si>
  <si>
    <t>L260990024YR</t>
  </si>
  <si>
    <t>MASS14449</t>
  </si>
  <si>
    <t>ZZ1610334</t>
    <phoneticPr fontId="6" type="noConversion"/>
  </si>
  <si>
    <t>WF42601256</t>
  </si>
  <si>
    <t>Purchase of Refurbished JPSU-350-AC-AFO, WS-C3560G-24TS-E (PS2601806 - Request by Martin)</t>
  </si>
  <si>
    <t>Hong Kong Telecommunication (HKT) Ltd</t>
  </si>
  <si>
    <t>ZM1610552</t>
    <phoneticPr fontId="6" type="noConversion"/>
  </si>
  <si>
    <t>WF42601258</t>
  </si>
  <si>
    <t>Purchase of Refurbished WS-C3850-12X48U-S, WS-C3850-12X48U-E, WS-C3850-12X48U-L, etc (PS2601527 - Request by Martin)</t>
  </si>
  <si>
    <t>UID-26-09-0051</t>
    <phoneticPr fontId="6" type="noConversion"/>
  </si>
  <si>
    <t>L260990027NI</t>
    <phoneticPr fontId="6" type="noConversion"/>
  </si>
  <si>
    <t>VOCATIONAL TRAINING COUNCIL</t>
  </si>
  <si>
    <t>Chow, Apple FP / Ng, Ivy WY</t>
    <phoneticPr fontId="6" type="noConversion"/>
  </si>
  <si>
    <t>MASS14450</t>
    <phoneticPr fontId="6" type="noConversion"/>
  </si>
  <si>
    <t>ZZ1610379</t>
    <phoneticPr fontId="6" type="noConversion"/>
  </si>
  <si>
    <t>WF42601257</t>
  </si>
  <si>
    <t>Purchase of Refurbished H3C LSWM1HFANSCB Y (PS2601831 - Request by Martin)</t>
  </si>
  <si>
    <t>ZZ1610404</t>
    <phoneticPr fontId="6" type="noConversion"/>
  </si>
  <si>
    <t>Hold by Vanessa</t>
    <phoneticPr fontId="6" type="noConversion"/>
  </si>
  <si>
    <t>Purchase of Refurbished H3C S6800-2C-L3 Ethernet Switch (ZMRFQ - Request by Martin)</t>
  </si>
  <si>
    <t>UID-26-09-0055</t>
  </si>
  <si>
    <t>L261000742CP</t>
  </si>
  <si>
    <t>I32077</t>
  </si>
  <si>
    <t>ZM1611074</t>
    <phoneticPr fontId="6" type="noConversion"/>
  </si>
  <si>
    <t>Purchase of Refurbished Cisco ASR1001, Cisco Router 2621, Cisco Router 2651XM</t>
  </si>
  <si>
    <t>UID-26-09-0054</t>
  </si>
  <si>
    <t>L260600735YR</t>
  </si>
  <si>
    <t>MASS08829-6, MASS08829-7</t>
  </si>
  <si>
    <t>UID-26-09-0064</t>
    <phoneticPr fontId="6" type="noConversion"/>
  </si>
  <si>
    <t>L260900660YR</t>
    <phoneticPr fontId="6" type="noConversion"/>
  </si>
  <si>
    <t>PCCW POWERBASE DATA CENTRER SERVICES (HK) LTD</t>
    <phoneticPr fontId="6" type="noConversion"/>
  </si>
  <si>
    <t>D54891</t>
    <phoneticPr fontId="6" type="noConversion"/>
  </si>
  <si>
    <t>ZM1610719</t>
    <phoneticPr fontId="6" type="noConversion"/>
  </si>
  <si>
    <t>1 Year Onsite Hardware Mantenance Service</t>
  </si>
  <si>
    <t>UID-26-09-0062</t>
  </si>
  <si>
    <t>P/8137/MAMA/CB26</t>
  </si>
  <si>
    <t>SSTC &amp; SNTP on Cisco Products</t>
    <phoneticPr fontId="6" type="noConversion"/>
  </si>
  <si>
    <t>UID-26-09-0079</t>
    <phoneticPr fontId="6" type="noConversion"/>
  </si>
  <si>
    <t>L260900727JI </t>
    <phoneticPr fontId="6" type="noConversion"/>
  </si>
  <si>
    <t>VEOLIA CHINA HOLDING LTD</t>
    <phoneticPr fontId="6" type="noConversion"/>
  </si>
  <si>
    <t>MASS13964, MASS13964-1, MASS13964-2 &amp; MASS13964-3</t>
    <phoneticPr fontId="6" type="noConversion"/>
  </si>
  <si>
    <t>18-Cisco</t>
    <phoneticPr fontId="6" type="noConversion"/>
  </si>
  <si>
    <t>MASS13607, MASS12174, MASS12333, MASS09027-4</t>
    <phoneticPr fontId="6" type="noConversion"/>
  </si>
  <si>
    <t>HKT_20260904_01</t>
  </si>
  <si>
    <t>Purchase of Refurbished H3C S6800-2C-L3 Ethernet Switch (ZMRFQ - Request by Martin)</t>
    <phoneticPr fontId="6" type="noConversion"/>
  </si>
  <si>
    <t>PSUP on Cisco Products</t>
    <phoneticPr fontId="6" type="noConversion"/>
  </si>
  <si>
    <t>UID-26-09-0082</t>
  </si>
  <si>
    <t>HONG KONG EXCHANGES AND CLEARING LIMITED</t>
    <phoneticPr fontId="6" type="noConversion"/>
  </si>
  <si>
    <t>Lai, Fonnie WF / Kiwi.LF.Wong@pccw.com</t>
    <phoneticPr fontId="6" type="noConversion"/>
  </si>
  <si>
    <t>MASS13272</t>
    <phoneticPr fontId="6" type="noConversion"/>
  </si>
  <si>
    <t>ZM1611050</t>
    <phoneticPr fontId="6" type="noConversion"/>
  </si>
  <si>
    <t>RVT20260825_01</t>
  </si>
  <si>
    <t>PSS Next Day Support for EX2300-48P, EX2300-48T</t>
  </si>
  <si>
    <t>UID-26-09-0078</t>
  </si>
  <si>
    <t>L260900712YT</t>
  </si>
  <si>
    <t>Kwai Tsing District Health Centre (YCHB)</t>
  </si>
  <si>
    <t>D52546</t>
  </si>
  <si>
    <t>Purchase of Refurbished Cisco 10GBASE-SR SFP Module</t>
  </si>
  <si>
    <t>UID-26-09-0090</t>
  </si>
  <si>
    <t>L260990063NI</t>
  </si>
  <si>
    <t>Rating and Valuation Department</t>
  </si>
  <si>
    <t>MASS14457</t>
  </si>
  <si>
    <t>5-Cisco</t>
    <phoneticPr fontId="6" type="noConversion"/>
  </si>
  <si>
    <t>UID-26-09-0088</t>
    <phoneticPr fontId="6" type="noConversion"/>
  </si>
  <si>
    <t>G260900072CF</t>
    <phoneticPr fontId="6" type="noConversion"/>
  </si>
  <si>
    <t>PEAK TRAMWAYS VIA MECO ENGINEERING LTD</t>
  </si>
  <si>
    <t>Poon, Nelson KH / Mak, Connie OM</t>
    <phoneticPr fontId="6" type="noConversion"/>
  </si>
  <si>
    <t>D91088. I38822, I37699</t>
    <phoneticPr fontId="6" type="noConversion"/>
  </si>
  <si>
    <t>RO4 on Cisco Products</t>
    <phoneticPr fontId="6" type="noConversion"/>
  </si>
  <si>
    <t>UID-26-09-0102</t>
  </si>
  <si>
    <t>L260800811MZ</t>
    <phoneticPr fontId="6" type="noConversion"/>
  </si>
  <si>
    <t>KEPPEL SEGHERS HONG KONG LTD</t>
    <phoneticPr fontId="6" type="noConversion"/>
  </si>
  <si>
    <t>Poon, Nelson KH / Cheung, Marcus TH</t>
    <phoneticPr fontId="6" type="noConversion"/>
  </si>
  <si>
    <t>I70940-1, I70943-1</t>
    <phoneticPr fontId="6" type="noConversion"/>
  </si>
  <si>
    <t>7-Cisco</t>
    <phoneticPr fontId="6" type="noConversion"/>
  </si>
  <si>
    <t>UID-26-09-0101-7</t>
    <phoneticPr fontId="6" type="noConversion"/>
  </si>
  <si>
    <t>L260600733YR</t>
    <phoneticPr fontId="6" type="noConversion"/>
  </si>
  <si>
    <t>HONG KONG TELECOMMUNICATIONS  LTD</t>
    <phoneticPr fontId="6" type="noConversion"/>
  </si>
  <si>
    <t>MASS08829, MASS08829-1, MASS10113</t>
    <phoneticPr fontId="6" type="noConversion"/>
  </si>
  <si>
    <t>SNTP &amp; SNT on Cisco Products</t>
    <phoneticPr fontId="6" type="noConversion"/>
  </si>
  <si>
    <t>UID-26-09-0101-2</t>
    <phoneticPr fontId="6" type="noConversion"/>
  </si>
  <si>
    <t>UID-26-09-0101-5</t>
    <phoneticPr fontId="6" type="noConversion"/>
  </si>
  <si>
    <t>UID-26-09-0101-3</t>
    <phoneticPr fontId="6" type="noConversion"/>
  </si>
  <si>
    <t>UID-26-09-0101-4</t>
    <phoneticPr fontId="6" type="noConversion"/>
  </si>
  <si>
    <t>6-Cisco</t>
    <phoneticPr fontId="6" type="noConversion"/>
  </si>
  <si>
    <t>UID-26-09-0101-6</t>
    <phoneticPr fontId="6" type="noConversion"/>
  </si>
  <si>
    <t xml:space="preserve">Purchase of Refurbished C1-WS3650-24T-9, CISCO C9200-27.4, CISCO C9200L-48T-AX-A, etc </t>
  </si>
  <si>
    <t>UID-26-09-0101-1</t>
  </si>
  <si>
    <t>L260600433YR</t>
  </si>
  <si>
    <t>HONG KONG TELECOMMUNICATIONS  Ltd</t>
  </si>
  <si>
    <t>MASS08829, MASS008829-1, MASS10113</t>
  </si>
  <si>
    <t>PSRT on Cisco Products</t>
    <phoneticPr fontId="6" type="noConversion"/>
  </si>
  <si>
    <t>UID-26-09-0154</t>
    <phoneticPr fontId="6" type="noConversion"/>
  </si>
  <si>
    <t>L260990090TS</t>
    <phoneticPr fontId="6" type="noConversion"/>
  </si>
  <si>
    <t>HONGKONG ELECTRIC COMPANY LTD THE</t>
  </si>
  <si>
    <t>Fung, Hayden TC / Tan, Simon HH</t>
    <phoneticPr fontId="6" type="noConversion"/>
  </si>
  <si>
    <t>MASS14461</t>
    <phoneticPr fontId="6" type="noConversion"/>
  </si>
  <si>
    <t>SNT, SNTP &amp; L1NBD on Cisco Products</t>
    <phoneticPr fontId="6" type="noConversion"/>
  </si>
  <si>
    <t>UID-26-09-0179</t>
    <phoneticPr fontId="6" type="noConversion"/>
  </si>
  <si>
    <t>L260700667YR</t>
    <phoneticPr fontId="6" type="noConversion"/>
  </si>
  <si>
    <t>Hong Kong Telecommunications (HKT) Ltd</t>
    <phoneticPr fontId="6" type="noConversion"/>
  </si>
  <si>
    <t>D54812</t>
    <phoneticPr fontId="6" type="noConversion"/>
  </si>
  <si>
    <t>End Customer</t>
  </si>
  <si>
    <t>08/03/19</t>
    <phoneticPr fontId="6" type="noConversion"/>
  </si>
  <si>
    <t>13/03/19</t>
  </si>
  <si>
    <t>Henry Yeung</t>
  </si>
  <si>
    <t>PSRT on CP-8841-K9= for Metlife Asia Ltd</t>
  </si>
  <si>
    <t>00244761</t>
  </si>
  <si>
    <t>11/03/19</t>
  </si>
  <si>
    <t>10/03/20</t>
  </si>
  <si>
    <t>02/08/19</t>
    <phoneticPr fontId="6" type="noConversion"/>
  </si>
  <si>
    <t>14/03/19</t>
  </si>
  <si>
    <t>26/03/19</t>
    <phoneticPr fontId="6" type="noConversion"/>
  </si>
  <si>
    <t>PSBU, PSJ3, PSRT on Cisco Products for Bollore Logistics Hong Kong</t>
  </si>
  <si>
    <t>L190390014CO</t>
  </si>
  <si>
    <t>04/03/19</t>
  </si>
  <si>
    <t>19/02/20</t>
  </si>
  <si>
    <t>21/03/19</t>
  </si>
  <si>
    <t>01/04/19</t>
  </si>
  <si>
    <t>Purchase of Refurbished Cisco IP Phone 8865 for Citic Capital Holdings (J24155)</t>
  </si>
  <si>
    <t>00244751</t>
  </si>
  <si>
    <t>27/03/19</t>
  </si>
  <si>
    <t>PSJ3, PSBU, PSRT, ECMU on Cisco IPT for South China Morning Post Publishers Ltd</t>
  </si>
  <si>
    <t>P CI/2412/MA/LA19</t>
  </si>
  <si>
    <t>22/03/19</t>
  </si>
  <si>
    <t>28/03/19</t>
  </si>
  <si>
    <t>PSRT on CP-7942G= for Ocean Park Corporation</t>
  </si>
  <si>
    <t>25/03/19</t>
  </si>
  <si>
    <t>24/03/20</t>
  </si>
  <si>
    <t>02/04/19</t>
  </si>
  <si>
    <t>MTS Asia Ltd</t>
    <phoneticPr fontId="6" type="noConversion"/>
  </si>
  <si>
    <t>Annual Mtce Service Charge of TEM Suite System for South China Morning Post Publishers Ltd</t>
  </si>
  <si>
    <t>01/03/19</t>
  </si>
  <si>
    <t>29/02/20</t>
  </si>
  <si>
    <t>17/04/20</t>
  </si>
  <si>
    <t>3-3/19</t>
    <phoneticPr fontId="6" type="noConversion"/>
  </si>
  <si>
    <t>PSBU, PSJ1, PSRT on Cisco IP Phone for Codan Management HK Ltd</t>
  </si>
  <si>
    <t>P CI-2128-MA-BS18</t>
  </si>
  <si>
    <t>26/03/19</t>
  </si>
  <si>
    <t>25/03/20</t>
  </si>
  <si>
    <t>PSRT on Cisco Products for Citic Capital / China Construction Bank</t>
  </si>
  <si>
    <t>09/04/19</t>
  </si>
  <si>
    <t>09/03/19</t>
  </si>
  <si>
    <t>PSBU, PSJ3, PSRT PSUP on Cisco Products for GA Operations Hong Kong Ltd</t>
  </si>
  <si>
    <t>P CI/2087/MA/DC18</t>
  </si>
  <si>
    <t>05/07/19</t>
  </si>
  <si>
    <t>04/07/20</t>
  </si>
  <si>
    <t>02/09/19</t>
    <phoneticPr fontId="6" type="noConversion"/>
  </si>
  <si>
    <t>10/04/19</t>
  </si>
  <si>
    <t>17/04/19</t>
  </si>
  <si>
    <t>PSBU, PSRT on Cisco Products for Fresh F21C Hong Kong Ltd</t>
  </si>
  <si>
    <t>P CI/2085/MA/DC18</t>
  </si>
  <si>
    <t>16/07/19</t>
  </si>
  <si>
    <t>15/07/20</t>
  </si>
  <si>
    <t>PSBU, PSJ3, PSRT on Cisco Products for Pricerite Stores Ltd</t>
  </si>
  <si>
    <t>P CI/2450/MA/JI19</t>
  </si>
  <si>
    <t>21/04/19</t>
  </si>
  <si>
    <t>20/04/20</t>
  </si>
  <si>
    <t>11/04/19</t>
  </si>
  <si>
    <t>26/04/19</t>
  </si>
  <si>
    <t>Purchase of Refurbished VG310 x 1 &amp; CISCO2911-V/K9 for Allianz Golbal Investors Gmbh</t>
  </si>
  <si>
    <t>G190390246CO &amp; L190490007CO</t>
  </si>
  <si>
    <t>01/04/2019</t>
  </si>
  <si>
    <t>31/03/2018</t>
  </si>
  <si>
    <t>04/05/20</t>
    <phoneticPr fontId="6" type="noConversion"/>
  </si>
  <si>
    <t>Curvature Solutions PTE Ltd</t>
  </si>
  <si>
    <t>Purchase of Refurbished Cisco UC phone 9951 for Citic Capital Holdings (A45574)</t>
  </si>
  <si>
    <t>30/09/19</t>
    <phoneticPr fontId="6" type="noConversion"/>
  </si>
  <si>
    <t>12/04/19</t>
  </si>
  <si>
    <t>16/04/19</t>
  </si>
  <si>
    <t>PSRT on Cisco IPT Eqpt for City U / Cosco / HK Poly / Ocean Park / China Construction Bank Asia Corp Ltd</t>
  </si>
  <si>
    <t>PSJ1, PSBU, PSRT on Cisco IPT Eqpt for CEB International Investment Corporation Limited</t>
  </si>
  <si>
    <t>P CI/2493/MA/JE18</t>
  </si>
  <si>
    <t>11/04/20</t>
  </si>
  <si>
    <t>15/04/19</t>
  </si>
  <si>
    <t>29/04/19</t>
  </si>
  <si>
    <t>PSJ3, PSBU, PSRT on Cisco IPT Eqpt for Allianz Global Investors GMBH</t>
  </si>
  <si>
    <t>25/04/19</t>
  </si>
  <si>
    <t>02/05/19</t>
  </si>
  <si>
    <t>PSUP, PSRT on Cisco IPT Eqpt for Bally GC Retail Company Ltd</t>
  </si>
  <si>
    <t>P CI/2127/MA/DC18</t>
  </si>
  <si>
    <t>24/04/20</t>
  </si>
  <si>
    <t>03/05/19</t>
  </si>
  <si>
    <t>PSUP on Cisco IPT Products for South China Morning Post Publishers Ltd</t>
  </si>
  <si>
    <t>L190390237JS</t>
  </si>
  <si>
    <t>PSRT on Cisco IPT Products for Alliance Boots / JW Marriott Hotel HK / Construction Industry Council</t>
  </si>
  <si>
    <t>07/05/19</t>
  </si>
  <si>
    <t>Purchase of P/N ATA190, UC 2 Port Analog Telephone Adapter for Fairwood Fast Food Ltd</t>
  </si>
  <si>
    <t>P CI/1845/MA/DC18</t>
  </si>
  <si>
    <t>02/10/19</t>
    <phoneticPr fontId="6" type="noConversion"/>
  </si>
  <si>
    <t>PSRT, PSBU, PSJ1 on Cisco IPT Eqpt for Belt Collins International HK</t>
    <phoneticPr fontId="6" type="noConversion"/>
  </si>
  <si>
    <t>P CI/2058/MA/BS18</t>
  </si>
  <si>
    <t>04/06/19</t>
  </si>
  <si>
    <t>03/06/20</t>
  </si>
  <si>
    <t>PSUP, PSBU on Cisco IPT Eqpt for Crosby Securities Ltd</t>
  </si>
  <si>
    <t>P CI/1577/MA/BS18</t>
  </si>
  <si>
    <t>29\04/19</t>
  </si>
  <si>
    <t>28/04/20</t>
  </si>
  <si>
    <t>30/04/19</t>
  </si>
  <si>
    <t>Purchase of Refurbished Cisco IP Phone 7911G for Asia Society Hong Kong Center</t>
  </si>
  <si>
    <t>08/04/20</t>
    <phoneticPr fontId="6" type="noConversion"/>
  </si>
  <si>
    <t>17/05/19</t>
  </si>
  <si>
    <t>PSBU, PSRT, PSUP on Cisco IPT Products for Benefit Cosmetics Hong Kong Ltd (LVMH)</t>
  </si>
  <si>
    <t>P CI/2059/MA/DC18</t>
  </si>
  <si>
    <t>24/07/19</t>
  </si>
  <si>
    <t>23/07/20</t>
  </si>
  <si>
    <t>01/11/19</t>
    <phoneticPr fontId="6" type="noConversion"/>
  </si>
  <si>
    <t>10/05/19</t>
  </si>
  <si>
    <t>PSRT on Cisco IPT Products for Alliance Boots Sourcing (HK) Ltd / China Construction Bank Asia Corp Ltd</t>
  </si>
  <si>
    <t>15/05/19</t>
  </si>
  <si>
    <t>25/05/19</t>
  </si>
  <si>
    <t>PSRT, PSUP, PSBU, PSJ3 on Cisco IPT Eqpt for The Dairy Farm Company Ltd</t>
  </si>
  <si>
    <t>P CI/2416D/MA/JI18</t>
  </si>
  <si>
    <t>14/05/20</t>
  </si>
  <si>
    <t>16/05/19</t>
  </si>
  <si>
    <t>03/06/19</t>
  </si>
  <si>
    <t>PSBU, PSJ1, PSRT on Cisco IPT Equipment for Kam Yuen Group International Ltd</t>
  </si>
  <si>
    <t>P CI/1550/MA/BS18</t>
  </si>
  <si>
    <t>14/05/19</t>
  </si>
  <si>
    <t>13/05/20</t>
  </si>
  <si>
    <t>PSRT on Cisco IPT Equipment for Fairwood Fast Food Ltd / China Construction Bank Asia Corporation Ltd</t>
  </si>
  <si>
    <t>24/05/19</t>
    <phoneticPr fontId="6" type="noConversion"/>
  </si>
  <si>
    <t>Cisco International Limited</t>
    <phoneticPr fontId="6" type="noConversion"/>
  </si>
  <si>
    <t>PSRT on Cisco IPT Equipment for Ocean Park Corp / City U of Hong Kong</t>
    <phoneticPr fontId="6" type="noConversion"/>
  </si>
  <si>
    <t>30/05/19</t>
  </si>
  <si>
    <t>05/06/19</t>
  </si>
  <si>
    <t>PSBU, PSJ3 on Cisco IPT Equipment for Tomy Hong Kong Ltd</t>
  </si>
  <si>
    <t>P CI/2575/WA/DC19</t>
  </si>
  <si>
    <t>24/05/19</t>
  </si>
  <si>
    <t>23/05/20</t>
  </si>
  <si>
    <t>24/06/19</t>
  </si>
  <si>
    <t>PSJ3, PSUP, PSBU, PSRT on Cisco IPT Equipment for Walgreens Boots Alliance Asia Sourcing Ltd</t>
  </si>
  <si>
    <t>P CI/2453/MA/DC19</t>
  </si>
  <si>
    <t>28/08/19</t>
  </si>
  <si>
    <t>21/04/20</t>
  </si>
  <si>
    <t>06/06/19</t>
  </si>
  <si>
    <t xml:space="preserve">PSRT on Cisco IPT Products for The Hong Kong &amp; China Gas Co. Ltd </t>
  </si>
  <si>
    <t>L190490020LA</t>
  </si>
  <si>
    <t>28/05/19</t>
  </si>
  <si>
    <t>27/05/20</t>
  </si>
  <si>
    <t>14/06/19</t>
  </si>
  <si>
    <t>Purchase of Cisco IPT Voice Gateway ISR4321 for VIP customer having special SLA requirement</t>
  </si>
  <si>
    <t>29/01/20</t>
    <phoneticPr fontId="6" type="noConversion"/>
  </si>
  <si>
    <t>17/06/19</t>
  </si>
  <si>
    <t>PSBU, PSRT, PSUP on Cisco Products for Laserfiche International Ltd</t>
  </si>
  <si>
    <t>P CI/2543/MA/KI19</t>
  </si>
  <si>
    <t>13/06/19</t>
  </si>
  <si>
    <t>12/06/20</t>
  </si>
  <si>
    <t>Purchase of Refurbished VWIC2-1MFT-T1/E1 for Cedrus Investments</t>
  </si>
  <si>
    <t>L190590083CE</t>
  </si>
  <si>
    <t>11/06/19</t>
  </si>
  <si>
    <t>PSRT, PSJ3, PSBU on Cisco IPT Equipment for City University Of Hong Kong</t>
  </si>
  <si>
    <t>P CI/1968/MA/HW18</t>
  </si>
  <si>
    <t>10/06/19</t>
  </si>
  <si>
    <t>09/06/20</t>
  </si>
  <si>
    <t>12/06/19</t>
  </si>
  <si>
    <t>25/06/19</t>
  </si>
  <si>
    <t>FCS Computer Systems Limited</t>
  </si>
  <si>
    <t xml:space="preserve">Renewal of Support and Maintenance Services on FCS Products for Cordis Hong Kong </t>
  </si>
  <si>
    <t>P CI/2467/MA/CH19</t>
  </si>
  <si>
    <t>28/04/19</t>
  </si>
  <si>
    <t>27/04/20</t>
  </si>
  <si>
    <t>PSJ3, PSBU on Cisco IPT Equipment for Metlife Asia Limited</t>
  </si>
  <si>
    <t>P CI/2512/MA/JI19</t>
  </si>
  <si>
    <t>07/06/19</t>
  </si>
  <si>
    <t>31/12/20</t>
  </si>
  <si>
    <t>PSRT on Cisco IPT Equipment for The HK Polytechnic University / Prince Jewellery &amp; Watch Co</t>
  </si>
  <si>
    <t>16/06/20</t>
  </si>
  <si>
    <t>21/06/19</t>
  </si>
  <si>
    <t>PSUP, PSOP, PSBU, ECMU on Cisco IPT Equipment for Cordis HK ( Langham Place Hotel)</t>
  </si>
  <si>
    <t>06/07/19</t>
  </si>
  <si>
    <t>05//07/20</t>
  </si>
  <si>
    <t>27/06/19</t>
  </si>
  <si>
    <t>PSRT, PSBU, PSJ3 on Cisco IPT Equipment for Citic Capital Holdings Limited</t>
  </si>
  <si>
    <t>P CI/2609/MA/JI19</t>
  </si>
  <si>
    <t>14/08/19</t>
  </si>
  <si>
    <t>17/06/20</t>
  </si>
  <si>
    <t>18/06/19</t>
  </si>
  <si>
    <t>PSRT, PSBU, PSJ3, PSUP on Cisco IPT Products for Mari Cha Group Limited</t>
  </si>
  <si>
    <t>P CI/2663/MA/JI19</t>
  </si>
  <si>
    <t>30/06/19</t>
  </si>
  <si>
    <t>30/11/20</t>
  </si>
  <si>
    <t>20/06/19</t>
  </si>
  <si>
    <t>Purchase of Refurbished Cisco ATA187-I1-A for The Mari-Cha Group Ltd</t>
  </si>
  <si>
    <t>08/07/19</t>
  </si>
  <si>
    <t>PSRT on Cisco Products for City University Of HK / Ocean Park Corporation</t>
  </si>
  <si>
    <t>23/06/20</t>
  </si>
  <si>
    <t>14/01/20</t>
    <phoneticPr fontId="6" type="noConversion"/>
  </si>
  <si>
    <t>28/06/19</t>
  </si>
  <si>
    <t>PSRT, PSUP, PSJ3 on Cisco IPT Products for HK University Of Sccience &amp; Technology</t>
  </si>
  <si>
    <t>P CI/2534-MA-TW19</t>
  </si>
  <si>
    <t>01/06/19</t>
  </si>
  <si>
    <t>31/05/20</t>
  </si>
  <si>
    <t>3-6/19</t>
    <phoneticPr fontId="6" type="noConversion"/>
  </si>
  <si>
    <t>PSRT on Cisco IPT Equipment for Citic Capital Holdings Ltd / The HK Polytechnic University</t>
  </si>
  <si>
    <t>01/07/19</t>
  </si>
  <si>
    <t>30/06/20</t>
  </si>
  <si>
    <t>03/07/19</t>
  </si>
  <si>
    <t>Purchase of Refurbished CP7841 IP Phone for Mtce Service</t>
  </si>
  <si>
    <t>PSUP, PSBU, PSOP, PSRT on Cisco IPT Equipment for JW Marriott Hotel HK</t>
  </si>
  <si>
    <t>P CI/2109/MA/CH17</t>
  </si>
  <si>
    <t>31/03/20</t>
  </si>
  <si>
    <t>04/07/19</t>
  </si>
  <si>
    <t>PSRT on Cisco IPT Equipment for Ocean Park Corp / Citic Capital / China Construction Bank (Asia)</t>
  </si>
  <si>
    <t>07/07/20</t>
  </si>
  <si>
    <t>12/07/19</t>
  </si>
  <si>
    <t>PSRT, PSBU, PSUP on Cisco IPT Products for Vistra Hong Kong Ltd</t>
  </si>
  <si>
    <t>P CI/2590/MA/AW19</t>
  </si>
  <si>
    <t>12/12/19</t>
  </si>
  <si>
    <t>11/12/20</t>
  </si>
  <si>
    <t>10/07/19</t>
  </si>
  <si>
    <t>17/07/19</t>
  </si>
  <si>
    <t>PSRT, PSUP, PSBU on Cisco IPT Products for Mitsubishi UFJ Securities (HK) Ltd</t>
  </si>
  <si>
    <t>P CI/2554/MA/DC19</t>
  </si>
  <si>
    <t>29/08/20</t>
  </si>
  <si>
    <t>31/01/20</t>
    <phoneticPr fontId="6" type="noConversion"/>
  </si>
  <si>
    <t>23/07/19</t>
  </si>
  <si>
    <t>PSRT, PSJ2, PSUP,PSBU on Cisco IPT Products for Warner Music HK Ltd</t>
  </si>
  <si>
    <t>P CI/2210/MA/BS19</t>
  </si>
  <si>
    <t>01/09/19</t>
  </si>
  <si>
    <t>31/08/20</t>
  </si>
  <si>
    <t>19/07/19</t>
  </si>
  <si>
    <t>PSBU, PSJ3, PSRT on Cisco IPT Products for Ocean Park Corporation</t>
  </si>
  <si>
    <t>P CI/2587/MA/AW19</t>
  </si>
  <si>
    <t>PSRT, PSJ3, PSBU on Cisco IPT Equipment for Banco Bilbao Vizcaya Arrgentaria</t>
  </si>
  <si>
    <t>P CI/2607/MA/JI19</t>
  </si>
  <si>
    <t>26/06/19</t>
  </si>
  <si>
    <t>25/06/20</t>
  </si>
  <si>
    <t>31/07/19</t>
  </si>
  <si>
    <t>PSRT on Cisco IPT Products for City University / China Contruction Bank / Citic / Ocean Park / JW Marriott</t>
  </si>
  <si>
    <t>22/07/19</t>
  </si>
  <si>
    <t>21/07/20</t>
  </si>
  <si>
    <t>01/08/19</t>
  </si>
  <si>
    <t xml:space="preserve">PSUP, PSBU, SSSNP on F5 Eqpt for Essence Iinternational Essence </t>
  </si>
  <si>
    <t>2916WB010</t>
  </si>
  <si>
    <t>13/07/19</t>
  </si>
  <si>
    <t>12/07/20</t>
  </si>
  <si>
    <t>26/07/19</t>
  </si>
  <si>
    <t>Bestop Technology Development Limited</t>
  </si>
  <si>
    <t>Purchase of Recycle Toners C9730A, C9732A for LJ 5500dn (Rm 402)</t>
  </si>
  <si>
    <t>15/08/19</t>
    <phoneticPr fontId="6" type="noConversion"/>
  </si>
  <si>
    <t>07/08/19</t>
  </si>
  <si>
    <t>PSRT on Cisco IPT Products for Fairwood Fast Food Ltd / Ocean Park Corporation</t>
  </si>
  <si>
    <t>29/07/19</t>
  </si>
  <si>
    <t>28/07/20</t>
  </si>
  <si>
    <t>17/02/20</t>
    <phoneticPr fontId="6" type="noConversion"/>
  </si>
  <si>
    <t>665/19/001/PR</t>
    <phoneticPr fontId="0" type="noConversion"/>
  </si>
  <si>
    <t>09/08/19</t>
    <phoneticPr fontId="6" type="noConversion"/>
  </si>
  <si>
    <t>Printing Services</t>
    <phoneticPr fontId="0" type="noConversion"/>
  </si>
  <si>
    <t>Printing of name card for Howard Wong, Rick Ng &amp; Kevin Ting</t>
    <phoneticPr fontId="6" type="noConversion"/>
  </si>
  <si>
    <t>20/08/19</t>
    <phoneticPr fontId="6" type="noConversion"/>
  </si>
  <si>
    <t>09/08/19</t>
  </si>
  <si>
    <t>13/08/19</t>
  </si>
  <si>
    <t>PSRT on CP-7841-K9= for CEB International Investment Corporation Limited</t>
  </si>
  <si>
    <t>12/08/19</t>
  </si>
  <si>
    <t>11/08/20</t>
  </si>
  <si>
    <t>27/08/19</t>
  </si>
  <si>
    <t>PSRT, PSBU, PSJ1 on Cisco IPT Eqpt for Sunciti Manufacturers Ltd</t>
  </si>
  <si>
    <t>P CI/2701/MA/DC19</t>
  </si>
  <si>
    <t>16/08/19</t>
  </si>
  <si>
    <t>23/08/19</t>
  </si>
  <si>
    <t>PSRT on Cisco Products for The Chinese University Of Hong Kong</t>
  </si>
  <si>
    <t>19/08/19</t>
  </si>
  <si>
    <t>18/08/20</t>
  </si>
  <si>
    <t>SNTP, SNT on Cisco IPT Products for Fedex Trade Networks Transport &amp; Brokerage Hong Kong Ltd</t>
  </si>
  <si>
    <t>P CI/2529/MA/DC18</t>
  </si>
  <si>
    <t>22/08/19</t>
  </si>
  <si>
    <t>21/08/20</t>
  </si>
  <si>
    <t>PSRT on Cisco IPT Products for American Club / Mizuho Bank Ltd</t>
  </si>
  <si>
    <t>26/08/19</t>
  </si>
  <si>
    <t>25/08/20</t>
  </si>
  <si>
    <t>12/09/19</t>
  </si>
  <si>
    <t>PSRT, PSUP, PSBU on Cisco IPT Products for Fitch (Hong Kong) Limited</t>
  </si>
  <si>
    <t>P CI/2764/MA/DC19</t>
  </si>
  <si>
    <t>22/02/20</t>
  </si>
  <si>
    <t>21/02/21</t>
  </si>
  <si>
    <t>PSRT, PSJ3, PSBU on Cisco IPT Products for Caravel Resources Ltd</t>
  </si>
  <si>
    <t>P CI/2771/MA/DC19</t>
  </si>
  <si>
    <t>26/08/20</t>
  </si>
  <si>
    <t>30/08/19</t>
  </si>
  <si>
    <t>02/09/19</t>
  </si>
  <si>
    <t>PSRT on Cisco IPT Products for The American Club / The HK Poly U</t>
    <phoneticPr fontId="6" type="noConversion"/>
  </si>
  <si>
    <t>01/09/20</t>
  </si>
  <si>
    <t>Purchase of Refurbished Cisco Analogue Voice Gateway for City University</t>
  </si>
  <si>
    <t>L190801202TI</t>
    <phoneticPr fontId="6" type="noConversion"/>
  </si>
  <si>
    <t xml:space="preserve"> 06/09/19</t>
  </si>
  <si>
    <t>PSRT on Cisco IPT Products for The American Club, Codan</t>
  </si>
  <si>
    <t>09/09/19</t>
  </si>
  <si>
    <t>08/09/20</t>
  </si>
  <si>
    <t>10/09/19</t>
  </si>
  <si>
    <t>19/09/19</t>
  </si>
  <si>
    <t>PSBU, PSRT, PSUP, PSOP, ECMU on Cisco IPT Products for AIA Shared Services HK Ltd</t>
  </si>
  <si>
    <t>P CI/1988/MA3P/JI19</t>
  </si>
  <si>
    <t>11/03/20</t>
  </si>
  <si>
    <t>Purchase of Polycom SoundStation IP6000 for HKT</t>
  </si>
  <si>
    <t>04/06/20</t>
    <phoneticPr fontId="6" type="noConversion"/>
  </si>
  <si>
    <t>11/09/19</t>
  </si>
  <si>
    <t>Purchase of Refurbished Cisco VG224 For AIA</t>
  </si>
  <si>
    <t>13/09/19</t>
  </si>
  <si>
    <t>PSRT on CP-7942G for Ocean Park Corporation</t>
  </si>
  <si>
    <t>16/09/19</t>
  </si>
  <si>
    <t>15/09/20</t>
  </si>
  <si>
    <t>17/09/19</t>
  </si>
  <si>
    <t>PSBU on UNITYCN9-STD-USR for China Construction Bank Asia Corporation Ltd</t>
  </si>
  <si>
    <t>P CI/1455/MA/JI18</t>
  </si>
  <si>
    <t>31/12/19</t>
  </si>
  <si>
    <t>18/09/19</t>
  </si>
  <si>
    <t>09/10/19</t>
    <phoneticPr fontId="6" type="noConversion"/>
  </si>
  <si>
    <t>PSRT, PSBU on Cisco IPT Products for Metro Broadcast Corporation Limited</t>
  </si>
  <si>
    <t>P CI/2645/MA/BS19</t>
  </si>
  <si>
    <t>10/10/19</t>
  </si>
  <si>
    <t>PSRT, PSBU, PSJ3 on Cisco IPT Products for Citic Capital Holdings Limited</t>
  </si>
  <si>
    <t>P CI/2837/MA/DC18</t>
  </si>
  <si>
    <t>24/09/19</t>
  </si>
  <si>
    <t>PSRT, PSBU on Cisco IPT Products for Resources Global Professionals HK Ltd</t>
  </si>
  <si>
    <t>P CI/2857/MA/CE19</t>
  </si>
  <si>
    <t>25/09/19</t>
  </si>
  <si>
    <t>24/09/20</t>
  </si>
  <si>
    <t>26/09/19</t>
  </si>
  <si>
    <t>Purchase of Recycle Toners C9733A, C9730A for LJ 5500dn (Rm 402) change to CE505A Toner x Qty 4</t>
  </si>
  <si>
    <t>30/12/19</t>
  </si>
  <si>
    <t>27/09/19</t>
  </si>
  <si>
    <t>08/10/19</t>
  </si>
  <si>
    <t>PSRT on Cisco IPT for City University Of HK / Ocean Park Copr. / American Club</t>
  </si>
  <si>
    <t>30/19/19</t>
  </si>
  <si>
    <t>29/09/20</t>
  </si>
  <si>
    <t>29/10/19</t>
  </si>
  <si>
    <t>3-9/19</t>
    <phoneticPr fontId="6" type="noConversion"/>
  </si>
  <si>
    <t>PSBU, PSRT, PSUP on Cisco IPT Products for Mizuho Bank Ltd</t>
  </si>
  <si>
    <t>P CI/2845/MA/DC19</t>
  </si>
  <si>
    <t>17/12/19</t>
  </si>
  <si>
    <t>16/12/20</t>
  </si>
  <si>
    <t>02/04/20</t>
    <phoneticPr fontId="6" type="noConversion"/>
  </si>
  <si>
    <t>02/10/19</t>
  </si>
  <si>
    <t>11/10/19</t>
  </si>
  <si>
    <t>PSBU, ECMU, PSUP, SNTP on Cisco IPT Products for Crown Motors Ltd</t>
  </si>
  <si>
    <t>P CI/2847/MA/DC19</t>
  </si>
  <si>
    <t>21/12/19</t>
  </si>
  <si>
    <t>20/12/20</t>
  </si>
  <si>
    <t>04/10/19</t>
  </si>
  <si>
    <t>22/10/19</t>
  </si>
  <si>
    <t>PSRT on Cisco IPT Products for Metlife Asia Ltd / China Construction Bank Asia Corp</t>
  </si>
  <si>
    <t>24/10/19</t>
  </si>
  <si>
    <t>PSUP, PSRT, PSJ3, PSBU on Cisco IPT Products for Wing Lung Bank Ltd</t>
  </si>
  <si>
    <t>P CI/2835/MA/LA19</t>
  </si>
  <si>
    <t>09/10/19</t>
  </si>
  <si>
    <t>28/10/19</t>
  </si>
  <si>
    <t>PSUP, PSRT, ISV1, PSBU on Cisco IPT Products for HK Science &amp; Tech Parks Corp</t>
  </si>
  <si>
    <t>P CI/2904/MA/SA19</t>
  </si>
  <si>
    <t>30/09/22</t>
  </si>
  <si>
    <t>PSRT on Cisco IPT Products for China Construction Bank / Ocean Park Corp</t>
  </si>
  <si>
    <t>14/10/19</t>
  </si>
  <si>
    <t>13/10/20</t>
  </si>
  <si>
    <t>18/10/19</t>
  </si>
  <si>
    <t>23/10/19</t>
  </si>
  <si>
    <t>PSRT on City University / China Construction Bank / Chinese Estates Holdings Ltd</t>
  </si>
  <si>
    <t>21/10/19</t>
  </si>
  <si>
    <t>20/10/20</t>
  </si>
  <si>
    <t>25/10/19</t>
  </si>
  <si>
    <t>PSRT on Cisco IPT Products for Search Investment Group Ltd / Construction Industry Council</t>
  </si>
  <si>
    <t>27/10/20</t>
  </si>
  <si>
    <t>06/11/19</t>
  </si>
  <si>
    <t>PSUP on Cisco IPT Products for Mast Industries (Far East) Ltd</t>
  </si>
  <si>
    <t>P CI/3125/MA/DC19</t>
  </si>
  <si>
    <t>27/01/20</t>
  </si>
  <si>
    <t>26/01/21</t>
  </si>
  <si>
    <t>PSUP, PSRT, PSJ3, PSBU on Cisco IPT Products for The American Club</t>
  </si>
  <si>
    <t>P CI/2621/MA/BS19</t>
  </si>
  <si>
    <t>01/02/20</t>
  </si>
  <si>
    <t>31/01/21</t>
  </si>
  <si>
    <t>PSUP, PSRT on Cisco IPT Products for Siemens Industry Software Ltd</t>
  </si>
  <si>
    <t>P CI/2838/MA/DC19</t>
  </si>
  <si>
    <t>01/07/20</t>
  </si>
  <si>
    <t>30/06/21</t>
  </si>
  <si>
    <t>01/11/19</t>
  </si>
  <si>
    <t>PSRT on Cisco IPT Products for China Construction Bank/ Ocean Part Corp</t>
  </si>
  <si>
    <t>04/11/19</t>
  </si>
  <si>
    <t>03/11/20</t>
  </si>
  <si>
    <t>27/11/19</t>
  </si>
  <si>
    <t>PSRT on Cisco IPT Products for Johnson Matthey Pacific Ltd</t>
  </si>
  <si>
    <t>P CI/2921/MA/DC19</t>
  </si>
  <si>
    <t>30/04/20</t>
  </si>
  <si>
    <t>05/11/19</t>
  </si>
  <si>
    <t>08/11/19</t>
  </si>
  <si>
    <t>PSRT, PSJ3, ECMU, PSBU, SNT on Cisco IPT Equipment for City University Of Hong Kong</t>
  </si>
  <si>
    <t>P CI/2866/MA/TI190</t>
  </si>
  <si>
    <t>Purchase of Refurbished Cisco VG248 48-Port Analog Voice Gateway for City University Of HK</t>
  </si>
  <si>
    <t>Purchase of Refurbished Cisco VG-224, Cisco 7975, Cisco 8841 for City University Of HK</t>
  </si>
  <si>
    <t>26/11/19</t>
  </si>
  <si>
    <t>PSRT on CP-7942G= for China Construction Bank Asia Corporation Ltd</t>
  </si>
  <si>
    <t>11/01/19</t>
  </si>
  <si>
    <t>10/11/20</t>
  </si>
  <si>
    <t>18/11/19</t>
  </si>
  <si>
    <t xml:space="preserve"> </t>
    <phoneticPr fontId="6" type="noConversion"/>
  </si>
  <si>
    <t>22/11/19</t>
  </si>
  <si>
    <t>Purchase of Cisco Business Editon 7000M &amp; Accessories for Cisco IPT Lab Test (CAPEX)</t>
    <phoneticPr fontId="6" type="noConversion"/>
  </si>
  <si>
    <t>02/01/20</t>
    <phoneticPr fontId="6" type="noConversion"/>
  </si>
  <si>
    <t>PSRT on Cisco IPT Products for The American Club</t>
  </si>
  <si>
    <t>25/11/19</t>
  </si>
  <si>
    <t>24/11/20</t>
  </si>
  <si>
    <t>06/12/19</t>
  </si>
  <si>
    <t>20/12/19</t>
  </si>
  <si>
    <t>PSRT on Cisco IPT Products for HK Science &amp; Tech Parks Corp / Vistra (HK) Ltd / CDIB Capital Int'l (HK) Corp Ltd / Construction Industry Council / LVMH Perfumes &amp; Cosmetics Asia Pacific Ltd</t>
  </si>
  <si>
    <t>09/12/19</t>
  </si>
  <si>
    <t>08/12/20</t>
    <phoneticPr fontId="6" type="noConversion"/>
  </si>
  <si>
    <t>11/12/19</t>
  </si>
  <si>
    <t>.6760.17</t>
  </si>
  <si>
    <t>23/12/19</t>
  </si>
  <si>
    <t>PSRT, PSUP, PSBU on Cisco IPT Eqpt for CDIB Capital Int'l HK Corporation Ltd</t>
  </si>
  <si>
    <t>P CI/2956/WB/BS19</t>
  </si>
  <si>
    <t>10/12/19</t>
  </si>
  <si>
    <t>09/12/20</t>
  </si>
  <si>
    <t>15/05/20</t>
    <phoneticPr fontId="6" type="noConversion"/>
  </si>
  <si>
    <t>13/12/19</t>
  </si>
  <si>
    <t>PSRT on Cisco IPT Equipment for Dongxing Securities (HK) Co Ltd / Cosco Container Line Agencies Ltd</t>
  </si>
  <si>
    <t>16/12/19</t>
  </si>
  <si>
    <t>15/12/20</t>
  </si>
  <si>
    <t>29/01/20</t>
  </si>
  <si>
    <t>ECMU on Cisco IPT Equipment for The HK Polytechnic University</t>
  </si>
  <si>
    <t>P CI/3029/MA/KI19</t>
  </si>
  <si>
    <t>PSRT on Cisco IPT Equipment for Mizuho Bank Ltd</t>
  </si>
  <si>
    <t>P CI/3044/MA/DC19</t>
  </si>
  <si>
    <t>01/01/20</t>
  </si>
  <si>
    <t>PSRT CON-PSRT-CP8841K9 on CP-8841-K9 for Metlife Asia Limited</t>
  </si>
  <si>
    <t>22/12/20</t>
  </si>
  <si>
    <t>21/01/20</t>
  </si>
  <si>
    <t>PSJ7, PSUP, PSBU on Cisco IPT Equipment for The Dairy Farm Company Ltd</t>
  </si>
  <si>
    <t>P CI/3273/MA/JI19</t>
  </si>
  <si>
    <t>31/10/20</t>
  </si>
  <si>
    <t>23/01/20</t>
  </si>
  <si>
    <t>PSBU, PSRT, PSJ3 on Cisco IPT Equipment for The Open University Of HK</t>
  </si>
  <si>
    <t>P CI/3488/MA/SC19</t>
  </si>
  <si>
    <t>02/01/20</t>
  </si>
  <si>
    <t>01/01/21</t>
  </si>
  <si>
    <t>27/12/19</t>
  </si>
  <si>
    <t>PSRT on Cisco IPT Equipment for City University Of Hong Kong</t>
  </si>
  <si>
    <t>16/01/20</t>
  </si>
  <si>
    <t>3-12/19</t>
    <phoneticPr fontId="6" type="noConversion"/>
  </si>
  <si>
    <t>PSBU on Cisco IPT Equipment for Ocean Park Corporation</t>
  </si>
  <si>
    <t>24/12/19</t>
  </si>
  <si>
    <t>23/12/21</t>
  </si>
  <si>
    <t>03/01/20</t>
  </si>
  <si>
    <t>15/01/20</t>
  </si>
  <si>
    <t>PSRT on Cisco IPT Equipment for The Chinese University Of Hong Kong</t>
  </si>
  <si>
    <t>06/01/20</t>
  </si>
  <si>
    <t>05/01/21</t>
  </si>
  <si>
    <t>09/01/20</t>
  </si>
  <si>
    <t>07/02/20</t>
  </si>
  <si>
    <t>PSRT, PSJ3, PSUP, PSBU on Cisco IPT Equipment for Credit Agricole Corp And Investment Bank</t>
  </si>
  <si>
    <t>P CI/3580/WB/JI19</t>
  </si>
  <si>
    <t>29/03/20</t>
  </si>
  <si>
    <t>07/01/21</t>
  </si>
  <si>
    <t>11/06/20</t>
    <phoneticPr fontId="6" type="noConversion"/>
  </si>
  <si>
    <t>10/01/20</t>
  </si>
  <si>
    <t>20/01/20</t>
  </si>
  <si>
    <t>PSRT on CP-8841-K9= for HK Science &amp; Technology Parks Corp</t>
  </si>
  <si>
    <t>13/01/20</t>
  </si>
  <si>
    <t>12/01/21</t>
  </si>
  <si>
    <t>14/01/20</t>
  </si>
  <si>
    <t>06/02/20</t>
  </si>
  <si>
    <t>J02914, S25026</t>
  </si>
  <si>
    <t>PSRT on Cisco IPT Equipment for CSN Mining Asia Ltd</t>
  </si>
  <si>
    <t>P CI/3396/MA/DC19</t>
  </si>
  <si>
    <t>30/11/22</t>
  </si>
  <si>
    <t>26/03/20</t>
  </si>
  <si>
    <t>PSRT, PSJ3, PSBU, PSUP on Cisco IPT Equipment for Dongxing Securities (HK) Co Ltd</t>
  </si>
  <si>
    <t>P CI/2946/MA/JI19</t>
  </si>
  <si>
    <t>03/03/20</t>
  </si>
  <si>
    <t>02/03/21</t>
  </si>
  <si>
    <t>P.5</t>
  </si>
  <si>
    <t>03/07/20</t>
  </si>
  <si>
    <t>17/01/20</t>
  </si>
  <si>
    <t>10/02/20</t>
  </si>
  <si>
    <t>PSRT, PSJ3, PSBU on Cisco IPT Equipment for China construction Bank Asia Corp Ltd</t>
  </si>
  <si>
    <t>P CI/3278/MA/JI19</t>
  </si>
  <si>
    <t>20/02/20</t>
  </si>
  <si>
    <t>PSBU on Cisco IPT Equipment for Olympus Corporation Of Asia Pacific Ltd</t>
  </si>
  <si>
    <t>L191202377BN</t>
  </si>
  <si>
    <t>16/01/21</t>
  </si>
  <si>
    <t>18/02/20</t>
  </si>
  <si>
    <t>PSRT on Cisco IPT Equipment for Promise Consulting Service (Shen Zhen) Co Ltd</t>
  </si>
  <si>
    <t>L190901208SA</t>
  </si>
  <si>
    <t>22/01/20</t>
  </si>
  <si>
    <t>Purchase of Refurbished ATA187-I1A=, VG224, VG204 for CCBA</t>
  </si>
  <si>
    <t>07/01/21</t>
    <phoneticPr fontId="6" type="noConversion"/>
  </si>
  <si>
    <t>24/01/20</t>
  </si>
  <si>
    <t>PSBU, PSJ3, PSRT on Cisco IPT Products for Lipman Karas</t>
  </si>
  <si>
    <t>P CI/2800/MA/BS19</t>
  </si>
  <si>
    <t>23/01/21</t>
  </si>
  <si>
    <t>03/02/20</t>
  </si>
  <si>
    <t>13/02/20</t>
  </si>
  <si>
    <t>PSRT on Cisco IPT Equipment for Ocean Park Corporation</t>
  </si>
  <si>
    <t>10/08/20</t>
  </si>
  <si>
    <t>27/03/20</t>
  </si>
  <si>
    <t>PSRT, PSJ2, PSBU on Cisco IPT Equipment for Buspak Advertising (Hong Kong) Ltd</t>
  </si>
  <si>
    <t>P CI/3182/MA/FF19</t>
  </si>
  <si>
    <t>PSRT on Cisco IPT Equipment for City University Of Hong Kong / Ocean Park Corp</t>
  </si>
  <si>
    <t>09/02/21</t>
  </si>
  <si>
    <t>12/02/20</t>
  </si>
  <si>
    <t>09/10/20</t>
  </si>
  <si>
    <t>MTS Asia Ltd</t>
  </si>
  <si>
    <t>Annual Maintenance Service Charge of TEM for Chinese Estates Holdings Ltd</t>
  </si>
  <si>
    <t>P CI/2935/MA/BS19</t>
  </si>
  <si>
    <t>16/03/20</t>
  </si>
  <si>
    <t xml:space="preserve">Austin Hughes </t>
  </si>
  <si>
    <t>Annual Maintenance on UC-600 Industrial PC System for Chinese Estates Holdings Ltd</t>
  </si>
  <si>
    <t>21/09/20</t>
    <phoneticPr fontId="6" type="noConversion"/>
  </si>
  <si>
    <t>06/03/20</t>
  </si>
  <si>
    <t>PSJ3, PSBU, PSUP, PSRT on Cisco IPT Equipment for Chinese Estates Holdings Ltd</t>
  </si>
  <si>
    <t>12/02/21</t>
  </si>
  <si>
    <t>14/02/20</t>
  </si>
  <si>
    <t>09/03/20</t>
  </si>
  <si>
    <t>PSUP, PSRT, PSJ1, PSBU on Cisco IPT Equipment for Fairwood Fast Food Ltd</t>
  </si>
  <si>
    <t>P CI/2890/MA/BS19</t>
  </si>
  <si>
    <t>25/04/20</t>
  </si>
  <si>
    <t>24/04/21</t>
  </si>
  <si>
    <t>21/02/20</t>
  </si>
  <si>
    <t>PSRT on Cisco IPT Equipment for Citic Capital Holdings Ltd</t>
  </si>
  <si>
    <t>24/02/20</t>
  </si>
  <si>
    <t>23/02/21</t>
  </si>
  <si>
    <t>25/02/20</t>
  </si>
  <si>
    <t>PSJ7, SNTP on Cisco IPT Equipment for Commonwealth Bank Of Australia HK Branch</t>
  </si>
  <si>
    <t>L191101295MG &amp; H191100260MG</t>
  </si>
  <si>
    <t>15/11/20</t>
  </si>
  <si>
    <t>18/03/20</t>
  </si>
  <si>
    <t>PSJ3, PSBU, PSUP on Cisco IPT Equipment for Vitasoy International Holdings Ltd</t>
  </si>
  <si>
    <t>P CI/3075/WA/DC19</t>
  </si>
  <si>
    <t>10/09/20</t>
    <phoneticPr fontId="6" type="noConversion"/>
  </si>
  <si>
    <t>20/03/20</t>
  </si>
  <si>
    <t>PSRT on Cisco IPT Equipment for LVMH Perfumes &amp; Cosmetics Asia Pacific Ltd</t>
  </si>
  <si>
    <t>P CI/2546/MA/DC19</t>
  </si>
  <si>
    <t>08/05/20</t>
  </si>
  <si>
    <t>PSJ3, PSBU, PSRT on Cisco IPT Equipment for Bollore Logistics Hong Kong</t>
  </si>
  <si>
    <t>L200201511CO</t>
  </si>
  <si>
    <t>19/02/21</t>
  </si>
  <si>
    <t>PSJ1, ECMU, PSRT on Cisco IPT Equipment for Lee Kum Kee International Holdings Ltd</t>
  </si>
  <si>
    <t>P CI/3121/MA/DC19</t>
  </si>
  <si>
    <t>04/03/20</t>
  </si>
  <si>
    <t>03/03/21</t>
  </si>
  <si>
    <t>PSRT on Cisco IPT Equipment for Perfumes Christian Dior HK Ltd C/O Makeup Forever</t>
  </si>
  <si>
    <t>P CI/2671/MA/DC19</t>
  </si>
  <si>
    <t>05/03/20</t>
  </si>
  <si>
    <t>PSJ3, PSBU, PSRT, PSUP on Cisco IPT Equipment for CEB International Investment Corporation Limited</t>
  </si>
  <si>
    <t>P CI/3211/MA/JI19</t>
  </si>
  <si>
    <t>12/04/20</t>
  </si>
  <si>
    <t>11/04/21</t>
  </si>
  <si>
    <t>13/03/20</t>
  </si>
  <si>
    <t>PSRT on CP-7821-K9= for The Chinese Universtiy Of Hong Kong</t>
  </si>
  <si>
    <t>15/03/21</t>
  </si>
  <si>
    <t>19/03/20</t>
  </si>
  <si>
    <t>15/04/20</t>
  </si>
  <si>
    <t>SNT, ISV1, PSBU, PSUP on Cisco IPT Equp for LVMH Perfumes &amp; Cosmetics Asia Pacific Limited</t>
  </si>
  <si>
    <t>P CI/3123/MA/DC19</t>
  </si>
  <si>
    <t>24/03/21</t>
  </si>
  <si>
    <t>30/03/20</t>
  </si>
  <si>
    <t>23/03/20</t>
  </si>
  <si>
    <t>01/04/20</t>
  </si>
  <si>
    <t>Purchase of Refurbished CP-PWR-CUBE-3 IP Phone Power Transformer for SCMP</t>
  </si>
  <si>
    <t>P CI/3268/MA/LA19</t>
  </si>
  <si>
    <t>02/04/20</t>
  </si>
  <si>
    <t>01/03/20</t>
  </si>
  <si>
    <t>31/03/22</t>
  </si>
  <si>
    <t>03/04/20</t>
  </si>
  <si>
    <t>1-3/20</t>
    <phoneticPr fontId="6" type="noConversion"/>
  </si>
  <si>
    <t>PSRT on Cisco IPT Equipment for China Construction Bank / The Dairy Farm Co Ltd / HK Scence &amp; Technology Parks Corp</t>
  </si>
  <si>
    <t>29/03/21</t>
  </si>
  <si>
    <t>08/04/20</t>
  </si>
  <si>
    <t>PSRT on Cisco IPT Equipment for Sucden Asia</t>
  </si>
  <si>
    <t>L200301820MD</t>
  </si>
  <si>
    <t>31/03/21</t>
  </si>
  <si>
    <t>14/04/20</t>
  </si>
  <si>
    <t>PSBU, SNT, PSRT, PSJ1 on Cisco IPT Equipment for Codan Management HK Ltd</t>
  </si>
  <si>
    <t>P CI/3160/MA/BS19</t>
  </si>
  <si>
    <t>25/03/21</t>
  </si>
  <si>
    <t>PSUP, PSRT on Cisoc IPT Equipment, CUS: Bally GC Refail Company Ltd</t>
  </si>
  <si>
    <t>P CI/3199/MA/BS19</t>
  </si>
  <si>
    <t>06/04/20</t>
  </si>
  <si>
    <t>05/04/21</t>
  </si>
  <si>
    <t>07/04/20</t>
  </si>
  <si>
    <t>PSRT, PSBU on Cisco IPT Equipment for COSCO Shipping Container Line Agencies Ltd</t>
  </si>
  <si>
    <t>L200390063MD</t>
  </si>
  <si>
    <t>PSRT on Cisco IPT Equipment for China Construction Bank (Asia) Corporation Ltd</t>
  </si>
  <si>
    <t>22/04/20</t>
  </si>
  <si>
    <t>L191201928SA</t>
  </si>
  <si>
    <t>18/05/20</t>
  </si>
  <si>
    <t>17/05/21</t>
  </si>
  <si>
    <t>23/04/20</t>
  </si>
  <si>
    <t>PSBU, PSRT, PSUP on Cisco IPT Equipment for LVMH Perfumes &amp; Cosmetics Asia Pacific Ltd</t>
  </si>
  <si>
    <t>P CI/3577/WA/DC19</t>
  </si>
  <si>
    <t>13/04/21</t>
  </si>
  <si>
    <t>PSRT on Cisco IPT Equipment for The Dairy Farm Co Ltd / Citic Capital Holdings Ltd</t>
  </si>
  <si>
    <t>19/04/21</t>
  </si>
  <si>
    <t>PSRT, PSBU, PSUP, PSJ3 on Cisco IPT Equipment for Walgreens Boots Alliance Asia Sourcing Limited</t>
  </si>
  <si>
    <t>P CI/3436/MA/DC19</t>
  </si>
  <si>
    <t>21/04/21</t>
  </si>
  <si>
    <t>26/05/20</t>
  </si>
  <si>
    <t>PSBU, PSJ3, PSRT on Cisco IPT Equipment for Pricerite Marketing Ltd</t>
  </si>
  <si>
    <t>P CI/3433/MA/LA20</t>
  </si>
  <si>
    <t>20/04/21</t>
  </si>
  <si>
    <t>19/10/20</t>
    <phoneticPr fontId="6" type="noConversion"/>
  </si>
  <si>
    <t>PSRT on Cisco IPT Equipment for JW Marriott Hotel / The American Club / Conyers Corp. Service (HK) Ltd</t>
  </si>
  <si>
    <t>26/04/21</t>
  </si>
  <si>
    <t>29/04/20</t>
  </si>
  <si>
    <t>PSRT on Cisco IPT Equipment for Ocean Park Corporaton / City University Of Hong Kong</t>
  </si>
  <si>
    <t>04/05/20</t>
  </si>
  <si>
    <t>03/05/21</t>
  </si>
  <si>
    <t>12/05/20</t>
  </si>
  <si>
    <t>PSRT, PSUS, PSJ1 on Cisco IPT Equipment for Pepsico Beverages HK Ltd</t>
  </si>
  <si>
    <t>P CI/3575/MA/DC19</t>
  </si>
  <si>
    <t>01/05/20</t>
  </si>
  <si>
    <t>19/05/20</t>
  </si>
  <si>
    <t>PSRT on Cisco IPT Equipment for Vaford / Vistra / Dongxing</t>
  </si>
  <si>
    <t>11/05/20</t>
  </si>
  <si>
    <t>10/05/21</t>
  </si>
  <si>
    <t>25/05/20</t>
  </si>
  <si>
    <t>PSBU, PSRT, PSUP on Cisco IPT Equipment for Media Publishing Ltd</t>
  </si>
  <si>
    <t>P CI/3352/MA/BS20</t>
  </si>
  <si>
    <t>03/05/20</t>
  </si>
  <si>
    <t>02/05/21</t>
  </si>
  <si>
    <t>PSUP on Cisco IPT Equipment for JHC International Ltd</t>
  </si>
  <si>
    <t>L200400779JC</t>
  </si>
  <si>
    <t>11/05/22</t>
  </si>
  <si>
    <t>Standard Spirit Technology Limited</t>
  </si>
  <si>
    <t>Purchase of Refurbished Cisco Unified IP Endpoint 9951 for HKT Spare Parts</t>
  </si>
  <si>
    <t>09/02/21</t>
    <phoneticPr fontId="6" type="noConversion"/>
  </si>
  <si>
    <t>15/05/20</t>
  </si>
  <si>
    <t>PSRT on Cisco IPT Equipment for City University of Hong Kong</t>
  </si>
  <si>
    <t>29/05/20</t>
  </si>
  <si>
    <t>PSBU, PSUP, PSRT on Cisco IPT Equipment for G.A. Operations Hong Kong Ltd</t>
  </si>
  <si>
    <t>P CI/3105/MA/BS19</t>
  </si>
  <si>
    <t>05/07/20</t>
  </si>
  <si>
    <t>04/07/21</t>
  </si>
  <si>
    <t>PSBU, PSUP, PSRT on Cisco IPT Equipment for Warner Music HK Ltd</t>
  </si>
  <si>
    <t>P CI/3233/MA/BS20</t>
  </si>
  <si>
    <t>31/08/21</t>
  </si>
  <si>
    <t>20/05/20</t>
  </si>
  <si>
    <t>22/05/20</t>
  </si>
  <si>
    <t>P CI/3449/MA/FF20</t>
  </si>
  <si>
    <t>28/05/20</t>
  </si>
  <si>
    <t>27/07/21</t>
  </si>
  <si>
    <t>21/05/20</t>
  </si>
  <si>
    <t>PSUP on Cisco IPT Equipment for SF DHL Supply Chain (HK) Ltd</t>
  </si>
  <si>
    <t>L200590125TI</t>
  </si>
  <si>
    <t>20/05/21</t>
  </si>
  <si>
    <t>PSRT on CP-7811-K9= for Fairwood Fast Food Ltd</t>
  </si>
  <si>
    <t>24/05/21</t>
  </si>
  <si>
    <t>P CI/3568/MA/TI20</t>
  </si>
  <si>
    <t>24/05/20</t>
  </si>
  <si>
    <t>23/05/21</t>
  </si>
  <si>
    <t>08/06/20</t>
  </si>
  <si>
    <t>PSRT on CP-7942G= for JW Marriott Hotel Hong Kong</t>
  </si>
  <si>
    <t>01/06/20</t>
  </si>
  <si>
    <t>PSBU, PSUP, PSJD7 on Cisco IPT Equipment for Natonal Australia Bank Ltd</t>
  </si>
  <si>
    <t>P CI/3670/WA/JI19</t>
  </si>
  <si>
    <t>23/06/21</t>
  </si>
  <si>
    <t>PSBU, PSRT, PSOP, PSUP on Cisco IPT Equipment for JW Marriott Hotel Hong Kong</t>
  </si>
  <si>
    <t>P CI/3122/MA/FF19</t>
  </si>
  <si>
    <t>28/02/21</t>
  </si>
  <si>
    <t>02/06/20</t>
  </si>
  <si>
    <t>PSBU on Cisco IPT Equipment for Hong Kong Housing Society</t>
  </si>
  <si>
    <t>P CI/4009/WB/SD20</t>
  </si>
  <si>
    <t>PSBU, PSUP, PSRT on Cisco IPT Equipment for Vistra Hong Kong Ltd</t>
  </si>
  <si>
    <t>P CI/3645/MA/MG19</t>
  </si>
  <si>
    <t>25/09/20</t>
  </si>
  <si>
    <t>24/09/21</t>
  </si>
  <si>
    <t>22/06/20</t>
  </si>
  <si>
    <t>ECMU, PSOP, PSBU, PSRT, PSUP on Cisco IPT Equipment for Cordis Hong Kong</t>
  </si>
  <si>
    <t>06/07/20</t>
  </si>
  <si>
    <t>31/07/21</t>
  </si>
  <si>
    <t>11/11/20</t>
    <phoneticPr fontId="6" type="noConversion"/>
  </si>
  <si>
    <t>04/06/20</t>
  </si>
  <si>
    <t>15/06/20</t>
  </si>
  <si>
    <t>PSBU, PSUP, PSBU on Cisco IPT Equipment for Benefit Cosmetics HK Ltd (LVMH)</t>
  </si>
  <si>
    <t>P CI/3089/MA/DC19</t>
  </si>
  <si>
    <t>24/07/20</t>
  </si>
  <si>
    <t>23/07/21</t>
  </si>
  <si>
    <t>05/06/20</t>
  </si>
  <si>
    <t>PSRT on Cisco IPT Equipment for City University of HK / Ocean Park Corporation</t>
  </si>
  <si>
    <t>07/06/21</t>
  </si>
  <si>
    <t>PSBU on Cisco IPT Equipment for Daiwa Capital Markets Hong Kong Limited</t>
  </si>
  <si>
    <t>P CI/4005/WA/DC20</t>
  </si>
  <si>
    <t>02/06/21</t>
  </si>
  <si>
    <t>19/06/20</t>
  </si>
  <si>
    <t>iConnect System Limited</t>
  </si>
  <si>
    <t>Annual Maintenance for iConnect CAS for Daiwa Capital Markets HK Ltd</t>
  </si>
  <si>
    <t>P CI/3530/WA/DC19</t>
  </si>
  <si>
    <t>31/05/21</t>
  </si>
  <si>
    <t>05/01/21</t>
    <phoneticPr fontId="6" type="noConversion"/>
  </si>
  <si>
    <t>PSBU, PSUP, PSJ3, PSRT on Cisco IPT Equipment for Daiwa Capital Markets HK Ltd</t>
  </si>
  <si>
    <t>19/05/21</t>
  </si>
  <si>
    <t>12/06/20</t>
    <phoneticPr fontId="6" type="noConversion"/>
  </si>
  <si>
    <t>14/06/21</t>
  </si>
  <si>
    <t>11/06/20</t>
  </si>
  <si>
    <t>24/06/20</t>
  </si>
  <si>
    <t>PSBU, PSUP, PSJ3 on Cisco IPT Equipment for The HK University Of Science &amp; Technology</t>
  </si>
  <si>
    <t>P CI/3539/MA/SD19</t>
  </si>
  <si>
    <t>PSBU, PSUP, PSRT on Cisco IPT Equipment for Laserfiche Internatonal Ltd</t>
  </si>
  <si>
    <t>P CI/3457/MA/BS20</t>
  </si>
  <si>
    <t>13/06/20</t>
  </si>
  <si>
    <t>12/06/21</t>
  </si>
  <si>
    <t>18/06/20</t>
  </si>
  <si>
    <t>PSRT on Cisco IPT Equipment for Metro Broadcast Corporation Limited</t>
  </si>
  <si>
    <t>P CI/3619/MA/SD19</t>
  </si>
  <si>
    <t>16/09/20</t>
  </si>
  <si>
    <t>15/09/21</t>
  </si>
  <si>
    <t>PSRT on Cisco IPT Equipment for HK Housing / DongXing / China Construction Bank (Asia) Corp</t>
  </si>
  <si>
    <t>21/06/21</t>
  </si>
  <si>
    <t>PSUP on Cisco IPT Equipment for Asco General Supplies Far East Ltd</t>
  </si>
  <si>
    <t>P CI/4177/WB/DC20</t>
  </si>
  <si>
    <t>PSBU, PSUP on Cisco IPT Equipment for Esquel Enterprises Ltd</t>
  </si>
  <si>
    <t>G200690078TI</t>
  </si>
  <si>
    <t>09/07/20</t>
  </si>
  <si>
    <t>PSRT on Cisco IPT Equipment for The American Club / Fairwood Fast Food Ltd / HK Housing Society</t>
  </si>
  <si>
    <t>29/06/20</t>
  </si>
  <si>
    <t>28/06/21</t>
  </si>
  <si>
    <t>13/07/20</t>
  </si>
  <si>
    <t>PSRT, PSJ1 on Cisco IPT Equipment for The ISF Academy Limited</t>
  </si>
  <si>
    <t>P CI/2816/MA/IL19</t>
  </si>
  <si>
    <t>26/06/20</t>
  </si>
  <si>
    <t xml:space="preserve"> 1-6/20</t>
    <phoneticPr fontId="6" type="noConversion"/>
  </si>
  <si>
    <t>PSUP, PSRT, PSBU, PSJ3 on Cisco IPT Equipment for The Dairy Farm Co Ltd</t>
  </si>
  <si>
    <t>P CI/3392/MA/JI19</t>
  </si>
  <si>
    <t>02/07/20</t>
  </si>
  <si>
    <t>PSBU on Cisco IPT Equipment for CMB Wing Lung Bank Limited</t>
  </si>
  <si>
    <t>P CI/2853/MA/LA19</t>
  </si>
  <si>
    <t>18/01/21</t>
    <phoneticPr fontId="6" type="noConversion"/>
  </si>
  <si>
    <t>14/07/20</t>
  </si>
  <si>
    <t>PSRT on Cisco IPT Equipment for City University Of HK / China Construction Bank Asia Corp Ltd</t>
  </si>
  <si>
    <t>05/07/21</t>
  </si>
  <si>
    <t>PSBU, PSRT, PSJ3 on Cisco IPT Equipment for Banco Bilbao Vizcaya Argentaria, S.A.</t>
  </si>
  <si>
    <t>P CI/3635/MA/JI19</t>
  </si>
  <si>
    <t>25/06/21</t>
  </si>
  <si>
    <t>Purchase of Refurbished Cisco Unified 7937G IP Conference Station</t>
  </si>
  <si>
    <t>17/11/20</t>
    <phoneticPr fontId="6" type="noConversion"/>
  </si>
  <si>
    <t>10/07/20</t>
  </si>
  <si>
    <t>17/07/20</t>
  </si>
  <si>
    <t>PSRT on Cisco IPT Equipment for HKHousing Society / The American Club / Ocean Park Corp</t>
  </si>
  <si>
    <t>12/07/21</t>
  </si>
  <si>
    <t>PSRT on CP-8811-K9= for China Construction Bank (Asia) Corporation Limited</t>
  </si>
  <si>
    <t>20/07/20</t>
  </si>
  <si>
    <t>19/07/21</t>
  </si>
  <si>
    <t>22/07/20</t>
  </si>
  <si>
    <t>PSBU, PSRT, PSUP on Cisco IPT Equipment for C-Bridge Capital Investment Advisor Ltd</t>
  </si>
  <si>
    <t>P CI/3363/WAWA/MT19</t>
  </si>
  <si>
    <t>20/07/21</t>
  </si>
  <si>
    <t>27/07/20</t>
  </si>
  <si>
    <t>05/08/20</t>
  </si>
  <si>
    <t/>
  </si>
  <si>
    <t>P CI/3669/MA/DC20</t>
  </si>
  <si>
    <t>26/07/21</t>
  </si>
  <si>
    <t>29/07/20</t>
  </si>
  <si>
    <t>PSBU on Cisco IPT Equipment for China Construction Bank (Asia) Corp Ltd</t>
  </si>
  <si>
    <t>P CI/3727/MA/JI19</t>
  </si>
  <si>
    <t>29/07/21</t>
  </si>
  <si>
    <t xml:space="preserve">  </t>
    <phoneticPr fontId="6" type="noConversion"/>
  </si>
  <si>
    <t>06/08/20</t>
  </si>
  <si>
    <t>PSBU, PSRT on Cisco IPT Equipment for J.CHOO (Asia) Limited</t>
  </si>
  <si>
    <t>P CI/3606/WA/JC20</t>
  </si>
  <si>
    <t>03/08/20</t>
  </si>
  <si>
    <t>PSRT on Cisco IPT Equipment for The Chinese University / City U / Ocean Park Corp</t>
  </si>
  <si>
    <t>02/08/21</t>
  </si>
  <si>
    <t>PSBU, SNT on Cisco IPT Equipment for Fedex Trade Networks Transport &amp; Brokerage (HK) Ltd</t>
  </si>
  <si>
    <t>P CI/3534/MA/GW19</t>
  </si>
  <si>
    <t>10/08/21</t>
  </si>
  <si>
    <t>12/08/20</t>
  </si>
  <si>
    <t>PSJ3, PSBU, PSUP on Cisco IPT Equipment for Ocean Park Corporation</t>
  </si>
  <si>
    <t>P CI/3661/MA/FF20</t>
  </si>
  <si>
    <t>11/08/21</t>
  </si>
  <si>
    <t>13/08/20</t>
  </si>
  <si>
    <t>27/08/20</t>
  </si>
  <si>
    <t>17/08/20</t>
  </si>
  <si>
    <t>Purchase of Refurbished CISCO2851, VWIC2 for Tomy Hong Kong Limited</t>
  </si>
  <si>
    <t>L200790148TI</t>
    <phoneticPr fontId="6" type="noConversion"/>
  </si>
  <si>
    <t>1708/20</t>
  </si>
  <si>
    <t>PSRT, PSBU on Cisco IPT Equipment for Resources Global Professionals HK Ltd</t>
  </si>
  <si>
    <t>P CI/3929/MA/AT20</t>
  </si>
  <si>
    <t>20/08/20</t>
  </si>
  <si>
    <t>28/08/20</t>
  </si>
  <si>
    <t>PSRT, PSBU, PSUP on Cisco IPT Products for Mizuho Bank Ltd</t>
  </si>
  <si>
    <t>P CI/3921/MA/DC20</t>
  </si>
  <si>
    <t>17/12/20</t>
  </si>
  <si>
    <t>16/12/21</t>
  </si>
  <si>
    <t>03/09/20</t>
  </si>
  <si>
    <t>PSRT on Cisco IPT Equipment for Vistra Group Management / China Construction Bank (Asia) Corp Ltd</t>
  </si>
  <si>
    <t>09/09/20</t>
  </si>
  <si>
    <t>PSRT on Cisco IPT Equipment for Schenker International HK Ltd</t>
  </si>
  <si>
    <t>L200801014MD</t>
  </si>
  <si>
    <t>PSRT, PSUP, PSBU on Cisco IPT Eqpt for MUFG Securities Asia Ltd</t>
  </si>
  <si>
    <t>P CI/3869/MA/DC20</t>
  </si>
  <si>
    <t>30/08/20</t>
  </si>
  <si>
    <t>PSUP, PSBU, SSSNT on Cisco IPT Eqpt for Essence Inernational Financial Holdings Ltd</t>
  </si>
  <si>
    <t>P CI/3759/MA/BS20</t>
  </si>
  <si>
    <t>18/09/20</t>
  </si>
  <si>
    <t>PSUP, PSBU, PSRT on Cisco IPT Equipment for Mari-Cha Group Ltd</t>
  </si>
  <si>
    <t>P CI/4050/MA/JI20</t>
  </si>
  <si>
    <t>01/12/20</t>
  </si>
  <si>
    <t>30/11/21</t>
  </si>
  <si>
    <t>11/02/21</t>
  </si>
  <si>
    <t>04/09/20</t>
  </si>
  <si>
    <t>11/09/20</t>
  </si>
  <si>
    <t>PSRT on Cisco IPT Equipment for Vistra Group Management (Asia) Ltd / HK Housing Society</t>
  </si>
  <si>
    <t>26/08/21</t>
  </si>
  <si>
    <t>PSUP on Cisco IPT Equipment for Perfumes Christian Dior HK Ltd C O Markeup Forever</t>
  </si>
  <si>
    <t>P CI/3738/MA/DC19</t>
  </si>
  <si>
    <t>13/05/21</t>
  </si>
  <si>
    <t>17/09/20</t>
  </si>
  <si>
    <t>P CI/3896/MA/LA20</t>
  </si>
  <si>
    <t>14/03/21</t>
  </si>
  <si>
    <t>13/03/22</t>
  </si>
  <si>
    <t>11/09/20</t>
    <phoneticPr fontId="6" type="noConversion"/>
  </si>
  <si>
    <t>21/09/20</t>
  </si>
  <si>
    <t>PSRT on Cisco IPT Equipment for City U / JW Marriott / The American Club / HK Housing Society</t>
  </si>
  <si>
    <t>14/09/20</t>
  </si>
  <si>
    <t>13/09/21</t>
  </si>
  <si>
    <t>PSUP, PSBU, PSRT on Cisco IPT Equipment for Guerlain (Asia Pacific) Ltd</t>
  </si>
  <si>
    <t>P CI/3108/MA/DC19</t>
  </si>
  <si>
    <t>28/09/20</t>
  </si>
  <si>
    <t>PSBU, PSUP, PSJ3 on Cisco IPT Equipment for Crown Motors Ltd</t>
  </si>
  <si>
    <t>P CI/3897/MA/DC20</t>
  </si>
  <si>
    <t>01/10/20</t>
  </si>
  <si>
    <t>30/09/21</t>
  </si>
  <si>
    <t>PSRT on Cisco IPT Equipment for The American Club / China Construction Bank / HK Housing Society</t>
  </si>
  <si>
    <t>20/09/21</t>
  </si>
  <si>
    <t>27/10/20</t>
    <phoneticPr fontId="6" type="noConversion"/>
  </si>
  <si>
    <t>Qast Systems Solutions Inc</t>
  </si>
  <si>
    <t>1 Year Maintenance and Support on Titan FTP Server for AIA Shared Services (HK) Ltd</t>
  </si>
  <si>
    <t>P CI/3863/MA4P/JI20</t>
  </si>
  <si>
    <t>17/08/21</t>
  </si>
  <si>
    <t>22/09/20</t>
  </si>
  <si>
    <t>06/10/20</t>
  </si>
  <si>
    <t>"</t>
  </si>
  <si>
    <t>07/10/20</t>
  </si>
  <si>
    <t>PSBU, PSRT on Cisco IPT Equipment for Fresh F21C Hong Kong Ltd</t>
  </si>
  <si>
    <t>P CI/3103B/MA/DC19</t>
  </si>
  <si>
    <t>27/09/21</t>
  </si>
  <si>
    <t>30/09/20</t>
  </si>
  <si>
    <t>14/10/20</t>
  </si>
  <si>
    <t xml:space="preserve"> 1-9/20</t>
    <phoneticPr fontId="6" type="noConversion"/>
  </si>
  <si>
    <t>05/10/20</t>
  </si>
  <si>
    <t>04/10/21</t>
  </si>
  <si>
    <t>15/10/20</t>
  </si>
  <si>
    <t>12/10/20</t>
  </si>
  <si>
    <t>11/10/21</t>
  </si>
  <si>
    <t>21/10/20</t>
  </si>
  <si>
    <t>PSRT, PSJ1 on Cisco IPT Equipment for Olympus Corporation Of Asia Pacific Ltd</t>
  </si>
  <si>
    <t>P CI/4141A/MA/DC20</t>
  </si>
  <si>
    <t>13/10/21</t>
  </si>
  <si>
    <t>17/03/21</t>
    <phoneticPr fontId="6" type="noConversion"/>
  </si>
  <si>
    <t>16/10/20</t>
  </si>
  <si>
    <t>28/10/20</t>
  </si>
  <si>
    <t>PSRT on Cisco IPT Equipment for Dongxing Securities (HK) Co Ltd / China Construction Bank Asia Corporation Ltd</t>
  </si>
  <si>
    <t>19/10/20</t>
  </si>
  <si>
    <t>18/10/21</t>
  </si>
  <si>
    <t>30/10/20</t>
  </si>
  <si>
    <t>PSRT on Cisco IPT Equipment for CEB International / Ocean Park Corporation</t>
  </si>
  <si>
    <t>26/10/20</t>
  </si>
  <si>
    <t>25/10/21</t>
  </si>
  <si>
    <t>09/11/20</t>
  </si>
  <si>
    <t>PSRT on Cisco IPT Equipment for The American Club</t>
  </si>
  <si>
    <t>02/11/21</t>
  </si>
  <si>
    <t>01/11/21</t>
  </si>
  <si>
    <t>09/04/21</t>
    <phoneticPr fontId="6" type="noConversion"/>
  </si>
  <si>
    <t>02/11/20</t>
  </si>
  <si>
    <t>28/12/20</t>
  </si>
  <si>
    <t>PSRT, PSJ3, PSUP, PSBU on Cisco IPT Equipment for Top Form International Ltd</t>
  </si>
  <si>
    <t>L201090099JC</t>
  </si>
  <si>
    <t>08/10/21</t>
  </si>
  <si>
    <t>05/11/20</t>
  </si>
  <si>
    <t>23/11/20</t>
    <phoneticPr fontId="6" type="noConversion"/>
  </si>
  <si>
    <t>Maintenance Service Renewal of TEM License for KGI Hong Kong Limited</t>
  </si>
  <si>
    <t>P CI/3914/WA/CO20</t>
  </si>
  <si>
    <t>19/11/20</t>
  </si>
  <si>
    <t>Purchase of Refurbished P/N: CP-7841-K9=, CP-8800-A for KGI Hong Kong Limited</t>
  </si>
  <si>
    <t>06/11/20</t>
  </si>
  <si>
    <t>18/11/20</t>
  </si>
  <si>
    <t>PSBU, PSUP, PSJ3, PSRT on Cisco IPT Equipment for KGI Hong Kong Limited</t>
  </si>
  <si>
    <t>31/12/21</t>
  </si>
  <si>
    <t>12/11/20</t>
  </si>
  <si>
    <t>PSBU, PSJ3, PSRT on Cisco IPT Equipment for Citic Capital Holdings Limited</t>
  </si>
  <si>
    <t>P CI/2809/MA/CO19</t>
  </si>
  <si>
    <t>17/06/21</t>
  </si>
  <si>
    <t>17/11/20</t>
  </si>
  <si>
    <t>23/11/20</t>
  </si>
  <si>
    <t>PSRT, PSBU on Cisco IPT Equipment for Kendo Hong Kong Limited</t>
  </si>
  <si>
    <t>P CI/3103A/MA/DC19</t>
  </si>
  <si>
    <t>13/11/20</t>
  </si>
  <si>
    <t>26/11/20</t>
  </si>
  <si>
    <t>PSBU on Cisco IPT Equipment for Hong Kong Science &amp; Technology Parks Corporation</t>
  </si>
  <si>
    <t>31/10/22</t>
  </si>
  <si>
    <t>17/12/20</t>
    <phoneticPr fontId="6" type="noConversion"/>
  </si>
  <si>
    <t>Purchase of P/N: Refurbished CP-7821-K9=, CP-7811-K9=, CP-8851-W-K9=, CP-8831-K9= for Fairwood, Cordis Hotel, Citic Capital</t>
  </si>
  <si>
    <t>01/02/21</t>
    <phoneticPr fontId="6" type="noConversion"/>
  </si>
  <si>
    <t>08/12/20</t>
  </si>
  <si>
    <t>SNTP on Cisco IPT Equipment for PVH Asia Ltd</t>
  </si>
  <si>
    <t>L210101081DC</t>
  </si>
  <si>
    <t>17/09/21</t>
  </si>
  <si>
    <t>03/12/20</t>
  </si>
  <si>
    <t>11/01/21</t>
  </si>
  <si>
    <t>PSRT, PSBU on Cisco IPT Equipment for Citizen Watches HK Ltd</t>
  </si>
  <si>
    <t>P CI/3893/MA/BS20</t>
  </si>
  <si>
    <t>22/02/21</t>
  </si>
  <si>
    <t>21/02/22</t>
  </si>
  <si>
    <t>13/05/21</t>
    <phoneticPr fontId="6" type="noConversion"/>
  </si>
  <si>
    <t>04/12/20</t>
  </si>
  <si>
    <t>PSRT, PSUP, PSBU on Cisco IPT Equipment for CDIB Capital Int'l HK Corporation Ltd</t>
  </si>
  <si>
    <t>P CI/3889/MA/BS20</t>
  </si>
  <si>
    <t>10/12/20</t>
  </si>
  <si>
    <t>09/09/21</t>
  </si>
  <si>
    <t>23/12/20</t>
  </si>
  <si>
    <t xml:space="preserve"> 1-12/20</t>
    <phoneticPr fontId="6" type="noConversion"/>
  </si>
  <si>
    <t>04/01/21</t>
  </si>
  <si>
    <t>18/01/21</t>
  </si>
  <si>
    <t>P CI/4140/MA/DC20</t>
  </si>
  <si>
    <t>PSUP on Cisco IPT Equipment for Mast Industries (Far East) Ltd</t>
  </si>
  <si>
    <t>P CI/4135/MA/IC20</t>
  </si>
  <si>
    <t>PSJ3, ISV1, PSBU, PSUP on Cisco IPT Equipment for LVMH Perfumes &amp; Cosmetics Asia Pacific Ltd</t>
  </si>
  <si>
    <t>P CI/4131/MA/DC20</t>
  </si>
  <si>
    <t>20/01/21</t>
  </si>
  <si>
    <t>PSRT, PSJ3, PSBU on Cisco IPT Equipment for The Open University Of HK</t>
  </si>
  <si>
    <t>P CI/4224/MA/GW20</t>
  </si>
  <si>
    <t>02/01/21</t>
  </si>
  <si>
    <t>01/01/22</t>
  </si>
  <si>
    <t>06/01/21</t>
  </si>
  <si>
    <t>PSRT, PSBU, PSUP, PSJ3 on Cisco IPT Equipment for Dongxing Securities (HK) Co Ltd</t>
  </si>
  <si>
    <t>P CI/4312/MA/CO20</t>
  </si>
  <si>
    <t>29/01/21</t>
    <phoneticPr fontId="6" type="noConversion"/>
  </si>
  <si>
    <t>P CI/4159/MA/SD20</t>
  </si>
  <si>
    <t>9/12/21</t>
  </si>
  <si>
    <t>02/02/21</t>
  </si>
  <si>
    <t>PSRT, PSUP, PSJ3, PSBU on Cisco IPT Equipment for China Construction Bank Asia Corporation Ltd</t>
  </si>
  <si>
    <t>P CI/4308/MA/JI20</t>
  </si>
  <si>
    <t>PSUP, PSJ3, PSBU on Cisco IPT Equipment for Credit Agricole Corporate And Investment Bank</t>
  </si>
  <si>
    <t>P CI/4088/MA/JI20</t>
  </si>
  <si>
    <t>31/12/22</t>
  </si>
  <si>
    <t>28/01/21</t>
    <phoneticPr fontId="6" type="noConversion"/>
  </si>
  <si>
    <t>P CI/3960/MA/BS20</t>
  </si>
  <si>
    <t>01/11/20</t>
  </si>
  <si>
    <t>31/10/21</t>
  </si>
  <si>
    <t>21/07/21</t>
    <phoneticPr fontId="6" type="noConversion"/>
  </si>
  <si>
    <t>08/01/21</t>
  </si>
  <si>
    <t>04/03/21</t>
    <phoneticPr fontId="6" type="noConversion"/>
  </si>
  <si>
    <t>Purchase of P/N: C2951-CME-SRST/K9, Refurbished Cisco Router for CA Indosuez (Switzerland) SA</t>
  </si>
  <si>
    <t>P CI/4409/WB/JI20</t>
  </si>
  <si>
    <t>09/03/21</t>
    <phoneticPr fontId="6" type="noConversion"/>
  </si>
  <si>
    <t>21/01/21</t>
  </si>
  <si>
    <t>PSUE, PSJ3, PSBU on Cisco IPT Equipment for Metlife Asia Limited</t>
  </si>
  <si>
    <t>P CI/4137/MA/LA20</t>
  </si>
  <si>
    <t>PSUP, PSJ3, PSBU, PSRT on Cisco IPT Equipment for Star Like Limited</t>
  </si>
  <si>
    <t>P CI/3937/WA/BS20</t>
  </si>
  <si>
    <t>02/09/20</t>
  </si>
  <si>
    <t>01/09/21</t>
  </si>
  <si>
    <t>PSUP, PSJ3, PSBU, PSRT on Cisco IPT Equipment for Chinese Estates Holdings Ltd</t>
  </si>
  <si>
    <t>08/02/21</t>
  </si>
  <si>
    <t>ECMU, PSRT, PSJ3, PSBU on Cisco IPT Equipment for Lee Kum Kee International Holdings Ltd</t>
  </si>
  <si>
    <t>P CI/4127/MA/DC20</t>
  </si>
  <si>
    <t>14/01/21</t>
  </si>
  <si>
    <t>PSBU, PSRT on Cisco IPT Equipment for Crosby Securities Ltd</t>
  </si>
  <si>
    <t>P CI/4174/MA/BA20</t>
  </si>
  <si>
    <t>18/02/21</t>
    <phoneticPr fontId="6" type="noConversion"/>
  </si>
  <si>
    <t>PSBU on Cisco IPT Equipment for The Chinese University Of HK</t>
  </si>
  <si>
    <t>P CI/4541/WB/SD21</t>
  </si>
  <si>
    <t>15/01/21</t>
  </si>
  <si>
    <t>PSRT on CP-8841-K9= for City University Of Hong Kong</t>
  </si>
  <si>
    <t>17/01/22</t>
  </si>
  <si>
    <t>PSUP, PSRT on Cisco IPT Equipment for Siemens Industy Software Limited</t>
  </si>
  <si>
    <t>P CI/3933/MA/BS20</t>
  </si>
  <si>
    <t>07/09/21</t>
  </si>
  <si>
    <t>21/04/21</t>
    <phoneticPr fontId="6" type="noConversion"/>
  </si>
  <si>
    <t>Purchase of Refurbished Cisco IPT CP-8851-K9, CP-7861 for Dongxing Securities (HK) CO Ltd</t>
  </si>
  <si>
    <t>09/12/21</t>
    <phoneticPr fontId="6" type="noConversion"/>
  </si>
  <si>
    <t>PSBU, PSJ1, PSRT on Cisco IPT Equipment for The Dairy Farm Company Limited</t>
  </si>
  <si>
    <t>P CI/3612/MA/JI20</t>
  </si>
  <si>
    <t>PAN Telecom Systems Ltd</t>
  </si>
  <si>
    <t>Purchase of P/N: OPL69119 Teledex Opal Trimline Bath Room Phone for HKT Spare (Hotels)</t>
  </si>
  <si>
    <t>17/05/21</t>
    <phoneticPr fontId="6" type="noConversion"/>
  </si>
  <si>
    <t>04/02/21</t>
  </si>
  <si>
    <t>PSUP, PSRT, PSBU on Cisco IPT Eqpt for Giorgio Armani Hong Kong Ltd</t>
  </si>
  <si>
    <t>P CI/3966/WA/AT20</t>
  </si>
  <si>
    <t>20/01/22</t>
  </si>
  <si>
    <t>28/01/21</t>
  </si>
  <si>
    <t>10/03/21</t>
  </si>
  <si>
    <t>L200900974MG</t>
  </si>
  <si>
    <t>08/07/21</t>
    <phoneticPr fontId="6" type="noConversion"/>
  </si>
  <si>
    <t>19/02/21</t>
    <phoneticPr fontId="6" type="noConversion"/>
  </si>
  <si>
    <t>TEM License and Services on TEM-STD-01000 for KGI HK Ltd</t>
  </si>
  <si>
    <t>P CI/4408/WA/CO20</t>
  </si>
  <si>
    <t>09/01/21</t>
  </si>
  <si>
    <t>08/01/22</t>
  </si>
  <si>
    <t>01/02/21</t>
  </si>
  <si>
    <t>PSBU, PSUP, PSRT on Cisco IPT Equipment for G A Operations Hong Kong Ltd</t>
  </si>
  <si>
    <t>P CI/4102/MA/AT20</t>
  </si>
  <si>
    <t>PSBU on Cisco IPT Equipment for KGI Hong Kong Ltd</t>
  </si>
  <si>
    <t>P CI/4407/WA/CO20</t>
  </si>
  <si>
    <t>13/02/21</t>
  </si>
  <si>
    <t>12/02/22</t>
  </si>
  <si>
    <t>PSRT on Cisco IPT Equipment for China Construction Bank Asia Corporation Ltd</t>
  </si>
  <si>
    <t>L201201928SA</t>
  </si>
  <si>
    <t>26/02/21</t>
  </si>
  <si>
    <t>PSBU on Cisco IPT Equipment for Buspak Advertising (Hong Kong) Ltd</t>
  </si>
  <si>
    <t>P CI/4199/MA/FF20</t>
  </si>
  <si>
    <t>25/01/22</t>
  </si>
  <si>
    <t>PSBU, PSJ3, PSUP, PSRT on Cisco IPT Equipment for Fairwood Fast Food Ltd</t>
  </si>
  <si>
    <t>P CI/3963/MA/BS20</t>
  </si>
  <si>
    <t>03/10/20</t>
  </si>
  <si>
    <t>02/10/21</t>
  </si>
  <si>
    <t>05/02/21</t>
  </si>
  <si>
    <t>25/02/21</t>
  </si>
  <si>
    <t>L201202331BN</t>
  </si>
  <si>
    <t>14/12/21</t>
  </si>
  <si>
    <t>PSRT on Cisco IPT Equipment for Olympus Corporation Of Asia Pacific Ltd</t>
  </si>
  <si>
    <t>10/02/21</t>
  </si>
  <si>
    <t>PSRT, PSJ1, PSBU, PSRN on Cisco IPT Equipment for The ISF Academy Limited</t>
  </si>
  <si>
    <t>P CI/4458/MA/IL20</t>
  </si>
  <si>
    <t>04/03/21</t>
  </si>
  <si>
    <t>PSRT on Cisco IPT Equipment for The Mari Cha Group / Fairwood Fast Food / JW Marriott Hotel</t>
  </si>
  <si>
    <t>25/02/22</t>
  </si>
  <si>
    <t>Purchase of Refurbished P/N: PWR-4320-AC=, Refurbished AC Power for City U</t>
  </si>
  <si>
    <t xml:space="preserve">   /   /21</t>
    <phoneticPr fontId="6" type="noConversion"/>
  </si>
  <si>
    <t>Purchase of Refurbished P/N: CP-7811-K9=, Refurbished Cisco IPT Phone 7811 for Fairwood</t>
  </si>
  <si>
    <t>D83273</t>
  </si>
  <si>
    <t>05/03/21</t>
  </si>
  <si>
    <t>11/03/21</t>
  </si>
  <si>
    <t>08/03/21</t>
  </si>
  <si>
    <t>23/03/21</t>
  </si>
  <si>
    <t>PSBU, PSJ3, PSRT on Cisco IPT Equipment for Bollore Logistics Hong Kong</t>
  </si>
  <si>
    <t>L210201248CO</t>
  </si>
  <si>
    <t>20/02/21</t>
  </si>
  <si>
    <t>19/02/22</t>
  </si>
  <si>
    <t>PSJ1, PSRT, PSBU on Cisco IPT Equipment for Conyers Corp Services HK Ltd &amp; Codan Management HK Ltd</t>
  </si>
  <si>
    <t>P CI/4208/MA/DC20</t>
  </si>
  <si>
    <t>15/01/22</t>
  </si>
  <si>
    <t>PSRT on Cisco IPT Eqpt for Walgreens Boots / The Mari Cha Group / Vistra Group / LVMH Perfumes</t>
  </si>
  <si>
    <t>08/04/21</t>
  </si>
  <si>
    <t>PSBU, PSJ3, PSRT, PSUP on Cisco IPT Eqpt for CEB Int Investment Corp Ltd</t>
  </si>
  <si>
    <t>P CI/4266/MA/CO20</t>
  </si>
  <si>
    <t>03/02/21</t>
  </si>
  <si>
    <t>02/02/22</t>
  </si>
  <si>
    <t>26/03/21</t>
  </si>
  <si>
    <t>29/03/21</t>
    <phoneticPr fontId="6" type="noConversion"/>
  </si>
  <si>
    <t>28/03/22</t>
  </si>
  <si>
    <t>30/03/21</t>
  </si>
  <si>
    <t>SolutionsPlus: Informacast Subsc P/N: SP-INFORMACAST for KGI HK Ltd</t>
  </si>
  <si>
    <t>2020WB185/CO</t>
  </si>
  <si>
    <t>01/04/21</t>
  </si>
  <si>
    <t xml:space="preserve"> 1-3/21</t>
    <phoneticPr fontId="6" type="noConversion"/>
  </si>
  <si>
    <t>Purchase of P/N: 0C52861, Lenovo ThinkPad X270 Battery for Samuel's Notebook</t>
  </si>
  <si>
    <t>PSBU, PSUP, PSRT on Cisco IPT Equipment for Media Publishing Ltd</t>
  </si>
  <si>
    <t>P CI/4373/MA/DC20</t>
  </si>
  <si>
    <t>25/03/22</t>
  </si>
  <si>
    <t>19/08/21</t>
    <phoneticPr fontId="6" type="noConversion"/>
  </si>
  <si>
    <t>27/04/21</t>
  </si>
  <si>
    <t>PSUP, PSRT on Cisco IPT Equipment for Bally GC Retail Company Ltd</t>
  </si>
  <si>
    <t>P CI/4198/MA/DC20</t>
  </si>
  <si>
    <t>31/01/22</t>
  </si>
  <si>
    <t>07/04/21</t>
  </si>
  <si>
    <t>PSBU, PSUP, PSRT, PSJ3 on Cisco IPT Equipment for The Dairy Farm Co Ltd</t>
  </si>
  <si>
    <t>P CI/4383/MA/JI20</t>
  </si>
  <si>
    <t>23/04/21</t>
  </si>
  <si>
    <t>PSUP, PSBU, PSJ3, PSRT on Cisco IPT Eqpt for Vitasoy International Holdings Ltd</t>
  </si>
  <si>
    <t>P CI/4232/MA/DC20</t>
  </si>
  <si>
    <t>28/02/22</t>
  </si>
  <si>
    <t>21/05/21</t>
    <phoneticPr fontId="6" type="noConversion"/>
  </si>
  <si>
    <t>Purchase of Refurbished CP-7821-K9, CP-7841-K9 for HKHS, American Club, ISF, KGI</t>
  </si>
  <si>
    <t>06/09/21</t>
    <phoneticPr fontId="6" type="noConversion"/>
  </si>
  <si>
    <t>Purchase of Refurbished CP-6945-C-K9 or CP-9951-W-K9 for Citic Capital, LVMH</t>
  </si>
  <si>
    <t>09/04/21</t>
  </si>
  <si>
    <t>11/05/21</t>
    <phoneticPr fontId="6" type="noConversion"/>
  </si>
  <si>
    <t>Purchase of Refurbished CP-7941G,CP-7942G, CP-7945G for Ocean Park, CCBA, City U</t>
  </si>
  <si>
    <t>15/07/21</t>
  </si>
  <si>
    <t>PSRT on Cisco IPT Equipment for COSCO Shipping Container Line Agencies Ltd</t>
  </si>
  <si>
    <t>L210301795MD</t>
  </si>
  <si>
    <t>15/04/21</t>
  </si>
  <si>
    <t>PSUP on Cisco IPT Equipment for Pepsico Beverages Hong Kong Ltd</t>
  </si>
  <si>
    <t>P CI/4044/MA/BS20</t>
  </si>
  <si>
    <t>07/04/22</t>
  </si>
  <si>
    <t>Purchase of Refurbished CP-7821-K9, CP-7942G for Hong Kong Housing Society</t>
  </si>
  <si>
    <t>P CI/4344/MA/SD21</t>
  </si>
  <si>
    <t>04/05/21</t>
  </si>
  <si>
    <t>PSBU, PSUP on Cisco IPT Equipment for Pricerite Marketing Ltd</t>
  </si>
  <si>
    <t>P CI/4166/MA/LA21</t>
  </si>
  <si>
    <t>20/04/22</t>
  </si>
  <si>
    <t>25/04/22</t>
  </si>
  <si>
    <t>29/04/21</t>
  </si>
  <si>
    <t>26/05/21</t>
    <phoneticPr fontId="6" type="noConversion"/>
  </si>
  <si>
    <t>Purchase of Refurbished CP-7811-K9=, CP-7821-K9=, CP-8811-K9= for Fairwood &amp; Codan</t>
  </si>
  <si>
    <t>P.13</t>
  </si>
  <si>
    <t>01/03/22</t>
    <phoneticPr fontId="6" type="noConversion"/>
  </si>
  <si>
    <t>12/05/21</t>
  </si>
  <si>
    <t>PSBU, PSRT on Cisco IPT Equipment for Guerlain (Asia Pacific) Ltd</t>
  </si>
  <si>
    <t>P CI/4462/MA/DC20</t>
  </si>
  <si>
    <t>18/05/21</t>
  </si>
  <si>
    <t>P CI/4488A/MA/DC21</t>
  </si>
  <si>
    <t>01/06/21</t>
  </si>
  <si>
    <t>31/05/22</t>
  </si>
  <si>
    <t>05/05/21</t>
  </si>
  <si>
    <t>PSBU, PSBU, PSRT, PSJ3 on Cisco IPT Equipment for Walgreens Boots Alliance Asia Sourcing Limited</t>
  </si>
  <si>
    <t>P CI/4444/MA/DC20</t>
  </si>
  <si>
    <t>22/04/21</t>
  </si>
  <si>
    <t>21/04/22</t>
  </si>
  <si>
    <t>06/05/21</t>
  </si>
  <si>
    <t>P CI/4488B/MA/DC21</t>
  </si>
  <si>
    <t>03/06/21</t>
  </si>
  <si>
    <t>02/06/22</t>
  </si>
  <si>
    <t>PSBU, PSJ3, PSUP, PSRT on Cisco IPT Equipment for Daiwa Capital Markets HK Ltd</t>
  </si>
  <si>
    <t>01/03/21</t>
  </si>
  <si>
    <t>07/05/21</t>
  </si>
  <si>
    <t>PSRT on Cisco IPT Equipment for Codan Management (HK) Ltd</t>
  </si>
  <si>
    <t>09/05/22</t>
  </si>
  <si>
    <t>P CI/4461/MA/D20</t>
  </si>
  <si>
    <t>P CI/4460/MA/DC20</t>
  </si>
  <si>
    <t>08/11/21</t>
    <phoneticPr fontId="6" type="noConversion"/>
  </si>
  <si>
    <t>Purchase of P/N: CP-6961-CL-K9, Refurbished Cisco Unified IP Phone for Sucden Asia</t>
  </si>
  <si>
    <t>L210301942JI</t>
  </si>
  <si>
    <t>14/05/21</t>
  </si>
  <si>
    <t>PSBU, PSUP, PSRT on Cisco IPT Products for LVMH Perfumes &amp; Cosmetics Asia Pacific Ltd</t>
  </si>
  <si>
    <t>P CI/4463/MA/DC20</t>
  </si>
  <si>
    <t>10/01/21</t>
  </si>
  <si>
    <t>09/01/22</t>
  </si>
  <si>
    <t>28/05/21</t>
  </si>
  <si>
    <t>PSRT on Cisco IPT Equipment for Fairood Fast Food Ltd / South China Morning Post Pubilshers Ltd</t>
  </si>
  <si>
    <t>16/05/22</t>
  </si>
  <si>
    <t>08/06/21</t>
  </si>
  <si>
    <t>PSBU, PSUP, PSRT, PSJ3 on Cisco IPT Equipment for Schindler Lifts HK Ltd</t>
  </si>
  <si>
    <t>P CI/4733/WB/BS21</t>
  </si>
  <si>
    <t>12/05/22</t>
  </si>
  <si>
    <t>PSBU, PSUP on Ciscio IPT Equipment for Tomy Hong Kong Ltd</t>
  </si>
  <si>
    <t>00244741</t>
  </si>
  <si>
    <t>18/05/22</t>
  </si>
  <si>
    <t>26/05/21</t>
  </si>
  <si>
    <t>Purchase of Refurbished CISCO 2851, VWIC2 for Tomy (Hong Kong) Limited</t>
  </si>
  <si>
    <t>P CI/4522/MA/IC21</t>
  </si>
  <si>
    <t>09/06/21</t>
  </si>
  <si>
    <t>G210600076AT</t>
  </si>
  <si>
    <t>24/06/21</t>
  </si>
  <si>
    <t>23/06/22</t>
  </si>
  <si>
    <t>PSBU, PSUP, PSRT on Cisco Equipment for C-Bridge Capital Investment Advisor Limited</t>
  </si>
  <si>
    <t>P CI/4554/MA/AT20</t>
  </si>
  <si>
    <t>24/06/22</t>
  </si>
  <si>
    <t>28/07/21</t>
    <phoneticPr fontId="6" type="noConversion"/>
  </si>
  <si>
    <t>Purchase of Refurbished CP-7962G, CP-7915= for Metro Broadcast Corporation Limited</t>
  </si>
  <si>
    <t>P CI/4616/MA/SD21</t>
  </si>
  <si>
    <t>PSBU on Cisco IPT Equipment for COSCO Shipping Container Line Agencies Ltd</t>
  </si>
  <si>
    <t>P CI/4718/WA/LA21</t>
  </si>
  <si>
    <t>22/07/21</t>
  </si>
  <si>
    <t>21/07/22</t>
  </si>
  <si>
    <t>05/10/21</t>
  </si>
  <si>
    <t>04/06/21</t>
  </si>
  <si>
    <t>P CI/4616/MA/SD21</t>
    <phoneticPr fontId="6" type="noConversion"/>
  </si>
  <si>
    <t>18/06/21</t>
  </si>
  <si>
    <t>17/06/22</t>
  </si>
  <si>
    <t>11/06/21</t>
  </si>
  <si>
    <t>PSRT on Cisco IPT Equipment for Fairwood Fast Food Ltd</t>
  </si>
  <si>
    <t>13/06/22</t>
  </si>
  <si>
    <t>PSBU, PSUP, PSJ3 on Cisco IPT Equipment for Christian Dior Far East Ltd</t>
  </si>
  <si>
    <t>P CI/4929/WB/DC21</t>
  </si>
  <si>
    <t>15/06/21</t>
  </si>
  <si>
    <t>14/06/22</t>
  </si>
  <si>
    <t>20/06/21</t>
  </si>
  <si>
    <t xml:space="preserve">PSRT on Cisco IPT Equipment for CEB International Investment Corp Ltd </t>
  </si>
  <si>
    <t>27/06/22</t>
  </si>
  <si>
    <t>PSBU, PSUP, PSJD7 on Cisco IPT Equipment for National Australia Bank Ltd</t>
  </si>
  <si>
    <t>P CI/4620/MA/JI21</t>
  </si>
  <si>
    <t>16/07/21</t>
  </si>
  <si>
    <t xml:space="preserve"> 1-6/21</t>
  </si>
  <si>
    <t>P CI/4565/MA/JI21</t>
  </si>
  <si>
    <t>26/06/21</t>
  </si>
  <si>
    <t>25/06/22</t>
  </si>
  <si>
    <t>02/07/21</t>
  </si>
  <si>
    <t>14/07/21</t>
  </si>
  <si>
    <t>PSRT on Cisco IPT Equipment for JW Marriott Hotel Hong Kong</t>
  </si>
  <si>
    <t>P CI/4657/MAMA/MG21</t>
  </si>
  <si>
    <t>27/06/21</t>
  </si>
  <si>
    <t>09/07/21</t>
  </si>
  <si>
    <t>Purchase of P/N: 0C52861, Lenovo ThinkPad X260 Battery for Enoch's Notebook</t>
  </si>
  <si>
    <t>15/11/21</t>
    <phoneticPr fontId="6" type="noConversion"/>
  </si>
  <si>
    <t>PSBU, PSRT, PSUP on Cisco IPT Equipment for MUFG Securities Asia Ltd</t>
  </si>
  <si>
    <t>P CI/4689/MA/DC21</t>
  </si>
  <si>
    <t>31/08/22</t>
  </si>
  <si>
    <t>17/11/21</t>
    <phoneticPr fontId="6" type="noConversion"/>
  </si>
  <si>
    <t>SNT on Cisco IPT Equipment for Fedex Trade Networks Transport &amp; Brokerage (HK) Ltd</t>
  </si>
  <si>
    <t>P CI/4491/MA/GW21</t>
  </si>
  <si>
    <t>PSBU, PSUP, PSJ3 on Cisco IPT Equipment for Ocean Park Corporation</t>
  </si>
  <si>
    <t>DT1602-4, J32200</t>
  </si>
  <si>
    <t>01/07/21</t>
  </si>
  <si>
    <t>30/06/22</t>
  </si>
  <si>
    <t>PSUP on Cisco IPT Equipment for SF Supply Chain (Hong Kong) Ltd</t>
  </si>
  <si>
    <t>L210500959IC</t>
  </si>
  <si>
    <t>21/07/21</t>
  </si>
  <si>
    <t>30/07/21</t>
  </si>
  <si>
    <t>P CI/4609/MA/AT21</t>
  </si>
  <si>
    <t>10/06/22</t>
  </si>
  <si>
    <t>PSRT on Cisco IPT CP-7841-K9= for The Mari Cha Group Ltd</t>
  </si>
  <si>
    <t>25/07/22</t>
  </si>
  <si>
    <t>PSBU, PSUP, SSSNP, PSRT on Cisco IPT Equipment for Essence Int'l Financial Holdings Ltd</t>
  </si>
  <si>
    <t>P CI/4588/MA/AN21</t>
  </si>
  <si>
    <t>13/07/21</t>
  </si>
  <si>
    <t>12/07/22</t>
  </si>
  <si>
    <t>Purchase of Refurbished VWIC2-1MFT-T1/E1 for CUHK</t>
  </si>
  <si>
    <t>L200601240SD</t>
  </si>
  <si>
    <t>06/08/21</t>
  </si>
  <si>
    <t>Purchase of Refurbished P/N: C2921-CME-SRST/K9 for CUHK</t>
  </si>
  <si>
    <t>L210601338SD &amp; P CI/5029/WB/SD21</t>
  </si>
  <si>
    <t>12/08/21</t>
  </si>
  <si>
    <t>PSBU, PSRT, PSJ3, PSUP on Cisco IPT Equipment for JW Marriott Hotel Hong Kong</t>
  </si>
  <si>
    <t>P CI/4129/MA/FF19</t>
  </si>
  <si>
    <t>'01/01/21</t>
  </si>
  <si>
    <t>489194.80</t>
  </si>
  <si>
    <t>05/08/21</t>
  </si>
  <si>
    <t>18/08/21</t>
  </si>
  <si>
    <t>PSBU, PSRT, PSJ1 on Cisco IPT Equipment for Citic Capital Holdings Limited</t>
  </si>
  <si>
    <t>P CI/4576/MA/CO21</t>
  </si>
  <si>
    <t>17/08/21</t>
    <phoneticPr fontId="6" type="noConversion"/>
  </si>
  <si>
    <t>Purchase of Refurbished CP-9951-W-K9, CP-8865 for Citic Capital Holdings Limited</t>
  </si>
  <si>
    <t>29/10/21</t>
  </si>
  <si>
    <t>PSBU, PSRT, PSUP on Cisco IPT Equipment for Laserfiche International Ltd</t>
  </si>
  <si>
    <t>P CI/4505/MA/BS20</t>
  </si>
  <si>
    <t>10/01/22</t>
  </si>
  <si>
    <t>13/08/21</t>
  </si>
  <si>
    <t>PSRT on CP-7841-K9= for Vistra Hong Kong Ltd</t>
  </si>
  <si>
    <t>16/08/21</t>
  </si>
  <si>
    <t>15/08/22</t>
  </si>
  <si>
    <t>Purchase of Refurbished P/N CP-8841-K9= Cisco IP Phone for HKT Spare Parts</t>
  </si>
  <si>
    <t>03/03/22</t>
    <phoneticPr fontId="6" type="noConversion"/>
  </si>
  <si>
    <t>23/08/21</t>
  </si>
  <si>
    <t>22/08/22</t>
  </si>
  <si>
    <t>08/12/21</t>
  </si>
  <si>
    <t>20/08/21</t>
  </si>
  <si>
    <t>27/08/21</t>
  </si>
  <si>
    <t>L210901051DC</t>
  </si>
  <si>
    <t>17/09/22</t>
  </si>
  <si>
    <t>P.15</t>
  </si>
  <si>
    <t>06/09/21</t>
  </si>
  <si>
    <t>PSBU, PSUP, PSJ3 for Cisco IPT Equipment for Crown Motors Ltd</t>
  </si>
  <si>
    <t>P CI/4762/MA/DC21</t>
  </si>
  <si>
    <t>16/09/21</t>
  </si>
  <si>
    <t>15/09/22</t>
  </si>
  <si>
    <t>PSBU, PSRT, PSUP, ECMU, PSJ3 on Cisco IPT Equipment for AIA Shared Services HK Ltd</t>
  </si>
  <si>
    <t>P CI/4673/MA5P/JI21</t>
  </si>
  <si>
    <t>08/09/21</t>
    <phoneticPr fontId="6" type="noConversion"/>
  </si>
  <si>
    <t>11/01/22</t>
  </si>
  <si>
    <t>08/09/21</t>
  </si>
  <si>
    <t>L210901048MG</t>
  </si>
  <si>
    <t>18/09/21</t>
  </si>
  <si>
    <t>30/08/21</t>
  </si>
  <si>
    <t>03/09/21</t>
  </si>
  <si>
    <t>PSRT on Cisco IPT Equipment for Citizen Watch HK Ltd</t>
  </si>
  <si>
    <t>29/08/22</t>
  </si>
  <si>
    <t>PSBU, PSRT, PSJ1 on Cisco IPT Equipment for Kam Yuen Group Int Ltd</t>
  </si>
  <si>
    <t>P CI/4610/MA/DC21</t>
  </si>
  <si>
    <t>PSBU, PSRT, PSUP on Cisco IPT Equipment for 3M Hong Kong Ltd</t>
  </si>
  <si>
    <t>L210800993BN</t>
  </si>
  <si>
    <t>10/09/21</t>
  </si>
  <si>
    <t>ECMU on Cisco IPT Equipment for The Chinese University Of HK</t>
  </si>
  <si>
    <t>P CI/5029/MA/SD21</t>
  </si>
  <si>
    <t>03/11/21</t>
  </si>
  <si>
    <t>30/09/21</t>
    <phoneticPr fontId="6" type="noConversion"/>
  </si>
  <si>
    <t>PSBU, PSRT, PSUP on Cisco IPT Equipment for Mizuho Bank Ltd</t>
  </si>
  <si>
    <t>P CI/4789/MA/DC21</t>
  </si>
  <si>
    <t>14/10/22</t>
  </si>
  <si>
    <t>14/09/21</t>
  </si>
  <si>
    <t>PSRT on Cisco IPT Equipment for Huber &amp; Suhner Hong Kong Ltd</t>
  </si>
  <si>
    <t>L210400858BS</t>
  </si>
  <si>
    <t>12/04/21</t>
  </si>
  <si>
    <t>1288906</t>
    <phoneticPr fontId="6" type="noConversion"/>
  </si>
  <si>
    <t>PSRT on CP-7821-K9= for The American Club</t>
  </si>
  <si>
    <t>19/09/22</t>
  </si>
  <si>
    <t>28/09/21</t>
  </si>
  <si>
    <t>SHI International Corp Hong Kong Limited</t>
  </si>
  <si>
    <t>Titan Enterprise edition License Mtce Renewal with 1 Year for Ocean Park Corp</t>
  </si>
  <si>
    <t>P CI/3062/MA/FF19</t>
  </si>
  <si>
    <t>24/11/21</t>
    <phoneticPr fontId="6" type="noConversion"/>
  </si>
  <si>
    <t>29/09/21</t>
  </si>
  <si>
    <t>PSRT on CP-8811-K9= for Codan Management (HK) Ltd</t>
  </si>
  <si>
    <t>26/09/22</t>
  </si>
  <si>
    <t>P CI/4579/MA/GA21</t>
  </si>
  <si>
    <t>28/07/21</t>
  </si>
  <si>
    <t>27/07/22</t>
  </si>
  <si>
    <t>11/11/21</t>
    <phoneticPr fontId="6" type="noConversion"/>
  </si>
  <si>
    <t>PSUP on Cisco IPT Equipment for LVMH Fragrance Brands HK Ltd (user Name: Perfumes Christian Dior HK Ltd)</t>
  </si>
  <si>
    <t>P CI/5032/MA/DC21</t>
  </si>
  <si>
    <t>09/05/21</t>
  </si>
  <si>
    <t>08/05/22</t>
  </si>
  <si>
    <t>P CI/5031/MA/DC21</t>
  </si>
  <si>
    <t>28/09/22</t>
  </si>
  <si>
    <t>1-9/21</t>
  </si>
  <si>
    <t>PSUP, ECMU, PSRT on Cisco IPT Equipment for Cordis Hong Kong</t>
  </si>
  <si>
    <t>31/07/22</t>
  </si>
  <si>
    <t>15/10/21</t>
  </si>
  <si>
    <t>PSUP, PSRT, PSBU on Cisco IPT Eqpt for G A Operations Hong Kong Ltd</t>
  </si>
  <si>
    <t>P CI/5145/MA/AT21</t>
  </si>
  <si>
    <t>01/12/21</t>
  </si>
  <si>
    <t>04/10/21</t>
    <phoneticPr fontId="6" type="noConversion"/>
  </si>
  <si>
    <t>PSJ1, PSRT on Cisco IPT Equipment, CUS: Olympus Corporation Of Asia Pacific Ltd</t>
  </si>
  <si>
    <t>P CI/4991A/MA/DC21</t>
  </si>
  <si>
    <t>08/09/22</t>
  </si>
  <si>
    <t>14/10/21</t>
  </si>
  <si>
    <t>13/10/22</t>
  </si>
  <si>
    <t>07/10/21</t>
  </si>
  <si>
    <t>19/10/21</t>
  </si>
  <si>
    <t>PSJ3, PSBU, PSUP on Cisco IPT Equipment for Sucden Financial HK Ltd</t>
  </si>
  <si>
    <t>P CI/5218/WA/JI21</t>
    <phoneticPr fontId="6" type="noConversion"/>
  </si>
  <si>
    <t>15/12/22</t>
  </si>
  <si>
    <t>20/10/21</t>
  </si>
  <si>
    <t>P CI/5229/MA/FF21</t>
  </si>
  <si>
    <t>24/12/21</t>
  </si>
  <si>
    <t>23/12/22</t>
  </si>
  <si>
    <t>12/10/21</t>
  </si>
  <si>
    <t>PSBU, PSRT, PSUP on Cisco IPT Equipment for CDIB Capital International (HK) Corporate</t>
  </si>
  <si>
    <t>P CI/4755/MA/AN21</t>
  </si>
  <si>
    <t>28/10/21</t>
  </si>
  <si>
    <t>12 Months Mtce Service of TEM Suite System for Ocean Park Corp</t>
  </si>
  <si>
    <t>05/07/22</t>
    <phoneticPr fontId="6" type="noConversion"/>
  </si>
  <si>
    <t>PSRT, PSUP, PSBU on Cisco IPT Equipment for Giorgio Armani Hong Kong Ltd</t>
  </si>
  <si>
    <t>P CI/4964/MA/AT21</t>
  </si>
  <si>
    <t>'01/01/22</t>
  </si>
  <si>
    <t>21/01/22</t>
  </si>
  <si>
    <t>16/11/21</t>
  </si>
  <si>
    <t>PSJ3, PSRT on Cisco IPT Equipment for The Mari-Cha Group Limited</t>
  </si>
  <si>
    <t>P CI/4913/MA/JI21</t>
  </si>
  <si>
    <t>11/02/22</t>
  </si>
  <si>
    <t>26/10/21</t>
  </si>
  <si>
    <t>PSRT, ECMU, PSJ3, PSBU on Cisco IPT Equipment for The Dairy Farm Company Limited</t>
  </si>
  <si>
    <t>P CI/4843/MA/JI21</t>
  </si>
  <si>
    <t>PSRT, PSUP, PSBU, PSJ3, ECMU, SNT, ISV1 on Cisco IPT Eqpt for China Construction Bank Asia Corporation Ltd &amp; HKT for CCBA Project</t>
  </si>
  <si>
    <t>P CI/4945/MA/JI21</t>
  </si>
  <si>
    <t>PSUP, PSBU, PSJ3, ISV1 on Cisco IPT Eqpt for LVMH Perfumes &amp; Cosmetics Asia Pacific Limited</t>
  </si>
  <si>
    <t>P CI/4984/MA/DC21</t>
  </si>
  <si>
    <t>01/04/22</t>
  </si>
  <si>
    <t>PSRT, PSUP, PSBU, PSJ3 on Cisco IPT Equipment for Fairwood Fast Food Ltd</t>
  </si>
  <si>
    <t>P CI/4813/MA/BS21</t>
  </si>
  <si>
    <t>03/10/21</t>
  </si>
  <si>
    <t>02/10/22</t>
  </si>
  <si>
    <t>24/04/23</t>
  </si>
  <si>
    <t>PSRT, PSBU, ECMU, PSJ3 on Cisco IPT Equipment for Lee Kum Kee International Holdings Ltd</t>
  </si>
  <si>
    <t>P CI/4981/MA/DC21</t>
  </si>
  <si>
    <t>04/03/22</t>
  </si>
  <si>
    <t>27/10/21</t>
  </si>
  <si>
    <t>PSRT, PSUP on Cisco IPT Equipment for Siemens Industry Software Ltd</t>
  </si>
  <si>
    <t>P CI/4796/MA/BS21</t>
  </si>
  <si>
    <t>14/01/23</t>
  </si>
  <si>
    <t>PSRT, PSBU, ECMU, SNT on Cisco IPT Equipment for Citizen Watches HK Ltd</t>
  </si>
  <si>
    <t>P CI/4758/MA/BS21</t>
  </si>
  <si>
    <t>07/09/22</t>
  </si>
  <si>
    <t>22/02/22</t>
  </si>
  <si>
    <t>21/02/23</t>
  </si>
  <si>
    <t>PSRT, PSBU, PSJ3 on Cisco IPT Equipment for Bollore Logistics Hong Kong</t>
  </si>
  <si>
    <t>L220201202CO</t>
  </si>
  <si>
    <t>20/02/22</t>
  </si>
  <si>
    <t>19/02/23</t>
  </si>
  <si>
    <t>09/03/22</t>
  </si>
  <si>
    <t>08/03/23</t>
  </si>
  <si>
    <t>PSRT, PSBU, PSJ3, PSUP on Cisco IPT Equipment for Chinese Estates Holdings Ltd</t>
  </si>
  <si>
    <t>P CI/4811/MA/BS21</t>
  </si>
  <si>
    <t>13/02/22</t>
  </si>
  <si>
    <t>12/02/23</t>
  </si>
  <si>
    <t>PSRT, PSBU on Cisco IPT Products for Fresh F21C Hong Kong Ltd</t>
  </si>
  <si>
    <t>P CI/4959/MA/DC21</t>
  </si>
  <si>
    <t>PSBU, PSUP, PSJ3 on Cisco IPT Equipment for Top Form International Ltd</t>
  </si>
  <si>
    <t>L211001114AT</t>
  </si>
  <si>
    <t>'09/10/21</t>
  </si>
  <si>
    <t>08/10/22</t>
  </si>
  <si>
    <t>09/10/21</t>
  </si>
  <si>
    <t>PSUP, PSRT, PSBU on Cisco IPT Equipment for Guerlain (Asia Pacific) Ltd</t>
  </si>
  <si>
    <t>P CI/5063/MA/DC21</t>
  </si>
  <si>
    <t>09/01/23</t>
  </si>
  <si>
    <t>14/04/22</t>
  </si>
  <si>
    <t>PSUP, PSJ3, ECMU, SNTP on Cisco IPT Equipment for CCB Int'l Holdings Ltd</t>
  </si>
  <si>
    <t>WIN18/JI21</t>
  </si>
  <si>
    <t>17/10/22</t>
  </si>
  <si>
    <t>25/12/21</t>
  </si>
  <si>
    <t>24/12/22</t>
  </si>
  <si>
    <t>PSBU on Cisco IPT Equipment for Kendo Hong Kong Ltd</t>
  </si>
  <si>
    <t>P CI/4978/MA/DC21</t>
  </si>
  <si>
    <t>PSBU, PSUP, PSRT, PSJ3 on Cisco IPT Equipment for Star Like (Chinese Estate)</t>
  </si>
  <si>
    <t>P CI/4821/MA/BS21</t>
  </si>
  <si>
    <t>10/01/23</t>
  </si>
  <si>
    <t>ECMU on Cisco IPT Equipment for Olympus Corporation Of Asia Pacific Ltd</t>
  </si>
  <si>
    <t>L211202217BN</t>
  </si>
  <si>
    <t>15/12/21</t>
  </si>
  <si>
    <t>14/12/22</t>
  </si>
  <si>
    <t>22/12/22</t>
  </si>
  <si>
    <t>PSBU, PSJ1 on Cisco IPT Equipment for Sunciti Manufacturers Ltd</t>
  </si>
  <si>
    <t>P CI/5088/MA/BS21</t>
  </si>
  <si>
    <t>27/10/22</t>
  </si>
  <si>
    <t>PSRT on CP-7821-K9= for Hong Kong Housing Society</t>
  </si>
  <si>
    <t>04/01/22</t>
    <phoneticPr fontId="6" type="noConversion"/>
  </si>
  <si>
    <t>Purchase of P/N: CP-7811-K9=, Refurbished Cisco IP Phone 7811 for Fairwood Fastfood</t>
  </si>
  <si>
    <t>05/11/21</t>
  </si>
  <si>
    <t>09/12/21</t>
  </si>
  <si>
    <t>PSUP on Cisco IPT Equipment for HK Housing Society</t>
  </si>
  <si>
    <t>P CI/5057/MA/SD21</t>
  </si>
  <si>
    <t>01/02/22</t>
  </si>
  <si>
    <t>31/01/25</t>
  </si>
  <si>
    <t>24/10/21</t>
  </si>
  <si>
    <t>23/10/22</t>
  </si>
  <si>
    <t>08/11/21</t>
  </si>
  <si>
    <t>18/11/21</t>
  </si>
  <si>
    <t>Annual Maintenance Service Charge of TEM for Chinese Estates Holdings Ltd (Don't need to buy fr Austin Hughes)</t>
  </si>
  <si>
    <t>19/11/21</t>
  </si>
  <si>
    <t>Purchase of Refurbished Cisco DX650 for The Mari-Cha Group Limited</t>
  </si>
  <si>
    <t>P CI/4913//MA/JI21</t>
    <phoneticPr fontId="6" type="noConversion"/>
  </si>
  <si>
    <t>24/11/21</t>
  </si>
  <si>
    <t>28/12/21</t>
    <phoneticPr fontId="6" type="noConversion"/>
  </si>
  <si>
    <t xml:space="preserve">Purchase of Refurbished Cisco IPT UC Phone 6941, 7821, 7841…for HK Housing Society </t>
  </si>
  <si>
    <t>16/02/22</t>
    <phoneticPr fontId="6" type="noConversion"/>
  </si>
  <si>
    <t>10/12/21</t>
  </si>
  <si>
    <t>13/12/21</t>
  </si>
  <si>
    <t>09/12/22</t>
  </si>
  <si>
    <t>P CI/4989/MA/DC21</t>
  </si>
  <si>
    <t>17/12/21</t>
  </si>
  <si>
    <t>16/12/22</t>
  </si>
  <si>
    <t>P CI/4986/MA/IC21</t>
  </si>
  <si>
    <t>27/01/22</t>
  </si>
  <si>
    <t>26/01/23</t>
  </si>
  <si>
    <t>29/12/21</t>
  </si>
  <si>
    <t>1-12/21</t>
    <phoneticPr fontId="6" type="noConversion"/>
  </si>
  <si>
    <t>PSRT on Cisco IPT Equipment for The Open University Of HK (HK Metropolitan University)</t>
  </si>
  <si>
    <t>P CI/5072/MA/RY21</t>
  </si>
  <si>
    <t>02/01/22</t>
  </si>
  <si>
    <t>01/01/23</t>
  </si>
  <si>
    <t>03/01/22</t>
  </si>
  <si>
    <t>PSJ3, PSUP, PSBU on Cisco IPT Equipment for Open University Of Hong Kong</t>
  </si>
  <si>
    <t>06/04/22</t>
  </si>
  <si>
    <t>13/04/22</t>
    <phoneticPr fontId="6" type="noConversion"/>
  </si>
  <si>
    <t>04/01/22</t>
  </si>
  <si>
    <t>P CI/4979/MA/CO21</t>
  </si>
  <si>
    <t>18/07/22</t>
    <phoneticPr fontId="6" type="noConversion"/>
  </si>
  <si>
    <t>05/01/22</t>
  </si>
  <si>
    <t>29/03/22</t>
  </si>
  <si>
    <t>PSJ3, PSUP, PSBU, PSRT on Cisco IPT Equipment for KGI Hong Kong Limited</t>
  </si>
  <si>
    <t>13/01/22</t>
  </si>
  <si>
    <t>PSBU, PSJ3, PSUP on Cisco IPT Equipment for Metlife Asia Ltd</t>
  </si>
  <si>
    <t>P CI/4988/MA/LA21</t>
  </si>
  <si>
    <t>07/01/23</t>
  </si>
  <si>
    <t>26/01/22</t>
  </si>
  <si>
    <t>09/02/22</t>
    <phoneticPr fontId="6" type="noConversion"/>
  </si>
  <si>
    <t>PSJ1, PSRT on Cisco IPT Equipment for Conyers Corporate Services HK Ltd &amp; Codan Management HK Ltd</t>
  </si>
  <si>
    <t>P CI/5050/MA/DC21</t>
  </si>
  <si>
    <t>16/01/22</t>
  </si>
  <si>
    <t>09/02/22</t>
  </si>
  <si>
    <t>PSUP, PSRT, PSJ3 on Cisco IPT Equipment for Dongxing Securities (HK) Co Ltd</t>
  </si>
  <si>
    <t>P CI/5223/MA/CO21</t>
  </si>
  <si>
    <t>11/03/22</t>
  </si>
  <si>
    <t>10/03/23</t>
  </si>
  <si>
    <t>10/02/22</t>
  </si>
  <si>
    <t>23/02/22</t>
  </si>
  <si>
    <t>PSJ3, PSUP, ECMU on Cisco IPT Equipment for South China Morining Post Publishers Ltd</t>
  </si>
  <si>
    <t>P CI/5203/MA/LA22</t>
  </si>
  <si>
    <t>31/03/25</t>
  </si>
  <si>
    <t>P CI/5042/MA/AT21</t>
  </si>
  <si>
    <t>14/02/22</t>
  </si>
  <si>
    <t>18/02/22</t>
  </si>
  <si>
    <t>Annual Maintenance Service Charge of TEM for South China Morning Post Publishers Ltd</t>
  </si>
  <si>
    <t>17/02/22</t>
  </si>
  <si>
    <t>SP-ICADWR-END-50-C on Cisco IPT Eqpt for KGI Hong Kong Ltd</t>
    <phoneticPr fontId="6" type="noConversion"/>
  </si>
  <si>
    <t>P CI/5118/MA/CO21</t>
    <phoneticPr fontId="6" type="noConversion"/>
  </si>
  <si>
    <t>12/02/22</t>
    <phoneticPr fontId="6" type="noConversion"/>
  </si>
  <si>
    <t>11/02/23</t>
    <phoneticPr fontId="6" type="noConversion"/>
  </si>
  <si>
    <t>27/04/22</t>
    <phoneticPr fontId="6" type="noConversion"/>
  </si>
  <si>
    <t>26/04/23</t>
    <phoneticPr fontId="6" type="noConversion"/>
  </si>
  <si>
    <t>18/05/22</t>
    <phoneticPr fontId="6" type="noConversion"/>
  </si>
  <si>
    <t>22/03/22</t>
  </si>
  <si>
    <t>24/03/22</t>
  </si>
  <si>
    <t>1-3/22</t>
  </si>
  <si>
    <t>Flex 3.0 Support for China Construction Bank Asia Corporation Ltd</t>
  </si>
  <si>
    <t>P CI/5580/MA/JI22</t>
  </si>
  <si>
    <t>30/03/23</t>
  </si>
  <si>
    <t>06/04/22</t>
    <phoneticPr fontId="6" type="noConversion"/>
  </si>
  <si>
    <t>Purchase of Refurbished CISCO2821-V/K9 for G A Operations Hong Kong Ltd</t>
  </si>
  <si>
    <t>L211201951AT</t>
  </si>
  <si>
    <t>05/01/23</t>
    <phoneticPr fontId="6" type="noConversion"/>
  </si>
  <si>
    <t>134700</t>
  </si>
  <si>
    <t>29/04/22</t>
  </si>
  <si>
    <t>10/05/22</t>
  </si>
  <si>
    <t>PSJ3, PSUP, PSRT on Cisco IPT Equipment for Daiwa Capital Markets HK Ltd</t>
  </si>
  <si>
    <t>P CI/5323/MA/DC22</t>
  </si>
  <si>
    <t>01/06/22</t>
  </si>
  <si>
    <t>31/03/23</t>
  </si>
  <si>
    <t>07/10/22</t>
    <phoneticPr fontId="6" type="noConversion"/>
  </si>
  <si>
    <t>05/05/22</t>
  </si>
  <si>
    <t>13/05/22</t>
  </si>
  <si>
    <t>A-FLEX-3 Subscription Service on IPT Equipment for Metlife Asia Ltd</t>
  </si>
  <si>
    <t>14/07/22</t>
  </si>
  <si>
    <t>30/05/22</t>
    <phoneticPr fontId="6" type="noConversion"/>
  </si>
  <si>
    <t>A-FLEX-3 Subscription Service on IPT Equipment for CEB International Investment Corporation Ltd</t>
  </si>
  <si>
    <t>P CI/5110/MA/CO21</t>
  </si>
  <si>
    <t>03/02/22</t>
  </si>
  <si>
    <t>02/02/23</t>
  </si>
  <si>
    <t>24/04/22</t>
  </si>
  <si>
    <t>23/04/23</t>
  </si>
  <si>
    <t>18/08/22</t>
    <phoneticPr fontId="6" type="noConversion"/>
  </si>
  <si>
    <t>20/05/22</t>
  </si>
  <si>
    <t>PSUP, PSBU on Cisco IPT Equipment for Tomy Hong Kong Ltd</t>
  </si>
  <si>
    <t>P CI/5357/MA/A522</t>
  </si>
  <si>
    <t>19/05/22</t>
  </si>
  <si>
    <t>18/05/23</t>
  </si>
  <si>
    <t>24/05/22</t>
  </si>
  <si>
    <t>23/05/23</t>
  </si>
  <si>
    <t>25/05/22</t>
  </si>
  <si>
    <t>PSJ3, PSUP, PSRT on Cisco IPT Equipment for CEB International Investment Corporation Limited</t>
  </si>
  <si>
    <t>12/04/22</t>
  </si>
  <si>
    <t>11/04/23</t>
  </si>
  <si>
    <t>17/05/22</t>
  </si>
  <si>
    <t>Purchase of Refurbished Cisco 2851 Router for Tomy (Hong Kong) Limited</t>
  </si>
  <si>
    <t>30/05/22</t>
  </si>
  <si>
    <t>P CI/5287/MA/BS21</t>
  </si>
  <si>
    <t>08/04/22</t>
  </si>
  <si>
    <t>07/04/23</t>
  </si>
  <si>
    <t>20/09/22</t>
    <phoneticPr fontId="6" type="noConversion"/>
  </si>
  <si>
    <t>23/05/22</t>
  </si>
  <si>
    <t>Standard Spirit Technology Limited</t>
    <phoneticPr fontId="6" type="noConversion"/>
  </si>
  <si>
    <t>Purchase of Refurbished Cisco IPT CP-8831-EU-K9=, CP-8800-A for Chevron Hong Kong Limited</t>
  </si>
  <si>
    <t>L220590046A5</t>
  </si>
  <si>
    <t>31/08/22</t>
    <phoneticPr fontId="6" type="noConversion"/>
  </si>
  <si>
    <t>06/06/22</t>
  </si>
  <si>
    <t>PSUP, PSJD7 on Cisco IPT Equipment for National Australia Bank Ltd</t>
  </si>
  <si>
    <t>P CI/5406/MA/JI21</t>
  </si>
  <si>
    <t>23/06/23</t>
  </si>
  <si>
    <t>Purchase of Refurbished Cisco IP Phone CP7821 for The American Club</t>
  </si>
  <si>
    <t>P CI/5605/MA/BS21</t>
  </si>
  <si>
    <t xml:space="preserve">   /   /23</t>
    <phoneticPr fontId="6" type="noConversion"/>
  </si>
  <si>
    <t>29/06/22</t>
  </si>
  <si>
    <t>PSUP, PSJ3, PSBU on Cisco IPT Equipment for Vitasoy International Holdings Ltd</t>
  </si>
  <si>
    <t>P CI/5126/MA/DC21</t>
  </si>
  <si>
    <t>01/03/22</t>
  </si>
  <si>
    <t>30/03/22</t>
  </si>
  <si>
    <t>29/03/23</t>
  </si>
  <si>
    <t>06/09/22</t>
    <phoneticPr fontId="6" type="noConversion"/>
  </si>
  <si>
    <t>PSRT, PSJ1 on Cisco IPT Equipment for Christian Dior / Christian Dior Far East Ltd</t>
  </si>
  <si>
    <t>P CI/5399/MA/DC22</t>
  </si>
  <si>
    <t>15/06/22</t>
  </si>
  <si>
    <t>14/06/23</t>
  </si>
  <si>
    <t>16/06/22</t>
  </si>
  <si>
    <t>15/06/23</t>
  </si>
  <si>
    <t>10/08/22</t>
    <phoneticPr fontId="6" type="noConversion"/>
  </si>
  <si>
    <t>PSRT, PSJ3 on Cisco IPT Equipment for Banco Bilbao Vizcaya Argentaria, S.A.</t>
  </si>
  <si>
    <t>P CI/5370/MA/JI21</t>
  </si>
  <si>
    <t>26/06/22</t>
  </si>
  <si>
    <t>25/06/23</t>
  </si>
  <si>
    <t>Purchase of Refurbished CP-7942G=, CP-7811-K9=, CP-7941G= for Fairwood Fastfood and CCBA</t>
  </si>
  <si>
    <t>PSJ3, PSBU on Cisco IPT Equipment for KGI HK Ltd</t>
  </si>
  <si>
    <t>11/06/22</t>
  </si>
  <si>
    <t>10/06/23</t>
  </si>
  <si>
    <t>PSBU, PSRT, PSUP, PSJ3 on Cisco IPT Equipment for JW Morriott Hotel HK</t>
  </si>
  <si>
    <t>P CI/5594/MA/GA22</t>
  </si>
  <si>
    <t>28/07/22</t>
  </si>
  <si>
    <t>27/07/23</t>
  </si>
  <si>
    <t>21/06/22</t>
  </si>
  <si>
    <t>L220400801BN</t>
  </si>
  <si>
    <t>26/04/22</t>
  </si>
  <si>
    <t>25/04/23</t>
  </si>
  <si>
    <t>12/05/23</t>
  </si>
  <si>
    <t>G220600243AT</t>
  </si>
  <si>
    <t>20/06/22</t>
  </si>
  <si>
    <t>28/06/22</t>
  </si>
  <si>
    <t>PSRT, PSUP, SSSNP on Cisco IPT Equipment for Essence International Financial Holdings Ltd</t>
  </si>
  <si>
    <t>P CI/5492/MA/AN22</t>
  </si>
  <si>
    <t>13/07/22</t>
  </si>
  <si>
    <t>12/07/24</t>
  </si>
  <si>
    <t>01/09/22</t>
  </si>
  <si>
    <t>31/08/24</t>
  </si>
  <si>
    <t>PSRT, PSUP on Cisco IPT Equipment for MUFG Securities Asia Ltd</t>
  </si>
  <si>
    <t>P CI/5555/MA/DC22</t>
  </si>
  <si>
    <t>31/08/23</t>
  </si>
  <si>
    <t>Purchase of Refurbished Trimline 1 (OPL69119) for Cordis Hotel</t>
  </si>
  <si>
    <t>02/11/22</t>
    <phoneticPr fontId="6" type="noConversion"/>
  </si>
  <si>
    <t>07/07/22</t>
  </si>
  <si>
    <t>1-6/22</t>
  </si>
  <si>
    <t>PSRT, PSJ1 on Cisco IPT Equipment for Kam Yuen Group Int'l Ltd</t>
  </si>
  <si>
    <t>P CI/5395/DC21</t>
  </si>
  <si>
    <t>01/07/22</t>
  </si>
  <si>
    <t>30/06/23</t>
  </si>
  <si>
    <t>04/07/22</t>
  </si>
  <si>
    <t>PSUP, PSJ3 on Cisco IPT Equipment for Ocean Parl Corporation</t>
  </si>
  <si>
    <t>P CI/5836/MA/FF22</t>
  </si>
  <si>
    <t>12/08/22</t>
  </si>
  <si>
    <t>11/08/23</t>
  </si>
  <si>
    <t>11/07/22</t>
  </si>
  <si>
    <t>P CI/5340/MA/DC22</t>
    <phoneticPr fontId="6" type="noConversion"/>
  </si>
  <si>
    <t>08/05/23</t>
  </si>
  <si>
    <t>11/10/22</t>
  </si>
  <si>
    <t>10/10/23</t>
  </si>
  <si>
    <t>06/07/22</t>
  </si>
  <si>
    <t>P CI/5836/MA/F22</t>
  </si>
  <si>
    <t>08/07/22</t>
  </si>
  <si>
    <t>PSBU, PSRT, PSJ3 on Cisco IPT Equipment for Citic Capital Holdings Limited</t>
  </si>
  <si>
    <t>P CI/5380/MA/CO21</t>
    <phoneticPr fontId="6" type="noConversion"/>
  </si>
  <si>
    <t>18/06/22</t>
  </si>
  <si>
    <t>17/06/23</t>
  </si>
  <si>
    <t>18/07/22</t>
  </si>
  <si>
    <t>26/07/22</t>
  </si>
  <si>
    <t xml:space="preserve">PSUP on Cisco IPT Equipment for LVMH Fragrance Brands HK Ltd </t>
  </si>
  <si>
    <t>P CI/5340B/MA/DC22</t>
    <phoneticPr fontId="6" type="noConversion"/>
  </si>
  <si>
    <t>19/07/22</t>
  </si>
  <si>
    <t>PSBU, PSUP, PSRT on Cisco IPT Equipment for CBC Group (HK) Ltd</t>
  </si>
  <si>
    <t>P CI/5377/MA/AT21</t>
    <phoneticPr fontId="6" type="noConversion"/>
  </si>
  <si>
    <t>24/06/23</t>
  </si>
  <si>
    <t>20/07/23</t>
  </si>
  <si>
    <t>Purchase of Refurbished CISCO3925-V/K9</t>
  </si>
  <si>
    <t>L220601471SD</t>
    <phoneticPr fontId="6" type="noConversion"/>
  </si>
  <si>
    <t>04/08/22</t>
    <phoneticPr fontId="6" type="noConversion"/>
  </si>
  <si>
    <t>Purchase of Refurbished C2911-CME-SRST/K9, PVDM3 for Esquel Enterprises Ltd</t>
    <phoneticPr fontId="6" type="noConversion"/>
  </si>
  <si>
    <t>G220800079RA</t>
    <phoneticPr fontId="6" type="noConversion"/>
  </si>
  <si>
    <t>08/08/22</t>
    <phoneticPr fontId="6" type="noConversion"/>
  </si>
  <si>
    <t>16/08/22</t>
    <phoneticPr fontId="6" type="noConversion"/>
  </si>
  <si>
    <t>Renew PSBU, PSRT on Cisco IPT Equipment for J.CHOO (Asia) Limited</t>
    <phoneticPr fontId="6" type="noConversion"/>
  </si>
  <si>
    <t>P CI/4609/MA/AT22</t>
    <phoneticPr fontId="6" type="noConversion"/>
  </si>
  <si>
    <t>11/06/22</t>
    <phoneticPr fontId="6" type="noConversion"/>
  </si>
  <si>
    <t>10/06/23</t>
    <phoneticPr fontId="6" type="noConversion"/>
  </si>
  <si>
    <t>27/07/22</t>
    <phoneticPr fontId="6" type="noConversion"/>
  </si>
  <si>
    <t>26/07/23</t>
    <phoneticPr fontId="6" type="noConversion"/>
  </si>
  <si>
    <t>09/08/22</t>
    <phoneticPr fontId="6" type="noConversion"/>
  </si>
  <si>
    <t>17/08/22</t>
    <phoneticPr fontId="6" type="noConversion"/>
  </si>
  <si>
    <t>FCS Computer Systems Limited</t>
    <phoneticPr fontId="6" type="noConversion"/>
  </si>
  <si>
    <t xml:space="preserve">Renewal of Support and Maintenance Services on FCS Products for Cordis Hong Kong </t>
    <phoneticPr fontId="6" type="noConversion"/>
  </si>
  <si>
    <t>P CI/5460/MA/GA22</t>
    <phoneticPr fontId="6" type="noConversion"/>
  </si>
  <si>
    <t>28/07/22</t>
    <phoneticPr fontId="6" type="noConversion"/>
  </si>
  <si>
    <t>27/07/23</t>
    <phoneticPr fontId="6" type="noConversion"/>
  </si>
  <si>
    <t>26/09/22</t>
    <phoneticPr fontId="6" type="noConversion"/>
  </si>
  <si>
    <t>11/08/22</t>
    <phoneticPr fontId="6" type="noConversion"/>
  </si>
  <si>
    <t>23/08/22</t>
    <phoneticPr fontId="6" type="noConversion"/>
  </si>
  <si>
    <t>PSRT, PSJ3 on Cisco IPT Equipment for The Mari-Cha Group Limited</t>
    <phoneticPr fontId="6" type="noConversion"/>
  </si>
  <si>
    <t>P CI/5381/MA/JI22</t>
    <phoneticPr fontId="6" type="noConversion"/>
  </si>
  <si>
    <t>01/12/22</t>
    <phoneticPr fontId="6" type="noConversion"/>
  </si>
  <si>
    <t>30/11/23</t>
    <phoneticPr fontId="6" type="noConversion"/>
  </si>
  <si>
    <t>15/08/22</t>
    <phoneticPr fontId="6" type="noConversion"/>
  </si>
  <si>
    <t>PSRT, PSOP, PSUE on Cisco IPT Equipment for Cordis Hong Kong</t>
    <phoneticPr fontId="6" type="noConversion"/>
  </si>
  <si>
    <t>10/09/22</t>
    <phoneticPr fontId="6" type="noConversion"/>
  </si>
  <si>
    <t>09/09/23</t>
    <phoneticPr fontId="6" type="noConversion"/>
  </si>
  <si>
    <t>26/08/22</t>
    <phoneticPr fontId="6" type="noConversion"/>
  </si>
  <si>
    <t>PSRT, PSUP, PSBU on Cisco IPT Equipment for 3M Hong Kong Ltd</t>
    <phoneticPr fontId="6" type="noConversion"/>
  </si>
  <si>
    <t>L220801254BN</t>
    <phoneticPr fontId="6" type="noConversion"/>
  </si>
  <si>
    <t>01/09/22</t>
    <phoneticPr fontId="6" type="noConversion"/>
  </si>
  <si>
    <t>31/08/23</t>
    <phoneticPr fontId="6" type="noConversion"/>
  </si>
  <si>
    <t>19/08/22</t>
    <phoneticPr fontId="6" type="noConversion"/>
  </si>
  <si>
    <t>13/09/22</t>
    <phoneticPr fontId="6" type="noConversion"/>
  </si>
  <si>
    <t>Huning Pallets Co.</t>
    <phoneticPr fontId="6" type="noConversion"/>
  </si>
  <si>
    <t xml:space="preserve">Purchase of 500kg Racks for POM 1/F by Martin Ma </t>
    <phoneticPr fontId="6" type="noConversion"/>
  </si>
  <si>
    <t>17/11/22</t>
    <phoneticPr fontId="6" type="noConversion"/>
  </si>
  <si>
    <t>30/08/22</t>
    <phoneticPr fontId="6" type="noConversion"/>
  </si>
  <si>
    <t>07/09/22</t>
    <phoneticPr fontId="6" type="noConversion"/>
  </si>
  <si>
    <t>PSUP on ISR4331/K9 for Hong Kong Housing Society</t>
    <phoneticPr fontId="6" type="noConversion"/>
  </si>
  <si>
    <t>P CI/5057/MA/SD21</t>
    <phoneticPr fontId="6" type="noConversion"/>
  </si>
  <si>
    <t>01/02/22</t>
    <phoneticPr fontId="6" type="noConversion"/>
  </si>
  <si>
    <t>31/01/25</t>
    <phoneticPr fontId="6" type="noConversion"/>
  </si>
  <si>
    <t>25/08/22</t>
    <phoneticPr fontId="6" type="noConversion"/>
  </si>
  <si>
    <t>Purchase of Refurbished CP-7942G=, CP-7811-K9=, CP-7941G= for Fairwood Fastfood and HKHS</t>
    <phoneticPr fontId="6" type="noConversion"/>
  </si>
  <si>
    <t>00244751</t>
    <phoneticPr fontId="6" type="noConversion"/>
  </si>
  <si>
    <t>19/10/22</t>
    <phoneticPr fontId="6" type="noConversion"/>
  </si>
  <si>
    <t>29/09/22</t>
    <phoneticPr fontId="6" type="noConversion"/>
  </si>
  <si>
    <t>PSUP, PSJ3 on Cisco IPT Equipment for CCB International Holdings Ltd</t>
    <phoneticPr fontId="6" type="noConversion"/>
  </si>
  <si>
    <t>P CI/5735/MA/JI22</t>
    <phoneticPr fontId="6" type="noConversion"/>
  </si>
  <si>
    <t>18/10/22</t>
    <phoneticPr fontId="6" type="noConversion"/>
  </si>
  <si>
    <t>17/10/23</t>
    <phoneticPr fontId="6" type="noConversion"/>
  </si>
  <si>
    <t>07/11/22</t>
    <phoneticPr fontId="6" type="noConversion"/>
  </si>
  <si>
    <t>Tophope Limited</t>
    <phoneticPr fontId="6" type="noConversion"/>
  </si>
  <si>
    <t>Purchase of Refurbished CP-7916=, CP-7937G…for CCB International (Holdings) Limited</t>
    <phoneticPr fontId="6" type="noConversion"/>
  </si>
  <si>
    <t>02/12/22</t>
    <phoneticPr fontId="6" type="noConversion"/>
  </si>
  <si>
    <t>05/10/22</t>
    <phoneticPr fontId="6" type="noConversion"/>
  </si>
  <si>
    <t>iConnect System Limited</t>
    <phoneticPr fontId="6" type="noConversion"/>
  </si>
  <si>
    <t>1-9/22</t>
    <phoneticPr fontId="6" type="noConversion"/>
  </si>
  <si>
    <t>Annual Maintenance for iConnect CAS for Daiwa Capital Markets HK Ltd</t>
    <phoneticPr fontId="6" type="noConversion"/>
  </si>
  <si>
    <t>P CI/5323/MA/DC22</t>
    <phoneticPr fontId="6" type="noConversion"/>
  </si>
  <si>
    <t>01/06/22</t>
    <phoneticPr fontId="6" type="noConversion"/>
  </si>
  <si>
    <t>31/05/23</t>
    <phoneticPr fontId="6" type="noConversion"/>
  </si>
  <si>
    <t>07/12/22</t>
    <phoneticPr fontId="6" type="noConversion"/>
  </si>
  <si>
    <t>10/10/22</t>
    <phoneticPr fontId="6" type="noConversion"/>
  </si>
  <si>
    <t>PSRT on Cisco IPT Equipment for The Mari-Cha Group Limited</t>
    <phoneticPr fontId="6" type="noConversion"/>
  </si>
  <si>
    <t>P CI/5831/MA/JI22</t>
    <phoneticPr fontId="6" type="noConversion"/>
  </si>
  <si>
    <t>15/09/22</t>
    <phoneticPr fontId="6" type="noConversion"/>
  </si>
  <si>
    <t>21/11/22</t>
    <phoneticPr fontId="6" type="noConversion"/>
  </si>
  <si>
    <t>17/10/22</t>
    <phoneticPr fontId="6" type="noConversion"/>
  </si>
  <si>
    <t>26/10/22</t>
    <phoneticPr fontId="6" type="noConversion"/>
  </si>
  <si>
    <t>PSJ1 on Cisco IPT Equipment for Olympus Corporation Of Asia Pacific Ltd</t>
    <phoneticPr fontId="6" type="noConversion"/>
  </si>
  <si>
    <t>P CI/5921/MA/DC22</t>
    <phoneticPr fontId="6" type="noConversion"/>
  </si>
  <si>
    <t>09/09/22</t>
    <phoneticPr fontId="6" type="noConversion"/>
  </si>
  <si>
    <t>08/09/23</t>
    <phoneticPr fontId="6" type="noConversion"/>
  </si>
  <si>
    <t>14/10/22</t>
    <phoneticPr fontId="6" type="noConversion"/>
  </si>
  <si>
    <t>30/06/23</t>
    <phoneticPr fontId="6" type="noConversion"/>
  </si>
  <si>
    <t>Doris Cheuk, Fonnie Lai</t>
    <phoneticPr fontId="6" type="noConversion"/>
  </si>
  <si>
    <t>24/10/22</t>
    <phoneticPr fontId="6" type="noConversion"/>
  </si>
  <si>
    <t>PSRT on Cisco IPT Equipment for Mizuho Bank Ltd</t>
    <phoneticPr fontId="6" type="noConversion"/>
  </si>
  <si>
    <t>P CI/5757/MA/DC22</t>
    <phoneticPr fontId="6" type="noConversion"/>
  </si>
  <si>
    <t>15/10/22</t>
    <phoneticPr fontId="6" type="noConversion"/>
  </si>
  <si>
    <t>14/10/23</t>
    <phoneticPr fontId="6" type="noConversion"/>
  </si>
  <si>
    <t>17/12/22</t>
    <phoneticPr fontId="6" type="noConversion"/>
  </si>
  <si>
    <t>16/12/23</t>
    <phoneticPr fontId="6" type="noConversion"/>
  </si>
  <si>
    <t>Purchase of Refurbished CISCO2911-V/K9 Bundle for Mizuho Bank Ltd</t>
    <phoneticPr fontId="6" type="noConversion"/>
  </si>
  <si>
    <t>17/04/23</t>
    <phoneticPr fontId="6" type="noConversion"/>
  </si>
  <si>
    <t>25/10/22</t>
    <phoneticPr fontId="6" type="noConversion"/>
  </si>
  <si>
    <t>08/11/22</t>
    <phoneticPr fontId="6" type="noConversion"/>
  </si>
  <si>
    <t>PSJ3, PSBU, PSUP on Cisco IPT Equipment for Sucden Financial HK Ltd</t>
    <phoneticPr fontId="6" type="noConversion"/>
  </si>
  <si>
    <t>P CI/5942/MA/JI22</t>
    <phoneticPr fontId="6" type="noConversion"/>
  </si>
  <si>
    <t>16/12/22</t>
    <phoneticPr fontId="6" type="noConversion"/>
  </si>
  <si>
    <t>15/12/23</t>
    <phoneticPr fontId="6" type="noConversion"/>
  </si>
  <si>
    <t>Janet Hsui</t>
    <phoneticPr fontId="6" type="noConversion"/>
  </si>
  <si>
    <t>Purchase of Refurbished PVDM3-64, VWIC2-1MFT for Promise Consulting Service (SZ) Co Ltd</t>
    <phoneticPr fontId="6" type="noConversion"/>
  </si>
  <si>
    <t>L221202142MG</t>
    <phoneticPr fontId="6" type="noConversion"/>
  </si>
  <si>
    <t>Mango Chung / Shirley Wong</t>
    <phoneticPr fontId="6" type="noConversion"/>
  </si>
  <si>
    <t>09/11/22</t>
    <phoneticPr fontId="6" type="noConversion"/>
  </si>
  <si>
    <t>Aliter Networks</t>
    <phoneticPr fontId="6" type="noConversion"/>
  </si>
  <si>
    <t>Purchase of Refurbished Cisco 2911 Voice Bundle, PVDM3-16 for Promise Consulting Service (SZ) Co Ltd</t>
    <phoneticPr fontId="6" type="noConversion"/>
  </si>
  <si>
    <t>28/12/22</t>
    <phoneticPr fontId="6" type="noConversion"/>
  </si>
  <si>
    <t>12/12/22</t>
    <phoneticPr fontId="6" type="noConversion"/>
  </si>
  <si>
    <t>21/12/22</t>
    <phoneticPr fontId="6" type="noConversion"/>
  </si>
  <si>
    <t>PSJ1, PSRT on Cisco IPT Equipment for ESR HK Limited</t>
    <phoneticPr fontId="6" type="noConversion"/>
  </si>
  <si>
    <t>P CI/5998/WB/BS22</t>
    <phoneticPr fontId="6" type="noConversion"/>
  </si>
  <si>
    <t>18/03/22</t>
    <phoneticPr fontId="6" type="noConversion"/>
  </si>
  <si>
    <t>17/03/25</t>
    <phoneticPr fontId="6" type="noConversion"/>
  </si>
  <si>
    <t>05/12/22</t>
    <phoneticPr fontId="6" type="noConversion"/>
  </si>
  <si>
    <t>04/12/23</t>
    <phoneticPr fontId="6" type="noConversion"/>
  </si>
  <si>
    <t>Bertha Sin</t>
    <phoneticPr fontId="6" type="noConversion"/>
  </si>
  <si>
    <t>07/02/23</t>
    <phoneticPr fontId="6" type="noConversion"/>
  </si>
  <si>
    <t>P CI/5587/MA/DC22</t>
    <phoneticPr fontId="6" type="noConversion"/>
  </si>
  <si>
    <t>01/01/23</t>
    <phoneticPr fontId="6" type="noConversion"/>
  </si>
  <si>
    <t>31/12/23</t>
    <phoneticPr fontId="6" type="noConversion"/>
  </si>
  <si>
    <t xml:space="preserve">Fonnie Lai </t>
    <phoneticPr fontId="6" type="noConversion"/>
  </si>
  <si>
    <t>29/12/22</t>
    <phoneticPr fontId="6" type="noConversion"/>
  </si>
  <si>
    <t>PSUP on Cisco IPT Equipment for Hong Kong Science &amp; Technology Parks Corporation</t>
    <phoneticPr fontId="6" type="noConversion"/>
  </si>
  <si>
    <t>P CI/5749/MA/MG22</t>
    <phoneticPr fontId="6" type="noConversion"/>
  </si>
  <si>
    <t>15/12/22</t>
    <phoneticPr fontId="6" type="noConversion"/>
  </si>
  <si>
    <t>14/12/25</t>
    <phoneticPr fontId="6" type="noConversion"/>
  </si>
  <si>
    <t>14/12/23</t>
    <phoneticPr fontId="6" type="noConversion"/>
  </si>
  <si>
    <t>Mango Chung / Vivien Yuen</t>
    <phoneticPr fontId="6" type="noConversion"/>
  </si>
  <si>
    <t>08/03/23</t>
    <phoneticPr fontId="6" type="noConversion"/>
  </si>
  <si>
    <t>20/12/22</t>
    <phoneticPr fontId="6" type="noConversion"/>
  </si>
  <si>
    <t>Purchase of P/N: C2921-VSEC/K9, Refurbished Cisco Switch for HK Science &amp; Technology Parks Corp</t>
    <phoneticPr fontId="6" type="noConversion"/>
  </si>
  <si>
    <t>02/06/23</t>
    <phoneticPr fontId="6" type="noConversion"/>
  </si>
  <si>
    <t>06/01/23</t>
    <phoneticPr fontId="6" type="noConversion"/>
  </si>
  <si>
    <t>1-12/22</t>
    <phoneticPr fontId="6" type="noConversion"/>
  </si>
  <si>
    <t>PSRT, PSUP, PSBU, PSJ3, SNT on Cisco IPT Equipment for KGI Hong Kong Limited</t>
    <phoneticPr fontId="6" type="noConversion"/>
  </si>
  <si>
    <t>P AV/5903/MA/GW22</t>
    <phoneticPr fontId="6" type="noConversion"/>
  </si>
  <si>
    <t>Gigi Wong / Carman Law</t>
    <phoneticPr fontId="6" type="noConversion"/>
  </si>
  <si>
    <t>04/01/23</t>
    <phoneticPr fontId="6" type="noConversion"/>
  </si>
  <si>
    <t>Henry Yeung</t>
    <phoneticPr fontId="6" type="noConversion"/>
  </si>
  <si>
    <t>TEM License and Services on TEM-STD-01000 for KGI HK Ltd</t>
    <phoneticPr fontId="6" type="noConversion"/>
  </si>
  <si>
    <t>10/01/23</t>
    <phoneticPr fontId="6" type="noConversion"/>
  </si>
  <si>
    <t>09/01/24</t>
    <phoneticPr fontId="6" type="noConversion"/>
  </si>
  <si>
    <t>1383119/1383199</t>
    <phoneticPr fontId="6" type="noConversion"/>
  </si>
  <si>
    <t>PSUP, PSRT, PSJ3, A-Flex-3 on Cisco IPT Equipment for Dongxing Securities (HK) Co Ltd</t>
    <phoneticPr fontId="6" type="noConversion"/>
  </si>
  <si>
    <t>P CI/6235/MA/CO22</t>
    <phoneticPr fontId="6" type="noConversion"/>
  </si>
  <si>
    <t>11/03/23</t>
    <phoneticPr fontId="6" type="noConversion"/>
  </si>
  <si>
    <t>10/03/24</t>
    <phoneticPr fontId="6" type="noConversion"/>
  </si>
  <si>
    <t>Connie Chan / Carman Law</t>
    <phoneticPr fontId="6" type="noConversion"/>
  </si>
  <si>
    <t>15/5/23 , 18/4/23</t>
  </si>
  <si>
    <t>PSUP, PSJ3, ISV1 on Cisco IPT Equipment for Credit Agricole Corp And Investment Bank</t>
    <phoneticPr fontId="6" type="noConversion"/>
  </si>
  <si>
    <t>P CI/5865/MA/JI22</t>
    <phoneticPr fontId="6" type="noConversion"/>
  </si>
  <si>
    <t>31/12/25</t>
    <phoneticPr fontId="6" type="noConversion"/>
  </si>
  <si>
    <t>11/01/23</t>
    <phoneticPr fontId="6" type="noConversion"/>
  </si>
  <si>
    <t>A-FLEX-3, SVS-FLEX-SUPT-BAS, A-FLEX-CUAC-S for KGI Hong Kong Ltd</t>
    <phoneticPr fontId="6" type="noConversion"/>
  </si>
  <si>
    <t>P CI/4979/MA/CO21</t>
    <phoneticPr fontId="6" type="noConversion"/>
  </si>
  <si>
    <t>01/01/22</t>
    <phoneticPr fontId="6" type="noConversion"/>
  </si>
  <si>
    <t>31/12/22</t>
    <phoneticPr fontId="6" type="noConversion"/>
  </si>
  <si>
    <t>12/01/23</t>
    <phoneticPr fontId="6" type="noConversion"/>
  </si>
  <si>
    <t>LSNTP, PSJ3 on Cisco IPT Equipment for Hong Kong Monetary Authority</t>
    <phoneticPr fontId="6" type="noConversion"/>
  </si>
  <si>
    <t>4230190039MD</t>
    <phoneticPr fontId="6" type="noConversion"/>
  </si>
  <si>
    <t>01/07/23</t>
    <phoneticPr fontId="6" type="noConversion"/>
  </si>
  <si>
    <t>Shirley Wong</t>
    <phoneticPr fontId="6" type="noConversion"/>
  </si>
  <si>
    <t>PSUP, PSJ3, PSRT, ECMU on Cisco IPT Equipment for China Construction Bank Asia Corporation Ltd</t>
    <phoneticPr fontId="6" type="noConversion"/>
  </si>
  <si>
    <t>P CI/5859/MA/JI22</t>
    <phoneticPr fontId="6" type="noConversion"/>
  </si>
  <si>
    <t>19/01/23</t>
    <phoneticPr fontId="6" type="noConversion"/>
  </si>
  <si>
    <t>PSJ3 on Cisco IPT Equipment for Hong Kong Monetary Authority</t>
    <phoneticPr fontId="6" type="noConversion"/>
  </si>
  <si>
    <t>31/01/23</t>
    <phoneticPr fontId="6" type="noConversion"/>
  </si>
  <si>
    <t>Amazing (HK) Trading Ltd</t>
    <phoneticPr fontId="6" type="noConversion"/>
  </si>
  <si>
    <t>EFT License for Hong Kong Metropolitan University</t>
    <phoneticPr fontId="6" type="noConversion"/>
  </si>
  <si>
    <t>P CI/5996/MA/V722</t>
    <phoneticPr fontId="6" type="noConversion"/>
  </si>
  <si>
    <t>01/02/23</t>
    <phoneticPr fontId="6" type="noConversion"/>
  </si>
  <si>
    <t>31/01/24</t>
    <phoneticPr fontId="6" type="noConversion"/>
  </si>
  <si>
    <t>Irene Man / Carman Law</t>
    <phoneticPr fontId="6" type="noConversion"/>
  </si>
  <si>
    <t>Purchase of Refurbished Cisco 3925 for Hong Kong Monetary Authority</t>
    <phoneticPr fontId="6" type="noConversion"/>
  </si>
  <si>
    <t>P/N: A-FLEX-3, Flex 3.0 on Cisco IPT Eqpt for Hong Kong Metropolitan University</t>
    <phoneticPr fontId="6" type="noConversion"/>
  </si>
  <si>
    <t>PSRT, PSJ1, ECMU on Cisco IPT Eqpt for Citizen Watches HK Ltd</t>
    <phoneticPr fontId="6" type="noConversion"/>
  </si>
  <si>
    <t>P CI/5682/MA/BS22</t>
    <phoneticPr fontId="6" type="noConversion"/>
  </si>
  <si>
    <t>07/09/24</t>
    <phoneticPr fontId="6" type="noConversion"/>
  </si>
  <si>
    <t>18/01/23</t>
    <phoneticPr fontId="6" type="noConversion"/>
  </si>
  <si>
    <t>17/01/24</t>
    <phoneticPr fontId="6" type="noConversion"/>
  </si>
  <si>
    <t>Bertha Sin / Cynthia Lam</t>
    <phoneticPr fontId="6" type="noConversion"/>
  </si>
  <si>
    <t>02/02/23</t>
    <phoneticPr fontId="6" type="noConversion"/>
  </si>
  <si>
    <t>License SP-INFORMACAST, SP-ICADWR-END-50-C for KGI Hong Kong Ltd</t>
    <phoneticPr fontId="6" type="noConversion"/>
  </si>
  <si>
    <t>2022WB285GW</t>
    <phoneticPr fontId="6" type="noConversion"/>
  </si>
  <si>
    <t>12/02/23</t>
    <phoneticPr fontId="6" type="noConversion"/>
  </si>
  <si>
    <t>11/02/24</t>
    <phoneticPr fontId="6" type="noConversion"/>
  </si>
  <si>
    <t>27/04/23</t>
    <phoneticPr fontId="6" type="noConversion"/>
  </si>
  <si>
    <t>26/04/24</t>
    <phoneticPr fontId="6" type="noConversion"/>
  </si>
  <si>
    <t>09/02/23</t>
    <phoneticPr fontId="6" type="noConversion"/>
  </si>
  <si>
    <t>PSRT, PSJ3, LSNT, PSBU on Cisco IPT Eqpt for HK Metropolitan University</t>
    <phoneticPr fontId="6" type="noConversion"/>
  </si>
  <si>
    <t>10/02/23</t>
    <phoneticPr fontId="6" type="noConversion"/>
  </si>
  <si>
    <t>PSUP on Cisco IPT Equipment for Mast Industries (Far East) Ltd</t>
    <phoneticPr fontId="6" type="noConversion"/>
  </si>
  <si>
    <t>P CI/5910/MA/WH22</t>
    <phoneticPr fontId="6" type="noConversion"/>
  </si>
  <si>
    <t>27/01/23</t>
    <phoneticPr fontId="6" type="noConversion"/>
  </si>
  <si>
    <t>26/01/24</t>
    <phoneticPr fontId="6" type="noConversion"/>
  </si>
  <si>
    <t>Hillary Wan / Fonnie Lai</t>
    <phoneticPr fontId="6" type="noConversion"/>
  </si>
  <si>
    <t>15/02/23</t>
    <phoneticPr fontId="6" type="noConversion"/>
  </si>
  <si>
    <t>PSJ3, PSUP on Cisco IPT Equipment for Metlife Asia Ltd</t>
    <phoneticPr fontId="6" type="noConversion"/>
  </si>
  <si>
    <t>P CI/5913/MA/JI22</t>
    <phoneticPr fontId="6" type="noConversion"/>
  </si>
  <si>
    <t>15/06/23</t>
    <phoneticPr fontId="6" type="noConversion"/>
  </si>
  <si>
    <t>08/02/24</t>
    <phoneticPr fontId="6" type="noConversion"/>
  </si>
  <si>
    <t>Ada Wong / Shirley Wong</t>
    <phoneticPr fontId="6" type="noConversion"/>
  </si>
  <si>
    <t>Purchase of Refurbished CP-8845-K9= for Daiwa</t>
    <phoneticPr fontId="6" type="noConversion"/>
  </si>
  <si>
    <t>28/02/23</t>
    <phoneticPr fontId="6" type="noConversion"/>
  </si>
  <si>
    <t>PSRT on Cisco IPT Equipment for Fairwood Fast Food Ltd</t>
    <phoneticPr fontId="6" type="noConversion"/>
  </si>
  <si>
    <t>P CI/5741/MA/BS22</t>
    <phoneticPr fontId="6" type="noConversion"/>
  </si>
  <si>
    <t>03/10/22</t>
    <phoneticPr fontId="6" type="noConversion"/>
  </si>
  <si>
    <t>02/10/25</t>
    <phoneticPr fontId="6" type="noConversion"/>
  </si>
  <si>
    <t>01/03/23</t>
    <phoneticPr fontId="6" type="noConversion"/>
  </si>
  <si>
    <t>31/03/24</t>
    <phoneticPr fontId="6" type="noConversion"/>
  </si>
  <si>
    <t>20/03/23</t>
    <phoneticPr fontId="6" type="noConversion"/>
  </si>
  <si>
    <t>PSRT on Cisco IPT Equipment for King &amp; Wood Mallesons</t>
    <phoneticPr fontId="6" type="noConversion"/>
  </si>
  <si>
    <t>P CI/5904/WA/DC22</t>
    <phoneticPr fontId="6" type="noConversion"/>
  </si>
  <si>
    <t>30/12/22</t>
    <phoneticPr fontId="6" type="noConversion"/>
  </si>
  <si>
    <t>29/12/23</t>
    <phoneticPr fontId="6" type="noConversion"/>
  </si>
  <si>
    <t>19/03/24</t>
    <phoneticPr fontId="6" type="noConversion"/>
  </si>
  <si>
    <t>21/03/23</t>
    <phoneticPr fontId="6" type="noConversion"/>
  </si>
  <si>
    <t>PSJ1, PSUP, PSBU on Cisco IPT Equipment for Commonwealth Bank Of Australia</t>
    <phoneticPr fontId="6" type="noConversion"/>
  </si>
  <si>
    <t>2023WB050-CO</t>
    <phoneticPr fontId="6" type="noConversion"/>
  </si>
  <si>
    <t>20/01/23</t>
    <phoneticPr fontId="6" type="noConversion"/>
  </si>
  <si>
    <t>19/01/24</t>
    <phoneticPr fontId="6" type="noConversion"/>
  </si>
  <si>
    <t>15/03/23</t>
    <phoneticPr fontId="6" type="noConversion"/>
  </si>
  <si>
    <t>14/03/24</t>
    <phoneticPr fontId="6" type="noConversion"/>
  </si>
  <si>
    <t>03/04/23</t>
    <phoneticPr fontId="6" type="noConversion"/>
  </si>
  <si>
    <t>1398442/1398442</t>
  </si>
  <si>
    <t>Carlos Chan</t>
    <phoneticPr fontId="6" type="noConversion"/>
  </si>
  <si>
    <t>PSJ3, PSRT on CISCO IPT Equipment for CEB International Investment Corporation Ltd</t>
    <phoneticPr fontId="6" type="noConversion"/>
  </si>
  <si>
    <t>P CI/6032/MA/V423</t>
    <phoneticPr fontId="6" type="noConversion"/>
  </si>
  <si>
    <t>03/02/23</t>
    <phoneticPr fontId="6" type="noConversion"/>
  </si>
  <si>
    <t>02/02/24</t>
    <phoneticPr fontId="6" type="noConversion"/>
  </si>
  <si>
    <t>25/05/23</t>
    <phoneticPr fontId="6" type="noConversion"/>
  </si>
  <si>
    <t>Edward Chan / Carman Law</t>
    <phoneticPr fontId="6" type="noConversion"/>
  </si>
  <si>
    <t>20/04/23</t>
    <phoneticPr fontId="6" type="noConversion"/>
  </si>
  <si>
    <t>Purchase of Refurbished Trimline 1 (OPL69119) for Cordis Hotel</t>
    <phoneticPr fontId="6" type="noConversion"/>
  </si>
  <si>
    <t>25/04/23</t>
    <phoneticPr fontId="6" type="noConversion"/>
  </si>
  <si>
    <t>PSJ3, PSUP, PSRT on Cisco IPT Equipment for Daiwa Capital Markets HK Ltd</t>
    <phoneticPr fontId="6" type="noConversion"/>
  </si>
  <si>
    <t>P CI/6096/MA/DC23</t>
    <phoneticPr fontId="6" type="noConversion"/>
  </si>
  <si>
    <t>01/04/23</t>
    <phoneticPr fontId="6" type="noConversion"/>
  </si>
  <si>
    <t>Doris Cheuk / Fonnie Lai</t>
    <phoneticPr fontId="6" type="noConversion"/>
  </si>
  <si>
    <t>05/05/23</t>
    <phoneticPr fontId="6" type="noConversion"/>
  </si>
  <si>
    <t>PSUP, PSJ3, PSBU on Cisco IPT Equipment for Vitasoy International Holdings Ltd</t>
    <phoneticPr fontId="6" type="noConversion"/>
  </si>
  <si>
    <t>P CI/6109/MA/DC22</t>
    <phoneticPr fontId="6" type="noConversion"/>
  </si>
  <si>
    <t>30/04/24</t>
    <phoneticPr fontId="6" type="noConversion"/>
  </si>
  <si>
    <t>14/06/23</t>
    <phoneticPr fontId="6" type="noConversion"/>
  </si>
  <si>
    <t>13/06/24</t>
    <phoneticPr fontId="6" type="noConversion"/>
  </si>
  <si>
    <t>11/05/23</t>
    <phoneticPr fontId="6" type="noConversion"/>
  </si>
  <si>
    <t>PSRT, PSJ1 on Cisco IPT Equipment for Island Navigation Corporation International Limited</t>
    <phoneticPr fontId="6" type="noConversion"/>
  </si>
  <si>
    <t>P CI/5737/WA/BS22</t>
    <phoneticPr fontId="6" type="noConversion"/>
  </si>
  <si>
    <t>01/02/26</t>
    <phoneticPr fontId="6" type="noConversion"/>
  </si>
  <si>
    <t>08/05/23</t>
    <phoneticPr fontId="6" type="noConversion"/>
  </si>
  <si>
    <t>LSNT, SNT, PSRT on Cisco IPT for West Kowloon Cultural District Authority</t>
    <phoneticPr fontId="6" type="noConversion"/>
  </si>
  <si>
    <t>UID-23-05-SS3-00053</t>
    <phoneticPr fontId="6" type="noConversion"/>
  </si>
  <si>
    <t>WKCDA22-0172-ITD</t>
    <phoneticPr fontId="6" type="noConversion"/>
  </si>
  <si>
    <t>17/05/23</t>
    <phoneticPr fontId="6" type="noConversion"/>
  </si>
  <si>
    <t>Purchase of Refurbished CISCO2911-V/K9 Bundle for CEB International Investment Corporation Limited</t>
    <phoneticPr fontId="6" type="noConversion"/>
  </si>
  <si>
    <t>24/05/23</t>
    <phoneticPr fontId="6" type="noConversion"/>
  </si>
  <si>
    <t>PSUE, PSJ3, PSBU on Cisco IPT Equipment for Anglo-Eastern Ship Management Ltd</t>
    <phoneticPr fontId="6" type="noConversion"/>
  </si>
  <si>
    <t>UID-23-04-SS2-00078</t>
    <phoneticPr fontId="6" type="noConversion"/>
  </si>
  <si>
    <t>P CI/6025/MA/BS22</t>
    <phoneticPr fontId="6" type="noConversion"/>
  </si>
  <si>
    <t>27/02/26</t>
    <phoneticPr fontId="6" type="noConversion"/>
  </si>
  <si>
    <t>PSRT, PSUP on Cisco IPT Products for Chinese Estates Holdings Ltd</t>
    <phoneticPr fontId="6" type="noConversion"/>
  </si>
  <si>
    <t>UID-23-05-SS2-00017</t>
    <phoneticPr fontId="6" type="noConversion"/>
  </si>
  <si>
    <t>P CI/5737/MA/BS22</t>
    <phoneticPr fontId="6" type="noConversion"/>
  </si>
  <si>
    <t>01/11/22</t>
    <phoneticPr fontId="6" type="noConversion"/>
  </si>
  <si>
    <t>31/10/23</t>
    <phoneticPr fontId="6" type="noConversion"/>
  </si>
  <si>
    <t>12/05/23</t>
    <phoneticPr fontId="6" type="noConversion"/>
  </si>
  <si>
    <t>11/05/24</t>
    <phoneticPr fontId="6" type="noConversion"/>
  </si>
  <si>
    <t>PSBU, PSUP on Cisco IPT Equipment for CBC Group (HK) Ltd (User name: C-Bridge Capital Investment Advisor Ltd)</t>
    <phoneticPr fontId="6" type="noConversion"/>
  </si>
  <si>
    <t>UID-23-05-SS2-00098</t>
    <phoneticPr fontId="6" type="noConversion"/>
  </si>
  <si>
    <t>P CI/6262/MA/AT22</t>
    <phoneticPr fontId="6" type="noConversion"/>
  </si>
  <si>
    <t>25/06/23</t>
    <phoneticPr fontId="6" type="noConversion"/>
  </si>
  <si>
    <t>24/06/24</t>
    <phoneticPr fontId="6" type="noConversion"/>
  </si>
  <si>
    <t>21/07/23</t>
    <phoneticPr fontId="6" type="noConversion"/>
  </si>
  <si>
    <t>20/07/24</t>
    <phoneticPr fontId="6" type="noConversion"/>
  </si>
  <si>
    <t>Anko Tang / Fonnie Lai</t>
    <phoneticPr fontId="6" type="noConversion"/>
  </si>
  <si>
    <t>01/06/23</t>
    <phoneticPr fontId="6" type="noConversion"/>
  </si>
  <si>
    <t>Annual Maintenance Service Charge of TEM Suite System for Chinese Estates Holdings Ltd</t>
    <phoneticPr fontId="6" type="noConversion"/>
  </si>
  <si>
    <t>Purchase of Refurbished BE7M-M4-K9 for JW Marriot Hotel</t>
    <phoneticPr fontId="6" type="noConversion"/>
  </si>
  <si>
    <t>P CI/6320/MA/GA23, L221290072GA</t>
    <phoneticPr fontId="6" type="noConversion"/>
  </si>
  <si>
    <t>Glady Au</t>
    <phoneticPr fontId="6" type="noConversion"/>
  </si>
  <si>
    <t>13/06/23</t>
    <phoneticPr fontId="6" type="noConversion"/>
  </si>
  <si>
    <t>PSJ1, PSUE, PSBU on Cisco IPT Equipment for Correctional Services Dept</t>
    <phoneticPr fontId="6" type="noConversion"/>
  </si>
  <si>
    <t>UID-23-06-SS3-00025</t>
    <phoneticPr fontId="6" type="noConversion"/>
  </si>
  <si>
    <t>G231100051EA</t>
    <phoneticPr fontId="6" type="noConversion"/>
  </si>
  <si>
    <t>03/07/23</t>
    <phoneticPr fontId="6" type="noConversion"/>
  </si>
  <si>
    <t>24/11/24</t>
    <phoneticPr fontId="6" type="noConversion"/>
  </si>
  <si>
    <t>02/07/24</t>
    <phoneticPr fontId="6" type="noConversion"/>
  </si>
  <si>
    <t>PSRT, PSJ3, PSUP on Cisco IPT Equipment for Star Like Ltd</t>
    <phoneticPr fontId="6" type="noConversion"/>
  </si>
  <si>
    <t>UID-23-05-SS2-00004</t>
    <phoneticPr fontId="6" type="noConversion"/>
  </si>
  <si>
    <t>P CI/5770/MA/BS22</t>
    <phoneticPr fontId="6" type="noConversion"/>
  </si>
  <si>
    <t>30/10/23</t>
    <phoneticPr fontId="6" type="noConversion"/>
  </si>
  <si>
    <t>09/05/23</t>
    <phoneticPr fontId="6" type="noConversion"/>
  </si>
  <si>
    <t>08/05/24</t>
    <phoneticPr fontId="6" type="noConversion"/>
  </si>
  <si>
    <t>Cynthia Lam</t>
    <phoneticPr fontId="6" type="noConversion"/>
  </si>
  <si>
    <t>26/06/23</t>
    <phoneticPr fontId="6" type="noConversion"/>
  </si>
  <si>
    <t>PSRT, PSUP, PSJ3, PSBU on Cisco IPT Equipment for ABC International Holdings Ltd</t>
    <phoneticPr fontId="6" type="noConversion"/>
  </si>
  <si>
    <t>UID-23-06-SS3-00111</t>
    <phoneticPr fontId="6" type="noConversion"/>
  </si>
  <si>
    <t>P CI/6732/MA/GW23</t>
    <phoneticPr fontId="6" type="noConversion"/>
  </si>
  <si>
    <t>16/06/24</t>
    <phoneticPr fontId="6" type="noConversion"/>
  </si>
  <si>
    <t>28/06/23</t>
    <phoneticPr fontId="6" type="noConversion"/>
  </si>
  <si>
    <t>27/06/24</t>
    <phoneticPr fontId="6" type="noConversion"/>
  </si>
  <si>
    <t>11/07/23</t>
    <phoneticPr fontId="6" type="noConversion"/>
  </si>
  <si>
    <t>PSRT, PSJ3 on Cisco IPT Equipment for Banco Bilbao Vizcaya Argentaria, S.A.</t>
    <phoneticPr fontId="6" type="noConversion"/>
  </si>
  <si>
    <t>UID-23-06-SS1-00023</t>
    <phoneticPr fontId="6" type="noConversion"/>
  </si>
  <si>
    <t>P CI/6256/MA/JI22</t>
    <phoneticPr fontId="6" type="noConversion"/>
  </si>
  <si>
    <t>25/06/24</t>
    <phoneticPr fontId="6" type="noConversion"/>
  </si>
  <si>
    <t>Vivien Yuen</t>
    <phoneticPr fontId="6" type="noConversion"/>
  </si>
  <si>
    <t>12/07/23</t>
    <phoneticPr fontId="6" type="noConversion"/>
  </si>
  <si>
    <t>Jul-23</t>
  </si>
  <si>
    <t>A-FLEX-3 License for ABC International Holdings Ltd</t>
    <phoneticPr fontId="6" type="noConversion"/>
  </si>
  <si>
    <t>17/07/23</t>
    <phoneticPr fontId="6" type="noConversion"/>
  </si>
  <si>
    <t>16/07/24</t>
    <phoneticPr fontId="6" type="noConversion"/>
  </si>
  <si>
    <t>01/08/23</t>
    <phoneticPr fontId="6" type="noConversion"/>
  </si>
  <si>
    <t>PSRT, PSUP on CISCO Products for MUFG Securities Asia Ltd</t>
    <phoneticPr fontId="6" type="noConversion"/>
  </si>
  <si>
    <t>UID-23-07-SS2-00019</t>
    <phoneticPr fontId="6" type="noConversion"/>
  </si>
  <si>
    <t>PCI-6449-MA-DC23</t>
    <phoneticPr fontId="6" type="noConversion"/>
  </si>
  <si>
    <t>01/09/23</t>
    <phoneticPr fontId="6" type="noConversion"/>
  </si>
  <si>
    <t>31/08/24</t>
    <phoneticPr fontId="6" type="noConversion"/>
  </si>
  <si>
    <t>04/08/23</t>
    <phoneticPr fontId="6" type="noConversion"/>
  </si>
  <si>
    <t>Renewal Maintenance Services on FCS Products for Cordis Hong Kong</t>
    <phoneticPr fontId="6" type="noConversion"/>
  </si>
  <si>
    <t>UID-23-07-SS1-00039</t>
    <phoneticPr fontId="6" type="noConversion"/>
  </si>
  <si>
    <t>L230700919GA</t>
    <phoneticPr fontId="6" type="noConversion"/>
  </si>
  <si>
    <t>28/07/23</t>
    <phoneticPr fontId="6" type="noConversion"/>
  </si>
  <si>
    <t>27/10/23</t>
    <phoneticPr fontId="6" type="noConversion"/>
  </si>
  <si>
    <t>Glady Au / Vivien Yuen</t>
    <phoneticPr fontId="6" type="noConversion"/>
  </si>
  <si>
    <t>07/08/23</t>
    <phoneticPr fontId="6" type="noConversion"/>
  </si>
  <si>
    <t>Y</t>
  </si>
  <si>
    <t>PSUP on Cisco IPT Equipment for Ocean Park Corporation</t>
    <phoneticPr fontId="6" type="noConversion"/>
  </si>
  <si>
    <t>UID-23-08-SS1-00010</t>
    <phoneticPr fontId="6" type="noConversion"/>
  </si>
  <si>
    <t>P CI/6737/MA/FF23</t>
    <phoneticPr fontId="6" type="noConversion"/>
  </si>
  <si>
    <t>12/08/23</t>
    <phoneticPr fontId="6" type="noConversion"/>
  </si>
  <si>
    <t>11/08/24</t>
    <phoneticPr fontId="6" type="noConversion"/>
  </si>
  <si>
    <t>08/08/23</t>
    <phoneticPr fontId="6" type="noConversion"/>
  </si>
  <si>
    <t>Purchase of Refurbished CIT-HD300G10K12G for Ocean Park Hong Kong</t>
  </si>
  <si>
    <t>Glady Au / Vivien Yuen</t>
  </si>
  <si>
    <t>24/08/23</t>
    <phoneticPr fontId="6" type="noConversion"/>
  </si>
  <si>
    <t>PAN Telecom Systems Ltd</t>
    <phoneticPr fontId="6" type="noConversion"/>
  </si>
  <si>
    <t>Aug-23</t>
  </si>
  <si>
    <t>11/10/23</t>
  </si>
  <si>
    <t>Purchase of Refurbished CP-7945G, CP-7916=, MEＭ—4300 for CCB International (Holdings) Limited</t>
  </si>
  <si>
    <t>UID-23-10-SS1-00007</t>
  </si>
  <si>
    <t>P CI/6556/MA/JI23</t>
  </si>
  <si>
    <t>Janet Hsui</t>
  </si>
  <si>
    <t>12/10/23</t>
  </si>
  <si>
    <t>PSJ3, PSBU on Cisco IPT Equipment for CCB International Holdings Ltd</t>
  </si>
  <si>
    <t>18/10/23</t>
  </si>
  <si>
    <t>18/10/24</t>
  </si>
  <si>
    <t>09/03/24</t>
  </si>
  <si>
    <t>08/03/25</t>
  </si>
  <si>
    <t>25/10/23</t>
  </si>
  <si>
    <t>PSRT, PSJ3 on Cisco IPT Equipment for The Mari-Cha Group Limited</t>
  </si>
  <si>
    <t>UID-23-10-SS1-00017</t>
  </si>
  <si>
    <t>P CI/6631/MA/JI23</t>
  </si>
  <si>
    <t>30/10/23</t>
  </si>
  <si>
    <t>Purchase of Refurbished VIC2-fFXO for The Mari-Cha Group Limited</t>
  </si>
  <si>
    <t>31/10/23</t>
  </si>
  <si>
    <t>Oct-23</t>
  </si>
  <si>
    <t>A-FLEX-3 License for CCB International (Holdings) Limited</t>
  </si>
  <si>
    <t>06/11/23</t>
  </si>
  <si>
    <t>PSJ3, PSBU, PSUP on Cisco IPT Equipment for SUCDEN FINANCIAL HK LTD (A-FLEX-3)</t>
  </si>
  <si>
    <t>UID-23-11-SS1-00006</t>
  </si>
  <si>
    <t>P CI-6704-MA-JI23</t>
  </si>
  <si>
    <t>Janet Hsui / Vivien Yuen</t>
  </si>
  <si>
    <t>A-FLEX-3, Collaboration Flex Plan 3.0,12mths, Cus: Sucden Financial HK Ltd as per Web order ID: 95885545</t>
  </si>
  <si>
    <t>20/11/23</t>
  </si>
  <si>
    <t>Purchase of Refurbished P/N: VWIC2-1MFT-T1/E1 for PROMISE CONSULTING SERVICE (SZ) CO LTD</t>
  </si>
  <si>
    <t>UID-23-11-SS1-00030</t>
  </si>
  <si>
    <t>L231202562MG</t>
  </si>
  <si>
    <t>Chung, Mango MH (Tel : 2888 3118 ) /Ko, Prisca CY  (2883-8537)</t>
  </si>
  <si>
    <t>23/11/23</t>
  </si>
  <si>
    <t>Nov-23 Y</t>
  </si>
  <si>
    <t>Renewal Maintenance Services on FCS Products for Cordis Hong Kong</t>
  </si>
  <si>
    <t>UID-23-10-SS1-00022</t>
  </si>
  <si>
    <t>P CI/6843/MA/GA23</t>
  </si>
  <si>
    <t xml:space="preserve">Au, Gladys PY  / Yuen, Vivien MC </t>
  </si>
  <si>
    <t>06/12/23</t>
  </si>
  <si>
    <t>UID-23-12-SS2-00004</t>
  </si>
  <si>
    <t>P CI/6684//MA/DC23</t>
  </si>
  <si>
    <t>Cheuk Doris MS / Lai, Fonnie WF</t>
  </si>
  <si>
    <t>07/12/23</t>
  </si>
  <si>
    <t>PSJ3, PSUP, PSBU, PSRT, SNT on Cisco Products for KGI Hong Kong Ltd</t>
  </si>
  <si>
    <t>UID-23-12-SS3-00024</t>
  </si>
  <si>
    <t>P6669MAMAGW239(v4)</t>
  </si>
  <si>
    <t>Wong, Gigi WC / Chow, Apple FP</t>
  </si>
  <si>
    <t>A-FLEX-3, SVS-FLEX SUPT BAS License for KGI Hong Kong Ltd</t>
  </si>
  <si>
    <t>12/12/23</t>
  </si>
  <si>
    <t>Dec-23 Y</t>
  </si>
  <si>
    <t>Purchase of Refurbished CP-8832-K9 for KGI Hong Kong Ltd</t>
  </si>
  <si>
    <t>P6669MAMAGW23</t>
  </si>
  <si>
    <t>;-</t>
  </si>
  <si>
    <t>SP-ICADWR-END-50-C, InformaCast Advanced Notification with Resiliency for KGI Hong Kong Limited</t>
  </si>
  <si>
    <t>P6669MAMAGW239</t>
  </si>
  <si>
    <t>PSBU, ISV1, ECMU, SNTP, PSJ3, PSRT, PSUP on Cisco Products for China Construction Bank (Asia) Corp Ltd</t>
  </si>
  <si>
    <t>UID-23-12-SS1-00045</t>
  </si>
  <si>
    <t>PCI-6611-MA-JI23</t>
  </si>
  <si>
    <t>Yuen, Vivien MC / Hsui, Janet WJ</t>
  </si>
  <si>
    <t>TEM-STD-00500, TEM-CA-PBX, MAINT-BDC-S for Chinese Estates Holdings Ltd</t>
  </si>
  <si>
    <t>UID-23-12-SS2-00058</t>
  </si>
  <si>
    <t>PCI-6795-MA-BS23</t>
  </si>
  <si>
    <t>Sin, Bertha SY / Lam, Cynthia MY</t>
  </si>
  <si>
    <t>Purchase of Refurbished CP-7811-K9= for Fairwood Fast Food Ltd</t>
  </si>
  <si>
    <t xml:space="preserve">PQ230551YF </t>
  </si>
  <si>
    <t>Request by Benny Yuen</t>
  </si>
  <si>
    <t>PSRT, PSUP on Cisco Products for Chinese Estates Holdings Ltd</t>
  </si>
  <si>
    <t>PSUP, PSRT, PSJ3, PSBU on Cisco Products for STAR LIKE LTD</t>
  </si>
  <si>
    <t>UID-23-12-SS2-00057</t>
  </si>
  <si>
    <t>PCI6796MABS23</t>
  </si>
  <si>
    <t>Lam, Cynthia MY / Sin, Bertha SY</t>
  </si>
  <si>
    <t>PSJ1, PSRT on Cisco IPT Equipment for The ISF Academy Limited</t>
  </si>
  <si>
    <t>UID-24-01-0012</t>
  </si>
  <si>
    <t>P CI/6793/MA/IL23</t>
  </si>
  <si>
    <t>Purchase of Refurbished Cisco IPT Trimline 1 (OPL69119) for Cordis Hong Kong</t>
  </si>
  <si>
    <t>UID-24-01-4162</t>
  </si>
  <si>
    <t>L231202180GA</t>
  </si>
  <si>
    <t>PSBU, PSRT, PSUP on Cisco Products for Mizuho Bank Ltd</t>
  </si>
  <si>
    <t>UID-23-10-SS2-00060</t>
  </si>
  <si>
    <t>PCI6570MADC23</t>
  </si>
  <si>
    <t xml:space="preserve">Cheuk, Doris MS / Lai, Fonnie WF </t>
  </si>
  <si>
    <t>PSBU, PSJ1, PSUP on Cisco Products for Commonwealth Bank of Australia</t>
  </si>
  <si>
    <t>UID-24-01-4257</t>
  </si>
  <si>
    <t xml:space="preserve">L240101295TS </t>
  </si>
  <si>
    <t xml:space="preserve">Tan, Simon HH  / Chow, Apple FP </t>
  </si>
  <si>
    <t>Gamatech Limited</t>
  </si>
  <si>
    <t>EFT Licence for Hong Kong Metropolitan University</t>
  </si>
  <si>
    <t>UID-24-01-4274</t>
  </si>
  <si>
    <t>P CI/6766/MA/V723</t>
  </si>
  <si>
    <t>02/1//23</t>
  </si>
  <si>
    <t>01/02/24</t>
  </si>
  <si>
    <t xml:space="preserve">Chan, Abby NY / Law, Carman KM </t>
  </si>
  <si>
    <t>PSBU, PSJ3 on Cisco Products for Hong Kong Metropolitan University</t>
  </si>
  <si>
    <t>02/1//24</t>
  </si>
  <si>
    <t>A-FLEX-EAPL-EDU EntW On-Premises Calling for Education on Cisco for HK Metropolitan University</t>
  </si>
  <si>
    <t>UID-23-12-SS2-00043</t>
  </si>
  <si>
    <t>PCI6679MAWH23</t>
  </si>
  <si>
    <t>Wan, Hillary HS / Lam, Cynthia MY</t>
  </si>
  <si>
    <t>Jan-24</t>
  </si>
  <si>
    <t>TEM-STD-01000, TEM-EXT-A500, TEM-CA-PBX, MAINT-BDC-1, MAINT-SA for KGI HK Ltd</t>
  </si>
  <si>
    <t>31/12/24</t>
  </si>
  <si>
    <t>Carlos Chan</t>
  </si>
  <si>
    <t>PSJ3, ECMU, PSUP on Cisco IPT Products for Citizen Watches HK Ltd</t>
  </si>
  <si>
    <t>UID-24-01-4406</t>
  </si>
  <si>
    <t>P CI/6474/MA/BS23</t>
  </si>
  <si>
    <t>Genuine &amp; Refurbished CISCO2921-SEC/K9 for Construction Industry Council</t>
  </si>
  <si>
    <t>UID-24-02-0010</t>
  </si>
  <si>
    <t>2023WB370SD</t>
  </si>
  <si>
    <t xml:space="preserve">Cheung, Sindy SY / Law, Carman KM </t>
  </si>
  <si>
    <t>Feb-24</t>
  </si>
  <si>
    <t>PSRT, PSBU on Cisco IPT Products for Construction Industry Council</t>
  </si>
  <si>
    <t>Mar-24</t>
  </si>
  <si>
    <t>PSJ3, PSRT, PSUP on Cisco IPT Products for DAIWA CAPITAL MARKETS HONG KONG LIMITED</t>
  </si>
  <si>
    <t>UID-24-03-0070</t>
  </si>
  <si>
    <t>PCI6324MADC23</t>
  </si>
  <si>
    <t xml:space="preserve">Cheuk, Doris MS / Lam, Cynthia MY </t>
  </si>
  <si>
    <t>Apr-24</t>
  </si>
  <si>
    <t>PSUP, PSJ3, PSBU on Cisco IPT Products for Vitasoy International Holdings Ltd</t>
  </si>
  <si>
    <t>UID-24-05-0053</t>
  </si>
  <si>
    <t>P CI/6897/MA/DC23</t>
  </si>
  <si>
    <t>Cheuk, Doris MS / Lai, Fonnie WF</t>
  </si>
  <si>
    <t>SNTP, ECMU on Cisco IPT Products for Conyers Corporate Services (HK) Ltd</t>
  </si>
  <si>
    <t>UID-24-05-0056</t>
  </si>
  <si>
    <t>P CI/6845/WA/DC24</t>
  </si>
  <si>
    <t>Cheuk, Doris MS / Lai Fonnie WF</t>
  </si>
  <si>
    <t>Purchase of Refurbished CP-8831-DCU-S, etc... for CEB International Investment Corp Ltd</t>
  </si>
  <si>
    <t>UID-24-04-0049</t>
  </si>
  <si>
    <t>P CI/6864/MA/TS23</t>
  </si>
  <si>
    <t>PSRT, A-Flex-3 on Cisco IPT Products for CEB International Investment Corp Ltd</t>
  </si>
  <si>
    <t xml:space="preserve">Carlos Chan </t>
  </si>
  <si>
    <t>Purchase of Refurbished CP-8831-K9, CP-8841-K9 for Lingnan University Hong Kong</t>
  </si>
  <si>
    <t>UID-24-05-0188</t>
  </si>
  <si>
    <t>P CI/7172/WB/NP24</t>
  </si>
  <si>
    <t>5385/05/24</t>
  </si>
  <si>
    <t>May-24</t>
  </si>
  <si>
    <t>Purchase of Refurbished CP-7811-K9= Cisco IP Phone 7811 for Fairwood</t>
  </si>
  <si>
    <t>PSRT, PSUP, PSJ3, PSBU on Cisco IPT Products for ABC International Holdings Ltd</t>
  </si>
  <si>
    <t>UID-24-06-0016</t>
  </si>
  <si>
    <t>P CI/6872/MA/JI24</t>
  </si>
  <si>
    <t>A-Flex-3, Collaboration Flex Plan 3.0 on Cisco IPT Products for ABC International Holdings Ltd</t>
  </si>
  <si>
    <t>Jun-24</t>
  </si>
  <si>
    <t>PSRT, PSJ3 on Cisco IPT Products for Banco Bilbao Vizcaya Argentaria, S.A.</t>
  </si>
  <si>
    <t>UID-24-06-0040</t>
  </si>
  <si>
    <t>P CI/7000/MA/JI23</t>
  </si>
  <si>
    <t>A-FLEX-3, Collaboration Flex Plan 3.0 for West Kowloon Cultural District Authority</t>
  </si>
  <si>
    <t>UID-24-07-0008</t>
  </si>
  <si>
    <t>P CI/7331/ND24</t>
  </si>
  <si>
    <t>Jul-24 / Y</t>
  </si>
  <si>
    <t>PSUP, PSBU on Cisco IPT Products for C-Bridge Capital Investment Advisor Ltd</t>
  </si>
  <si>
    <t>UID-24-07-0179</t>
  </si>
  <si>
    <t>P CI/7171/MA/WC24</t>
  </si>
  <si>
    <t>Purchase of Refurbished VIC2-4FXO Card for Metro Broadcast Corporation Ltd</t>
  </si>
  <si>
    <t>P CI/6992/MA/TS23</t>
  </si>
  <si>
    <t>PSUP, PSBU on Cisco IPT Products for Construction Industry Council</t>
  </si>
  <si>
    <t>UID-24-09-0076</t>
  </si>
  <si>
    <t>P CI/7257/MA/PA24</t>
  </si>
  <si>
    <t xml:space="preserve">Pak, Tommy WK / Chow, Apple FP </t>
  </si>
  <si>
    <t>Sep-24</t>
  </si>
  <si>
    <t>Purchase of Refurbished Cisco PWR-3900-AC, PVDM3-256 for The Chinese University of Hong Kong</t>
  </si>
  <si>
    <t>UID-24-09-0140</t>
  </si>
  <si>
    <t>L240601152SD</t>
  </si>
  <si>
    <t>Cheung, Sindy SY / Fung, Hayden TC</t>
  </si>
  <si>
    <t>PSRT, PSUP on Cisco IPT Products for Mizuho Bank Ltd</t>
  </si>
  <si>
    <t>UID-24-10-0101</t>
  </si>
  <si>
    <t>P CI/7201/MA/KW24</t>
  </si>
  <si>
    <t>PSJ3, PSUP &amp; PSBU on Cisco IPT Products for CCB International Holdings Ltd</t>
  </si>
  <si>
    <t>UID-24-10-0126</t>
  </si>
  <si>
    <t>P CI/7200/MA/AW24</t>
  </si>
  <si>
    <t xml:space="preserve">Wong, Ada SK / Fung, Hayden TC </t>
  </si>
  <si>
    <t>A-FLEX-3 License on Cisco IPT Products for CCB International Holdings Ltd</t>
  </si>
  <si>
    <t>Purchase of Refurbished CP-7945G, CP-7916=, MDM-4300-4G for CCB International Holdings Ltd</t>
  </si>
  <si>
    <t>Wong, Ada SK / Fung, Hayden TC</t>
  </si>
  <si>
    <t>Purchase of Refurbished CP-8841-3PCC-K9=, CP-7861-39CC-K9= etc for Techtronic Industries Co Ltd</t>
  </si>
  <si>
    <t>UID-24-10-0286</t>
  </si>
  <si>
    <t>L241090520AC</t>
  </si>
  <si>
    <t>Cisco Inspection Service ASF-CEI-G-INSP-HC for Sunciti Manufacturers Ltd</t>
  </si>
  <si>
    <t>UID-24-11-0018</t>
  </si>
  <si>
    <t>P CI/7483/WB/AC24</t>
  </si>
  <si>
    <t>Chan, Abby NY / Chow, Apple FP</t>
  </si>
  <si>
    <t>PSRT on Cisco IPT Products for Mizuho Bank Ltd</t>
  </si>
  <si>
    <t>UID-24-12-0022</t>
  </si>
  <si>
    <t>P CI/7286/MA/KW24</t>
  </si>
  <si>
    <t>RFQ#240303NW</t>
  </si>
  <si>
    <t>DNS2501-001</t>
  </si>
  <si>
    <t>PSRT on Cisco IPT Products for Sunciti Manufacturers Ltd</t>
  </si>
  <si>
    <t>PSRT on Cisco IPT Products for The ISF Academy Limited</t>
  </si>
  <si>
    <t>UID-24-12-0117</t>
  </si>
  <si>
    <t>22022000</t>
  </si>
  <si>
    <t>14/12/24</t>
  </si>
  <si>
    <t>PSRT, PSUP, PSJ3 on Cisco IPT Products for China Construction Bank Bank Asia Corp Ltd</t>
  </si>
  <si>
    <t>UID-24-12-0181</t>
  </si>
  <si>
    <t>P CI/7307/MAMA/AW24</t>
  </si>
  <si>
    <t>Purchase of CP-7945G, CP-7916=, MEM-4300-4G (4G DRAM 2G+2G For Cisco ISR 4330, 4350), CP-8841-K9 for CHINA CONSTRUCTION BANK ASIA CORPORATION LTD</t>
  </si>
  <si>
    <t>PSRT, PSUP, PSJ3 on Cisco IPT Products for Mast Industries Far East Limited</t>
  </si>
  <si>
    <t>UID-24-12-0233</t>
  </si>
  <si>
    <t>P CI/7095/MAMA/ND24</t>
  </si>
  <si>
    <t>SNTP on Cisco IPT Products &amp; A-FLEX 3 for Caravel Resources Ltd</t>
  </si>
  <si>
    <t>UID-24-12-0071</t>
  </si>
  <si>
    <t>P2024WB678TS</t>
  </si>
  <si>
    <t>Tan, Simon HH / Yuen, Vivien</t>
  </si>
  <si>
    <t>A-Flex on Cisco IPT Products &amp; A-FLEX 3 for Caravel Resources Ltd</t>
  </si>
  <si>
    <t>INV#11-46942-11</t>
  </si>
  <si>
    <t>PSJ3, PSBU, PSUP on Cisco IPT Products for Hong Kong Metropolitan University</t>
  </si>
  <si>
    <t>UID-25-01-0022</t>
  </si>
  <si>
    <t>P CI/7372/MAMA/ND24</t>
  </si>
  <si>
    <t>A-FLEX-3-EDU License for Hong Kong Metropolitan University</t>
  </si>
  <si>
    <t>EFT-RRX-SMB Renewal for Hong Kong Metropolitan University</t>
  </si>
  <si>
    <t>D-PCCW-202502-01)</t>
  </si>
  <si>
    <t>PSJ3, PSUP, PSRT, PSBU on Cisco IPT Products for KGI Hong Kong Limited</t>
  </si>
  <si>
    <t>UID-24-12-0174</t>
  </si>
  <si>
    <t>P CI/7282/MA/KW24</t>
  </si>
  <si>
    <t>Paging License Informacast, L-CUAC12X for KGI Hong Kong Limited</t>
  </si>
  <si>
    <t>PSUP, PSJ3 on Cisco IPT Products for KGI Hong Kong Limited</t>
  </si>
  <si>
    <t>362.805.99</t>
  </si>
  <si>
    <t>A-FLEX-3, Collaboration Flex Plan 3.0 for KGI Hong Kong Limited</t>
  </si>
  <si>
    <t>UID-24-12-0167</t>
  </si>
  <si>
    <t>P CI/7330/WA/KW24</t>
  </si>
  <si>
    <t>PSUP, PSJ3, PSRT on Cisco IPT Products for Star Like Ltd</t>
  </si>
  <si>
    <t>UID-25-01-0224</t>
  </si>
  <si>
    <t>P CI/7240/MAMA/J224</t>
  </si>
  <si>
    <t>PSUP, PSJ3, PSRT, A-FLEX-3 for Chinese Estates Holdings Ltd</t>
  </si>
  <si>
    <t>UID-25-01-0225</t>
  </si>
  <si>
    <t>P CI/7239/MAMA/J224</t>
  </si>
  <si>
    <t>A-FLEX-CC, A-FLEX-3 for Hong Kong Housing Society</t>
  </si>
  <si>
    <t>A-FLEX-3 License on Cisco IPT Products for CEB International Investment Corp Ltd</t>
  </si>
  <si>
    <t>UID-25-02-0195</t>
  </si>
  <si>
    <t>P CI/7507/MA/JI24</t>
  </si>
  <si>
    <t>A-FLEX License for China Construction Bank (Asia) Corp Ltd</t>
  </si>
  <si>
    <t>UID-25-03-0103</t>
  </si>
  <si>
    <t>L250100007JI</t>
  </si>
  <si>
    <t>15/3/2025</t>
  </si>
  <si>
    <t>Purchase of Refurbished Cisco UI Phone 6941, CP-7940G, etc for Hong Kong Housing Society</t>
  </si>
  <si>
    <t>SNTP on Cisco Products for Caravel Resources Ltd</t>
  </si>
  <si>
    <t>UID-25-04-0018</t>
  </si>
  <si>
    <t>L250490057TS</t>
  </si>
  <si>
    <t xml:space="preserve">Fung, Hayden TC / Tang, Simon HH </t>
  </si>
  <si>
    <t>PSBU, PSUP on Cisco IPT Products for C-Bridge Capital Investment Advisor Limited</t>
  </si>
  <si>
    <t>UID-25-04-0053</t>
  </si>
  <si>
    <t>P CI/7535/MAMA/CB24</t>
  </si>
  <si>
    <t>UID-25-04-0076</t>
  </si>
  <si>
    <t>P CI/7422/WAWA/CF25</t>
  </si>
  <si>
    <t>Mak, Connie OM / Tam, Edith WC / Wong, Ada SK</t>
  </si>
  <si>
    <t>Purchase of Refurbished Cisco VIC2-4FXO for Metro Broadcast Corporation Limited</t>
  </si>
  <si>
    <t>UID-25-04-0111</t>
  </si>
  <si>
    <t>P CI/7531/MAMA/CB25</t>
  </si>
  <si>
    <t>Purchase of Refurbished Cisco CP-7937-MIC-KIT for CCBA</t>
  </si>
  <si>
    <t>Benny Yuen</t>
  </si>
  <si>
    <t>UID-25-04-0079</t>
  </si>
  <si>
    <t>P CI/7422/MAMA/CF25</t>
  </si>
  <si>
    <t>ZZ1533399</t>
  </si>
  <si>
    <t>Purchase of Refurbished HP 300G 10K 12G DP for SSP Spare Part (Request by Benny Yuen)</t>
  </si>
  <si>
    <t>PSRT, PSJ1 on Cisco IPT Products for ESR HK Limited</t>
  </si>
  <si>
    <t>UID-25-05-0081</t>
  </si>
  <si>
    <t>P CI/5998/WBWB/J225</t>
  </si>
  <si>
    <t>PSJ3, SNTP on Cisco IPT Products for Rich Union Development Limited (Parent Co Nan Fung Development Ltd)</t>
  </si>
  <si>
    <t>P CI/7742/WAWA/CB25</t>
  </si>
  <si>
    <t>Cancel on 29/5</t>
  </si>
  <si>
    <t>A-FLEX-3 for Rich Union Development Limited</t>
  </si>
  <si>
    <t>Chan, Ina YK / Fung Hayden TC</t>
  </si>
  <si>
    <t>PSJ3 on Cisco IPT Products for China Construction Bank Asia Corporation Ltd</t>
  </si>
  <si>
    <t>UID-25-05-0206</t>
  </si>
  <si>
    <t>P CI/7743/WAWA/JI25</t>
  </si>
  <si>
    <t>252240722, 282240201</t>
  </si>
  <si>
    <t>SNTP, PSJ3 on Cisco IPT Products for Rich Union Development Limited (Parent Co Nan Fung Development Ltd)</t>
  </si>
  <si>
    <t>P/7742/WAWA/CB25 (Revised)</t>
  </si>
  <si>
    <t>Line#2 Cancelled</t>
  </si>
  <si>
    <t>PSUP, PSBU, PSJ3 on Cisco IPT Products for Vitasoy International Holdings Ltd</t>
  </si>
  <si>
    <t>A-FLEX-CC Flex Contact Center Initial Renewal for Vitasoy International Holdings Ltd</t>
  </si>
  <si>
    <t>Revised Web Order# 99333045</t>
  </si>
  <si>
    <t>A-FLEX-3 License for ABC International Holdings Limited</t>
  </si>
  <si>
    <t>UID-25-06-0126</t>
  </si>
  <si>
    <t>P AV/7525/MAMA/J224</t>
  </si>
  <si>
    <t>PSRT, PSUP, PSJ3 on Cisco IPT Products for ABC International Holdings Limited</t>
  </si>
  <si>
    <t>SHI INTERNATIONAL CORP HONG KONG LIMITED</t>
  </si>
  <si>
    <t>2504152929</t>
  </si>
  <si>
    <t>Titan SFTP Server One Year Main Renewal for ABC International Holdings Limited</t>
  </si>
  <si>
    <t>UID-25-06-0155</t>
  </si>
  <si>
    <t>DVE/7525/MAMA/J225</t>
  </si>
  <si>
    <t>A-FLEX-3 Collaboration Flex Plan 3.0 for Banco Bilbao Vizcaya Argentaria SA</t>
  </si>
  <si>
    <t>UID-25-07-0056</t>
  </si>
  <si>
    <t>P CI/7523/MA/JI24</t>
  </si>
  <si>
    <t>6501091084</t>
  </si>
  <si>
    <t>Banco Bilbao Vizcaya Argentaria SA</t>
  </si>
  <si>
    <t>6501279742</t>
    <phoneticPr fontId="6" type="noConversion"/>
  </si>
  <si>
    <t>PSUP, PSJ3 on Cisco IPT Products for Crown Motors Ltd</t>
  </si>
  <si>
    <t>UID-25-07-0093</t>
  </si>
  <si>
    <t>P CI/7619/WA/KW25</t>
  </si>
  <si>
    <t>6//10/2025</t>
  </si>
  <si>
    <t>A-FLEX-3 Collaboration Flex Plan 3.0 for Crown Motors Ltd</t>
  </si>
  <si>
    <t>PSUP on Cisco Products for China Construction Bank Asia Corporation Ltd</t>
  </si>
  <si>
    <t>PCI/7743/WAWA/JI25</t>
  </si>
  <si>
    <t>9999599269</t>
  </si>
  <si>
    <t>Purchase of Refurbished DP-9861-K9= for Henderson Real Estate Agency Ltd (WO K77270, Request by Benny Yuen)</t>
  </si>
  <si>
    <t>WO K77270</t>
  </si>
  <si>
    <t>HK01032</t>
  </si>
  <si>
    <t>HK01032-0</t>
  </si>
  <si>
    <t>Purchase of Refurbished CP-7811-K9= Cisco IP Phone for Fairwood (RFQ#250134NW Request by Benny Yuen)</t>
  </si>
  <si>
    <t>WF62500579</t>
  </si>
  <si>
    <t>WF12500968</t>
  </si>
  <si>
    <t>PSJ3 on Cisco Products for Kam Lung Motor Group Limited</t>
  </si>
  <si>
    <t>UID-25-09-0072</t>
  </si>
  <si>
    <t>P CI/7513/MAMA/YR24</t>
  </si>
  <si>
    <t>9999731296</t>
  </si>
  <si>
    <t>10/102025</t>
    <phoneticPr fontId="6" type="noConversion"/>
  </si>
  <si>
    <t>A-FLEX-3 Collaboration Flex Plan 3.0 for Kam Lung Motor Group Limited</t>
  </si>
  <si>
    <t>6501107005</t>
  </si>
  <si>
    <t>Kam Lung Motor Group Limited</t>
  </si>
  <si>
    <t>TBC</t>
  </si>
  <si>
    <t>Lam, Jeffrey CK / Yuen Vivien MC</t>
  </si>
  <si>
    <t>6501107009</t>
  </si>
  <si>
    <t>6501107000</t>
  </si>
  <si>
    <t>Purchase of Refurbished CP-8841-3PCC-K9= etc.. For Techtronic Industries Co Ltd</t>
  </si>
  <si>
    <t>UID-25-09-0135</t>
  </si>
  <si>
    <t>L250901224CF</t>
  </si>
  <si>
    <t>Techtronic Industries Co Ltd</t>
  </si>
  <si>
    <t>90007212</t>
  </si>
  <si>
    <t>60016832</t>
  </si>
  <si>
    <t>90007234</t>
  </si>
  <si>
    <t>60016889</t>
  </si>
  <si>
    <t>PSUP on Cisco Products for Credit Agricole CIB</t>
  </si>
  <si>
    <t>UID-25-09-0165</t>
  </si>
  <si>
    <t>9999746952</t>
  </si>
  <si>
    <t>PSUP on Cisco Products for Mizuho Bank Ltd</t>
  </si>
  <si>
    <t>UID-25-10-0006</t>
  </si>
  <si>
    <t>D NI/7780/MA/KW25</t>
  </si>
  <si>
    <t>2303 3600</t>
  </si>
  <si>
    <t>9999799141</t>
  </si>
  <si>
    <t>UID-25-10-0005</t>
  </si>
  <si>
    <t>D NI/7685/MA/KW25</t>
  </si>
  <si>
    <t>9999799143</t>
  </si>
  <si>
    <t>email dated 4/9/2025</t>
  </si>
  <si>
    <t>Purchase of Refurbished Cisco IP Phone 7811 for Fairwood Fast Food Ltd</t>
  </si>
  <si>
    <t>UID-25-10-0052</t>
  </si>
  <si>
    <t>P/7676/MAMA/CB25</t>
  </si>
  <si>
    <t>Fairwood Fast Food Ltd</t>
  </si>
  <si>
    <t>SD28567111</t>
  </si>
  <si>
    <t>ZM1558805</t>
  </si>
  <si>
    <t>PSUP, PSJ3 on Cisco Products for Fairwood Fast Food Ltd</t>
  </si>
  <si>
    <t>I50996 (28567111)</t>
  </si>
  <si>
    <t>ZM1559115</t>
  </si>
  <si>
    <t>SUB-TNC on Cisco Products for Fairwood Fast Food Ltd</t>
  </si>
  <si>
    <t>6501122680</t>
  </si>
  <si>
    <t>ZM1559327</t>
  </si>
  <si>
    <t>Web ID 100122468</t>
  </si>
  <si>
    <t>A-FLEX Licence on Cisco Products for Fairwood Fast Food Ltd</t>
  </si>
  <si>
    <t>6501139556</t>
  </si>
  <si>
    <t>ZM1561271</t>
  </si>
  <si>
    <t>DNA License on Cisco Products for CCB International Holdings Limited</t>
  </si>
  <si>
    <t>UID-25-10-0393</t>
  </si>
  <si>
    <t>PCI/7691/MA/JI25</t>
  </si>
  <si>
    <t>CCB International Holdings Limited</t>
  </si>
  <si>
    <t>3911 8000 (CISCO BE6000 IPT MA Case)</t>
  </si>
  <si>
    <t>6501139564</t>
  </si>
  <si>
    <t>ZM1561273</t>
  </si>
  <si>
    <t>QT037/25</t>
  </si>
  <si>
    <t>Purchase of Refurbished Cisco IP Phone for CCB International Holdings Limited</t>
  </si>
  <si>
    <t>DN031/25</t>
  </si>
  <si>
    <t>INV051/25</t>
  </si>
  <si>
    <t>ZM1561269</t>
  </si>
  <si>
    <t>PSUP, PSJ3 on Cisco Products for CCB International Holdings Limited</t>
  </si>
  <si>
    <t>9999844988</t>
  </si>
  <si>
    <t>ZM1561968</t>
  </si>
  <si>
    <t>A-FLEX-3 License for CCB International Holdings Limited c/o PO1501077 - PR#6122517</t>
  </si>
  <si>
    <t>6501139562</t>
  </si>
  <si>
    <t>ZM1567764</t>
  </si>
  <si>
    <t xml:space="preserve">PSJ3, PSUP for Cisco IPT Products </t>
  </si>
  <si>
    <t>UID-25-11-0313</t>
  </si>
  <si>
    <t>P/7951/WAWA/KW25</t>
  </si>
  <si>
    <t>Orient Securities International Financial Group Ltd</t>
  </si>
  <si>
    <t>I67647</t>
  </si>
  <si>
    <t>9999954261</t>
  </si>
  <si>
    <t>ZM1571936</t>
  </si>
  <si>
    <t>A-FLEX-3 Conlaboration Flex Plan 3.0</t>
  </si>
  <si>
    <t>ZM1569164</t>
  </si>
  <si>
    <t>PSRT on Cisco IPT Equipment</t>
  </si>
  <si>
    <t>UID-25-12-0066</t>
  </si>
  <si>
    <t>P/7723/MZMZ/TH25</t>
  </si>
  <si>
    <t>Sunciti Manufacturers Ltd</t>
  </si>
  <si>
    <t>J63763, J63634</t>
  </si>
  <si>
    <t>9999982084</t>
  </si>
  <si>
    <t>ZM1571064</t>
  </si>
  <si>
    <t>PSJ1 on Cisco IPT Equipment</t>
  </si>
  <si>
    <t>UID-25-12-0187</t>
  </si>
  <si>
    <t>P/8034/WBWB/TS25</t>
  </si>
  <si>
    <t>Citizen Watches (HK) Ltd</t>
  </si>
  <si>
    <t>10000019602</t>
  </si>
  <si>
    <t>ZM1571655</t>
  </si>
  <si>
    <t>PSUP, PSJ3, PSRT on Cisco IPT Equipment</t>
  </si>
  <si>
    <t>UID-25-12-0199</t>
  </si>
  <si>
    <t>P CI/7698/MAMA/J225</t>
  </si>
  <si>
    <t>Chinese Estates Holdings Ltd</t>
  </si>
  <si>
    <t>ZM1571057</t>
  </si>
  <si>
    <t>Chan Yuk Fung</t>
  </si>
  <si>
    <t>A-FLEX-3 Collaboration Flex Plan 3.0</t>
  </si>
  <si>
    <t>UID-25-12-0200</t>
  </si>
  <si>
    <t>P CI/8035/MAMA/J225</t>
  </si>
  <si>
    <t>email dated 17 Nov 2025</t>
  </si>
  <si>
    <t>Purchase of Refurbished VIC3-2E/M, PWR-3825-AC, PVDM2-64, CISCO3925-V/K9, PWR-3900-AC, C3900-SPE100/K9, VWIC2-2MFT-T1/E1, PVDM3-64U256, PVDM3-256, VWIC3- MFT-T1/E1, PWR-2921-51-AC, PVDM3-128, CISCO2911-V/K9, PVDM3-16, VIC2-4FXO,
VIC3-2E/M, PVDM3-128, PVDM3-64, VWIC3-1MFT-T1/E1, C2921-VSEC/K9</t>
  </si>
  <si>
    <t>UID-25-12-0220</t>
  </si>
  <si>
    <t>P CI / 7806 / MA / JI25</t>
  </si>
  <si>
    <t xml:space="preserve">China Construction Bank (Asia) Corp Ltd </t>
  </si>
  <si>
    <t>3718 3388 &amp; 3718 2288 (MA)</t>
  </si>
  <si>
    <t>ZM1571953</t>
  </si>
  <si>
    <t>Yu Siu Fung</t>
  </si>
  <si>
    <t>Allied Vantage International Limited</t>
  </si>
  <si>
    <t>Q2025-1224-001</t>
  </si>
  <si>
    <t>Purchase of VTech A2310-NMW</t>
  </si>
  <si>
    <t>3-Allied Vantage Internation Limited</t>
  </si>
  <si>
    <t>VSI2026-0204</t>
  </si>
  <si>
    <t>ZM1572002</t>
  </si>
  <si>
    <t>262285813</t>
  </si>
  <si>
    <t xml:space="preserve">PSRT, PSUP, PSJ3 for Cisco IPT Products </t>
  </si>
  <si>
    <t>10000033323</t>
  </si>
  <si>
    <t>ZM1572823</t>
  </si>
  <si>
    <t>Web Order ID: 11000491346</t>
  </si>
  <si>
    <t>A-Flex License</t>
  </si>
  <si>
    <t>P / 7257 / WA / CP25</t>
  </si>
  <si>
    <t xml:space="preserve">Construction Industry Council </t>
  </si>
  <si>
    <t>ZM1572206</t>
  </si>
  <si>
    <t>PSUP on Cisco IPT Equipment</t>
  </si>
  <si>
    <t>UID-25-12-0314</t>
  </si>
  <si>
    <t>P CI/7782/MAMA/ND25</t>
  </si>
  <si>
    <t>10000031584</t>
  </si>
  <si>
    <t>ZM1574493</t>
  </si>
  <si>
    <t>PSJ3, PSRT, PSUP on Cisco IPT Equipment</t>
  </si>
  <si>
    <t>UID-26-01-0058</t>
  </si>
  <si>
    <t>P CI/7699/MAMA/J225</t>
  </si>
  <si>
    <t>Star Like Ltd</t>
  </si>
  <si>
    <t>D59687, D59685</t>
  </si>
  <si>
    <t>10000074557</t>
  </si>
  <si>
    <t>ZM1574741</t>
  </si>
  <si>
    <t>6501226623</t>
  </si>
  <si>
    <t>ZM1574804</t>
  </si>
  <si>
    <t>382231681 &amp; 462007301</t>
  </si>
  <si>
    <t>UID-26-01-0062</t>
  </si>
  <si>
    <t>P/7857/MAMA/CF25</t>
  </si>
  <si>
    <t>Island Navigation Corporation Int'l Ltd</t>
  </si>
  <si>
    <t>10000076056 / 10000076115</t>
  </si>
  <si>
    <t>ZM1576141</t>
  </si>
  <si>
    <t>UID-26-01-0166</t>
  </si>
  <si>
    <t>P/7753/MAMA/MZ25</t>
  </si>
  <si>
    <t>Hong Kong Monetary Authority</t>
  </si>
  <si>
    <t>21659400 &amp; DT1596</t>
  </si>
  <si>
    <t>6501242866</t>
  </si>
  <si>
    <t>ZM1579035</t>
  </si>
  <si>
    <t>PSJD7, SSSNP, SSSNT on Cisco IPT Equipment</t>
  </si>
  <si>
    <t>UID-26-01-0214</t>
  </si>
  <si>
    <t>4251200012MZ</t>
  </si>
  <si>
    <t>D40069, D44197, D44198, MASS12980, I41295</t>
  </si>
  <si>
    <t>10000150290</t>
  </si>
  <si>
    <t>ZM1579303</t>
  </si>
  <si>
    <t>PSRT, SNT on Cisco IPT Equipment</t>
  </si>
  <si>
    <t>10000168640</t>
  </si>
  <si>
    <t>ZM1579039</t>
  </si>
  <si>
    <t>SUB-TNC on Cisco IPT Equipment</t>
  </si>
  <si>
    <t>6501204947</t>
  </si>
  <si>
    <t>ZM1580521</t>
  </si>
  <si>
    <t>A-FLEX-3 Collarboration Flex Plan 3.0 License</t>
  </si>
  <si>
    <t>UID-26-02-0126</t>
  </si>
  <si>
    <t>4251290133JI</t>
  </si>
  <si>
    <t>R93270</t>
  </si>
  <si>
    <t>6501209243</t>
  </si>
  <si>
    <t>ZM1580334</t>
  </si>
  <si>
    <t>A-FLEX Collaboration Flex Plan CMS License</t>
  </si>
  <si>
    <t>6501209042 / 6501209044</t>
  </si>
  <si>
    <t>ZM1581132</t>
  </si>
  <si>
    <t>A-FLEX-3 Collaboration Flex Plan 3.0 License</t>
  </si>
  <si>
    <t>UID-26-02-0144</t>
  </si>
  <si>
    <t>P2025WB1079TS</t>
  </si>
  <si>
    <t>6501208579/6501261394</t>
    <phoneticPr fontId="6" type="noConversion"/>
  </si>
  <si>
    <t>6501261382</t>
    <phoneticPr fontId="6" type="noConversion"/>
  </si>
  <si>
    <t>6501279250</t>
    <phoneticPr fontId="6" type="noConversion"/>
  </si>
  <si>
    <t>ZM1580960</t>
  </si>
  <si>
    <t>PSJ3, PSUP on Cisco IPT Equipment</t>
  </si>
  <si>
    <t>UID-26-02-0167</t>
  </si>
  <si>
    <t>P CI/7752/MA/JI25</t>
  </si>
  <si>
    <t>Credit Agricole Corporate and Investment Bank</t>
  </si>
  <si>
    <t>10000183318</t>
  </si>
  <si>
    <t>ZM1583258</t>
  </si>
  <si>
    <t>UID-26-03-0061</t>
  </si>
  <si>
    <t>P/7875/MA/JI25</t>
  </si>
  <si>
    <t>MA Case</t>
  </si>
  <si>
    <t>ZM1590673</t>
  </si>
  <si>
    <t>PSJ3, SNTP on Cisco Products</t>
  </si>
  <si>
    <t>P/7948/MAMA/CB26</t>
  </si>
  <si>
    <t>D75448 &amp; DT1643</t>
  </si>
  <si>
    <t>ZM1590613</t>
  </si>
  <si>
    <t>ZM1592008</t>
  </si>
  <si>
    <t>PSJ3 on Cisco IPT Equipment</t>
  </si>
  <si>
    <t>UID-26-05-0026</t>
  </si>
  <si>
    <t xml:space="preserve">P / 7983 / MA / JI25 </t>
  </si>
  <si>
    <t>CHINA CONSTRUCTION BANK ASIA CORPORATION LTD</t>
  </si>
  <si>
    <t xml:space="preserve">3718 3388 </t>
  </si>
  <si>
    <t>10000392805</t>
  </si>
  <si>
    <t>ZM1592222</t>
  </si>
  <si>
    <t>10000392815</t>
  </si>
  <si>
    <t>ZM1594788</t>
  </si>
  <si>
    <t>A-FLEX-3 Collaboration Flex Plan 3.0 Initial/Renewal Term:43.61/0</t>
  </si>
  <si>
    <t>UID-26-05-0183</t>
  </si>
  <si>
    <t>P/8025/MAMA/MZ25</t>
  </si>
  <si>
    <t>THE CHINESE UNIVERSITY OF HONG KONG</t>
  </si>
  <si>
    <t>I30725 (3943 7000)</t>
  </si>
  <si>
    <t>6501261772 / 6501261927</t>
    <phoneticPr fontId="6" type="noConversion"/>
  </si>
  <si>
    <t>ZM1597473</t>
    <phoneticPr fontId="6" type="noConversion"/>
  </si>
  <si>
    <t>PSUP, PSJ3, PSBU on Cisco Products</t>
  </si>
  <si>
    <t>2468 9801 (D21955, D22424)</t>
  </si>
  <si>
    <t>10000492229</t>
    <phoneticPr fontId="6" type="noConversion"/>
  </si>
  <si>
    <t>ZM1597506</t>
    <phoneticPr fontId="6" type="noConversion"/>
  </si>
  <si>
    <t>A-FLEX-CC Flex Contact Center Initial/Renewal Term:12/0</t>
  </si>
  <si>
    <t xml:space="preserve"> 2a-Cisco </t>
  </si>
  <si>
    <t>6501279750</t>
    <phoneticPr fontId="6" type="noConversion"/>
  </si>
  <si>
    <t>ZM1601730</t>
    <phoneticPr fontId="6" type="noConversion"/>
  </si>
  <si>
    <t>A-FLEX-3 Collaboration Flex Plan 3.0 Initial/Renewal Term: 12/0</t>
  </si>
  <si>
    <t>UID-26-07-0057</t>
  </si>
  <si>
    <t>P/8086/MAMA/JI26</t>
    <phoneticPr fontId="6" type="noConversion"/>
  </si>
  <si>
    <t>ZM1604053</t>
    <phoneticPr fontId="6" type="noConversion"/>
  </si>
  <si>
    <t>A-FLEX-3 Collaboration Flex Plan 3.0 Initial/Renewal Term:16.81/0</t>
  </si>
  <si>
    <t>UID-26-07-0136</t>
  </si>
  <si>
    <t>P/8287/WAWA/JI26</t>
  </si>
  <si>
    <t>ZM1603761</t>
    <phoneticPr fontId="6" type="noConversion"/>
  </si>
  <si>
    <t>23034200</t>
  </si>
  <si>
    <t>10000580000</t>
    <phoneticPr fontId="6" type="noConversion"/>
  </si>
  <si>
    <t>ZM1603740</t>
    <phoneticPr fontId="6" type="noConversion"/>
  </si>
  <si>
    <t>A-FLEX-3 Collaboration Flex Plan 3.0 Initial/Renewal Term: 24/0</t>
  </si>
  <si>
    <t>UID-26-07-0141</t>
  </si>
  <si>
    <t>L260900719CF</t>
  </si>
  <si>
    <t>V11233, MASS13794</t>
  </si>
  <si>
    <t>ZM1603762</t>
    <phoneticPr fontId="6" type="noConversion"/>
  </si>
  <si>
    <t>10000579994</t>
  </si>
  <si>
    <t>ZM1603760</t>
    <phoneticPr fontId="6" type="noConversion"/>
  </si>
  <si>
    <t>License Support</t>
  </si>
  <si>
    <t>2A-Cisco</t>
  </si>
  <si>
    <t>ZM1605396</t>
    <phoneticPr fontId="6" type="noConversion"/>
  </si>
  <si>
    <t>SSSNP on Cisco IPT Equipment</t>
  </si>
  <si>
    <t>10000611659</t>
    <phoneticPr fontId="6" type="noConversion"/>
  </si>
  <si>
    <t>ZM1605438</t>
    <phoneticPr fontId="6" type="noConversion"/>
  </si>
  <si>
    <t>PSJ3 on Cisco IPT Equipment</t>
    <phoneticPr fontId="6" type="noConversion"/>
  </si>
  <si>
    <t>UID-26-07-0206</t>
  </si>
  <si>
    <t>P/8095/MAMA/J226</t>
  </si>
  <si>
    <t>Kum Lung Motor Group Ltd</t>
  </si>
  <si>
    <t>482022078</t>
  </si>
  <si>
    <t xml:space="preserve">10000616997 </t>
    <phoneticPr fontId="6" type="noConversion"/>
  </si>
  <si>
    <t>ZM1605508</t>
    <phoneticPr fontId="6" type="noConversion"/>
  </si>
  <si>
    <t>J76907</t>
  </si>
  <si>
    <t>ZM1607368</t>
    <phoneticPr fontId="6" type="noConversion"/>
  </si>
  <si>
    <t>PICS Telecom International Asia Limited</t>
    <phoneticPr fontId="6" type="noConversion"/>
  </si>
  <si>
    <t>HKT_20260115_04</t>
  </si>
  <si>
    <t>Purchase of Refurbished BE7M-M4-K9 (PICS-HKD 40,600 PO#1607368)</t>
    <phoneticPr fontId="6" type="noConversion"/>
  </si>
  <si>
    <t>16-PICS Telecom Int'l</t>
  </si>
  <si>
    <t>SOHK001238</t>
    <phoneticPr fontId="6" type="noConversion"/>
  </si>
  <si>
    <t>ZM1607376</t>
    <phoneticPr fontId="6" type="noConversion"/>
  </si>
  <si>
    <t>Wah Fung Company Services Limited</t>
    <phoneticPr fontId="6" type="noConversion"/>
  </si>
  <si>
    <t>Purchase of Refurbished CP-8800-A-KEM (Wah Fung-HKD 1,940 PO#1607376)</t>
    <phoneticPr fontId="6" type="noConversion"/>
  </si>
  <si>
    <t>A-FLEX-3 Collarboration Flex Plan 3.0 License</t>
    <phoneticPr fontId="6" type="noConversion"/>
  </si>
  <si>
    <t>UID-26-08-0111</t>
    <phoneticPr fontId="6" type="noConversion"/>
  </si>
  <si>
    <t>P/8348/WAWA/WW26</t>
    <phoneticPr fontId="6" type="noConversion"/>
  </si>
  <si>
    <t>WEST KOWLOON CULTURAL DISTRICT AUTHORITY</t>
    <phoneticPr fontId="6" type="noConversion"/>
  </si>
  <si>
    <t>Chow, Winnie WY / Yuen, Vivien MC</t>
    <phoneticPr fontId="6" type="noConversion"/>
  </si>
  <si>
    <t xml:space="preserve"> I73449</t>
    <phoneticPr fontId="6" type="noConversion"/>
  </si>
  <si>
    <t>6501309294</t>
  </si>
  <si>
    <t>I30725</t>
  </si>
  <si>
    <t>Meraki Enterprise License and Support</t>
    <phoneticPr fontId="6" type="noConversion"/>
  </si>
  <si>
    <t>UID-26-09-0102</t>
    <phoneticPr fontId="6" type="noConversion"/>
  </si>
  <si>
    <t>L260800811MZ</t>
  </si>
  <si>
    <t>Jan Ho</t>
  </si>
  <si>
    <t>Welfare Electronic Component Ltd</t>
    <phoneticPr fontId="0" type="noConversion"/>
  </si>
  <si>
    <t>Purchase of Brother Label Machine (for EMPFA)</t>
    <phoneticPr fontId="0" type="noConversion"/>
  </si>
  <si>
    <t>BIG-IP Service: Premium Virtual Edition on F5 Eqpt for PCCW Solutions Ltd - EMPF</t>
  </si>
  <si>
    <t>PCCW Solutions Ltd, EMPF</t>
    <phoneticPr fontId="0" type="noConversion"/>
  </si>
  <si>
    <t>18/08/22</t>
  </si>
  <si>
    <t>17/08/23</t>
  </si>
  <si>
    <t>22/07/22</t>
  </si>
  <si>
    <t xml:space="preserve">Sen Spirit Technology </t>
  </si>
  <si>
    <t>BIG-IP Service: Premium, (Level 1-3) on F5 Eqpt for PCCW Solutions Ltd - EMPF</t>
  </si>
  <si>
    <t>27/12/22</t>
  </si>
  <si>
    <t>31/07/24</t>
  </si>
  <si>
    <t>19/12/23</t>
  </si>
  <si>
    <t>Steven Lai</t>
  </si>
  <si>
    <t>SAP Hong Kong Co. Limited</t>
  </si>
  <si>
    <t>SAP Enterprise Supt for CCC CG07 c/o  EMPF PROJ : HKD2,227,035.92</t>
  </si>
  <si>
    <t>UID-23-12-SS3-00122</t>
  </si>
  <si>
    <t>L231202121PA</t>
  </si>
  <si>
    <t>01/01/24</t>
  </si>
  <si>
    <t>Sonarsource SA</t>
  </si>
  <si>
    <t>Enterprise Edition up to 5M for PCCW SOLUTIONS c/o EMPF PROJ : $430,193.50</t>
  </si>
  <si>
    <t>UID-24-04-0180</t>
  </si>
  <si>
    <t>L240490174PA</t>
  </si>
  <si>
    <t xml:space="preserve">w/o D92090 and a/c 645690 </t>
  </si>
  <si>
    <t xml:space="preserve">Edvance Technology </t>
  </si>
  <si>
    <t>TSC-M Mtce, TSC-STNDC-M for CCC CG07 PCCW Solutions C/O EMPF Proj : $669,818</t>
  </si>
  <si>
    <t>UID-24-05-0237</t>
  </si>
  <si>
    <t>G240600039PA</t>
  </si>
  <si>
    <t>3 Yr MESA 7x24 Success Tracks for CCC PCCW Solutions C/O EMPF Proj USD701,918.64(HKD 5,479,668.25) (W.O. D92090 / A/C 645690)</t>
  </si>
  <si>
    <t>UID-24-07-0094</t>
  </si>
  <si>
    <t>L240500684PA</t>
  </si>
  <si>
    <t>BIG-IP on F5 Eqpt for CCC CG07 PCCW Solutions C/O EMPF Project, HKD7,046,446.56</t>
  </si>
  <si>
    <t>UID-24-08-0051</t>
  </si>
  <si>
    <t>G240700050PA</t>
  </si>
  <si>
    <t>Qualys Enterprise Web Application Scanning for CCC CG07 PCCW Solutions c/o EMPFA Project $58,668.72</t>
  </si>
  <si>
    <t>4240900007PA</t>
  </si>
  <si>
    <t>UID-24-08-0012</t>
  </si>
  <si>
    <t>PRIV-STANDARD-USER-SUBS, Annual BDATA Support Service for CCC CG07 PCCW Solutions C/O EMPF $1,253,265.89</t>
  </si>
  <si>
    <t>UID-24-10-0163</t>
  </si>
  <si>
    <t>G241200089PA &amp; G241200091PA</t>
  </si>
  <si>
    <t>Marked receipt 1st Payment HK$744,646.04</t>
  </si>
  <si>
    <t>PRIV-STANDARD-USER-SUBS, Annual BDATA Support Service for CCC CG07 PCCW Solutions C/O EMPF $1,253,265.89-744646.04</t>
  </si>
  <si>
    <t>CWAYFM-AB ProtectPLUS Thrive Essential for CCC CG07 PCCW Solutions C/O EMPF Project HKD982538</t>
  </si>
  <si>
    <t>UID-24-11-0186</t>
  </si>
  <si>
    <t>G240600038PA</t>
  </si>
  <si>
    <t>SAP Enterprise Supt for CCC CG07 c/o EMPF PROJECT HKD2,249,332.15</t>
  </si>
  <si>
    <t>UID-25-02-0038</t>
  </si>
  <si>
    <t>L241201478PA</t>
  </si>
  <si>
    <t>Yes</t>
  </si>
  <si>
    <t>Versitech Ltd</t>
  </si>
  <si>
    <t>e-Form Products Mtce &amp; Support for CCC CG07 PCCW Solutions C/O EMPF Project (HK$ 154,000)</t>
  </si>
  <si>
    <t>UID-25-02-0209</t>
  </si>
  <si>
    <t>SOWC_I41303.2024</t>
  </si>
  <si>
    <t>Po, Nicky MY / Chow, Apple FP</t>
  </si>
  <si>
    <t>6500896747 / 6500896748 / 9998721568</t>
  </si>
  <si>
    <t>Application Lifecycle Management for CCC CG07 PCCW Solutions C/O EMPF Project (HKD 1,045,788.82) Paid HKD261,447.19</t>
  </si>
  <si>
    <t>UID-25-03-0193</t>
  </si>
  <si>
    <t>SOWC_I95324,2025</t>
  </si>
  <si>
    <t>Application Lifecycle Management for CCC CG07 PCCW Solutions C/O EMPF Project (HKD 1,045,788.82-261447.19)=HKD784,341.63</t>
  </si>
  <si>
    <t>SonarSource SA</t>
  </si>
  <si>
    <t>2025-04299</t>
  </si>
  <si>
    <t>SonarQube Server Enterprise Edition up Support &amp; License for CCC CG07 PCCW Solutions C/O EMPF Project (USD 57,700.00)</t>
  </si>
  <si>
    <t>UID-25-03-0268</t>
  </si>
  <si>
    <t>L250500704NP</t>
  </si>
  <si>
    <t>TechNet (Hong Kong) Ltd</t>
  </si>
  <si>
    <t>JTQ2503003R01</t>
  </si>
  <si>
    <t>Bitbucket 500 Users Commercial Term License Renewal for CCC CG07 PCCW Solutions C/O EMPF Project (USD 109,245.00 / HK$ 849,423.57)</t>
  </si>
  <si>
    <t>UID-25-04-0123</t>
  </si>
  <si>
    <t>425050008TS</t>
  </si>
  <si>
    <t>Tan, Simon HH / Chow, Apple FP</t>
  </si>
  <si>
    <t>MF_20250424_HKT_eMPF Platform Co. Ltd G250590024TS</t>
  </si>
  <si>
    <t>MV1ECE-AA, Trellix Protect Standard for CCC CG07 PCCW Solutions C/O EMPF Project (HKD 1665.58)</t>
  </si>
  <si>
    <t>UID-25-05-0036</t>
  </si>
  <si>
    <t>Ray Huang</t>
  </si>
  <si>
    <t>AsiaNet Technologies (HK) Ltd</t>
  </si>
  <si>
    <t>One-Time Hard Disk Retention Service on Radware for eMPF HKT (Request by Steven Lai) HKD 7,500.00</t>
  </si>
  <si>
    <t>00I00655</t>
  </si>
  <si>
    <t>Hold</t>
  </si>
  <si>
    <t xml:space="preserve">    /   / 25</t>
  </si>
  <si>
    <t>Verint Systems (Asia Pacific) Ltd</t>
  </si>
  <si>
    <t>V1123294-1</t>
  </si>
  <si>
    <t>Verint Engagement Orchestration for CCC CG07 PCCW Solutions CO EMPF PROJECT Platform Co Ltd (USD 12771.00 / HKD 99,072.31)</t>
  </si>
  <si>
    <t>UID-25-05-0147</t>
  </si>
  <si>
    <t>G250590218NP</t>
  </si>
  <si>
    <t>Q24978R1</t>
  </si>
  <si>
    <t>RPA Licensing - Standard Pack Automation Anywhere for 3 servirs for CCC CG07 PCCW Solutions C/O EMPF Project (HKD602,200.00)</t>
  </si>
  <si>
    <t>UID-25-05-0169</t>
  </si>
  <si>
    <t>Tradelink Electronic Commerce Limited</t>
  </si>
  <si>
    <t>Mobile Application SDK for CCC G07 PCCW Solutions C/O EMPF Project (HK$ 1,655,538.00)</t>
  </si>
  <si>
    <t>UID-25-07-0041</t>
  </si>
  <si>
    <t>4250790016TS</t>
  </si>
  <si>
    <t>Tang, Simon HH / Chow, Apple FP</t>
  </si>
  <si>
    <t>ETHKQ26000205-01-R4</t>
  </si>
  <si>
    <t>Annual Enhanced Support on SS-DBF-X652-R-SL1, etc for CCC CG07 PCCW Solutions C/O EMPF Project (HK$ 2,563,842.00)</t>
  </si>
  <si>
    <t>UID-25-07-0075</t>
  </si>
  <si>
    <t>G250790073TS</t>
  </si>
  <si>
    <t>ECS Computers (HK) Limited</t>
  </si>
  <si>
    <t>FlexiCapture on Premise Deistributed License for CCC CG07 PCCW Solutions C/O EMPF Project (HKD29560)</t>
  </si>
  <si>
    <t>1-ECS Computer (HK) Limited</t>
  </si>
  <si>
    <t>UID-25-09-0024</t>
  </si>
  <si>
    <t>4250600001NP</t>
  </si>
  <si>
    <t>Po, Ricky MY / Chow, Apple FP</t>
  </si>
  <si>
    <t xml:space="preserve">TT Date: 11-SEP-2025                                                                                                      </t>
  </si>
  <si>
    <t>Lic. Cert.</t>
  </si>
  <si>
    <t xml:space="preserve">1552817ADV                                                                                                            </t>
  </si>
  <si>
    <t>ZE1554867</t>
  </si>
  <si>
    <t>Cyberark 250812 PCCWS EMPF v3</t>
  </si>
  <si>
    <t>Renewal PRIV-STANDARD USER SUBS, Support Serivce for CCC CG07 PCCW SOLUTIONS C/O EMPF PROJECT</t>
  </si>
  <si>
    <t>UID-25-09-0076</t>
  </si>
  <si>
    <t>G250990131NP</t>
  </si>
  <si>
    <t>V88219, V88231, I97415,K37693,,I97424,I97663</t>
  </si>
  <si>
    <t>BDKD25-0661</t>
  </si>
  <si>
    <t>BDI25-1519</t>
  </si>
  <si>
    <t>ZE1560475</t>
  </si>
  <si>
    <t>Cisco Internatonal Limited</t>
  </si>
  <si>
    <t>SSTC on Cisco Products for eMPF Platform Co Ltd</t>
  </si>
  <si>
    <t>UID-25-10-0308</t>
  </si>
  <si>
    <t>L251090101TS</t>
  </si>
  <si>
    <t>Ng, Simon HH / Chow, Apple FP</t>
  </si>
  <si>
    <t>I68539</t>
  </si>
  <si>
    <t>eDelivery 119386021</t>
  </si>
  <si>
    <t>9999821436 / 9999822868</t>
  </si>
  <si>
    <t>ZE1568009</t>
  </si>
  <si>
    <t>MF_251014_PCCWS_eMPF</t>
  </si>
  <si>
    <t xml:space="preserve">3 Year ProtectPLUS Thrive Essential </t>
  </si>
  <si>
    <t>UID-25-11-0180</t>
  </si>
  <si>
    <t>G251200092NP</t>
  </si>
  <si>
    <t>D56810</t>
  </si>
  <si>
    <t>ZE1581462</t>
    <phoneticPr fontId="40" type="noConversion"/>
  </si>
  <si>
    <t>SB-AD064, Application Lifecycle Management Subscription Software</t>
  </si>
  <si>
    <t>UID-26-02-0240</t>
  </si>
  <si>
    <t>4260290243NP</t>
  </si>
  <si>
    <t>I95324</t>
  </si>
  <si>
    <t>ZE1581237</t>
  </si>
  <si>
    <t>e-Form Products Mtce &amp; Support for CCC CG07 PCCW Solutions C/O EMPF Project (HK$ 170,800)</t>
  </si>
  <si>
    <t>1-Versitech</t>
  </si>
  <si>
    <t>UID-26-02-0241</t>
  </si>
  <si>
    <t>L260290245NP</t>
  </si>
  <si>
    <t>U41303</t>
  </si>
  <si>
    <t>ZE1585811</t>
  </si>
  <si>
    <t>TD-PCW-HPE020626A</t>
  </si>
  <si>
    <t>UID-26-03-0095</t>
  </si>
  <si>
    <t>H260600131NP</t>
  </si>
  <si>
    <t>Po, Nicky MY / Law, Carman KM</t>
  </si>
  <si>
    <t>J89916 J89918 J89920 J89921 I19533 I19534</t>
  </si>
  <si>
    <t>ZE1585093</t>
  </si>
  <si>
    <t>Q25586R1</t>
  </si>
  <si>
    <t xml:space="preserve">RPA Licensing - Standard Pack Automation Anywhere for 3 servers </t>
  </si>
  <si>
    <t>1-Novation Solutions Limited</t>
  </si>
  <si>
    <t>UID-26-03-0161</t>
  </si>
  <si>
    <t>426039187TS</t>
  </si>
  <si>
    <t>I41660</t>
  </si>
  <si>
    <t>ZE1586666</t>
  </si>
  <si>
    <t>Sinocorp Development Limited</t>
  </si>
  <si>
    <t>QUO-030397-26001</t>
  </si>
  <si>
    <t>One Year on site mtce of Wacom DTU-1141B</t>
  </si>
  <si>
    <t>1-Sinocorp Development Limited</t>
  </si>
  <si>
    <t>UID-26-04-0001</t>
  </si>
  <si>
    <t>4260300001NP</t>
  </si>
  <si>
    <t>I96015</t>
  </si>
  <si>
    <t>ZE1588978</t>
  </si>
  <si>
    <t>JTQ2603009R01 (Item 1&amp;2)</t>
  </si>
  <si>
    <t>Bitbucket Commercial Term License Renewal</t>
  </si>
  <si>
    <t>1-TechNet</t>
  </si>
  <si>
    <t>UID-26-04-0066</t>
  </si>
  <si>
    <t>4260500001TS</t>
  </si>
  <si>
    <t>I97874, V88079</t>
  </si>
  <si>
    <t>JTQ2603009R01 (Item 3)</t>
  </si>
  <si>
    <t>ScriptRunner for Jira Data Center License Renewal</t>
  </si>
  <si>
    <t>2-TechNet</t>
  </si>
  <si>
    <t>ZE1589390</t>
  </si>
  <si>
    <t>RealVNC Limited</t>
  </si>
  <si>
    <t>Q472881</t>
  </si>
  <si>
    <t>RealVNC License Renewal 2026 - 2027</t>
  </si>
  <si>
    <t>1-RealVNC</t>
  </si>
  <si>
    <t>UID-26-04-0120</t>
  </si>
  <si>
    <t>4260490106TS</t>
  </si>
  <si>
    <t>I97816</t>
  </si>
  <si>
    <t>ZE1590015</t>
  </si>
  <si>
    <t>Service Management and Support</t>
  </si>
  <si>
    <t>2A-B&amp;Data</t>
  </si>
  <si>
    <t>UID-26-04-0118</t>
  </si>
  <si>
    <t>4260490105TS</t>
  </si>
  <si>
    <t>I97100</t>
  </si>
  <si>
    <t>BDI26-1238</t>
    <phoneticPr fontId="40" type="noConversion"/>
  </si>
  <si>
    <t>ZE1591939</t>
  </si>
  <si>
    <t>Data World Computer &amp; Communication Limited</t>
  </si>
  <si>
    <t>ANQ202604244</t>
  </si>
  <si>
    <t>MPFA eMPF Allot 10G (Phase 1) Renewal</t>
  </si>
  <si>
    <t>1-Data World</t>
  </si>
  <si>
    <t>UID-26-05-0044</t>
  </si>
  <si>
    <t>G260600026NP</t>
  </si>
  <si>
    <t>J89728</t>
  </si>
  <si>
    <t>DWCORD202606081</t>
    <phoneticPr fontId="40" type="noConversion"/>
  </si>
  <si>
    <t>50% deposit</t>
    <phoneticPr fontId="40" type="noConversion"/>
  </si>
  <si>
    <t>ZE1591936</t>
  </si>
  <si>
    <t>ANQ202604204</t>
  </si>
  <si>
    <t>MPFA eMPF Allot 10G (Phase 2) Renewal</t>
  </si>
  <si>
    <t>DWCORD202606080</t>
    <phoneticPr fontId="40" type="noConversion"/>
  </si>
  <si>
    <t>ZE1593475</t>
  </si>
  <si>
    <t>Q-30557-1</t>
  </si>
  <si>
    <t>SonarQube Server Enterprise Edition up Support</t>
  </si>
  <si>
    <t>1-Sonarsource SA</t>
  </si>
  <si>
    <t>UID-26-05-0132</t>
  </si>
  <si>
    <t>L260500483TS</t>
  </si>
  <si>
    <t>MASS13620</t>
  </si>
  <si>
    <t>ZE1594751</t>
  </si>
  <si>
    <t>Q05052026v2</t>
  </si>
  <si>
    <t xml:space="preserve">HDS Storage non-production platform </t>
  </si>
  <si>
    <t>UID-26-05-0164</t>
  </si>
  <si>
    <t>G260600023TS</t>
  </si>
  <si>
    <t>D92303 I41042 I95326 I96158 I97672 V88223</t>
  </si>
  <si>
    <t>ZE1597893</t>
  </si>
  <si>
    <t>Cyberark 260413 PCCWS eMPF</t>
  </si>
  <si>
    <t>PRIV STANDARD USER SUBS Privileged Standard User Subscription</t>
  </si>
  <si>
    <t>UID-26-06-0098</t>
  </si>
  <si>
    <t>G260690144NP</t>
  </si>
  <si>
    <t>Po, Nicky MY / Fok, Paul KC</t>
  </si>
  <si>
    <t>ZE1598316</t>
    <phoneticPr fontId="40" type="noConversion"/>
  </si>
  <si>
    <t>MF_20260515_HKT_eMPF</t>
  </si>
  <si>
    <t>EPESCECE-AA, Endpoint Essentials Cloud</t>
  </si>
  <si>
    <t>UID-26-06-0136</t>
  </si>
  <si>
    <t>G260690218NP</t>
  </si>
  <si>
    <t>V88078</t>
  </si>
  <si>
    <t>ZE1606899</t>
    <phoneticPr fontId="40" type="noConversion"/>
  </si>
  <si>
    <t>ETHKQ27001464-01-R1</t>
  </si>
  <si>
    <t>FortiCare Premium Support + Hardware Delivery Priority RMA Service</t>
  </si>
  <si>
    <t>UID-26-08-0066</t>
  </si>
  <si>
    <t>G260890104TS</t>
  </si>
  <si>
    <t>J89722, I37628</t>
  </si>
  <si>
    <t>ZE1607792</t>
    <phoneticPr fontId="40" type="noConversion"/>
  </si>
  <si>
    <t>Hayden Sze</t>
    <phoneticPr fontId="40" type="noConversion"/>
  </si>
  <si>
    <t>TD-HKT-FT180726-eMPF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</si>
</sst>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76" formatCode="[$-13C09]d/m/yyyy;@"/>
    <numFmt numFmtId="177" formatCode="dd/mm/yy;@"/>
    <numFmt numFmtId="178" formatCode="#,##0.00000"/>
    <numFmt numFmtId="179" formatCode="0.00_ "/>
    <numFmt numFmtId="180" formatCode="0.00_);[Red]\(0.00\)"/>
  </numFmts>
  <fonts count="49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MingLiU"/>
      <family val="3"/>
      <charset val="136"/>
    </font>
    <font>
      <b/>
      <i/>
      <sz val="10"/>
      <name val="Arial"/>
      <family val="2"/>
    </font>
    <font>
      <b/>
      <i/>
      <sz val="8"/>
      <name val="Arial"/>
      <family val="2"/>
    </font>
    <font>
      <sz val="8"/>
      <name val="Arial"/>
      <family val="2"/>
    </font>
    <font>
      <b/>
      <i/>
      <sz val="10"/>
      <color theme="0" tint="-0.34998626667073579"/>
      <name val="Arial"/>
      <family val="2"/>
    </font>
    <font>
      <b/>
      <sz val="10"/>
      <color theme="0" tint="-0.34998626667073579"/>
      <name val="Arial"/>
      <family val="2"/>
    </font>
    <font>
      <sz val="10"/>
      <color theme="0" tint="-0.34998626667073579"/>
      <name val="Arial"/>
      <family val="2"/>
    </font>
    <font>
      <sz val="10"/>
      <color rgb="FFFF0000"/>
      <name val="Arial"/>
      <family val="2"/>
    </font>
    <font>
      <b/>
      <strike/>
      <sz val="10"/>
      <color rgb="FFFF0000"/>
      <name val="Arial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trike/>
      <sz val="10"/>
      <name val="Arial"/>
      <family val="2"/>
    </font>
    <font>
      <strike/>
      <sz val="10"/>
      <name val="Arial"/>
      <family val="2"/>
    </font>
    <font>
      <sz val="12"/>
      <name val="Calibri"/>
      <family val="2"/>
    </font>
    <font>
      <sz val="10"/>
      <name val="Microsoft Sans Serif"/>
      <family val="2"/>
    </font>
    <font>
      <sz val="12"/>
      <name val="Aptos"/>
      <family val="2"/>
    </font>
    <font>
      <b/>
      <sz val="10"/>
      <color rgb="FFFF0000"/>
      <name val="Arial"/>
      <family val="2"/>
    </font>
    <font>
      <b/>
      <vertAlign val="superscript"/>
      <sz val="10"/>
      <color rgb="FFFF0000"/>
      <name val="Arial"/>
      <family val="2"/>
    </font>
    <font>
      <sz val="11"/>
      <color rgb="FFFF0000"/>
      <name val="Aptos"/>
      <family val="2"/>
    </font>
    <font>
      <vertAlign val="superscript"/>
      <sz val="11"/>
      <color rgb="FFFF0000"/>
      <name val="Aptos"/>
      <family val="2"/>
    </font>
    <font>
      <b/>
      <vertAlign val="superscript"/>
      <sz val="8"/>
      <color rgb="FFFF0000"/>
      <name val="Arial"/>
      <family val="2"/>
    </font>
    <font>
      <strike/>
      <sz val="10"/>
      <color theme="0" tint="-0.34998626667073579"/>
      <name val="Arial"/>
      <family val="2"/>
    </font>
    <font>
      <strike/>
      <sz val="10"/>
      <color rgb="FFFF0000"/>
      <name val="Arial"/>
      <family val="2"/>
    </font>
    <font>
      <sz val="10"/>
      <color rgb="FF000000"/>
      <name val="Arial"/>
      <family val="2"/>
    </font>
    <font>
      <sz val="11"/>
      <color rgb="FF242424"/>
      <name val="Calibri"/>
      <family val="2"/>
    </font>
    <font>
      <sz val="12"/>
      <color rgb="FF000000"/>
      <name val="Aptos"/>
      <family val="2"/>
    </font>
    <font>
      <sz val="10"/>
      <color rgb="FFC00000"/>
      <name val="Arial"/>
      <family val="2"/>
    </font>
    <font>
      <sz val="11"/>
      <color rgb="FF000000"/>
      <name val="Aptos"/>
      <family val="2"/>
    </font>
    <font>
      <sz val="11"/>
      <color rgb="FF000000"/>
      <name val="Aptos"/>
      <family val="2"/>
      <charset val="1"/>
    </font>
    <font>
      <b/>
      <sz val="12"/>
      <color rgb="FF242424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name val="Calibri"/>
      <family val="2"/>
      <charset val="1"/>
    </font>
    <font>
      <sz val="11"/>
      <name val="Aptos"/>
      <family val="2"/>
      <charset val="1"/>
    </font>
    <font>
      <sz val="11"/>
      <color rgb="FFFF0000"/>
      <name val="Aptos"/>
      <family val="2"/>
      <charset val="1"/>
    </font>
    <font>
      <b/>
      <sz val="8"/>
      <color rgb="FF333333"/>
      <name val="CiscoSans"/>
      <family val="2"/>
      <charset val="1"/>
    </font>
    <font>
      <sz val="12"/>
      <color theme="1"/>
      <name val="新細明體"/>
      <family val="2"/>
      <scheme val="minor"/>
    </font>
    <font>
      <sz val="12"/>
      <name val="Times New Roman"/>
      <family val="1"/>
    </font>
    <font>
      <sz val="9"/>
      <name val="細明體"/>
      <family val="3"/>
      <charset val="136"/>
    </font>
    <font>
      <sz val="11"/>
      <name val="Calibri"/>
      <family val="2"/>
    </font>
    <font>
      <b/>
      <sz val="8"/>
      <name val="Arial"/>
      <family val="2"/>
    </font>
    <font>
      <sz val="10"/>
      <name val="Tahoma"/>
      <family val="2"/>
    </font>
    <font>
      <b/>
      <sz val="9"/>
      <name val="Arial"/>
      <family val="2"/>
    </font>
    <font>
      <sz val="12"/>
      <color rgb="FFFF0000"/>
      <name val="Aptos"/>
      <family val="2"/>
    </font>
    <font>
      <b/>
      <sz val="10"/>
      <color theme="1"/>
      <name val="Arial"/>
      <family val="2"/>
    </font>
    <font>
      <sz val="9"/>
      <name val="Arial"/>
      <family val="2"/>
    </font>
    <font>
      <b/>
      <sz val="10"/>
      <color rgb="FFED5C57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62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176" fontId="4" fillId="2" borderId="3" xfId="0" applyNumberFormat="1" applyFont="1" applyFill="1" applyBorder="1" applyAlignment="1">
      <alignment horizontal="center" wrapText="1"/>
    </xf>
    <xf numFmtId="43" fontId="4" fillId="2" borderId="0" xfId="1" applyFont="1" applyFill="1" applyBorder="1" applyAlignment="1">
      <alignment horizontal="center" wrapText="1"/>
    </xf>
    <xf numFmtId="43" fontId="4" fillId="2" borderId="1" xfId="1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176" fontId="4" fillId="2" borderId="0" xfId="0" applyNumberFormat="1" applyFont="1" applyFill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177" fontId="2" fillId="2" borderId="7" xfId="0" applyNumberFormat="1" applyFont="1" applyFill="1" applyBorder="1" applyAlignment="1">
      <alignment horizontal="center" wrapText="1"/>
    </xf>
    <xf numFmtId="0" fontId="4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center" wrapText="1"/>
    </xf>
    <xf numFmtId="0" fontId="2" fillId="2" borderId="7" xfId="0" applyFont="1" applyFill="1" applyBorder="1" applyAlignment="1">
      <alignment horizontal="left" wrapText="1"/>
    </xf>
    <xf numFmtId="177" fontId="2" fillId="2" borderId="0" xfId="0" applyNumberFormat="1" applyFont="1" applyFill="1" applyAlignment="1">
      <alignment horizontal="center" wrapText="1"/>
    </xf>
    <xf numFmtId="0" fontId="2" fillId="2" borderId="8" xfId="0" applyFont="1" applyFill="1" applyBorder="1" applyAlignment="1">
      <alignment horizontal="left" wrapText="1"/>
    </xf>
    <xf numFmtId="177" fontId="2" fillId="2" borderId="9" xfId="0" applyNumberFormat="1" applyFont="1" applyFill="1" applyBorder="1" applyAlignment="1">
      <alignment horizontal="center" wrapText="1"/>
    </xf>
    <xf numFmtId="177" fontId="4" fillId="2" borderId="10" xfId="0" applyNumberFormat="1" applyFont="1" applyFill="1" applyBorder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0" fontId="8" fillId="2" borderId="0" xfId="0" applyFont="1" applyFill="1" applyAlignment="1">
      <alignment horizontal="center" wrapText="1"/>
    </xf>
    <xf numFmtId="0" fontId="0" fillId="0" borderId="1" xfId="0" applyBorder="1"/>
    <xf numFmtId="0" fontId="2" fillId="0" borderId="7" xfId="0" applyFont="1" applyBorder="1" applyAlignment="1">
      <alignment horizontal="center"/>
    </xf>
    <xf numFmtId="176" fontId="0" fillId="0" borderId="0" xfId="0" applyNumberFormat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0" borderId="1" xfId="1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176" fontId="0" fillId="0" borderId="0" xfId="0" quotePrefix="1" applyNumberFormat="1" applyAlignment="1">
      <alignment horizontal="center"/>
    </xf>
    <xf numFmtId="43" fontId="0" fillId="0" borderId="0" xfId="1" applyFont="1" applyBorder="1"/>
    <xf numFmtId="43" fontId="0" fillId="0" borderId="1" xfId="1" applyFont="1" applyBorder="1"/>
    <xf numFmtId="0" fontId="0" fillId="0" borderId="11" xfId="0" applyBorder="1"/>
    <xf numFmtId="0" fontId="0" fillId="0" borderId="5" xfId="0" applyBorder="1" applyAlignment="1">
      <alignment horizontal="left"/>
    </xf>
    <xf numFmtId="0" fontId="0" fillId="0" borderId="12" xfId="0" applyBorder="1"/>
    <xf numFmtId="43" fontId="0" fillId="0" borderId="7" xfId="1" applyFont="1" applyBorder="1"/>
    <xf numFmtId="177" fontId="0" fillId="0" borderId="7" xfId="0" applyNumberForma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wrapText="1"/>
    </xf>
    <xf numFmtId="0" fontId="0" fillId="0" borderId="7" xfId="0" applyBorder="1"/>
    <xf numFmtId="177" fontId="0" fillId="0" borderId="0" xfId="0" applyNumberFormat="1"/>
    <xf numFmtId="0" fontId="0" fillId="0" borderId="8" xfId="0" applyBorder="1"/>
    <xf numFmtId="177" fontId="0" fillId="0" borderId="9" xfId="0" applyNumberFormat="1" applyBorder="1"/>
    <xf numFmtId="177" fontId="0" fillId="0" borderId="1" xfId="0" quotePrefix="1" applyNumberFormat="1" applyBorder="1" applyAlignment="1">
      <alignment horizontal="center"/>
    </xf>
    <xf numFmtId="43" fontId="9" fillId="0" borderId="0" xfId="1" applyFont="1"/>
    <xf numFmtId="0" fontId="9" fillId="0" borderId="0" xfId="0" applyFont="1"/>
    <xf numFmtId="177" fontId="0" fillId="0" borderId="7" xfId="0" quotePrefix="1" applyNumberForma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2" fillId="0" borderId="16" xfId="0" applyFont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/>
    <xf numFmtId="178" fontId="0" fillId="0" borderId="0" xfId="1" applyNumberFormat="1" applyFont="1" applyBorder="1"/>
    <xf numFmtId="178" fontId="0" fillId="0" borderId="7" xfId="1" applyNumberFormat="1" applyFont="1" applyBorder="1"/>
    <xf numFmtId="14" fontId="9" fillId="0" borderId="0" xfId="0" applyNumberFormat="1" applyFont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77" fontId="0" fillId="0" borderId="7" xfId="1" quotePrefix="1" applyNumberFormat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10" fillId="0" borderId="0" xfId="0" applyFont="1"/>
    <xf numFmtId="0" fontId="0" fillId="0" borderId="0" xfId="0" quotePrefix="1"/>
    <xf numFmtId="43" fontId="0" fillId="0" borderId="0" xfId="1" applyFont="1" applyAlignment="1">
      <alignment horizontal="center"/>
    </xf>
    <xf numFmtId="14" fontId="0" fillId="0" borderId="0" xfId="0" applyNumberFormat="1" applyAlignment="1">
      <alignment horizontal="left"/>
    </xf>
    <xf numFmtId="43" fontId="10" fillId="0" borderId="0" xfId="1" applyFont="1" applyBorder="1" applyAlignment="1">
      <alignment horizontal="center"/>
    </xf>
    <xf numFmtId="43" fontId="0" fillId="0" borderId="0" xfId="1" applyFont="1" applyFill="1" applyBorder="1" applyAlignment="1">
      <alignment horizontal="center"/>
    </xf>
    <xf numFmtId="43" fontId="0" fillId="0" borderId="1" xfId="1" applyFont="1" applyFill="1" applyBorder="1" applyAlignment="1">
      <alignment horizontal="center"/>
    </xf>
    <xf numFmtId="43" fontId="0" fillId="0" borderId="0" xfId="1" applyFont="1" applyFill="1" applyBorder="1"/>
    <xf numFmtId="43" fontId="0" fillId="0" borderId="1" xfId="1" applyFont="1" applyFill="1" applyBorder="1"/>
    <xf numFmtId="43" fontId="0" fillId="0" borderId="7" xfId="1" applyFont="1" applyFill="1" applyBorder="1"/>
    <xf numFmtId="43" fontId="9" fillId="0" borderId="0" xfId="1" applyFont="1" applyFill="1"/>
    <xf numFmtId="0" fontId="11" fillId="0" borderId="7" xfId="0" applyFont="1" applyBorder="1" applyAlignment="1">
      <alignment horizontal="center"/>
    </xf>
    <xf numFmtId="14" fontId="0" fillId="0" borderId="0" xfId="0" applyNumberFormat="1"/>
    <xf numFmtId="0" fontId="10" fillId="0" borderId="0" xfId="0" applyFont="1" applyAlignment="1">
      <alignment horizontal="left"/>
    </xf>
    <xf numFmtId="43" fontId="0" fillId="0" borderId="0" xfId="1" quotePrefix="1" applyFont="1" applyBorder="1" applyAlignment="1">
      <alignment horizontal="center"/>
    </xf>
    <xf numFmtId="16" fontId="0" fillId="0" borderId="5" xfId="0" applyNumberFormat="1" applyBorder="1" applyAlignment="1">
      <alignment horizontal="left"/>
    </xf>
    <xf numFmtId="43" fontId="9" fillId="0" borderId="0" xfId="1" quotePrefix="1" applyFont="1" applyAlignment="1">
      <alignment horizontal="center"/>
    </xf>
    <xf numFmtId="0" fontId="12" fillId="0" borderId="7" xfId="0" applyFont="1" applyBorder="1" applyAlignment="1">
      <alignment horizontal="left"/>
    </xf>
    <xf numFmtId="177" fontId="12" fillId="0" borderId="0" xfId="0" applyNumberFormat="1" applyFont="1" applyAlignment="1">
      <alignment horizontal="left"/>
    </xf>
    <xf numFmtId="177" fontId="12" fillId="0" borderId="9" xfId="0" applyNumberFormat="1" applyFont="1" applyBorder="1" applyAlignment="1">
      <alignment horizontal="left"/>
    </xf>
    <xf numFmtId="0" fontId="0" fillId="0" borderId="5" xfId="0" quotePrefix="1" applyBorder="1" applyAlignment="1">
      <alignment horizontal="left"/>
    </xf>
    <xf numFmtId="43" fontId="9" fillId="0" borderId="0" xfId="1" quotePrefix="1" applyFont="1" applyAlignment="1">
      <alignment horizontal="right"/>
    </xf>
    <xf numFmtId="0" fontId="0" fillId="0" borderId="12" xfId="0" applyBorder="1" applyAlignment="1">
      <alignment wrapText="1"/>
    </xf>
    <xf numFmtId="0" fontId="13" fillId="0" borderId="8" xfId="0" applyFont="1" applyBorder="1" applyAlignment="1">
      <alignment horizontal="left"/>
    </xf>
    <xf numFmtId="43" fontId="9" fillId="0" borderId="0" xfId="1" applyFont="1" applyAlignment="1">
      <alignment horizontal="right"/>
    </xf>
    <xf numFmtId="0" fontId="14" fillId="0" borderId="7" xfId="0" applyFont="1" applyBorder="1" applyAlignment="1">
      <alignment horizontal="center"/>
    </xf>
    <xf numFmtId="176" fontId="15" fillId="0" borderId="0" xfId="0" applyNumberFormat="1" applyFont="1" applyAlignment="1">
      <alignment horizontal="center"/>
    </xf>
    <xf numFmtId="0" fontId="14" fillId="3" borderId="0" xfId="0" applyFont="1" applyFill="1" applyAlignment="1">
      <alignment horizontal="center"/>
    </xf>
    <xf numFmtId="0" fontId="15" fillId="0" borderId="11" xfId="0" applyFont="1" applyBorder="1"/>
    <xf numFmtId="0" fontId="15" fillId="0" borderId="0" xfId="0" applyFont="1"/>
    <xf numFmtId="0" fontId="15" fillId="0" borderId="12" xfId="0" applyFont="1" applyBorder="1"/>
    <xf numFmtId="0" fontId="0" fillId="0" borderId="7" xfId="0" applyBorder="1" applyAlignment="1">
      <alignment horizontal="right"/>
    </xf>
    <xf numFmtId="177" fontId="0" fillId="0" borderId="0" xfId="0" quotePrefix="1" applyNumberFormat="1" applyAlignment="1">
      <alignment horizontal="center"/>
    </xf>
    <xf numFmtId="0" fontId="14" fillId="3" borderId="7" xfId="0" applyFont="1" applyFill="1" applyBorder="1" applyAlignment="1">
      <alignment horizontal="center"/>
    </xf>
    <xf numFmtId="176" fontId="15" fillId="3" borderId="0" xfId="0" applyNumberFormat="1" applyFont="1" applyFill="1" applyAlignment="1">
      <alignment horizontal="center"/>
    </xf>
    <xf numFmtId="43" fontId="0" fillId="3" borderId="0" xfId="1" applyFont="1" applyFill="1" applyBorder="1" applyAlignment="1">
      <alignment horizontal="center"/>
    </xf>
    <xf numFmtId="43" fontId="0" fillId="3" borderId="1" xfId="1" applyFont="1" applyFill="1" applyBorder="1" applyAlignment="1">
      <alignment horizontal="center"/>
    </xf>
    <xf numFmtId="0" fontId="14" fillId="3" borderId="0" xfId="0" quotePrefix="1" applyFont="1" applyFill="1" applyAlignment="1">
      <alignment horizontal="center"/>
    </xf>
    <xf numFmtId="176" fontId="0" fillId="3" borderId="0" xfId="0" applyNumberFormat="1" applyFill="1" applyAlignment="1">
      <alignment horizontal="center"/>
    </xf>
    <xf numFmtId="43" fontId="0" fillId="3" borderId="0" xfId="1" applyFont="1" applyFill="1" applyBorder="1"/>
    <xf numFmtId="43" fontId="0" fillId="3" borderId="1" xfId="1" applyFont="1" applyFill="1" applyBorder="1"/>
    <xf numFmtId="0" fontId="15" fillId="3" borderId="11" xfId="0" applyFont="1" applyFill="1" applyBorder="1"/>
    <xf numFmtId="0" fontId="15" fillId="3" borderId="0" xfId="0" applyFont="1" applyFill="1"/>
    <xf numFmtId="0" fontId="0" fillId="3" borderId="5" xfId="0" applyFill="1" applyBorder="1" applyAlignment="1">
      <alignment horizontal="left"/>
    </xf>
    <xf numFmtId="0" fontId="15" fillId="3" borderId="12" xfId="0" applyFont="1" applyFill="1" applyBorder="1"/>
    <xf numFmtId="43" fontId="0" fillId="3" borderId="7" xfId="1" applyFont="1" applyFill="1" applyBorder="1"/>
    <xf numFmtId="0" fontId="0" fillId="3" borderId="0" xfId="0" applyFill="1"/>
    <xf numFmtId="177" fontId="0" fillId="3" borderId="7" xfId="0" applyNumberFormat="1" applyFill="1" applyBorder="1" applyAlignment="1">
      <alignment horizontal="center"/>
    </xf>
    <xf numFmtId="177" fontId="0" fillId="3" borderId="1" xfId="0" applyNumberFormat="1" applyFill="1" applyBorder="1" applyAlignment="1">
      <alignment horizontal="center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left" wrapText="1"/>
    </xf>
    <xf numFmtId="0" fontId="0" fillId="3" borderId="7" xfId="0" applyFill="1" applyBorder="1" applyAlignment="1">
      <alignment horizontal="left"/>
    </xf>
    <xf numFmtId="177" fontId="0" fillId="3" borderId="0" xfId="0" applyNumberFormat="1" applyFill="1"/>
    <xf numFmtId="0" fontId="0" fillId="3" borderId="8" xfId="0" applyFill="1" applyBorder="1" applyAlignment="1">
      <alignment horizontal="left"/>
    </xf>
    <xf numFmtId="177" fontId="0" fillId="3" borderId="9" xfId="0" applyNumberFormat="1" applyFill="1" applyBorder="1"/>
    <xf numFmtId="177" fontId="0" fillId="3" borderId="1" xfId="0" quotePrefix="1" applyNumberFormat="1" applyFill="1" applyBorder="1" applyAlignment="1">
      <alignment horizontal="center"/>
    </xf>
    <xf numFmtId="43" fontId="9" fillId="3" borderId="0" xfId="1" applyFont="1" applyFill="1"/>
    <xf numFmtId="0" fontId="9" fillId="3" borderId="0" xfId="0" applyFont="1" applyFill="1"/>
    <xf numFmtId="0" fontId="16" fillId="0" borderId="0" xfId="0" applyFont="1"/>
    <xf numFmtId="0" fontId="17" fillId="0" borderId="5" xfId="0" applyFont="1" applyBorder="1" applyAlignment="1">
      <alignment horizontal="left"/>
    </xf>
    <xf numFmtId="43" fontId="1" fillId="0" borderId="1" xfId="1" applyFont="1" applyBorder="1" applyAlignment="1">
      <alignment horizontal="center"/>
    </xf>
    <xf numFmtId="0" fontId="18" fillId="0" borderId="0" xfId="0" applyFont="1"/>
    <xf numFmtId="43" fontId="9" fillId="0" borderId="0" xfId="1" quotePrefix="1" applyFont="1"/>
    <xf numFmtId="177" fontId="9" fillId="0" borderId="0" xfId="0" quotePrefix="1" applyNumberFormat="1" applyFont="1" applyAlignment="1">
      <alignment horizontal="center"/>
    </xf>
    <xf numFmtId="0" fontId="0" fillId="0" borderId="0" xfId="0" applyAlignment="1">
      <alignment wrapText="1"/>
    </xf>
    <xf numFmtId="0" fontId="0" fillId="0" borderId="5" xfId="0" applyBorder="1" applyAlignment="1">
      <alignment horizontal="left" wrapText="1"/>
    </xf>
    <xf numFmtId="43" fontId="0" fillId="0" borderId="7" xfId="1" applyFont="1" applyBorder="1" applyAlignment="1">
      <alignment horizontal="center"/>
    </xf>
    <xf numFmtId="43" fontId="19" fillId="0" borderId="1" xfId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176" fontId="0" fillId="0" borderId="20" xfId="0" applyNumberFormat="1" applyBorder="1" applyAlignment="1">
      <alignment horizontal="center"/>
    </xf>
    <xf numFmtId="43" fontId="1" fillId="0" borderId="20" xfId="1" applyFont="1" applyBorder="1" applyAlignment="1">
      <alignment horizontal="center"/>
    </xf>
    <xf numFmtId="43" fontId="1" fillId="0" borderId="21" xfId="1" applyFont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0" fillId="0" borderId="22" xfId="0" applyBorder="1"/>
    <xf numFmtId="0" fontId="0" fillId="0" borderId="20" xfId="0" applyBorder="1"/>
    <xf numFmtId="0" fontId="0" fillId="0" borderId="23" xfId="0" applyBorder="1" applyAlignment="1">
      <alignment horizontal="left"/>
    </xf>
    <xf numFmtId="0" fontId="0" fillId="0" borderId="24" xfId="0" applyBorder="1"/>
    <xf numFmtId="43" fontId="0" fillId="0" borderId="19" xfId="1" applyFont="1" applyBorder="1"/>
    <xf numFmtId="177" fontId="0" fillId="0" borderId="19" xfId="0" applyNumberFormat="1" applyBorder="1" applyAlignment="1">
      <alignment horizontal="center"/>
    </xf>
    <xf numFmtId="177" fontId="0" fillId="0" borderId="21" xfId="0" applyNumberFormat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0" xfId="0" applyBorder="1" applyAlignment="1">
      <alignment horizontal="center"/>
    </xf>
    <xf numFmtId="0" fontId="2" fillId="0" borderId="20" xfId="0" applyFont="1" applyBorder="1" applyAlignment="1">
      <alignment horizontal="left" wrapText="1"/>
    </xf>
    <xf numFmtId="0" fontId="0" fillId="0" borderId="19" xfId="0" applyBorder="1" applyAlignment="1">
      <alignment horizontal="left"/>
    </xf>
    <xf numFmtId="177" fontId="0" fillId="0" borderId="20" xfId="0" applyNumberFormat="1" applyBorder="1"/>
    <xf numFmtId="0" fontId="0" fillId="0" borderId="25" xfId="0" applyBorder="1" applyAlignment="1">
      <alignment horizontal="left"/>
    </xf>
    <xf numFmtId="177" fontId="0" fillId="0" borderId="26" xfId="0" applyNumberFormat="1" applyBorder="1"/>
    <xf numFmtId="177" fontId="0" fillId="0" borderId="21" xfId="0" quotePrefix="1" applyNumberFormat="1" applyBorder="1" applyAlignment="1">
      <alignment horizontal="center"/>
    </xf>
    <xf numFmtId="0" fontId="2" fillId="0" borderId="27" xfId="0" applyFont="1" applyBorder="1" applyAlignment="1">
      <alignment horizontal="center"/>
    </xf>
    <xf numFmtId="176" fontId="0" fillId="0" borderId="28" xfId="0" applyNumberFormat="1" applyBorder="1" applyAlignment="1">
      <alignment horizontal="center"/>
    </xf>
    <xf numFmtId="43" fontId="0" fillId="0" borderId="28" xfId="1" applyFont="1" applyBorder="1" applyAlignment="1">
      <alignment horizontal="center"/>
    </xf>
    <xf numFmtId="43" fontId="0" fillId="0" borderId="29" xfId="1" applyFont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0" fillId="0" borderId="30" xfId="0" applyBorder="1"/>
    <xf numFmtId="0" fontId="0" fillId="0" borderId="28" xfId="0" applyBorder="1"/>
    <xf numFmtId="0" fontId="0" fillId="0" borderId="31" xfId="0" applyBorder="1" applyAlignment="1">
      <alignment horizontal="left"/>
    </xf>
    <xf numFmtId="0" fontId="0" fillId="0" borderId="32" xfId="0" applyBorder="1"/>
    <xf numFmtId="43" fontId="0" fillId="0" borderId="27" xfId="1" applyFont="1" applyBorder="1"/>
    <xf numFmtId="177" fontId="0" fillId="0" borderId="27" xfId="0" applyNumberFormat="1" applyBorder="1" applyAlignment="1">
      <alignment horizontal="center"/>
    </xf>
    <xf numFmtId="177" fontId="0" fillId="0" borderId="29" xfId="0" applyNumberFormat="1" applyBorder="1" applyAlignment="1">
      <alignment horizontal="center"/>
    </xf>
    <xf numFmtId="0" fontId="0" fillId="0" borderId="28" xfId="0" applyBorder="1" applyAlignment="1">
      <alignment horizontal="left"/>
    </xf>
    <xf numFmtId="0" fontId="0" fillId="0" borderId="28" xfId="0" applyBorder="1" applyAlignment="1">
      <alignment horizontal="center"/>
    </xf>
    <xf numFmtId="0" fontId="2" fillId="0" borderId="28" xfId="0" applyFont="1" applyBorder="1" applyAlignment="1">
      <alignment horizontal="left" wrapText="1"/>
    </xf>
    <xf numFmtId="0" fontId="0" fillId="0" borderId="27" xfId="0" applyBorder="1" applyAlignment="1">
      <alignment horizontal="left"/>
    </xf>
    <xf numFmtId="177" fontId="0" fillId="0" borderId="28" xfId="0" applyNumberFormat="1" applyBorder="1"/>
    <xf numFmtId="0" fontId="0" fillId="0" borderId="33" xfId="0" applyBorder="1" applyAlignment="1">
      <alignment horizontal="left"/>
    </xf>
    <xf numFmtId="177" fontId="0" fillId="0" borderId="34" xfId="0" applyNumberFormat="1" applyBorder="1"/>
    <xf numFmtId="177" fontId="0" fillId="0" borderId="29" xfId="0" quotePrefix="1" applyNumberFormat="1" applyBorder="1" applyAlignment="1">
      <alignment horizontal="center"/>
    </xf>
    <xf numFmtId="13" fontId="9" fillId="0" borderId="0" xfId="1" applyNumberFormat="1" applyFont="1"/>
    <xf numFmtId="43" fontId="0" fillId="0" borderId="20" xfId="1" applyFont="1" applyBorder="1" applyAlignment="1">
      <alignment horizontal="center"/>
    </xf>
    <xf numFmtId="43" fontId="0" fillId="0" borderId="21" xfId="1" applyFont="1" applyBorder="1" applyAlignment="1">
      <alignment horizontal="center"/>
    </xf>
    <xf numFmtId="43" fontId="0" fillId="0" borderId="20" xfId="1" applyFont="1" applyBorder="1"/>
    <xf numFmtId="43" fontId="0" fillId="0" borderId="21" xfId="1" applyFont="1" applyBorder="1"/>
    <xf numFmtId="177" fontId="0" fillId="0" borderId="19" xfId="0" quotePrefix="1" applyNumberFormat="1" applyBorder="1" applyAlignment="1">
      <alignment horizontal="center"/>
    </xf>
    <xf numFmtId="0" fontId="19" fillId="0" borderId="20" xfId="0" applyFont="1" applyBorder="1" applyAlignment="1">
      <alignment horizontal="left"/>
    </xf>
    <xf numFmtId="0" fontId="21" fillId="0" borderId="0" xfId="0" applyFont="1" applyAlignment="1">
      <alignment vertical="center"/>
    </xf>
    <xf numFmtId="0" fontId="19" fillId="0" borderId="0" xfId="0" applyFont="1" applyAlignment="1">
      <alignment horizontal="left"/>
    </xf>
    <xf numFmtId="43" fontId="0" fillId="0" borderId="28" xfId="1" applyFont="1" applyBorder="1"/>
    <xf numFmtId="43" fontId="0" fillId="0" borderId="29" xfId="1" applyFont="1" applyBorder="1"/>
    <xf numFmtId="0" fontId="19" fillId="0" borderId="28" xfId="0" applyFont="1" applyBorder="1" applyAlignment="1">
      <alignment horizontal="left"/>
    </xf>
    <xf numFmtId="43" fontId="1" fillId="0" borderId="0" xfId="1" applyFont="1" applyBorder="1" applyAlignment="1">
      <alignment horizontal="center"/>
    </xf>
    <xf numFmtId="43" fontId="1" fillId="0" borderId="0" xfId="1" applyFont="1" applyBorder="1"/>
    <xf numFmtId="43" fontId="1" fillId="0" borderId="1" xfId="1" applyFont="1" applyBorder="1"/>
    <xf numFmtId="43" fontId="1" fillId="0" borderId="7" xfId="1" applyFont="1" applyBorder="1"/>
    <xf numFmtId="43" fontId="10" fillId="0" borderId="0" xfId="1" applyFont="1" applyBorder="1"/>
    <xf numFmtId="43" fontId="0" fillId="0" borderId="7" xfId="1" quotePrefix="1" applyFont="1" applyBorder="1"/>
    <xf numFmtId="0" fontId="15" fillId="0" borderId="1" xfId="0" applyFont="1" applyBorder="1"/>
    <xf numFmtId="43" fontId="15" fillId="0" borderId="0" xfId="1" applyFont="1" applyBorder="1" applyAlignment="1">
      <alignment horizontal="center"/>
    </xf>
    <xf numFmtId="43" fontId="15" fillId="0" borderId="1" xfId="1" applyFont="1" applyBorder="1" applyAlignment="1">
      <alignment horizontal="center"/>
    </xf>
    <xf numFmtId="0" fontId="15" fillId="0" borderId="5" xfId="0" applyFont="1" applyBorder="1" applyAlignment="1">
      <alignment horizontal="left"/>
    </xf>
    <xf numFmtId="43" fontId="15" fillId="0" borderId="7" xfId="1" applyFont="1" applyBorder="1"/>
    <xf numFmtId="177" fontId="15" fillId="0" borderId="7" xfId="0" applyNumberFormat="1" applyFont="1" applyBorder="1" applyAlignment="1">
      <alignment horizontal="center"/>
    </xf>
    <xf numFmtId="177" fontId="15" fillId="0" borderId="1" xfId="0" quotePrefix="1" applyNumberFormat="1" applyFont="1" applyBorder="1" applyAlignment="1">
      <alignment horizontal="center"/>
    </xf>
    <xf numFmtId="177" fontId="15" fillId="0" borderId="1" xfId="0" applyNumberFormat="1" applyFont="1" applyBorder="1" applyAlignment="1">
      <alignment horizontal="center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5" fillId="0" borderId="7" xfId="0" applyFont="1" applyBorder="1" applyAlignment="1">
      <alignment horizontal="left"/>
    </xf>
    <xf numFmtId="177" fontId="15" fillId="0" borderId="0" xfId="0" applyNumberFormat="1" applyFont="1"/>
    <xf numFmtId="0" fontId="15" fillId="0" borderId="8" xfId="0" applyFont="1" applyBorder="1" applyAlignment="1">
      <alignment horizontal="left"/>
    </xf>
    <xf numFmtId="177" fontId="15" fillId="0" borderId="9" xfId="0" applyNumberFormat="1" applyFont="1" applyBorder="1"/>
    <xf numFmtId="43" fontId="24" fillId="0" borderId="0" xfId="1" applyFont="1"/>
    <xf numFmtId="0" fontId="24" fillId="0" borderId="0" xfId="0" applyFont="1"/>
    <xf numFmtId="43" fontId="0" fillId="0" borderId="28" xfId="1" applyFont="1" applyFill="1" applyBorder="1" applyAlignment="1">
      <alignment horizontal="center"/>
    </xf>
    <xf numFmtId="43" fontId="0" fillId="0" borderId="29" xfId="1" applyFont="1" applyFill="1" applyBorder="1" applyAlignment="1">
      <alignment horizontal="center"/>
    </xf>
    <xf numFmtId="43" fontId="0" fillId="0" borderId="27" xfId="1" applyFont="1" applyFill="1" applyBorder="1"/>
    <xf numFmtId="177" fontId="0" fillId="0" borderId="27" xfId="0" quotePrefix="1" applyNumberFormat="1" applyBorder="1" applyAlignment="1">
      <alignment horizontal="center"/>
    </xf>
    <xf numFmtId="0" fontId="0" fillId="4" borderId="0" xfId="0" applyFill="1"/>
    <xf numFmtId="43" fontId="15" fillId="0" borderId="0" xfId="1" applyFont="1" applyBorder="1"/>
    <xf numFmtId="43" fontId="25" fillId="0" borderId="1" xfId="1" applyFont="1" applyBorder="1" applyAlignment="1">
      <alignment horizontal="center"/>
    </xf>
    <xf numFmtId="0" fontId="15" fillId="0" borderId="5" xfId="0" quotePrefix="1" applyFont="1" applyBorder="1" applyAlignment="1">
      <alignment horizontal="left"/>
    </xf>
    <xf numFmtId="177" fontId="15" fillId="0" borderId="7" xfId="0" quotePrefix="1" applyNumberFormat="1" applyFont="1" applyBorder="1" applyAlignment="1">
      <alignment horizontal="center"/>
    </xf>
    <xf numFmtId="43" fontId="0" fillId="0" borderId="0" xfId="1" quotePrefix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43" fontId="15" fillId="3" borderId="0" xfId="1" applyFont="1" applyFill="1" applyBorder="1" applyAlignment="1">
      <alignment horizontal="center"/>
    </xf>
    <xf numFmtId="43" fontId="15" fillId="3" borderId="1" xfId="1" applyFont="1" applyFill="1" applyBorder="1" applyAlignment="1">
      <alignment horizontal="center"/>
    </xf>
    <xf numFmtId="43" fontId="15" fillId="3" borderId="0" xfId="1" applyFont="1" applyFill="1" applyBorder="1"/>
    <xf numFmtId="43" fontId="15" fillId="3" borderId="1" xfId="1" applyFont="1" applyFill="1" applyBorder="1"/>
    <xf numFmtId="0" fontId="15" fillId="3" borderId="5" xfId="0" applyFont="1" applyFill="1" applyBorder="1" applyAlignment="1">
      <alignment horizontal="left"/>
    </xf>
    <xf numFmtId="43" fontId="15" fillId="3" borderId="7" xfId="1" applyFont="1" applyFill="1" applyBorder="1"/>
    <xf numFmtId="177" fontId="15" fillId="3" borderId="7" xfId="0" applyNumberFormat="1" applyFont="1" applyFill="1" applyBorder="1" applyAlignment="1">
      <alignment horizontal="center"/>
    </xf>
    <xf numFmtId="177" fontId="15" fillId="3" borderId="1" xfId="0" applyNumberFormat="1" applyFont="1" applyFill="1" applyBorder="1" applyAlignment="1">
      <alignment horizontal="center"/>
    </xf>
    <xf numFmtId="0" fontId="15" fillId="3" borderId="0" xfId="0" applyFont="1" applyFill="1" applyAlignment="1">
      <alignment horizontal="left"/>
    </xf>
    <xf numFmtId="0" fontId="15" fillId="3" borderId="0" xfId="0" applyFont="1" applyFill="1" applyAlignment="1">
      <alignment horizontal="center"/>
    </xf>
    <xf numFmtId="0" fontId="15" fillId="3" borderId="7" xfId="0" applyFont="1" applyFill="1" applyBorder="1" applyAlignment="1">
      <alignment horizontal="left"/>
    </xf>
    <xf numFmtId="177" fontId="15" fillId="3" borderId="0" xfId="0" applyNumberFormat="1" applyFont="1" applyFill="1"/>
    <xf numFmtId="0" fontId="15" fillId="3" borderId="8" xfId="0" applyFont="1" applyFill="1" applyBorder="1" applyAlignment="1">
      <alignment horizontal="left"/>
    </xf>
    <xf numFmtId="177" fontId="15" fillId="3" borderId="9" xfId="0" applyNumberFormat="1" applyFont="1" applyFill="1" applyBorder="1"/>
    <xf numFmtId="177" fontId="15" fillId="3" borderId="1" xfId="0" quotePrefix="1" applyNumberFormat="1" applyFont="1" applyFill="1" applyBorder="1" applyAlignment="1">
      <alignment horizontal="center"/>
    </xf>
    <xf numFmtId="43" fontId="24" fillId="3" borderId="0" xfId="1" applyFont="1" applyFill="1"/>
    <xf numFmtId="0" fontId="24" fillId="3" borderId="0" xfId="0" applyFont="1" applyFill="1"/>
    <xf numFmtId="43" fontId="0" fillId="0" borderId="20" xfId="1" applyFont="1" applyFill="1" applyBorder="1" applyAlignment="1">
      <alignment horizontal="center"/>
    </xf>
    <xf numFmtId="43" fontId="0" fillId="0" borderId="21" xfId="1" applyFont="1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10" fillId="0" borderId="28" xfId="0" applyFont="1" applyBorder="1"/>
    <xf numFmtId="0" fontId="0" fillId="0" borderId="36" xfId="0" applyBorder="1" applyAlignment="1">
      <alignment horizontal="center"/>
    </xf>
    <xf numFmtId="43" fontId="15" fillId="0" borderId="0" xfId="1" applyFont="1" applyFill="1" applyBorder="1" applyAlignment="1">
      <alignment horizontal="center"/>
    </xf>
    <xf numFmtId="43" fontId="15" fillId="0" borderId="1" xfId="1" applyFont="1" applyFill="1" applyBorder="1" applyAlignment="1">
      <alignment horizontal="center"/>
    </xf>
    <xf numFmtId="43" fontId="15" fillId="0" borderId="7" xfId="1" applyFont="1" applyFill="1" applyBorder="1"/>
    <xf numFmtId="43" fontId="24" fillId="0" borderId="0" xfId="1" applyFont="1" applyFill="1"/>
    <xf numFmtId="43" fontId="1" fillId="0" borderId="1" xfId="1" applyFont="1" applyFill="1" applyBorder="1" applyAlignment="1">
      <alignment horizontal="center"/>
    </xf>
    <xf numFmtId="0" fontId="2" fillId="3" borderId="0" xfId="0" applyFont="1" applyFill="1" applyAlignment="1">
      <alignment horizontal="left"/>
    </xf>
    <xf numFmtId="0" fontId="0" fillId="0" borderId="5" xfId="0" applyBorder="1"/>
    <xf numFmtId="43" fontId="10" fillId="0" borderId="0" xfId="1" applyFont="1" applyFill="1" applyBorder="1" applyAlignment="1">
      <alignment horizontal="center"/>
    </xf>
    <xf numFmtId="0" fontId="10" fillId="0" borderId="5" xfId="0" applyFont="1" applyBorder="1" applyAlignment="1">
      <alignment horizontal="left"/>
    </xf>
    <xf numFmtId="0" fontId="0" fillId="3" borderId="1" xfId="0" applyFill="1" applyBorder="1"/>
    <xf numFmtId="43" fontId="15" fillId="3" borderId="0" xfId="1" applyFont="1" applyFill="1" applyAlignment="1">
      <alignment horizontal="center"/>
    </xf>
    <xf numFmtId="43" fontId="26" fillId="0" borderId="1" xfId="1" applyFont="1" applyBorder="1"/>
    <xf numFmtId="43" fontId="0" fillId="0" borderId="20" xfId="1" quotePrefix="1" applyFont="1" applyFill="1" applyBorder="1" applyAlignment="1">
      <alignment horizontal="center"/>
    </xf>
    <xf numFmtId="43" fontId="0" fillId="0" borderId="19" xfId="1" applyFont="1" applyFill="1" applyBorder="1"/>
    <xf numFmtId="0" fontId="0" fillId="5" borderId="1" xfId="0" applyFill="1" applyBorder="1"/>
    <xf numFmtId="0" fontId="2" fillId="5" borderId="27" xfId="0" applyFont="1" applyFill="1" applyBorder="1" applyAlignment="1">
      <alignment horizontal="center"/>
    </xf>
    <xf numFmtId="176" fontId="0" fillId="5" borderId="28" xfId="0" applyNumberFormat="1" applyFill="1" applyBorder="1" applyAlignment="1">
      <alignment horizontal="center"/>
    </xf>
    <xf numFmtId="43" fontId="0" fillId="5" borderId="28" xfId="1" quotePrefix="1" applyFont="1" applyFill="1" applyBorder="1" applyAlignment="1">
      <alignment horizontal="center"/>
    </xf>
    <xf numFmtId="43" fontId="0" fillId="5" borderId="29" xfId="1" applyFont="1" applyFill="1" applyBorder="1" applyAlignment="1">
      <alignment horizontal="center"/>
    </xf>
    <xf numFmtId="0" fontId="0" fillId="5" borderId="30" xfId="0" applyFill="1" applyBorder="1"/>
    <xf numFmtId="0" fontId="0" fillId="5" borderId="28" xfId="0" applyFill="1" applyBorder="1"/>
    <xf numFmtId="0" fontId="0" fillId="5" borderId="31" xfId="0" applyFill="1" applyBorder="1" applyAlignment="1">
      <alignment horizontal="left"/>
    </xf>
    <xf numFmtId="0" fontId="0" fillId="5" borderId="32" xfId="0" applyFill="1" applyBorder="1"/>
    <xf numFmtId="43" fontId="0" fillId="5" borderId="27" xfId="1" applyFont="1" applyFill="1" applyBorder="1"/>
    <xf numFmtId="177" fontId="0" fillId="5" borderId="27" xfId="0" applyNumberFormat="1" applyFill="1" applyBorder="1" applyAlignment="1">
      <alignment horizontal="center"/>
    </xf>
    <xf numFmtId="177" fontId="0" fillId="5" borderId="29" xfId="0" applyNumberFormat="1" applyFill="1" applyBorder="1" applyAlignment="1">
      <alignment horizontal="center"/>
    </xf>
    <xf numFmtId="177" fontId="0" fillId="5" borderId="27" xfId="0" quotePrefix="1" applyNumberFormat="1" applyFill="1" applyBorder="1" applyAlignment="1">
      <alignment horizontal="center"/>
    </xf>
    <xf numFmtId="177" fontId="0" fillId="5" borderId="29" xfId="0" quotePrefix="1" applyNumberFormat="1" applyFill="1" applyBorder="1" applyAlignment="1">
      <alignment horizontal="center"/>
    </xf>
    <xf numFmtId="0" fontId="0" fillId="5" borderId="28" xfId="0" applyFill="1" applyBorder="1" applyAlignment="1">
      <alignment horizontal="left"/>
    </xf>
    <xf numFmtId="0" fontId="0" fillId="5" borderId="28" xfId="0" applyFill="1" applyBorder="1" applyAlignment="1">
      <alignment horizontal="center"/>
    </xf>
    <xf numFmtId="0" fontId="0" fillId="5" borderId="27" xfId="0" applyFill="1" applyBorder="1" applyAlignment="1">
      <alignment horizontal="left"/>
    </xf>
    <xf numFmtId="177" fontId="0" fillId="5" borderId="28" xfId="0" applyNumberFormat="1" applyFill="1" applyBorder="1"/>
    <xf numFmtId="0" fontId="0" fillId="5" borderId="33" xfId="0" applyFill="1" applyBorder="1" applyAlignment="1">
      <alignment horizontal="left"/>
    </xf>
    <xf numFmtId="177" fontId="0" fillId="5" borderId="34" xfId="0" applyNumberFormat="1" applyFill="1" applyBorder="1"/>
    <xf numFmtId="43" fontId="9" fillId="5" borderId="0" xfId="1" applyFont="1" applyFill="1"/>
    <xf numFmtId="0" fontId="9" fillId="5" borderId="0" xfId="0" applyFont="1" applyFill="1"/>
    <xf numFmtId="0" fontId="0" fillId="5" borderId="0" xfId="0" applyFill="1"/>
    <xf numFmtId="0" fontId="0" fillId="5" borderId="0" xfId="0" applyFill="1" applyAlignment="1">
      <alignment horizontal="left"/>
    </xf>
    <xf numFmtId="4" fontId="0" fillId="0" borderId="1" xfId="0" applyNumberFormat="1" applyBorder="1"/>
    <xf numFmtId="2" fontId="0" fillId="0" borderId="0" xfId="0" applyNumberFormat="1"/>
    <xf numFmtId="0" fontId="0" fillId="0" borderId="0" xfId="0" quotePrefix="1" applyAlignment="1">
      <alignment horizontal="center"/>
    </xf>
    <xf numFmtId="43" fontId="0" fillId="0" borderId="0" xfId="1" quotePrefix="1" applyFont="1" applyFill="1" applyBorder="1"/>
    <xf numFmtId="43" fontId="0" fillId="0" borderId="7" xfId="1" quotePrefix="1" applyFont="1" applyFill="1" applyBorder="1"/>
    <xf numFmtId="0" fontId="0" fillId="0" borderId="0" xfId="0" quotePrefix="1" applyAlignment="1">
      <alignment horizontal="left"/>
    </xf>
    <xf numFmtId="43" fontId="0" fillId="0" borderId="0" xfId="1" quotePrefix="1" applyFont="1" applyBorder="1" applyAlignment="1">
      <alignment horizontal="center" vertical="center"/>
    </xf>
    <xf numFmtId="43" fontId="0" fillId="0" borderId="1" xfId="1" quotePrefix="1" applyFont="1" applyBorder="1" applyAlignment="1">
      <alignment horizontal="center"/>
    </xf>
    <xf numFmtId="43" fontId="0" fillId="0" borderId="0" xfId="1" applyFont="1" applyFill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0" borderId="7" xfId="0" quotePrefix="1" applyFont="1" applyBorder="1" applyAlignment="1">
      <alignment horizontal="center"/>
    </xf>
    <xf numFmtId="176" fontId="0" fillId="0" borderId="0" xfId="1" quotePrefix="1" applyNumberFormat="1" applyFont="1" applyFill="1" applyAlignment="1">
      <alignment horizontal="center"/>
    </xf>
    <xf numFmtId="43" fontId="0" fillId="0" borderId="0" xfId="1" quotePrefix="1" applyFont="1" applyFill="1" applyAlignment="1">
      <alignment horizontal="center"/>
    </xf>
    <xf numFmtId="43" fontId="0" fillId="0" borderId="1" xfId="1" quotePrefix="1" applyFont="1" applyFill="1" applyBorder="1" applyAlignment="1">
      <alignment horizontal="center"/>
    </xf>
    <xf numFmtId="43" fontId="10" fillId="0" borderId="1" xfId="1" applyFont="1" applyFill="1" applyBorder="1"/>
    <xf numFmtId="43" fontId="0" fillId="0" borderId="0" xfId="1" quotePrefix="1" applyFont="1" applyBorder="1"/>
    <xf numFmtId="0" fontId="15" fillId="3" borderId="1" xfId="0" applyFont="1" applyFill="1" applyBorder="1"/>
    <xf numFmtId="0" fontId="25" fillId="3" borderId="0" xfId="0" applyFont="1" applyFill="1" applyAlignment="1">
      <alignment horizontal="left"/>
    </xf>
    <xf numFmtId="0" fontId="2" fillId="5" borderId="7" xfId="0" applyFont="1" applyFill="1" applyBorder="1" applyAlignment="1">
      <alignment horizontal="center"/>
    </xf>
    <xf numFmtId="176" fontId="0" fillId="5" borderId="0" xfId="0" applyNumberFormat="1" applyFill="1" applyAlignment="1">
      <alignment horizontal="center"/>
    </xf>
    <xf numFmtId="43" fontId="0" fillId="5" borderId="0" xfId="1" quotePrefix="1" applyFont="1" applyFill="1" applyBorder="1" applyAlignment="1">
      <alignment horizontal="center"/>
    </xf>
    <xf numFmtId="43" fontId="10" fillId="5" borderId="1" xfId="1" applyFont="1" applyFill="1" applyBorder="1" applyAlignment="1">
      <alignment horizontal="center"/>
    </xf>
    <xf numFmtId="43" fontId="0" fillId="5" borderId="1" xfId="1" applyFont="1" applyFill="1" applyBorder="1"/>
    <xf numFmtId="0" fontId="0" fillId="5" borderId="11" xfId="0" applyFill="1" applyBorder="1"/>
    <xf numFmtId="0" fontId="10" fillId="5" borderId="5" xfId="0" applyFont="1" applyFill="1" applyBorder="1" applyAlignment="1">
      <alignment horizontal="left"/>
    </xf>
    <xf numFmtId="0" fontId="0" fillId="5" borderId="12" xfId="0" applyFill="1" applyBorder="1"/>
    <xf numFmtId="43" fontId="0" fillId="5" borderId="7" xfId="1" applyFont="1" applyFill="1" applyBorder="1"/>
    <xf numFmtId="177" fontId="0" fillId="5" borderId="7" xfId="0" applyNumberFormat="1" applyFill="1" applyBorder="1" applyAlignment="1">
      <alignment horizontal="center"/>
    </xf>
    <xf numFmtId="177" fontId="0" fillId="5" borderId="1" xfId="0" applyNumberFormat="1" applyFill="1" applyBorder="1" applyAlignment="1">
      <alignment horizontal="center"/>
    </xf>
    <xf numFmtId="177" fontId="0" fillId="5" borderId="7" xfId="0" quotePrefix="1" applyNumberFormat="1" applyFill="1" applyBorder="1" applyAlignment="1">
      <alignment horizontal="center"/>
    </xf>
    <xf numFmtId="177" fontId="0" fillId="5" borderId="1" xfId="0" quotePrefix="1" applyNumberForma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7" xfId="0" applyFill="1" applyBorder="1" applyAlignment="1">
      <alignment horizontal="left"/>
    </xf>
    <xf numFmtId="177" fontId="0" fillId="5" borderId="0" xfId="0" applyNumberFormat="1" applyFill="1"/>
    <xf numFmtId="0" fontId="0" fillId="5" borderId="8" xfId="0" applyFill="1" applyBorder="1" applyAlignment="1">
      <alignment horizontal="left"/>
    </xf>
    <xf numFmtId="177" fontId="0" fillId="5" borderId="9" xfId="0" applyNumberFormat="1" applyFill="1" applyBorder="1"/>
    <xf numFmtId="4" fontId="0" fillId="0" borderId="0" xfId="0" applyNumberFormat="1"/>
    <xf numFmtId="0" fontId="0" fillId="0" borderId="9" xfId="0" applyBorder="1"/>
    <xf numFmtId="43" fontId="0" fillId="0" borderId="0" xfId="0" applyNumberFormat="1"/>
    <xf numFmtId="43" fontId="0" fillId="5" borderId="0" xfId="1" applyFont="1" applyFill="1" applyBorder="1" applyAlignment="1">
      <alignment horizontal="center"/>
    </xf>
    <xf numFmtId="43" fontId="0" fillId="5" borderId="1" xfId="1" applyFont="1" applyFill="1" applyBorder="1" applyAlignment="1">
      <alignment horizontal="center"/>
    </xf>
    <xf numFmtId="0" fontId="0" fillId="5" borderId="5" xfId="0" applyFill="1" applyBorder="1" applyAlignment="1">
      <alignment horizontal="left"/>
    </xf>
    <xf numFmtId="0" fontId="27" fillId="5" borderId="0" xfId="0" applyFont="1" applyFill="1"/>
    <xf numFmtId="43" fontId="10" fillId="5" borderId="1" xfId="1" applyFont="1" applyFill="1" applyBorder="1"/>
    <xf numFmtId="0" fontId="0" fillId="0" borderId="0" xfId="0" applyAlignment="1">
      <alignment horizontal="right"/>
    </xf>
    <xf numFmtId="43" fontId="10" fillId="0" borderId="1" xfId="1" applyFont="1" applyBorder="1"/>
    <xf numFmtId="0" fontId="28" fillId="0" borderId="0" xfId="0" applyFont="1"/>
    <xf numFmtId="0" fontId="12" fillId="0" borderId="0" xfId="0" applyFont="1" applyAlignment="1">
      <alignment horizontal="left"/>
    </xf>
    <xf numFmtId="177" fontId="0" fillId="0" borderId="9" xfId="0" applyNumberFormat="1" applyBorder="1" applyAlignment="1">
      <alignment horizontal="right"/>
    </xf>
    <xf numFmtId="43" fontId="0" fillId="0" borderId="0" xfId="1" quotePrefix="1" applyFont="1" applyAlignment="1">
      <alignment horizontal="center"/>
    </xf>
    <xf numFmtId="43" fontId="10" fillId="0" borderId="7" xfId="1" applyFont="1" applyFill="1" applyBorder="1"/>
    <xf numFmtId="177" fontId="0" fillId="0" borderId="7" xfId="0" applyNumberFormat="1" applyBorder="1"/>
    <xf numFmtId="177" fontId="0" fillId="0" borderId="1" xfId="0" applyNumberFormat="1" applyBorder="1"/>
    <xf numFmtId="0" fontId="12" fillId="0" borderId="0" xfId="0" applyFont="1"/>
    <xf numFmtId="0" fontId="2" fillId="6" borderId="0" xfId="0" applyFont="1" applyFill="1" applyAlignment="1">
      <alignment horizontal="center"/>
    </xf>
    <xf numFmtId="43" fontId="12" fillId="0" borderId="0" xfId="1" applyFont="1"/>
    <xf numFmtId="43" fontId="29" fillId="0" borderId="0" xfId="1" applyFont="1" applyBorder="1" applyAlignment="1">
      <alignment horizontal="center"/>
    </xf>
    <xf numFmtId="43" fontId="29" fillId="0" borderId="1" xfId="1" applyFont="1" applyBorder="1" applyAlignment="1">
      <alignment horizontal="center"/>
    </xf>
    <xf numFmtId="43" fontId="15" fillId="3" borderId="0" xfId="1" quotePrefix="1" applyFont="1" applyFill="1" applyBorder="1" applyAlignment="1">
      <alignment horizontal="center"/>
    </xf>
    <xf numFmtId="43" fontId="25" fillId="3" borderId="1" xfId="1" applyFont="1" applyFill="1" applyBorder="1" applyAlignment="1">
      <alignment horizontal="center"/>
    </xf>
    <xf numFmtId="177" fontId="15" fillId="3" borderId="7" xfId="0" quotePrefix="1" applyNumberFormat="1" applyFont="1" applyFill="1" applyBorder="1" applyAlignment="1">
      <alignment horizontal="center"/>
    </xf>
    <xf numFmtId="0" fontId="30" fillId="0" borderId="0" xfId="0" applyFont="1"/>
    <xf numFmtId="43" fontId="0" fillId="0" borderId="0" xfId="1" quotePrefix="1" applyFont="1" applyFill="1" applyBorder="1" applyAlignment="1">
      <alignment horizontal="center" vertical="center"/>
    </xf>
    <xf numFmtId="43" fontId="0" fillId="0" borderId="0" xfId="1" quotePrefix="1" applyFont="1" applyFill="1" applyAlignment="1">
      <alignment horizontal="center" vertical="center"/>
    </xf>
    <xf numFmtId="176" fontId="0" fillId="0" borderId="0" xfId="1" quotePrefix="1" applyNumberFormat="1" applyFont="1" applyFill="1" applyAlignment="1">
      <alignment horizontal="center" vertical="center"/>
    </xf>
    <xf numFmtId="0" fontId="0" fillId="0" borderId="12" xfId="0" applyBorder="1" applyAlignment="1">
      <alignment horizontal="left"/>
    </xf>
    <xf numFmtId="0" fontId="12" fillId="0" borderId="12" xfId="0" applyFont="1" applyBorder="1" applyAlignment="1">
      <alignment horizontal="left"/>
    </xf>
    <xf numFmtId="0" fontId="0" fillId="0" borderId="12" xfId="0" applyBorder="1" applyAlignment="1">
      <alignment horizontal="left" wrapText="1"/>
    </xf>
    <xf numFmtId="0" fontId="0" fillId="0" borderId="0" xfId="0" applyAlignment="1">
      <alignment horizontal="left" wrapText="1"/>
    </xf>
    <xf numFmtId="177" fontId="0" fillId="5" borderId="7" xfId="0" applyNumberFormat="1" applyFill="1" applyBorder="1"/>
    <xf numFmtId="177" fontId="0" fillId="5" borderId="1" xfId="0" applyNumberFormat="1" applyFill="1" applyBorder="1"/>
    <xf numFmtId="43" fontId="15" fillId="0" borderId="0" xfId="1" quotePrefix="1" applyFont="1" applyFill="1" applyBorder="1" applyAlignment="1">
      <alignment horizontal="center"/>
    </xf>
    <xf numFmtId="43" fontId="25" fillId="0" borderId="0" xfId="1" quotePrefix="1" applyFont="1" applyFill="1" applyBorder="1" applyAlignment="1">
      <alignment horizontal="center"/>
    </xf>
    <xf numFmtId="177" fontId="15" fillId="0" borderId="7" xfId="0" applyNumberFormat="1" applyFont="1" applyBorder="1"/>
    <xf numFmtId="177" fontId="15" fillId="0" borderId="1" xfId="0" applyNumberFormat="1" applyFont="1" applyBorder="1"/>
    <xf numFmtId="43" fontId="26" fillId="0" borderId="0" xfId="1" applyFont="1"/>
    <xf numFmtId="0" fontId="15" fillId="3" borderId="5" xfId="0" quotePrefix="1" applyFont="1" applyFill="1" applyBorder="1" applyAlignment="1">
      <alignment horizontal="left"/>
    </xf>
    <xf numFmtId="177" fontId="15" fillId="3" borderId="7" xfId="0" applyNumberFormat="1" applyFont="1" applyFill="1" applyBorder="1"/>
    <xf numFmtId="177" fontId="15" fillId="3" borderId="1" xfId="0" applyNumberFormat="1" applyFont="1" applyFill="1" applyBorder="1"/>
    <xf numFmtId="177" fontId="15" fillId="3" borderId="7" xfId="0" quotePrefix="1" applyNumberFormat="1" applyFont="1" applyFill="1" applyBorder="1"/>
    <xf numFmtId="0" fontId="31" fillId="0" borderId="0" xfId="0" applyFont="1"/>
    <xf numFmtId="43" fontId="0" fillId="0" borderId="20" xfId="1" quotePrefix="1" applyFont="1" applyBorder="1" applyAlignment="1">
      <alignment horizontal="center"/>
    </xf>
    <xf numFmtId="177" fontId="0" fillId="0" borderId="19" xfId="0" applyNumberFormat="1" applyBorder="1"/>
    <xf numFmtId="177" fontId="0" fillId="0" borderId="21" xfId="0" applyNumberFormat="1" applyBorder="1"/>
    <xf numFmtId="43" fontId="0" fillId="0" borderId="28" xfId="1" quotePrefix="1" applyFont="1" applyBorder="1" applyAlignment="1">
      <alignment horizontal="center"/>
    </xf>
    <xf numFmtId="177" fontId="0" fillId="0" borderId="27" xfId="0" applyNumberFormat="1" applyBorder="1"/>
    <xf numFmtId="177" fontId="0" fillId="0" borderId="29" xfId="0" applyNumberFormat="1" applyBorder="1"/>
    <xf numFmtId="0" fontId="0" fillId="5" borderId="5" xfId="0" quotePrefix="1" applyFill="1" applyBorder="1" applyAlignment="1">
      <alignment horizontal="left"/>
    </xf>
    <xf numFmtId="0" fontId="2" fillId="5" borderId="7" xfId="0" quotePrefix="1" applyFont="1" applyFill="1" applyBorder="1" applyAlignment="1">
      <alignment horizontal="center"/>
    </xf>
    <xf numFmtId="176" fontId="0" fillId="5" borderId="0" xfId="0" quotePrefix="1" applyNumberFormat="1" applyFill="1" applyAlignment="1">
      <alignment horizontal="center"/>
    </xf>
    <xf numFmtId="43" fontId="0" fillId="5" borderId="1" xfId="1" quotePrefix="1" applyFont="1" applyFill="1" applyBorder="1" applyAlignment="1">
      <alignment horizontal="center"/>
    </xf>
    <xf numFmtId="0" fontId="14" fillId="3" borderId="7" xfId="0" applyFont="1" applyFill="1" applyBorder="1" applyAlignment="1">
      <alignment horizontal="left"/>
    </xf>
    <xf numFmtId="176" fontId="15" fillId="5" borderId="0" xfId="0" applyNumberFormat="1" applyFont="1" applyFill="1" applyAlignment="1">
      <alignment horizontal="center"/>
    </xf>
    <xf numFmtId="43" fontId="15" fillId="5" borderId="0" xfId="1" applyFont="1" applyFill="1" applyBorder="1"/>
    <xf numFmtId="43" fontId="15" fillId="5" borderId="1" xfId="1" applyFont="1" applyFill="1" applyBorder="1"/>
    <xf numFmtId="0" fontId="15" fillId="5" borderId="11" xfId="0" applyFont="1" applyFill="1" applyBorder="1"/>
    <xf numFmtId="0" fontId="15" fillId="5" borderId="0" xfId="0" applyFont="1" applyFill="1"/>
    <xf numFmtId="0" fontId="15" fillId="5" borderId="5" xfId="0" applyFont="1" applyFill="1" applyBorder="1" applyAlignment="1">
      <alignment horizontal="left"/>
    </xf>
    <xf numFmtId="0" fontId="15" fillId="5" borderId="12" xfId="0" applyFont="1" applyFill="1" applyBorder="1"/>
    <xf numFmtId="43" fontId="15" fillId="5" borderId="7" xfId="1" applyFont="1" applyFill="1" applyBorder="1"/>
    <xf numFmtId="177" fontId="15" fillId="5" borderId="7" xfId="0" applyNumberFormat="1" applyFont="1" applyFill="1" applyBorder="1"/>
    <xf numFmtId="177" fontId="15" fillId="5" borderId="1" xfId="0" applyNumberFormat="1" applyFont="1" applyFill="1" applyBorder="1"/>
    <xf numFmtId="177" fontId="15" fillId="5" borderId="7" xfId="0" quotePrefix="1" applyNumberFormat="1" applyFont="1" applyFill="1" applyBorder="1" applyAlignment="1">
      <alignment horizontal="center"/>
    </xf>
    <xf numFmtId="177" fontId="15" fillId="5" borderId="1" xfId="0" quotePrefix="1" applyNumberFormat="1" applyFont="1" applyFill="1" applyBorder="1" applyAlignment="1">
      <alignment horizontal="center"/>
    </xf>
    <xf numFmtId="0" fontId="15" fillId="5" borderId="0" xfId="0" applyFont="1" applyFill="1" applyAlignment="1">
      <alignment horizontal="left"/>
    </xf>
    <xf numFmtId="0" fontId="15" fillId="5" borderId="0" xfId="0" applyFont="1" applyFill="1" applyAlignment="1">
      <alignment horizontal="center"/>
    </xf>
    <xf numFmtId="43" fontId="15" fillId="0" borderId="1" xfId="1" applyFont="1" applyBorder="1"/>
    <xf numFmtId="0" fontId="33" fillId="0" borderId="0" xfId="0" applyFont="1"/>
    <xf numFmtId="0" fontId="14" fillId="0" borderId="7" xfId="0" quotePrefix="1" applyFont="1" applyBorder="1" applyAlignment="1">
      <alignment horizontal="center"/>
    </xf>
    <xf numFmtId="176" fontId="15" fillId="0" borderId="0" xfId="0" quotePrefix="1" applyNumberFormat="1" applyFont="1" applyAlignment="1">
      <alignment horizontal="center"/>
    </xf>
    <xf numFmtId="43" fontId="15" fillId="0" borderId="0" xfId="1" quotePrefix="1" applyFont="1" applyBorder="1" applyAlignment="1">
      <alignment horizontal="center"/>
    </xf>
    <xf numFmtId="43" fontId="15" fillId="0" borderId="1" xfId="1" quotePrefix="1" applyFont="1" applyBorder="1" applyAlignment="1">
      <alignment horizontal="center"/>
    </xf>
    <xf numFmtId="43" fontId="2" fillId="0" borderId="7" xfId="0" quotePrefix="1" applyNumberFormat="1" applyFont="1" applyBorder="1" applyAlignment="1">
      <alignment horizontal="center"/>
    </xf>
    <xf numFmtId="43" fontId="1" fillId="0" borderId="28" xfId="1" applyFont="1" applyBorder="1" applyAlignment="1">
      <alignment horizontal="center"/>
    </xf>
    <xf numFmtId="43" fontId="0" fillId="0" borderId="0" xfId="1" applyFont="1" applyAlignment="1">
      <alignment horizontal="right"/>
    </xf>
    <xf numFmtId="0" fontId="33" fillId="0" borderId="20" xfId="0" applyFont="1" applyBorder="1"/>
    <xf numFmtId="0" fontId="33" fillId="0" borderId="28" xfId="0" applyFont="1" applyBorder="1"/>
    <xf numFmtId="43" fontId="0" fillId="0" borderId="0" xfId="1" applyFont="1"/>
    <xf numFmtId="177" fontId="10" fillId="0" borderId="1" xfId="0" applyNumberFormat="1" applyFont="1" applyBorder="1" applyAlignment="1">
      <alignment horizontal="center"/>
    </xf>
    <xf numFmtId="176" fontId="10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4" fillId="0" borderId="0" xfId="0" applyFont="1"/>
    <xf numFmtId="43" fontId="18" fillId="0" borderId="0" xfId="1" applyFont="1"/>
    <xf numFmtId="0" fontId="35" fillId="0" borderId="0" xfId="0" applyFont="1" applyAlignment="1">
      <alignment horizontal="left"/>
    </xf>
    <xf numFmtId="0" fontId="36" fillId="0" borderId="0" xfId="0" applyFont="1"/>
    <xf numFmtId="4" fontId="37" fillId="0" borderId="0" xfId="0" applyNumberFormat="1" applyFont="1"/>
    <xf numFmtId="0" fontId="35" fillId="0" borderId="0" xfId="0" applyFont="1"/>
    <xf numFmtId="0" fontId="11" fillId="3" borderId="0" xfId="0" applyFont="1" applyFill="1" applyAlignment="1">
      <alignment horizontal="left"/>
    </xf>
    <xf numFmtId="176" fontId="25" fillId="3" borderId="0" xfId="0" applyNumberFormat="1" applyFont="1" applyFill="1" applyAlignment="1">
      <alignment horizontal="left"/>
    </xf>
    <xf numFmtId="43" fontId="15" fillId="3" borderId="0" xfId="1" applyFont="1" applyFill="1"/>
    <xf numFmtId="177" fontId="10" fillId="3" borderId="1" xfId="0" applyNumberFormat="1" applyFont="1" applyFill="1" applyBorder="1" applyAlignment="1">
      <alignment horizontal="center"/>
    </xf>
    <xf numFmtId="176" fontId="25" fillId="0" borderId="0" xfId="0" applyNumberFormat="1" applyFont="1" applyAlignment="1">
      <alignment horizontal="left"/>
    </xf>
    <xf numFmtId="177" fontId="0" fillId="0" borderId="7" xfId="0" quotePrefix="1" applyNumberFormat="1" applyBorder="1"/>
    <xf numFmtId="0" fontId="38" fillId="0" borderId="0" xfId="0" applyFont="1"/>
    <xf numFmtId="176" fontId="2" fillId="0" borderId="7" xfId="0" quotePrefix="1" applyNumberFormat="1" applyFont="1" applyBorder="1" applyAlignment="1">
      <alignment horizontal="center"/>
    </xf>
    <xf numFmtId="0" fontId="0" fillId="0" borderId="0" xfId="0" quotePrefix="1" applyAlignment="1">
      <alignment horizontal="center" vertical="center"/>
    </xf>
    <xf numFmtId="43" fontId="0" fillId="0" borderId="0" xfId="1" quotePrefix="1" applyFont="1"/>
    <xf numFmtId="43" fontId="0" fillId="0" borderId="0" xfId="1" applyFont="1" applyFill="1"/>
    <xf numFmtId="177" fontId="0" fillId="0" borderId="37" xfId="0" applyNumberFormat="1" applyBorder="1"/>
    <xf numFmtId="43" fontId="10" fillId="0" borderId="21" xfId="1" applyFont="1" applyBorder="1"/>
    <xf numFmtId="0" fontId="10" fillId="0" borderId="24" xfId="0" applyFont="1" applyBorder="1"/>
    <xf numFmtId="0" fontId="0" fillId="0" borderId="19" xfId="0" applyBorder="1"/>
    <xf numFmtId="0" fontId="0" fillId="0" borderId="38" xfId="0" applyBorder="1"/>
    <xf numFmtId="0" fontId="0" fillId="0" borderId="39" xfId="0" applyBorder="1"/>
    <xf numFmtId="43" fontId="10" fillId="0" borderId="29" xfId="1" applyFont="1" applyBorder="1"/>
    <xf numFmtId="0" fontId="10" fillId="0" borderId="32" xfId="0" applyFont="1" applyBorder="1"/>
    <xf numFmtId="0" fontId="0" fillId="0" borderId="27" xfId="0" applyBorder="1"/>
    <xf numFmtId="0" fontId="0" fillId="0" borderId="40" xfId="0" applyBorder="1" applyAlignment="1">
      <alignment horizontal="left"/>
    </xf>
    <xf numFmtId="177" fontId="0" fillId="0" borderId="41" xfId="0" applyNumberFormat="1" applyBorder="1"/>
    <xf numFmtId="177" fontId="0" fillId="0" borderId="42" xfId="0" applyNumberFormat="1" applyBorder="1"/>
    <xf numFmtId="0" fontId="0" fillId="0" borderId="41" xfId="0" applyBorder="1"/>
    <xf numFmtId="0" fontId="10" fillId="0" borderId="20" xfId="0" applyFont="1" applyBorder="1"/>
    <xf numFmtId="0" fontId="10" fillId="0" borderId="20" xfId="0" applyFont="1" applyBorder="1" applyAlignment="1">
      <alignment horizontal="left"/>
    </xf>
    <xf numFmtId="0" fontId="10" fillId="0" borderId="28" xfId="0" applyFont="1" applyBorder="1" applyAlignment="1">
      <alignment horizontal="left"/>
    </xf>
    <xf numFmtId="43" fontId="10" fillId="0" borderId="0" xfId="1" applyFont="1"/>
    <xf numFmtId="177" fontId="0" fillId="0" borderId="1" xfId="0" quotePrefix="1" applyNumberFormat="1" applyBorder="1"/>
    <xf numFmtId="43" fontId="10" fillId="0" borderId="21" xfId="1" applyFont="1" applyBorder="1" applyAlignment="1">
      <alignment horizontal="center"/>
    </xf>
    <xf numFmtId="0" fontId="0" fillId="0" borderId="20" xfId="0" quotePrefix="1" applyBorder="1" applyAlignment="1">
      <alignment horizontal="center"/>
    </xf>
    <xf numFmtId="0" fontId="10" fillId="0" borderId="23" xfId="0" applyFont="1" applyBorder="1" applyAlignment="1">
      <alignment horizontal="left"/>
    </xf>
    <xf numFmtId="0" fontId="10" fillId="0" borderId="19" xfId="0" applyFont="1" applyBorder="1"/>
    <xf numFmtId="43" fontId="10" fillId="0" borderId="28" xfId="1" quotePrefix="1" applyFont="1" applyBorder="1" applyAlignment="1">
      <alignment horizontal="center"/>
    </xf>
    <xf numFmtId="43" fontId="10" fillId="0" borderId="29" xfId="1" applyFont="1" applyBorder="1" applyAlignment="1">
      <alignment horizontal="center"/>
    </xf>
    <xf numFmtId="0" fontId="10" fillId="0" borderId="28" xfId="0" quotePrefix="1" applyFont="1" applyBorder="1"/>
    <xf numFmtId="0" fontId="10" fillId="0" borderId="31" xfId="0" applyFont="1" applyBorder="1" applyAlignment="1">
      <alignment horizontal="left"/>
    </xf>
    <xf numFmtId="0" fontId="10" fillId="0" borderId="27" xfId="0" applyFont="1" applyBorder="1"/>
    <xf numFmtId="0" fontId="39" fillId="0" borderId="0" xfId="0" applyFont="1"/>
    <xf numFmtId="0" fontId="19" fillId="0" borderId="0" xfId="0" applyFont="1" applyAlignment="1">
      <alignment horizontal="center"/>
    </xf>
    <xf numFmtId="177" fontId="0" fillId="0" borderId="7" xfId="0" applyNumberFormat="1" applyBorder="1" applyAlignment="1">
      <alignment wrapText="1"/>
    </xf>
    <xf numFmtId="177" fontId="0" fillId="0" borderId="0" xfId="0" applyNumberFormat="1" applyAlignment="1">
      <alignment horizontal="center"/>
    </xf>
    <xf numFmtId="0" fontId="0" fillId="0" borderId="43" xfId="0" applyBorder="1"/>
    <xf numFmtId="0" fontId="0" fillId="0" borderId="1" xfId="0" applyBorder="1" applyAlignment="1">
      <alignment horizontal="left"/>
    </xf>
    <xf numFmtId="177" fontId="0" fillId="0" borderId="0" xfId="0" applyNumberFormat="1" applyAlignment="1">
      <alignment horizontal="left"/>
    </xf>
    <xf numFmtId="0" fontId="10" fillId="0" borderId="43" xfId="0" applyFont="1" applyBorder="1"/>
    <xf numFmtId="0" fontId="0" fillId="0" borderId="7" xfId="0" quotePrefix="1" applyBorder="1" applyAlignment="1">
      <alignment horizontal="center"/>
    </xf>
    <xf numFmtId="0" fontId="10" fillId="0" borderId="0" xfId="0" quotePrefix="1" applyFont="1" applyAlignment="1">
      <alignment horizontal="center"/>
    </xf>
    <xf numFmtId="0" fontId="41" fillId="0" borderId="0" xfId="0" applyFont="1"/>
    <xf numFmtId="0" fontId="26" fillId="0" borderId="0" xfId="0" applyFont="1"/>
    <xf numFmtId="43" fontId="0" fillId="0" borderId="0" xfId="1" applyFont="1" applyAlignment="1">
      <alignment horizontal="left"/>
    </xf>
    <xf numFmtId="177" fontId="4" fillId="2" borderId="0" xfId="0" applyNumberFormat="1" applyFont="1" applyFill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4" fillId="2" borderId="44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left" wrapText="1"/>
    </xf>
    <xf numFmtId="177" fontId="2" fillId="2" borderId="1" xfId="0" applyNumberFormat="1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left" wrapText="1"/>
    </xf>
    <xf numFmtId="0" fontId="2" fillId="2" borderId="9" xfId="0" applyFont="1" applyFill="1" applyBorder="1" applyAlignment="1">
      <alignment horizontal="center" wrapText="1"/>
    </xf>
    <xf numFmtId="14" fontId="0" fillId="0" borderId="0" xfId="0" quotePrefix="1" applyNumberFormat="1" applyAlignment="1">
      <alignment horizontal="center"/>
    </xf>
    <xf numFmtId="0" fontId="0" fillId="0" borderId="43" xfId="0" applyBorder="1" applyAlignment="1">
      <alignment horizontal="left"/>
    </xf>
    <xf numFmtId="0" fontId="0" fillId="0" borderId="1" xfId="0" quotePrefix="1" applyBorder="1" applyAlignment="1">
      <alignment horizontal="center"/>
    </xf>
    <xf numFmtId="49" fontId="0" fillId="0" borderId="7" xfId="0" applyNumberFormat="1" applyBorder="1"/>
    <xf numFmtId="49" fontId="0" fillId="0" borderId="8" xfId="0" applyNumberFormat="1" applyBorder="1"/>
    <xf numFmtId="14" fontId="0" fillId="0" borderId="1" xfId="0" quotePrefix="1" applyNumberFormat="1" applyBorder="1" applyAlignment="1">
      <alignment horizontal="center"/>
    </xf>
    <xf numFmtId="179" fontId="0" fillId="0" borderId="1" xfId="0" quotePrefix="1" applyNumberFormat="1" applyBorder="1"/>
    <xf numFmtId="179" fontId="0" fillId="0" borderId="0" xfId="0" quotePrefix="1" applyNumberFormat="1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0" fontId="0" fillId="0" borderId="31" xfId="0" applyBorder="1"/>
    <xf numFmtId="14" fontId="0" fillId="0" borderId="7" xfId="0" quotePrefix="1" applyNumberFormat="1" applyBorder="1" applyAlignment="1">
      <alignment horizontal="center"/>
    </xf>
    <xf numFmtId="0" fontId="2" fillId="0" borderId="45" xfId="0" applyFont="1" applyBorder="1" applyAlignment="1">
      <alignment horizontal="center"/>
    </xf>
    <xf numFmtId="14" fontId="0" fillId="0" borderId="45" xfId="0" quotePrefix="1" applyNumberFormat="1" applyBorder="1" applyAlignment="1">
      <alignment horizontal="center"/>
    </xf>
    <xf numFmtId="0" fontId="2" fillId="3" borderId="46" xfId="0" applyFont="1" applyFill="1" applyBorder="1" applyAlignment="1">
      <alignment horizontal="center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8" xfId="0" applyBorder="1"/>
    <xf numFmtId="14" fontId="0" fillId="0" borderId="49" xfId="0" quotePrefix="1" applyNumberFormat="1" applyBorder="1" applyAlignment="1">
      <alignment horizontal="center"/>
    </xf>
    <xf numFmtId="179" fontId="0" fillId="0" borderId="1" xfId="0" applyNumberFormat="1" applyBorder="1"/>
    <xf numFmtId="179" fontId="0" fillId="0" borderId="0" xfId="0" applyNumberFormat="1"/>
    <xf numFmtId="179" fontId="0" fillId="0" borderId="0" xfId="0" quotePrefix="1" applyNumberFormat="1"/>
    <xf numFmtId="179" fontId="0" fillId="0" borderId="0" xfId="0" applyNumberFormat="1" applyAlignment="1">
      <alignment horizontal="right"/>
    </xf>
    <xf numFmtId="43" fontId="0" fillId="0" borderId="0" xfId="1" quotePrefix="1" applyFont="1" applyAlignment="1">
      <alignment horizontal="right"/>
    </xf>
    <xf numFmtId="14" fontId="0" fillId="0" borderId="7" xfId="0" applyNumberFormat="1" applyBorder="1" applyAlignment="1">
      <alignment horizontal="center"/>
    </xf>
    <xf numFmtId="0" fontId="2" fillId="3" borderId="7" xfId="0" quotePrefix="1" applyFont="1" applyFill="1" applyBorder="1" applyAlignment="1">
      <alignment horizontal="center"/>
    </xf>
    <xf numFmtId="0" fontId="0" fillId="0" borderId="1" xfId="0" quotePrefix="1" applyBorder="1"/>
    <xf numFmtId="0" fontId="42" fillId="3" borderId="7" xfId="0" applyFont="1" applyFill="1" applyBorder="1" applyAlignment="1">
      <alignment horizontal="center"/>
    </xf>
    <xf numFmtId="17" fontId="0" fillId="0" borderId="1" xfId="0" applyNumberFormat="1" applyBorder="1"/>
    <xf numFmtId="43" fontId="0" fillId="0" borderId="0" xfId="1" quotePrefix="1" applyFont="1" applyFill="1"/>
    <xf numFmtId="177" fontId="0" fillId="0" borderId="0" xfId="0" quotePrefix="1" applyNumberFormat="1"/>
    <xf numFmtId="43" fontId="0" fillId="0" borderId="0" xfId="1" quotePrefix="1" applyFont="1" applyFill="1" applyAlignment="1">
      <alignment horizontal="right"/>
    </xf>
    <xf numFmtId="177" fontId="0" fillId="0" borderId="45" xfId="0" quotePrefix="1" applyNumberFormat="1" applyBorder="1" applyAlignment="1">
      <alignment horizontal="center"/>
    </xf>
    <xf numFmtId="177" fontId="0" fillId="0" borderId="49" xfId="0" applyNumberFormat="1" applyBorder="1" applyAlignment="1">
      <alignment horizontal="center"/>
    </xf>
    <xf numFmtId="0" fontId="43" fillId="0" borderId="0" xfId="0" applyFont="1"/>
    <xf numFmtId="43" fontId="10" fillId="0" borderId="0" xfId="1" applyFont="1" applyAlignment="1">
      <alignment horizontal="center"/>
    </xf>
    <xf numFmtId="16" fontId="0" fillId="0" borderId="1" xfId="0" quotePrefix="1" applyNumberFormat="1" applyBorder="1"/>
    <xf numFmtId="0" fontId="0" fillId="0" borderId="1" xfId="0" applyBorder="1" applyAlignment="1">
      <alignment vertical="center"/>
    </xf>
    <xf numFmtId="0" fontId="2" fillId="0" borderId="0" xfId="0" applyFont="1" applyAlignment="1">
      <alignment horizontal="center" vertical="center"/>
    </xf>
    <xf numFmtId="177" fontId="0" fillId="0" borderId="0" xfId="0" applyNumberFormat="1" applyAlignment="1">
      <alignment vertical="center"/>
    </xf>
    <xf numFmtId="0" fontId="0" fillId="0" borderId="7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12" xfId="0" applyBorder="1" applyAlignment="1">
      <alignment vertical="center"/>
    </xf>
    <xf numFmtId="0" fontId="44" fillId="3" borderId="7" xfId="0" applyFont="1" applyFill="1" applyBorder="1" applyAlignment="1">
      <alignment horizontal="center"/>
    </xf>
    <xf numFmtId="14" fontId="0" fillId="0" borderId="9" xfId="0" applyNumberFormat="1" applyBorder="1"/>
    <xf numFmtId="177" fontId="0" fillId="0" borderId="20" xfId="0" applyNumberFormat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177" fontId="0" fillId="0" borderId="20" xfId="0" quotePrefix="1" applyNumberFormat="1" applyBorder="1" applyAlignment="1">
      <alignment horizontal="center"/>
    </xf>
    <xf numFmtId="0" fontId="0" fillId="0" borderId="23" xfId="0" applyBorder="1"/>
    <xf numFmtId="177" fontId="0" fillId="0" borderId="28" xfId="0" applyNumberFormat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177" fontId="0" fillId="0" borderId="28" xfId="0" quotePrefix="1" applyNumberFormat="1" applyBorder="1" applyAlignment="1">
      <alignment horizontal="center"/>
    </xf>
    <xf numFmtId="0" fontId="14" fillId="0" borderId="0" xfId="0" applyFont="1" applyAlignment="1">
      <alignment horizontal="center"/>
    </xf>
    <xf numFmtId="177" fontId="15" fillId="0" borderId="0" xfId="0" applyNumberFormat="1" applyFont="1" applyAlignment="1">
      <alignment horizontal="center"/>
    </xf>
    <xf numFmtId="43" fontId="15" fillId="0" borderId="0" xfId="1" applyFont="1" applyAlignment="1">
      <alignment horizontal="center"/>
    </xf>
    <xf numFmtId="177" fontId="15" fillId="0" borderId="0" xfId="0" quotePrefix="1" applyNumberFormat="1" applyFont="1" applyAlignment="1">
      <alignment horizontal="center"/>
    </xf>
    <xf numFmtId="0" fontId="15" fillId="0" borderId="7" xfId="0" applyFont="1" applyBorder="1"/>
    <xf numFmtId="0" fontId="15" fillId="0" borderId="43" xfId="0" applyFont="1" applyBorder="1"/>
    <xf numFmtId="43" fontId="15" fillId="0" borderId="0" xfId="1" applyFont="1"/>
    <xf numFmtId="49" fontId="15" fillId="0" borderId="7" xfId="0" applyNumberFormat="1" applyFont="1" applyBorder="1"/>
    <xf numFmtId="0" fontId="15" fillId="0" borderId="9" xfId="0" applyFont="1" applyBorder="1"/>
    <xf numFmtId="49" fontId="15" fillId="0" borderId="8" xfId="0" applyNumberFormat="1" applyFont="1" applyBorder="1"/>
    <xf numFmtId="43" fontId="15" fillId="0" borderId="0" xfId="1" quotePrefix="1" applyFont="1" applyAlignment="1">
      <alignment horizontal="right"/>
    </xf>
    <xf numFmtId="14" fontId="0" fillId="0" borderId="1" xfId="0" applyNumberFormat="1" applyBorder="1"/>
    <xf numFmtId="0" fontId="0" fillId="0" borderId="21" xfId="0" applyBorder="1"/>
    <xf numFmtId="49" fontId="0" fillId="0" borderId="19" xfId="0" applyNumberFormat="1" applyBorder="1"/>
    <xf numFmtId="0" fontId="0" fillId="0" borderId="26" xfId="0" applyBorder="1"/>
    <xf numFmtId="49" fontId="0" fillId="0" borderId="25" xfId="0" applyNumberFormat="1" applyBorder="1"/>
    <xf numFmtId="14" fontId="0" fillId="0" borderId="26" xfId="0" applyNumberFormat="1" applyBorder="1"/>
    <xf numFmtId="14" fontId="0" fillId="0" borderId="0" xfId="0" applyNumberFormat="1" applyAlignment="1">
      <alignment horizontal="right"/>
    </xf>
    <xf numFmtId="0" fontId="0" fillId="0" borderId="29" xfId="0" applyBorder="1"/>
    <xf numFmtId="49" fontId="0" fillId="0" borderId="27" xfId="0" applyNumberFormat="1" applyBorder="1"/>
    <xf numFmtId="0" fontId="0" fillId="0" borderId="34" xfId="0" applyBorder="1"/>
    <xf numFmtId="49" fontId="0" fillId="0" borderId="33" xfId="0" applyNumberFormat="1" applyBorder="1"/>
    <xf numFmtId="14" fontId="0" fillId="0" borderId="34" xfId="0" applyNumberFormat="1" applyBorder="1"/>
    <xf numFmtId="0" fontId="19" fillId="0" borderId="27" xfId="0" applyFont="1" applyBorder="1" applyAlignment="1">
      <alignment horizontal="center"/>
    </xf>
    <xf numFmtId="177" fontId="10" fillId="0" borderId="28" xfId="0" applyNumberFormat="1" applyFont="1" applyBorder="1" applyAlignment="1">
      <alignment horizontal="center"/>
    </xf>
    <xf numFmtId="43" fontId="10" fillId="0" borderId="28" xfId="1" applyFont="1" applyBorder="1" applyAlignment="1">
      <alignment horizontal="center"/>
    </xf>
    <xf numFmtId="0" fontId="19" fillId="3" borderId="27" xfId="0" applyFont="1" applyFill="1" applyBorder="1" applyAlignment="1">
      <alignment horizontal="center"/>
    </xf>
    <xf numFmtId="177" fontId="10" fillId="0" borderId="28" xfId="0" quotePrefix="1" applyNumberFormat="1" applyFont="1" applyBorder="1" applyAlignment="1">
      <alignment horizontal="center"/>
    </xf>
    <xf numFmtId="0" fontId="10" fillId="0" borderId="31" xfId="0" applyFont="1" applyBorder="1"/>
    <xf numFmtId="0" fontId="10" fillId="0" borderId="1" xfId="0" applyFont="1" applyBorder="1"/>
    <xf numFmtId="0" fontId="10" fillId="0" borderId="12" xfId="0" applyFont="1" applyBorder="1"/>
    <xf numFmtId="177" fontId="10" fillId="0" borderId="7" xfId="0" quotePrefix="1" applyNumberFormat="1" applyFont="1" applyBorder="1" applyAlignment="1">
      <alignment horizontal="center"/>
    </xf>
    <xf numFmtId="177" fontId="10" fillId="0" borderId="1" xfId="0" quotePrefix="1" applyNumberFormat="1" applyFont="1" applyBorder="1" applyAlignment="1">
      <alignment horizontal="center"/>
    </xf>
    <xf numFmtId="177" fontId="10" fillId="0" borderId="0" xfId="0" quotePrefix="1" applyNumberFormat="1" applyFont="1" applyAlignment="1">
      <alignment horizontal="center"/>
    </xf>
    <xf numFmtId="0" fontId="10" fillId="0" borderId="7" xfId="0" applyFont="1" applyBorder="1"/>
    <xf numFmtId="0" fontId="10" fillId="0" borderId="28" xfId="0" applyFont="1" applyBorder="1" applyAlignment="1">
      <alignment horizontal="center"/>
    </xf>
    <xf numFmtId="49" fontId="10" fillId="0" borderId="7" xfId="0" applyNumberFormat="1" applyFont="1" applyBorder="1"/>
    <xf numFmtId="0" fontId="10" fillId="0" borderId="9" xfId="0" applyFont="1" applyBorder="1"/>
    <xf numFmtId="49" fontId="10" fillId="0" borderId="8" xfId="0" applyNumberFormat="1" applyFont="1" applyBorder="1"/>
    <xf numFmtId="14" fontId="10" fillId="0" borderId="9" xfId="0" applyNumberFormat="1" applyFont="1" applyBorder="1"/>
    <xf numFmtId="43" fontId="10" fillId="0" borderId="0" xfId="1" quotePrefix="1" applyFont="1" applyAlignment="1">
      <alignment horizontal="right"/>
    </xf>
    <xf numFmtId="0" fontId="0" fillId="0" borderId="50" xfId="0" applyBorder="1"/>
    <xf numFmtId="0" fontId="0" fillId="0" borderId="51" xfId="0" applyBorder="1"/>
    <xf numFmtId="0" fontId="0" fillId="7" borderId="1" xfId="0" applyFill="1" applyBorder="1"/>
    <xf numFmtId="0" fontId="2" fillId="7" borderId="19" xfId="0" applyFont="1" applyFill="1" applyBorder="1" applyAlignment="1">
      <alignment horizontal="center"/>
    </xf>
    <xf numFmtId="177" fontId="0" fillId="7" borderId="20" xfId="0" applyNumberFormat="1" applyFill="1" applyBorder="1" applyAlignment="1">
      <alignment horizontal="center"/>
    </xf>
    <xf numFmtId="43" fontId="0" fillId="7" borderId="20" xfId="1" applyFont="1" applyFill="1" applyBorder="1" applyAlignment="1">
      <alignment horizontal="center"/>
    </xf>
    <xf numFmtId="14" fontId="0" fillId="7" borderId="20" xfId="0" quotePrefix="1" applyNumberFormat="1" applyFill="1" applyBorder="1" applyAlignment="1">
      <alignment horizontal="center"/>
    </xf>
    <xf numFmtId="0" fontId="0" fillId="7" borderId="19" xfId="0" applyFill="1" applyBorder="1"/>
    <xf numFmtId="0" fontId="0" fillId="7" borderId="50" xfId="0" applyFill="1" applyBorder="1"/>
    <xf numFmtId="0" fontId="0" fillId="7" borderId="21" xfId="0" applyFill="1" applyBorder="1" applyAlignment="1">
      <alignment horizontal="left"/>
    </xf>
    <xf numFmtId="0" fontId="0" fillId="7" borderId="24" xfId="0" applyFill="1" applyBorder="1"/>
    <xf numFmtId="43" fontId="0" fillId="7" borderId="0" xfId="1" applyFont="1" applyFill="1"/>
    <xf numFmtId="0" fontId="0" fillId="7" borderId="0" xfId="0" applyFill="1"/>
    <xf numFmtId="177" fontId="0" fillId="7" borderId="7" xfId="0" applyNumberFormat="1" applyFill="1" applyBorder="1" applyAlignment="1">
      <alignment horizontal="center"/>
    </xf>
    <xf numFmtId="177" fontId="0" fillId="7" borderId="1" xfId="0" applyNumberFormat="1" applyFill="1" applyBorder="1" applyAlignment="1">
      <alignment horizontal="center"/>
    </xf>
    <xf numFmtId="177" fontId="0" fillId="7" borderId="0" xfId="0" quotePrefix="1" applyNumberFormat="1" applyFill="1" applyAlignment="1">
      <alignment horizontal="center"/>
    </xf>
    <xf numFmtId="0" fontId="0" fillId="7" borderId="7" xfId="0" applyFill="1" applyBorder="1" applyAlignment="1">
      <alignment horizontal="left"/>
    </xf>
    <xf numFmtId="0" fontId="0" fillId="7" borderId="0" xfId="0" applyFill="1" applyAlignment="1">
      <alignment horizontal="center"/>
    </xf>
    <xf numFmtId="49" fontId="0" fillId="7" borderId="7" xfId="0" applyNumberFormat="1" applyFill="1" applyBorder="1"/>
    <xf numFmtId="14" fontId="0" fillId="7" borderId="9" xfId="0" applyNumberFormat="1" applyFill="1" applyBorder="1"/>
    <xf numFmtId="49" fontId="0" fillId="7" borderId="8" xfId="0" applyNumberFormat="1" applyFill="1" applyBorder="1"/>
    <xf numFmtId="14" fontId="0" fillId="0" borderId="28" xfId="0" quotePrefix="1" applyNumberFormat="1" applyBorder="1" applyAlignment="1">
      <alignment horizontal="center"/>
    </xf>
    <xf numFmtId="0" fontId="0" fillId="0" borderId="29" xfId="0" applyBorder="1" applyAlignment="1">
      <alignment horizontal="left"/>
    </xf>
    <xf numFmtId="0" fontId="0" fillId="0" borderId="21" xfId="0" applyBorder="1" applyAlignment="1">
      <alignment horizontal="left"/>
    </xf>
    <xf numFmtId="0" fontId="10" fillId="0" borderId="51" xfId="0" applyFont="1" applyBorder="1"/>
    <xf numFmtId="0" fontId="10" fillId="0" borderId="29" xfId="0" applyFont="1" applyBorder="1" applyAlignment="1">
      <alignment horizontal="left"/>
    </xf>
    <xf numFmtId="177" fontId="10" fillId="0" borderId="7" xfId="0" applyNumberFormat="1" applyFont="1" applyBorder="1" applyAlignment="1">
      <alignment horizontal="center"/>
    </xf>
    <xf numFmtId="177" fontId="10" fillId="0" borderId="0" xfId="0" applyNumberFormat="1" applyFont="1" applyAlignment="1">
      <alignment horizontal="center"/>
    </xf>
    <xf numFmtId="0" fontId="10" fillId="0" borderId="7" xfId="0" applyFont="1" applyBorder="1" applyAlignment="1">
      <alignment horizontal="left"/>
    </xf>
    <xf numFmtId="0" fontId="10" fillId="0" borderId="0" xfId="0" applyFont="1" applyAlignment="1">
      <alignment horizontal="center"/>
    </xf>
    <xf numFmtId="43" fontId="15" fillId="0" borderId="0" xfId="1" applyFont="1" applyBorder="1" applyAlignment="1"/>
    <xf numFmtId="43" fontId="15" fillId="0" borderId="1" xfId="1" applyFont="1" applyBorder="1" applyAlignment="1"/>
    <xf numFmtId="43" fontId="15" fillId="0" borderId="7" xfId="1" applyFont="1" applyBorder="1" applyAlignment="1"/>
    <xf numFmtId="0" fontId="15" fillId="0" borderId="0" xfId="0" applyFont="1" applyAlignment="1">
      <alignment horizontal="right"/>
    </xf>
    <xf numFmtId="0" fontId="2" fillId="0" borderId="20" xfId="0" applyFont="1" applyBorder="1" applyAlignment="1">
      <alignment horizontal="center"/>
    </xf>
    <xf numFmtId="177" fontId="0" fillId="0" borderId="20" xfId="0" applyNumberFormat="1" applyBorder="1" applyAlignment="1">
      <alignment horizontal="left"/>
    </xf>
    <xf numFmtId="0" fontId="2" fillId="0" borderId="28" xfId="0" applyFont="1" applyBorder="1" applyAlignment="1">
      <alignment horizontal="center"/>
    </xf>
    <xf numFmtId="177" fontId="0" fillId="0" borderId="28" xfId="0" applyNumberFormat="1" applyBorder="1" applyAlignment="1">
      <alignment horizontal="left"/>
    </xf>
    <xf numFmtId="176" fontId="0" fillId="0" borderId="0" xfId="0" applyNumberFormat="1"/>
    <xf numFmtId="0" fontId="0" fillId="0" borderId="5" xfId="0" applyBorder="1" applyAlignment="1">
      <alignment horizontal="right"/>
    </xf>
    <xf numFmtId="43" fontId="45" fillId="0" borderId="0" xfId="1" applyFont="1"/>
    <xf numFmtId="0" fontId="46" fillId="3" borderId="7" xfId="0" applyFont="1" applyFill="1" applyBorder="1" applyAlignment="1">
      <alignment horizontal="center"/>
    </xf>
    <xf numFmtId="43" fontId="10" fillId="0" borderId="20" xfId="1" applyFont="1" applyBorder="1" applyAlignment="1">
      <alignment horizontal="center"/>
    </xf>
    <xf numFmtId="0" fontId="10" fillId="0" borderId="50" xfId="0" applyFont="1" applyBorder="1"/>
    <xf numFmtId="49" fontId="0" fillId="0" borderId="20" xfId="0" applyNumberFormat="1" applyBorder="1"/>
    <xf numFmtId="4" fontId="0" fillId="0" borderId="0" xfId="0" quotePrefix="1" applyNumberFormat="1" applyAlignment="1">
      <alignment horizontal="right"/>
    </xf>
    <xf numFmtId="14" fontId="0" fillId="0" borderId="1" xfId="0" applyNumberFormat="1" applyBorder="1" applyAlignment="1">
      <alignment horizontal="center"/>
    </xf>
    <xf numFmtId="43" fontId="4" fillId="2" borderId="0" xfId="1" applyFont="1" applyFill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176" fontId="2" fillId="2" borderId="9" xfId="0" applyNumberFormat="1" applyFont="1" applyFill="1" applyBorder="1" applyAlignment="1">
      <alignment horizontal="center" wrapText="1"/>
    </xf>
    <xf numFmtId="176" fontId="2" fillId="2" borderId="0" xfId="0" applyNumberFormat="1" applyFont="1" applyFill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43" fontId="47" fillId="0" borderId="1" xfId="1" applyFont="1" applyFill="1" applyBorder="1" applyAlignment="1">
      <alignment horizontal="center"/>
    </xf>
    <xf numFmtId="0" fontId="44" fillId="0" borderId="28" xfId="0" applyFont="1" applyBorder="1" applyAlignment="1">
      <alignment horizontal="center"/>
    </xf>
    <xf numFmtId="43" fontId="47" fillId="0" borderId="0" xfId="1" applyFont="1" applyFill="1" applyAlignment="1">
      <alignment horizontal="center"/>
    </xf>
    <xf numFmtId="0" fontId="1" fillId="0" borderId="30" xfId="0" applyFont="1" applyBorder="1"/>
    <xf numFmtId="0" fontId="47" fillId="0" borderId="51" xfId="0" applyFont="1" applyBorder="1"/>
    <xf numFmtId="0" fontId="47" fillId="0" borderId="28" xfId="0" applyFont="1" applyBorder="1"/>
    <xf numFmtId="0" fontId="0" fillId="0" borderId="1" xfId="0" quotePrefix="1" applyBorder="1" applyAlignment="1">
      <alignment horizontal="left"/>
    </xf>
    <xf numFmtId="176" fontId="0" fillId="0" borderId="9" xfId="0" applyNumberFormat="1" applyBorder="1"/>
    <xf numFmtId="43" fontId="0" fillId="0" borderId="1" xfId="1" applyFont="1" applyFill="1" applyBorder="1" applyAlignment="1">
      <alignment horizontal="right"/>
    </xf>
    <xf numFmtId="43" fontId="0" fillId="0" borderId="0" xfId="1" applyFont="1" applyFill="1" applyAlignment="1">
      <alignment horizontal="right"/>
    </xf>
    <xf numFmtId="0" fontId="0" fillId="0" borderId="11" xfId="0" applyBorder="1" applyAlignment="1">
      <alignment horizontal="left"/>
    </xf>
    <xf numFmtId="180" fontId="0" fillId="0" borderId="7" xfId="0" applyNumberFormat="1" applyBorder="1" applyAlignment="1">
      <alignment horizontal="right"/>
    </xf>
    <xf numFmtId="0" fontId="0" fillId="0" borderId="0" xfId="0" quotePrefix="1" applyAlignment="1">
      <alignment horizontal="right"/>
    </xf>
    <xf numFmtId="0" fontId="48" fillId="0" borderId="0" xfId="0" applyFont="1"/>
    <xf numFmtId="43" fontId="0" fillId="0" borderId="5" xfId="1" applyFont="1" applyFill="1" applyBorder="1"/>
    <xf numFmtId="43" fontId="0" fillId="0" borderId="7" xfId="1" applyFont="1" applyFill="1" applyBorder="1" applyAlignment="1"/>
    <xf numFmtId="0" fontId="12" fillId="0" borderId="5" xfId="0" applyFont="1" applyBorder="1"/>
    <xf numFmtId="0" fontId="12" fillId="0" borderId="1" xfId="0" applyFont="1" applyBorder="1"/>
    <xf numFmtId="0" fontId="0" fillId="0" borderId="5" xfId="0" quotePrefix="1" applyBorder="1"/>
    <xf numFmtId="43" fontId="15" fillId="0" borderId="0" xfId="1" applyFont="1" applyFill="1" applyAlignment="1">
      <alignment horizontal="center"/>
    </xf>
    <xf numFmtId="0" fontId="15" fillId="0" borderId="5" xfId="0" applyFont="1" applyBorder="1"/>
    <xf numFmtId="43" fontId="15" fillId="0" borderId="7" xfId="1" applyFont="1" applyFill="1" applyBorder="1" applyAlignment="1"/>
    <xf numFmtId="176" fontId="15" fillId="0" borderId="9" xfId="0" applyNumberFormat="1" applyFont="1" applyBorder="1"/>
    <xf numFmtId="176" fontId="15" fillId="0" borderId="0" xfId="0" applyNumberFormat="1" applyFont="1"/>
    <xf numFmtId="0" fontId="15" fillId="0" borderId="8" xfId="0" applyFont="1" applyBorder="1"/>
    <xf numFmtId="43" fontId="15" fillId="0" borderId="0" xfId="1" applyFont="1" applyFill="1"/>
    <xf numFmtId="176" fontId="0" fillId="0" borderId="9" xfId="0" applyNumberFormat="1" applyBorder="1" applyAlignment="1">
      <alignment horizontal="left"/>
    </xf>
    <xf numFmtId="43" fontId="0" fillId="0" borderId="7" xfId="1" applyFont="1" applyBorder="1" applyAlignment="1"/>
    <xf numFmtId="0" fontId="0" fillId="0" borderId="5" xfId="0" applyBorder="1" applyAlignment="1">
      <alignment horizontal="center"/>
    </xf>
    <xf numFmtId="0" fontId="0" fillId="0" borderId="5" xfId="0" quotePrefix="1" applyBorder="1" applyAlignment="1">
      <alignment horizontal="center"/>
    </xf>
    <xf numFmtId="43" fontId="0" fillId="0" borderId="0" xfId="1" quotePrefix="1" applyFont="1" applyAlignment="1">
      <alignment horizontal="center" vertical="center"/>
    </xf>
    <xf numFmtId="43" fontId="0" fillId="0" borderId="21" xfId="1" applyFont="1" applyFill="1" applyBorder="1"/>
    <xf numFmtId="0" fontId="0" fillId="0" borderId="23" xfId="0" applyBorder="1" applyAlignment="1">
      <alignment horizontal="center"/>
    </xf>
    <xf numFmtId="176" fontId="0" fillId="0" borderId="26" xfId="0" applyNumberFormat="1" applyBorder="1"/>
    <xf numFmtId="176" fontId="0" fillId="0" borderId="20" xfId="0" applyNumberFormat="1" applyBorder="1"/>
    <xf numFmtId="0" fontId="0" fillId="0" borderId="25" xfId="0" applyBorder="1"/>
    <xf numFmtId="43" fontId="0" fillId="0" borderId="29" xfId="1" applyFont="1" applyFill="1" applyBorder="1"/>
    <xf numFmtId="0" fontId="0" fillId="0" borderId="31" xfId="0" applyBorder="1" applyAlignment="1">
      <alignment horizontal="center"/>
    </xf>
    <xf numFmtId="176" fontId="0" fillId="0" borderId="34" xfId="0" applyNumberFormat="1" applyBorder="1"/>
    <xf numFmtId="176" fontId="0" fillId="0" borderId="28" xfId="0" applyNumberFormat="1" applyBorder="1"/>
    <xf numFmtId="0" fontId="0" fillId="0" borderId="33" xfId="0" applyBorder="1"/>
    <xf numFmtId="0" fontId="0" fillId="0" borderId="19" xfId="0" quotePrefix="1" applyBorder="1" applyAlignment="1">
      <alignment horizontal="center"/>
    </xf>
    <xf numFmtId="0" fontId="0" fillId="0" borderId="21" xfId="0" quotePrefix="1" applyBorder="1" applyAlignment="1">
      <alignment horizontal="center"/>
    </xf>
    <xf numFmtId="0" fontId="0" fillId="0" borderId="27" xfId="0" quotePrefix="1" applyBorder="1" applyAlignment="1">
      <alignment horizontal="center"/>
    </xf>
    <xf numFmtId="0" fontId="0" fillId="0" borderId="29" xfId="0" quotePrefix="1" applyBorder="1" applyAlignment="1">
      <alignment horizontal="center"/>
    </xf>
    <xf numFmtId="0" fontId="2" fillId="0" borderId="7" xfId="0" applyFont="1" applyBorder="1"/>
    <xf numFmtId="0" fontId="2" fillId="0" borderId="0" xfId="0" applyFont="1"/>
    <xf numFmtId="0" fontId="15" fillId="0" borderId="43" xfId="0" applyFont="1" applyBorder="1" applyAlignment="1">
      <alignment horizontal="left"/>
    </xf>
    <xf numFmtId="0" fontId="2" fillId="0" borderId="20" xfId="0" applyFont="1" applyBorder="1" applyAlignment="1">
      <alignment vertical="center"/>
    </xf>
    <xf numFmtId="0" fontId="2" fillId="0" borderId="0" xfId="0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83A45-0A47-4FA9-87E2-B98FFB3F1F12}">
  <dimension ref="A1:AJ1335"/>
  <sheetViews>
    <sheetView tabSelected="1" zoomScaleNormal="100" workbookViewId="0">
      <pane ySplit="780" topLeftCell="A1264" activePane="bottomLeft"/>
      <selection pane="bottomLeft" activeCell="J1274" sqref="J1274"/>
    </sheetView>
  </sheetViews>
  <sheetFormatPr defaultRowHeight="19.5" customHeight="1"/>
  <cols>
    <col min="1" max="1" width="6.54296875" style="25" customWidth="1"/>
    <col min="2" max="2" width="12.1796875" style="26" bestFit="1" customWidth="1"/>
    <col min="3" max="3" width="13" style="27" customWidth="1"/>
    <col min="4" max="4" width="13.453125" style="28" customWidth="1"/>
    <col min="5" max="5" width="15" style="29" customWidth="1"/>
    <col min="6" max="6" width="11.1796875" style="401" customWidth="1"/>
    <col min="7" max="7" width="12.26953125" style="27" bestFit="1" customWidth="1"/>
    <col min="8" max="8" width="12.453125" customWidth="1"/>
    <col min="9" max="9" width="13.26953125" style="33" bestFit="1" customWidth="1"/>
    <col min="10" max="10" width="12.7265625" style="34" customWidth="1"/>
    <col min="11" max="11" width="26.453125" customWidth="1"/>
    <col min="12" max="12" width="13.54296875" style="35" customWidth="1"/>
    <col min="13" max="13" width="95.453125" style="36" customWidth="1"/>
    <col min="14" max="14" width="12.7265625" style="43" customWidth="1"/>
    <col min="15" max="15" width="14.81640625" customWidth="1"/>
    <col min="16" max="17" width="18.54296875" customWidth="1"/>
    <col min="18" max="18" width="10.7265625" style="332" bestFit="1" customWidth="1"/>
    <col min="19" max="19" width="11.81640625" style="333" bestFit="1" customWidth="1"/>
    <col min="20" max="20" width="10.54296875" style="332" bestFit="1" customWidth="1"/>
    <col min="21" max="21" width="10.54296875" style="333" bestFit="1" customWidth="1"/>
    <col min="22" max="22" width="31.81640625" style="40" customWidth="1"/>
    <col min="23" max="23" width="9" style="41" customWidth="1"/>
    <col min="24" max="24" width="17.453125" style="40" customWidth="1"/>
    <col min="25" max="25" width="8.81640625" style="40" customWidth="1"/>
    <col min="26" max="26" width="10.453125" customWidth="1"/>
    <col min="27" max="27" width="12.1796875" style="62" customWidth="1"/>
    <col min="28" max="28" width="12.7265625" style="44" bestFit="1" customWidth="1"/>
    <col min="29" max="29" width="13" style="63" customWidth="1"/>
    <col min="30" max="30" width="12.7265625" style="46" bestFit="1" customWidth="1"/>
    <col min="31" max="31" width="12.1796875" customWidth="1"/>
    <col min="32" max="32" width="15" style="39" customWidth="1"/>
    <col min="33" max="33" width="16.453125" style="49" bestFit="1" customWidth="1"/>
    <col min="34" max="34" width="20.7265625" style="49" bestFit="1" customWidth="1"/>
    <col min="35" max="35" width="13" style="49" customWidth="1"/>
    <col min="36" max="36" width="9" customWidth="1"/>
  </cols>
  <sheetData>
    <row r="1" spans="1:35" s="17" customFormat="1" ht="26.5" thickBo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5" t="s">
        <v>8</v>
      </c>
      <c r="J1" s="9" t="s">
        <v>9</v>
      </c>
      <c r="K1" s="10" t="s">
        <v>10</v>
      </c>
      <c r="L1" s="11" t="s">
        <v>11</v>
      </c>
      <c r="M1" s="12" t="s">
        <v>12</v>
      </c>
      <c r="N1" s="13" t="s">
        <v>13</v>
      </c>
      <c r="O1" s="8" t="s">
        <v>14</v>
      </c>
      <c r="P1" s="8" t="s">
        <v>15</v>
      </c>
      <c r="Q1" s="8" t="s">
        <v>16</v>
      </c>
      <c r="R1" s="14" t="s">
        <v>17</v>
      </c>
      <c r="S1" s="14"/>
      <c r="T1" s="14" t="s">
        <v>18</v>
      </c>
      <c r="U1" s="14"/>
      <c r="V1" s="15" t="s">
        <v>19</v>
      </c>
      <c r="W1" s="8" t="s">
        <v>20</v>
      </c>
      <c r="X1" s="16" t="s">
        <v>21</v>
      </c>
      <c r="Y1" s="16" t="s">
        <v>22</v>
      </c>
      <c r="Z1" s="17" t="s">
        <v>23</v>
      </c>
      <c r="AA1" s="18" t="s">
        <v>24</v>
      </c>
      <c r="AB1" s="19" t="s">
        <v>25</v>
      </c>
      <c r="AC1" s="20" t="s">
        <v>26</v>
      </c>
      <c r="AD1" s="21" t="s">
        <v>27</v>
      </c>
      <c r="AE1" s="17" t="s">
        <v>28</v>
      </c>
      <c r="AF1" s="22" t="s">
        <v>29</v>
      </c>
      <c r="AG1" s="23" t="s">
        <v>30</v>
      </c>
      <c r="AH1" s="23" t="s">
        <v>31</v>
      </c>
      <c r="AI1" s="24" t="s">
        <v>32</v>
      </c>
    </row>
    <row r="2" spans="1:35" ht="19.5" customHeight="1">
      <c r="A2" s="25">
        <v>1</v>
      </c>
      <c r="B2" s="26">
        <v>6143842</v>
      </c>
      <c r="C2" s="27">
        <v>45659</v>
      </c>
      <c r="D2" s="28">
        <v>6874.63</v>
      </c>
      <c r="E2" s="29">
        <v>53385.63</v>
      </c>
      <c r="F2" s="30">
        <v>1514553</v>
      </c>
      <c r="G2" s="31">
        <v>45663</v>
      </c>
      <c r="H2" s="32"/>
      <c r="J2" s="34" t="s">
        <v>33</v>
      </c>
      <c r="K2" t="s">
        <v>34</v>
      </c>
      <c r="M2" s="36" t="s">
        <v>35</v>
      </c>
      <c r="N2" s="37"/>
      <c r="O2" t="s">
        <v>36</v>
      </c>
      <c r="P2" t="s">
        <v>37</v>
      </c>
      <c r="R2" s="38">
        <v>45658</v>
      </c>
      <c r="S2" s="39">
        <v>46022</v>
      </c>
      <c r="T2" s="38">
        <v>45658</v>
      </c>
      <c r="U2" s="39">
        <v>46022</v>
      </c>
      <c r="V2" s="40" t="s">
        <v>38</v>
      </c>
      <c r="W2" s="41" t="s">
        <v>39</v>
      </c>
      <c r="Y2" s="42"/>
      <c r="Z2" t="s">
        <v>40</v>
      </c>
      <c r="AA2" s="43"/>
      <c r="AC2" s="45"/>
      <c r="AF2" s="47">
        <v>45680</v>
      </c>
      <c r="AG2" s="48">
        <v>87246</v>
      </c>
      <c r="AH2" s="48">
        <v>66620.05</v>
      </c>
    </row>
    <row r="3" spans="1:35" ht="19.5" customHeight="1">
      <c r="A3" s="25">
        <f>A2+1</f>
        <v>2</v>
      </c>
      <c r="B3" s="26">
        <v>6143853</v>
      </c>
      <c r="C3" s="27">
        <v>45659</v>
      </c>
      <c r="D3" s="28">
        <v>35038.559999999998</v>
      </c>
      <c r="E3" s="29">
        <v>272095.44</v>
      </c>
      <c r="F3" s="30">
        <v>1514650</v>
      </c>
      <c r="G3" s="31">
        <v>45663</v>
      </c>
      <c r="H3" s="32"/>
      <c r="J3" s="34" t="s">
        <v>33</v>
      </c>
      <c r="K3" t="s">
        <v>34</v>
      </c>
      <c r="M3" s="36" t="s">
        <v>41</v>
      </c>
      <c r="N3" s="37"/>
      <c r="O3" t="s">
        <v>42</v>
      </c>
      <c r="P3" t="s">
        <v>43</v>
      </c>
      <c r="R3" s="38">
        <v>45658</v>
      </c>
      <c r="S3" s="39">
        <v>46022</v>
      </c>
      <c r="T3" s="38">
        <v>45658</v>
      </c>
      <c r="U3" s="39">
        <v>46022</v>
      </c>
      <c r="V3" s="40" t="s">
        <v>44</v>
      </c>
      <c r="W3" s="41" t="s">
        <v>39</v>
      </c>
      <c r="Y3" s="42"/>
      <c r="Z3" t="s">
        <v>40</v>
      </c>
      <c r="AA3" s="43"/>
      <c r="AC3" s="45"/>
      <c r="AF3" s="47">
        <v>45680</v>
      </c>
      <c r="AG3" s="48">
        <v>782000</v>
      </c>
      <c r="AH3" s="48">
        <v>502957.13</v>
      </c>
    </row>
    <row r="4" spans="1:35" ht="19.5" customHeight="1">
      <c r="A4" s="25">
        <f t="shared" ref="A4:A67" si="0">A3+1</f>
        <v>3</v>
      </c>
      <c r="B4" s="26">
        <v>6143924</v>
      </c>
      <c r="C4" s="27">
        <v>45659</v>
      </c>
      <c r="D4" s="28">
        <v>2208.37</v>
      </c>
      <c r="E4" s="29">
        <v>17149.32</v>
      </c>
      <c r="F4" s="30">
        <v>1514651</v>
      </c>
      <c r="G4" s="31">
        <v>45663</v>
      </c>
      <c r="H4" s="32"/>
      <c r="J4" s="34" t="s">
        <v>33</v>
      </c>
      <c r="K4" t="s">
        <v>34</v>
      </c>
      <c r="M4" s="36" t="s">
        <v>45</v>
      </c>
      <c r="N4" s="37"/>
      <c r="O4" t="s">
        <v>46</v>
      </c>
      <c r="P4" t="s">
        <v>47</v>
      </c>
      <c r="R4" s="38">
        <v>45658</v>
      </c>
      <c r="S4" s="39">
        <v>46022</v>
      </c>
      <c r="T4" s="50">
        <v>45746</v>
      </c>
      <c r="U4" s="47">
        <v>46110</v>
      </c>
      <c r="V4" s="40" t="s">
        <v>38</v>
      </c>
      <c r="W4" s="41" t="s">
        <v>39</v>
      </c>
      <c r="Z4" t="s">
        <v>40</v>
      </c>
      <c r="AA4" s="43"/>
      <c r="AC4" s="45"/>
      <c r="AF4" s="47">
        <v>45680</v>
      </c>
      <c r="AG4" s="48">
        <v>25932</v>
      </c>
      <c r="AH4" s="48">
        <v>17335.7</v>
      </c>
    </row>
    <row r="5" spans="1:35" ht="19.5" customHeight="1">
      <c r="A5" s="25">
        <f t="shared" si="0"/>
        <v>4</v>
      </c>
      <c r="B5" s="26">
        <v>6143934</v>
      </c>
      <c r="C5" s="27">
        <v>45659</v>
      </c>
      <c r="D5" s="28">
        <v>409.48</v>
      </c>
      <c r="E5" s="29">
        <v>3179.86</v>
      </c>
      <c r="F5" s="30">
        <v>1514554</v>
      </c>
      <c r="G5" s="27">
        <v>45659</v>
      </c>
      <c r="H5" s="32"/>
      <c r="J5" s="34" t="s">
        <v>33</v>
      </c>
      <c r="K5" t="s">
        <v>34</v>
      </c>
      <c r="M5" s="36" t="s">
        <v>48</v>
      </c>
      <c r="N5" s="37"/>
      <c r="O5" t="s">
        <v>49</v>
      </c>
      <c r="P5" t="s">
        <v>50</v>
      </c>
      <c r="R5" s="38">
        <v>45650</v>
      </c>
      <c r="S5" s="39">
        <v>46014</v>
      </c>
      <c r="T5" s="38">
        <v>45650</v>
      </c>
      <c r="U5" s="39">
        <v>46014</v>
      </c>
      <c r="V5" s="40" t="s">
        <v>51</v>
      </c>
      <c r="W5" s="41" t="s">
        <v>39</v>
      </c>
      <c r="Y5" s="42"/>
      <c r="Z5" t="s">
        <v>40</v>
      </c>
      <c r="AA5" s="43"/>
      <c r="AC5" s="45"/>
      <c r="AF5" s="47">
        <v>45680</v>
      </c>
      <c r="AG5" s="48">
        <v>12416</v>
      </c>
      <c r="AH5" s="48">
        <v>3214.42</v>
      </c>
    </row>
    <row r="6" spans="1:35" ht="19.5" customHeight="1">
      <c r="A6" s="25">
        <f t="shared" si="0"/>
        <v>5</v>
      </c>
      <c r="B6" s="26">
        <v>6143947</v>
      </c>
      <c r="C6" s="27">
        <v>45659</v>
      </c>
      <c r="D6" s="28">
        <v>533.88</v>
      </c>
      <c r="E6" s="29">
        <v>4145.8999999999996</v>
      </c>
      <c r="F6" s="30">
        <v>1514652</v>
      </c>
      <c r="G6" s="31">
        <v>45663</v>
      </c>
      <c r="H6" s="32"/>
      <c r="J6" s="34" t="s">
        <v>33</v>
      </c>
      <c r="K6" t="s">
        <v>34</v>
      </c>
      <c r="M6" s="36" t="s">
        <v>52</v>
      </c>
      <c r="N6" s="37"/>
      <c r="O6" t="s">
        <v>53</v>
      </c>
      <c r="P6" t="s">
        <v>54</v>
      </c>
      <c r="R6" s="38">
        <v>45661</v>
      </c>
      <c r="S6" s="39">
        <v>46026</v>
      </c>
      <c r="T6" s="38">
        <v>45777</v>
      </c>
      <c r="U6" s="39">
        <v>46141</v>
      </c>
      <c r="V6" s="40" t="s">
        <v>55</v>
      </c>
      <c r="W6" s="41" t="s">
        <v>39</v>
      </c>
      <c r="Y6" s="42" t="s">
        <v>56</v>
      </c>
      <c r="Z6" t="s">
        <v>40</v>
      </c>
      <c r="AA6" s="43"/>
      <c r="AC6" s="45"/>
      <c r="AF6" s="47">
        <v>45680</v>
      </c>
      <c r="AG6" s="48">
        <v>43125</v>
      </c>
      <c r="AH6" s="48">
        <v>36700.959999999999</v>
      </c>
    </row>
    <row r="7" spans="1:35" ht="19.5" customHeight="1">
      <c r="A7" s="25">
        <f t="shared" si="0"/>
        <v>6</v>
      </c>
      <c r="B7" s="26">
        <v>6143985</v>
      </c>
      <c r="C7" s="27">
        <v>45659</v>
      </c>
      <c r="D7" s="28">
        <v>4397.74</v>
      </c>
      <c r="E7" s="29">
        <v>34151.089999999997</v>
      </c>
      <c r="F7" s="30">
        <v>1514649</v>
      </c>
      <c r="G7" s="31">
        <v>45663</v>
      </c>
      <c r="H7" s="32"/>
      <c r="J7" s="34" t="s">
        <v>33</v>
      </c>
      <c r="K7" t="s">
        <v>34</v>
      </c>
      <c r="M7" s="36" t="s">
        <v>57</v>
      </c>
      <c r="N7" s="37"/>
      <c r="O7" t="s">
        <v>58</v>
      </c>
      <c r="P7" t="s">
        <v>59</v>
      </c>
      <c r="R7" s="38">
        <v>45658</v>
      </c>
      <c r="S7" s="39">
        <v>46022</v>
      </c>
      <c r="T7" s="50">
        <v>45759</v>
      </c>
      <c r="U7" s="47">
        <v>46123</v>
      </c>
      <c r="V7" s="40" t="s">
        <v>60</v>
      </c>
      <c r="W7" s="41" t="s">
        <v>39</v>
      </c>
      <c r="Y7" s="42"/>
      <c r="Z7" t="s">
        <v>40</v>
      </c>
      <c r="AA7" s="43"/>
      <c r="AC7" s="45"/>
      <c r="AF7" s="47">
        <v>45680</v>
      </c>
      <c r="AG7" s="48">
        <v>236722</v>
      </c>
      <c r="AH7" s="48">
        <v>79522.259999999995</v>
      </c>
    </row>
    <row r="8" spans="1:35" ht="19.5" customHeight="1">
      <c r="A8" s="25">
        <f t="shared" si="0"/>
        <v>7</v>
      </c>
      <c r="B8" s="26">
        <v>6144105</v>
      </c>
      <c r="C8" s="27">
        <v>45659</v>
      </c>
      <c r="D8" s="28">
        <v>10080.719999999999</v>
      </c>
      <c r="E8" s="29">
        <v>78282.84</v>
      </c>
      <c r="F8" s="30">
        <v>1515109</v>
      </c>
      <c r="G8" s="31">
        <v>45666</v>
      </c>
      <c r="H8" s="32"/>
      <c r="J8" s="34" t="s">
        <v>33</v>
      </c>
      <c r="K8" t="s">
        <v>34</v>
      </c>
      <c r="M8" s="36" t="s">
        <v>61</v>
      </c>
      <c r="N8" s="37"/>
      <c r="O8" t="s">
        <v>62</v>
      </c>
      <c r="P8" t="s">
        <v>63</v>
      </c>
      <c r="R8" s="38">
        <v>45658</v>
      </c>
      <c r="S8" s="39">
        <v>46022</v>
      </c>
      <c r="T8" s="50">
        <v>45748</v>
      </c>
      <c r="U8" s="47">
        <v>46112</v>
      </c>
      <c r="V8" s="40" t="s">
        <v>64</v>
      </c>
      <c r="W8" s="41" t="s">
        <v>39</v>
      </c>
      <c r="Y8" s="42"/>
      <c r="Z8" t="s">
        <v>40</v>
      </c>
      <c r="AA8" s="43"/>
      <c r="AC8" s="45"/>
      <c r="AF8" s="47">
        <v>45680</v>
      </c>
      <c r="AG8" s="48">
        <v>153000</v>
      </c>
      <c r="AH8" s="48">
        <v>149939.85</v>
      </c>
    </row>
    <row r="9" spans="1:35" ht="19.5" customHeight="1">
      <c r="A9" s="25">
        <f t="shared" si="0"/>
        <v>8</v>
      </c>
      <c r="B9" s="26">
        <v>6144114</v>
      </c>
      <c r="C9" s="27">
        <v>45659</v>
      </c>
      <c r="D9" s="28">
        <v>10483.209999999999</v>
      </c>
      <c r="E9" s="29">
        <v>81408.42</v>
      </c>
      <c r="F9" s="30">
        <v>1515110</v>
      </c>
      <c r="G9" s="31">
        <v>45666</v>
      </c>
      <c r="H9" s="32"/>
      <c r="J9" s="34" t="s">
        <v>33</v>
      </c>
      <c r="K9" t="s">
        <v>34</v>
      </c>
      <c r="M9" s="36" t="s">
        <v>65</v>
      </c>
      <c r="N9" s="37"/>
      <c r="O9" t="s">
        <v>62</v>
      </c>
      <c r="P9" t="s">
        <v>63</v>
      </c>
      <c r="R9" s="38">
        <v>45658</v>
      </c>
      <c r="S9" s="39">
        <v>46022</v>
      </c>
      <c r="T9" s="50">
        <v>45653</v>
      </c>
      <c r="U9" s="47">
        <v>46017</v>
      </c>
      <c r="V9" s="40" t="s">
        <v>64</v>
      </c>
      <c r="W9" s="41" t="s">
        <v>39</v>
      </c>
      <c r="Y9" s="42"/>
      <c r="Z9" t="s">
        <v>40</v>
      </c>
      <c r="AA9" s="43"/>
      <c r="AC9" s="45"/>
      <c r="AF9" s="47">
        <v>45680</v>
      </c>
      <c r="AG9" s="48">
        <v>153000</v>
      </c>
      <c r="AH9" s="48">
        <v>149939.85</v>
      </c>
    </row>
    <row r="10" spans="1:35" ht="19.5" customHeight="1">
      <c r="A10" s="25">
        <f t="shared" si="0"/>
        <v>9</v>
      </c>
      <c r="B10" s="26">
        <v>6144253</v>
      </c>
      <c r="C10" s="27">
        <v>45659</v>
      </c>
      <c r="D10" s="28">
        <v>782.02</v>
      </c>
      <c r="E10" s="29">
        <v>6072.85</v>
      </c>
      <c r="F10" s="30">
        <v>1514767</v>
      </c>
      <c r="G10" s="31">
        <v>45664</v>
      </c>
      <c r="H10" s="32"/>
      <c r="J10" s="34" t="s">
        <v>33</v>
      </c>
      <c r="K10" t="s">
        <v>34</v>
      </c>
      <c r="M10" s="36" t="s">
        <v>66</v>
      </c>
      <c r="N10" s="37"/>
      <c r="O10" t="s">
        <v>67</v>
      </c>
      <c r="P10" t="s">
        <v>68</v>
      </c>
      <c r="R10" s="38">
        <v>45689</v>
      </c>
      <c r="S10" s="39">
        <v>46053</v>
      </c>
      <c r="T10" s="50">
        <v>45689</v>
      </c>
      <c r="U10" s="47">
        <v>46053</v>
      </c>
      <c r="V10" s="40" t="s">
        <v>55</v>
      </c>
      <c r="W10" s="41" t="s">
        <v>39</v>
      </c>
      <c r="Z10" t="s">
        <v>40</v>
      </c>
      <c r="AA10" s="43"/>
      <c r="AC10" s="45"/>
      <c r="AF10" s="47">
        <v>45680</v>
      </c>
      <c r="AG10" s="48">
        <v>7140</v>
      </c>
      <c r="AH10" s="48">
        <v>6138.86</v>
      </c>
    </row>
    <row r="11" spans="1:35" ht="19.5" customHeight="1">
      <c r="A11" s="25">
        <f t="shared" si="0"/>
        <v>10</v>
      </c>
      <c r="B11" s="26">
        <v>6144419</v>
      </c>
      <c r="C11" s="27">
        <v>45660</v>
      </c>
      <c r="D11" s="28">
        <v>2056.7600000000002</v>
      </c>
      <c r="E11" s="29">
        <v>15971.98</v>
      </c>
      <c r="F11" s="30">
        <v>1514870</v>
      </c>
      <c r="G11" s="31">
        <v>45664</v>
      </c>
      <c r="H11" s="32"/>
      <c r="J11" s="34" t="s">
        <v>33</v>
      </c>
      <c r="K11" t="s">
        <v>34</v>
      </c>
      <c r="M11" s="36" t="s">
        <v>69</v>
      </c>
      <c r="N11" s="37"/>
      <c r="O11" t="s">
        <v>70</v>
      </c>
      <c r="P11" t="s">
        <v>71</v>
      </c>
      <c r="R11" s="38">
        <v>45658</v>
      </c>
      <c r="S11" s="39">
        <v>46022</v>
      </c>
      <c r="T11" s="38">
        <v>45658</v>
      </c>
      <c r="U11" s="39">
        <v>46022</v>
      </c>
      <c r="V11" s="40" t="s">
        <v>72</v>
      </c>
      <c r="W11" s="41" t="s">
        <v>39</v>
      </c>
      <c r="Y11" s="42"/>
      <c r="Z11" t="s">
        <v>40</v>
      </c>
      <c r="AA11" s="43"/>
      <c r="AC11" s="45"/>
      <c r="AF11" s="47">
        <v>45680</v>
      </c>
      <c r="AG11" s="48">
        <v>20580</v>
      </c>
      <c r="AH11" s="48">
        <v>16145.57</v>
      </c>
    </row>
    <row r="12" spans="1:35" ht="19.5" customHeight="1">
      <c r="A12" s="25">
        <f t="shared" si="0"/>
        <v>11</v>
      </c>
      <c r="B12" s="26">
        <v>6144456</v>
      </c>
      <c r="C12" s="27">
        <v>45660</v>
      </c>
      <c r="D12" s="28">
        <v>3470.61</v>
      </c>
      <c r="E12" s="29">
        <v>26951.37</v>
      </c>
      <c r="F12" s="30">
        <v>1514853</v>
      </c>
      <c r="G12" s="27">
        <v>45660</v>
      </c>
      <c r="H12" s="32"/>
      <c r="J12" s="34" t="s">
        <v>33</v>
      </c>
      <c r="K12" t="s">
        <v>34</v>
      </c>
      <c r="M12" s="36" t="s">
        <v>73</v>
      </c>
      <c r="N12" s="37"/>
      <c r="O12" t="s">
        <v>74</v>
      </c>
      <c r="P12" t="s">
        <v>75</v>
      </c>
      <c r="R12" s="38">
        <v>45651</v>
      </c>
      <c r="S12" s="39">
        <v>46015</v>
      </c>
      <c r="T12" s="38">
        <v>45651</v>
      </c>
      <c r="U12" s="39">
        <v>46015</v>
      </c>
      <c r="V12" s="40" t="s">
        <v>76</v>
      </c>
      <c r="W12" s="41" t="s">
        <v>39</v>
      </c>
      <c r="Y12" s="42"/>
      <c r="Z12" t="s">
        <v>40</v>
      </c>
      <c r="AA12" s="43"/>
      <c r="AC12" s="45"/>
      <c r="AF12" s="47">
        <v>45708</v>
      </c>
      <c r="AG12" s="48">
        <v>86092</v>
      </c>
      <c r="AH12" s="48">
        <v>27244.3</v>
      </c>
    </row>
    <row r="13" spans="1:35" ht="19.5" customHeight="1">
      <c r="A13" s="25">
        <f t="shared" si="0"/>
        <v>12</v>
      </c>
      <c r="B13" s="26">
        <v>6144526</v>
      </c>
      <c r="C13" s="27">
        <v>45660</v>
      </c>
      <c r="D13" s="28">
        <v>52507.07</v>
      </c>
      <c r="E13" s="29">
        <v>407748.9</v>
      </c>
      <c r="F13" s="30">
        <v>1515114</v>
      </c>
      <c r="G13" s="27">
        <v>45665</v>
      </c>
      <c r="H13" s="32"/>
      <c r="J13" s="34" t="s">
        <v>33</v>
      </c>
      <c r="K13" t="s">
        <v>34</v>
      </c>
      <c r="M13" s="36" t="s">
        <v>77</v>
      </c>
      <c r="N13" s="37"/>
      <c r="O13" t="s">
        <v>78</v>
      </c>
      <c r="P13" t="s">
        <v>79</v>
      </c>
      <c r="R13" s="38">
        <v>45658</v>
      </c>
      <c r="S13" s="39">
        <v>46022</v>
      </c>
      <c r="T13" s="50">
        <v>45658</v>
      </c>
      <c r="U13" s="47">
        <v>46022</v>
      </c>
      <c r="V13" s="40" t="s">
        <v>80</v>
      </c>
      <c r="W13" s="41" t="s">
        <v>39</v>
      </c>
      <c r="Y13" s="42"/>
      <c r="Z13" t="s">
        <v>81</v>
      </c>
      <c r="AA13" s="43"/>
      <c r="AC13" s="45"/>
      <c r="AF13" s="47">
        <v>45680</v>
      </c>
      <c r="AG13" s="48">
        <v>1062323</v>
      </c>
      <c r="AH13" s="48">
        <v>675139.81</v>
      </c>
    </row>
    <row r="14" spans="1:35" ht="19.5" customHeight="1">
      <c r="A14" s="25">
        <f t="shared" si="0"/>
        <v>13</v>
      </c>
      <c r="B14" s="26">
        <v>6144589</v>
      </c>
      <c r="C14" s="27">
        <v>45660</v>
      </c>
      <c r="D14" s="28">
        <v>3239.63</v>
      </c>
      <c r="E14" s="29">
        <v>25157.67</v>
      </c>
      <c r="F14" s="30">
        <v>1515115</v>
      </c>
      <c r="G14" s="31">
        <v>45666</v>
      </c>
      <c r="H14" s="32"/>
      <c r="J14" s="34" t="s">
        <v>33</v>
      </c>
      <c r="K14" t="s">
        <v>34</v>
      </c>
      <c r="M14" s="36" t="s">
        <v>82</v>
      </c>
      <c r="N14" s="37"/>
      <c r="O14" t="s">
        <v>83</v>
      </c>
      <c r="P14" t="s">
        <v>84</v>
      </c>
      <c r="R14" s="38">
        <v>45658</v>
      </c>
      <c r="S14" s="39">
        <v>46022</v>
      </c>
      <c r="T14" s="50">
        <v>45662</v>
      </c>
      <c r="U14" s="47">
        <v>46026</v>
      </c>
      <c r="V14" s="40" t="s">
        <v>85</v>
      </c>
      <c r="W14" s="41" t="s">
        <v>39</v>
      </c>
      <c r="Y14" s="42"/>
      <c r="Z14" t="s">
        <v>40</v>
      </c>
      <c r="AA14" s="43"/>
      <c r="AC14" s="45"/>
      <c r="AF14" s="47">
        <v>45680</v>
      </c>
      <c r="AG14" s="48">
        <v>148756</v>
      </c>
      <c r="AH14" s="48">
        <v>54984.1</v>
      </c>
    </row>
    <row r="15" spans="1:35" ht="19.5" customHeight="1">
      <c r="A15" s="25">
        <f t="shared" si="0"/>
        <v>14</v>
      </c>
      <c r="B15" s="26">
        <v>6144660</v>
      </c>
      <c r="C15" s="27">
        <v>45660</v>
      </c>
      <c r="D15" s="28">
        <v>4585.82</v>
      </c>
      <c r="E15" s="29">
        <v>35611.64</v>
      </c>
      <c r="F15" s="30">
        <v>1514855</v>
      </c>
      <c r="G15" s="31">
        <v>45664</v>
      </c>
      <c r="H15" s="32"/>
      <c r="J15" s="34" t="s">
        <v>33</v>
      </c>
      <c r="K15" t="s">
        <v>34</v>
      </c>
      <c r="M15" s="36" t="s">
        <v>86</v>
      </c>
      <c r="N15" s="37"/>
      <c r="O15" t="s">
        <v>87</v>
      </c>
      <c r="P15" t="s">
        <v>88</v>
      </c>
      <c r="R15" s="38">
        <v>45660</v>
      </c>
      <c r="S15" s="39">
        <v>46024</v>
      </c>
      <c r="T15" s="50">
        <v>45880</v>
      </c>
      <c r="U15" s="47">
        <v>46244</v>
      </c>
      <c r="V15" s="40" t="s">
        <v>89</v>
      </c>
      <c r="W15" s="41" t="s">
        <v>39</v>
      </c>
      <c r="Y15" s="42"/>
      <c r="Z15" t="s">
        <v>40</v>
      </c>
      <c r="AA15" s="43"/>
      <c r="AC15" s="45"/>
      <c r="AF15" s="47">
        <v>45680</v>
      </c>
      <c r="AG15" s="48">
        <v>706501</v>
      </c>
      <c r="AH15" s="48">
        <v>54848.69</v>
      </c>
    </row>
    <row r="16" spans="1:35" ht="19.5" customHeight="1">
      <c r="A16" s="25">
        <f t="shared" si="0"/>
        <v>15</v>
      </c>
      <c r="B16" s="51">
        <v>6144738</v>
      </c>
      <c r="C16" s="27">
        <v>45660</v>
      </c>
      <c r="D16" s="28">
        <v>16612.259999999998</v>
      </c>
      <c r="E16" s="29">
        <f>371365.91/(D16+D17)*16612.26</f>
        <v>129004.16905169428</v>
      </c>
      <c r="F16" s="52">
        <v>1515150</v>
      </c>
      <c r="G16" s="31">
        <v>45664</v>
      </c>
      <c r="H16" s="32"/>
      <c r="J16" s="34" t="s">
        <v>33</v>
      </c>
      <c r="K16" s="53" t="s">
        <v>34</v>
      </c>
      <c r="M16" s="54" t="s">
        <v>90</v>
      </c>
      <c r="N16" s="37"/>
      <c r="O16" t="s">
        <v>91</v>
      </c>
      <c r="P16" t="s">
        <v>92</v>
      </c>
      <c r="R16" s="38">
        <v>45658</v>
      </c>
      <c r="S16" s="39">
        <v>46022</v>
      </c>
      <c r="T16" s="50">
        <v>45658</v>
      </c>
      <c r="U16" s="47">
        <v>46022</v>
      </c>
      <c r="V16" s="40" t="s">
        <v>93</v>
      </c>
      <c r="W16" s="41" t="s">
        <v>39</v>
      </c>
      <c r="Y16" s="42"/>
      <c r="Z16" t="s">
        <v>81</v>
      </c>
      <c r="AA16" s="43"/>
      <c r="AC16" s="45"/>
      <c r="AF16" s="47">
        <v>45680</v>
      </c>
      <c r="AG16" s="48">
        <v>478060</v>
      </c>
      <c r="AH16" s="48">
        <v>413212.07</v>
      </c>
    </row>
    <row r="17" spans="1:35" ht="19.5" customHeight="1">
      <c r="A17" s="25">
        <f t="shared" si="0"/>
        <v>16</v>
      </c>
      <c r="B17" s="55">
        <v>6144738</v>
      </c>
      <c r="C17" s="27">
        <v>45660</v>
      </c>
      <c r="D17" s="28">
        <f>47821.92-16612.26</f>
        <v>31209.66</v>
      </c>
      <c r="E17" s="29">
        <f>371365.91/(D16+D17)*31209.66</f>
        <v>242361.74094830573</v>
      </c>
      <c r="F17" s="56">
        <v>1515141</v>
      </c>
      <c r="G17" s="31">
        <v>45664</v>
      </c>
      <c r="H17" s="32"/>
      <c r="J17" s="34" t="s">
        <v>33</v>
      </c>
      <c r="K17" s="57" t="s">
        <v>34</v>
      </c>
      <c r="M17" s="58" t="s">
        <v>90</v>
      </c>
      <c r="N17" s="37"/>
      <c r="O17" t="s">
        <v>91</v>
      </c>
      <c r="P17" t="s">
        <v>92</v>
      </c>
      <c r="R17" s="38">
        <v>45658</v>
      </c>
      <c r="S17" s="39">
        <v>46022</v>
      </c>
      <c r="T17" s="50">
        <v>45658</v>
      </c>
      <c r="U17" s="47">
        <v>46022</v>
      </c>
      <c r="V17" s="40" t="s">
        <v>93</v>
      </c>
      <c r="W17" s="41" t="s">
        <v>39</v>
      </c>
      <c r="Y17" s="42"/>
      <c r="Z17" t="s">
        <v>81</v>
      </c>
      <c r="AA17" s="43"/>
      <c r="AC17" s="45"/>
      <c r="AF17" s="47">
        <v>45680</v>
      </c>
      <c r="AG17" s="48">
        <v>478060</v>
      </c>
      <c r="AH17" s="48">
        <v>413212.07</v>
      </c>
    </row>
    <row r="18" spans="1:35" ht="19.5" customHeight="1">
      <c r="A18" s="25">
        <f t="shared" si="0"/>
        <v>17</v>
      </c>
      <c r="B18" s="51">
        <v>6145236</v>
      </c>
      <c r="C18" s="27">
        <v>45663</v>
      </c>
      <c r="D18" s="28">
        <f>13585.89</f>
        <v>13585.89</v>
      </c>
      <c r="E18" s="29">
        <f>D18*7.7656</f>
        <v>105502.587384</v>
      </c>
      <c r="F18" s="52">
        <v>1515112</v>
      </c>
      <c r="G18" s="31">
        <v>45663</v>
      </c>
      <c r="H18" s="59"/>
      <c r="J18" s="34" t="s">
        <v>33</v>
      </c>
      <c r="K18" s="53" t="s">
        <v>34</v>
      </c>
      <c r="M18" s="54" t="s">
        <v>94</v>
      </c>
      <c r="N18" s="60"/>
      <c r="O18" t="s">
        <v>95</v>
      </c>
      <c r="P18" t="s">
        <v>96</v>
      </c>
      <c r="R18" s="38">
        <v>45474</v>
      </c>
      <c r="S18" s="39">
        <v>45838</v>
      </c>
      <c r="T18" s="50">
        <v>45572</v>
      </c>
      <c r="U18" s="47">
        <v>45936</v>
      </c>
      <c r="V18" s="40" t="s">
        <v>97</v>
      </c>
      <c r="W18" s="41" t="s">
        <v>39</v>
      </c>
      <c r="Y18" s="42"/>
      <c r="Z18" t="s">
        <v>98</v>
      </c>
      <c r="AA18" s="43"/>
      <c r="AC18" s="45"/>
      <c r="AF18" s="47">
        <v>45680</v>
      </c>
      <c r="AG18" s="48">
        <v>1269511</v>
      </c>
      <c r="AH18" s="48">
        <v>528623.42000000004</v>
      </c>
    </row>
    <row r="19" spans="1:35" ht="19.5" customHeight="1">
      <c r="A19" s="25">
        <f t="shared" si="0"/>
        <v>18</v>
      </c>
      <c r="B19" s="55">
        <v>6145236</v>
      </c>
      <c r="C19" s="27">
        <v>45663</v>
      </c>
      <c r="D19" s="28">
        <v>1269</v>
      </c>
      <c r="E19" s="29">
        <f>D19*7.7656</f>
        <v>9854.5463999999993</v>
      </c>
      <c r="F19" s="56">
        <v>1515119</v>
      </c>
      <c r="G19" s="31">
        <v>45663</v>
      </c>
      <c r="H19" s="59"/>
      <c r="J19" s="34" t="s">
        <v>33</v>
      </c>
      <c r="K19" s="57" t="s">
        <v>34</v>
      </c>
      <c r="M19" s="58" t="s">
        <v>94</v>
      </c>
      <c r="N19" s="60"/>
      <c r="O19" t="s">
        <v>95</v>
      </c>
      <c r="P19" t="s">
        <v>96</v>
      </c>
      <c r="R19" s="38">
        <v>45474</v>
      </c>
      <c r="S19" s="39">
        <v>45838</v>
      </c>
      <c r="T19" s="50">
        <v>45572</v>
      </c>
      <c r="U19" s="47">
        <v>45936</v>
      </c>
      <c r="V19" s="40" t="s">
        <v>97</v>
      </c>
      <c r="W19" s="41" t="s">
        <v>39</v>
      </c>
      <c r="Y19" s="42"/>
      <c r="Z19" t="s">
        <v>98</v>
      </c>
      <c r="AA19" s="43"/>
      <c r="AC19" s="45"/>
      <c r="AF19" s="47">
        <v>45715</v>
      </c>
      <c r="AG19" s="48">
        <v>1269511</v>
      </c>
      <c r="AH19" s="48">
        <v>528623.42000000004</v>
      </c>
    </row>
    <row r="20" spans="1:35" ht="19.5" customHeight="1">
      <c r="A20" s="25">
        <f t="shared" si="0"/>
        <v>19</v>
      </c>
      <c r="B20" s="26">
        <v>6145476</v>
      </c>
      <c r="C20" s="27">
        <v>45664</v>
      </c>
      <c r="E20" s="29">
        <v>19092.73</v>
      </c>
      <c r="F20" s="30">
        <v>1515584</v>
      </c>
      <c r="G20" s="31">
        <v>45666</v>
      </c>
      <c r="H20" s="32"/>
      <c r="J20" s="34" t="s">
        <v>99</v>
      </c>
      <c r="K20" t="s">
        <v>100</v>
      </c>
      <c r="M20" s="36" t="s">
        <v>101</v>
      </c>
      <c r="N20" s="37"/>
      <c r="O20" t="s">
        <v>78</v>
      </c>
      <c r="P20" t="s">
        <v>79</v>
      </c>
      <c r="R20" s="38">
        <v>45658</v>
      </c>
      <c r="S20" s="39">
        <v>46022</v>
      </c>
      <c r="T20" s="50">
        <v>45658</v>
      </c>
      <c r="U20" s="47">
        <v>46022</v>
      </c>
      <c r="V20" s="40" t="s">
        <v>80</v>
      </c>
      <c r="W20" s="41" t="s">
        <v>39</v>
      </c>
      <c r="Y20" s="42"/>
      <c r="Z20" t="s">
        <v>81</v>
      </c>
      <c r="AA20" s="43" t="s">
        <v>102</v>
      </c>
      <c r="AB20" s="44">
        <v>45672</v>
      </c>
      <c r="AC20" s="45"/>
      <c r="AF20" s="47">
        <v>45693</v>
      </c>
      <c r="AG20" s="48">
        <v>1062323</v>
      </c>
      <c r="AH20" s="48">
        <v>675139.81</v>
      </c>
      <c r="AI20" s="61">
        <v>45728</v>
      </c>
    </row>
    <row r="21" spans="1:35" ht="19.5" customHeight="1">
      <c r="A21" s="25">
        <f t="shared" si="0"/>
        <v>20</v>
      </c>
      <c r="B21" s="26">
        <v>6145500</v>
      </c>
      <c r="C21" s="27">
        <v>45664</v>
      </c>
      <c r="D21" s="28">
        <v>4744.84</v>
      </c>
      <c r="E21" s="29">
        <v>36846.519999999997</v>
      </c>
      <c r="F21" s="30">
        <v>1515578</v>
      </c>
      <c r="G21" s="31">
        <v>45667</v>
      </c>
      <c r="H21" s="32"/>
      <c r="J21" s="34" t="s">
        <v>103</v>
      </c>
      <c r="K21" t="s">
        <v>104</v>
      </c>
      <c r="M21" s="36" t="s">
        <v>105</v>
      </c>
      <c r="N21" s="37"/>
      <c r="O21" t="s">
        <v>78</v>
      </c>
      <c r="P21" t="s">
        <v>79</v>
      </c>
      <c r="R21" s="38">
        <v>45658</v>
      </c>
      <c r="S21" s="39">
        <v>46022</v>
      </c>
      <c r="T21" s="38">
        <v>45658</v>
      </c>
      <c r="U21" s="39">
        <v>46022</v>
      </c>
      <c r="V21" s="40" t="s">
        <v>106</v>
      </c>
      <c r="W21" s="41" t="s">
        <v>39</v>
      </c>
      <c r="Y21" s="42"/>
      <c r="Z21" t="s">
        <v>81</v>
      </c>
      <c r="AA21" s="43">
        <v>2025500598</v>
      </c>
      <c r="AB21" s="44">
        <v>45698</v>
      </c>
      <c r="AC21" s="45"/>
      <c r="AF21" s="47">
        <v>45743</v>
      </c>
      <c r="AG21" s="48">
        <v>1062323</v>
      </c>
      <c r="AH21" s="48">
        <v>675139.81</v>
      </c>
    </row>
    <row r="22" spans="1:35" ht="19.5" customHeight="1">
      <c r="A22" s="25">
        <f t="shared" si="0"/>
        <v>21</v>
      </c>
      <c r="B22" s="26">
        <v>6145536</v>
      </c>
      <c r="C22" s="27">
        <v>45664</v>
      </c>
      <c r="E22" s="29">
        <v>191468.86</v>
      </c>
      <c r="F22" s="30">
        <v>1515851</v>
      </c>
      <c r="G22" s="27">
        <v>45667</v>
      </c>
      <c r="H22" s="32"/>
      <c r="J22" s="34" t="s">
        <v>103</v>
      </c>
      <c r="K22" t="s">
        <v>107</v>
      </c>
      <c r="M22" s="36" t="s">
        <v>108</v>
      </c>
      <c r="N22" s="37"/>
      <c r="O22" t="s">
        <v>78</v>
      </c>
      <c r="P22" t="s">
        <v>79</v>
      </c>
      <c r="R22" s="38">
        <v>45658</v>
      </c>
      <c r="S22" s="39">
        <v>46022</v>
      </c>
      <c r="T22" s="50">
        <v>45658</v>
      </c>
      <c r="U22" s="47">
        <v>46022</v>
      </c>
      <c r="V22" s="40" t="s">
        <v>106</v>
      </c>
      <c r="W22" s="41" t="s">
        <v>39</v>
      </c>
      <c r="Z22" t="s">
        <v>81</v>
      </c>
      <c r="AA22" s="43" t="s">
        <v>109</v>
      </c>
      <c r="AB22" s="44">
        <v>45674</v>
      </c>
      <c r="AC22" s="45"/>
      <c r="AF22" s="47">
        <v>45719</v>
      </c>
      <c r="AG22" s="48">
        <v>1062323</v>
      </c>
      <c r="AH22" s="48">
        <v>675139.81</v>
      </c>
    </row>
    <row r="23" spans="1:35" ht="19.5" customHeight="1">
      <c r="A23" s="25">
        <f t="shared" si="0"/>
        <v>22</v>
      </c>
      <c r="B23" s="26">
        <v>6145642</v>
      </c>
      <c r="C23" s="27">
        <v>45664</v>
      </c>
      <c r="D23" s="28">
        <v>2793.05</v>
      </c>
      <c r="E23" s="29">
        <v>21689.71</v>
      </c>
      <c r="F23" s="30">
        <v>1515452</v>
      </c>
      <c r="G23" s="27">
        <v>45665</v>
      </c>
      <c r="H23" s="32"/>
      <c r="J23" s="34" t="s">
        <v>33</v>
      </c>
      <c r="K23" t="s">
        <v>34</v>
      </c>
      <c r="M23" s="36" t="s">
        <v>110</v>
      </c>
      <c r="N23" s="37"/>
      <c r="O23" t="s">
        <v>111</v>
      </c>
      <c r="P23" t="s">
        <v>112</v>
      </c>
      <c r="R23" s="50">
        <v>45660</v>
      </c>
      <c r="S23" s="47">
        <v>46024</v>
      </c>
      <c r="T23" s="50">
        <v>45660</v>
      </c>
      <c r="U23" s="47">
        <v>46024</v>
      </c>
      <c r="V23" s="40" t="s">
        <v>113</v>
      </c>
      <c r="W23" s="41" t="s">
        <v>114</v>
      </c>
      <c r="Y23" s="42" t="s">
        <v>56</v>
      </c>
      <c r="Z23" t="s">
        <v>81</v>
      </c>
      <c r="AA23" s="43"/>
      <c r="AC23" s="45"/>
      <c r="AF23" s="47">
        <v>45708</v>
      </c>
      <c r="AG23" s="48">
        <v>25585</v>
      </c>
      <c r="AH23" s="48">
        <v>21693.46</v>
      </c>
    </row>
    <row r="24" spans="1:35" ht="19.5" customHeight="1">
      <c r="A24" s="25">
        <f t="shared" si="0"/>
        <v>23</v>
      </c>
      <c r="B24" s="26">
        <v>6145759</v>
      </c>
      <c r="C24" s="27">
        <v>45664</v>
      </c>
      <c r="D24" s="28">
        <v>11888.68</v>
      </c>
      <c r="E24" s="29">
        <v>92322.73</v>
      </c>
      <c r="F24" s="30">
        <v>1515457</v>
      </c>
      <c r="G24" s="31">
        <v>45667</v>
      </c>
      <c r="H24" s="32"/>
      <c r="J24" s="34" t="s">
        <v>33</v>
      </c>
      <c r="K24" t="s">
        <v>34</v>
      </c>
      <c r="M24" s="36" t="s">
        <v>115</v>
      </c>
      <c r="N24" s="37"/>
      <c r="O24" t="s">
        <v>116</v>
      </c>
      <c r="P24" t="s">
        <v>117</v>
      </c>
      <c r="R24" s="38">
        <v>45658</v>
      </c>
      <c r="S24" s="39">
        <v>45961</v>
      </c>
      <c r="T24" s="50"/>
      <c r="U24" s="47"/>
      <c r="V24" s="40" t="s">
        <v>97</v>
      </c>
      <c r="W24" s="41" t="s">
        <v>114</v>
      </c>
      <c r="Y24" s="42" t="s">
        <v>56</v>
      </c>
      <c r="Z24" t="s">
        <v>40</v>
      </c>
      <c r="AA24" s="43"/>
      <c r="AC24" s="45"/>
      <c r="AF24" s="47">
        <v>45680</v>
      </c>
      <c r="AG24" s="48">
        <v>199072</v>
      </c>
      <c r="AH24" s="48">
        <v>95036.13</v>
      </c>
    </row>
    <row r="25" spans="1:35" ht="19.5" customHeight="1">
      <c r="A25" s="25">
        <f t="shared" si="0"/>
        <v>24</v>
      </c>
      <c r="B25" s="26">
        <v>6145776</v>
      </c>
      <c r="C25" s="27">
        <v>45664</v>
      </c>
      <c r="D25" s="28">
        <v>643.59</v>
      </c>
      <c r="E25" s="29">
        <v>4997.8599999999997</v>
      </c>
      <c r="F25" s="30">
        <v>1515450</v>
      </c>
      <c r="G25" s="31">
        <v>45667</v>
      </c>
      <c r="H25" s="32"/>
      <c r="J25" s="34" t="s">
        <v>33</v>
      </c>
      <c r="K25" t="s">
        <v>34</v>
      </c>
      <c r="M25" s="36" t="s">
        <v>118</v>
      </c>
      <c r="N25" s="37"/>
      <c r="O25" t="s">
        <v>119</v>
      </c>
      <c r="P25" t="s">
        <v>120</v>
      </c>
      <c r="R25" s="38">
        <v>45675</v>
      </c>
      <c r="S25" s="39">
        <v>46039</v>
      </c>
      <c r="T25" s="38">
        <v>45675</v>
      </c>
      <c r="U25" s="39">
        <v>46039</v>
      </c>
      <c r="V25" s="40" t="s">
        <v>85</v>
      </c>
      <c r="W25" s="41" t="s">
        <v>39</v>
      </c>
      <c r="Y25" s="42"/>
      <c r="Z25" t="s">
        <v>40</v>
      </c>
      <c r="AA25" s="43"/>
      <c r="AC25" s="45"/>
      <c r="AF25" s="47">
        <v>45680</v>
      </c>
      <c r="AG25" s="48">
        <v>67418</v>
      </c>
      <c r="AH25" s="48">
        <v>57475.38</v>
      </c>
    </row>
    <row r="26" spans="1:35" ht="19.5" customHeight="1">
      <c r="A26" s="25">
        <f t="shared" si="0"/>
        <v>25</v>
      </c>
      <c r="B26" s="26">
        <v>6145839</v>
      </c>
      <c r="C26" s="27">
        <v>45664</v>
      </c>
      <c r="D26" s="28">
        <v>51645.56</v>
      </c>
      <c r="E26" s="29">
        <v>401058.76</v>
      </c>
      <c r="F26" s="30">
        <v>1515589</v>
      </c>
      <c r="G26" s="27">
        <v>45665</v>
      </c>
      <c r="H26" s="32"/>
      <c r="J26" s="34" t="s">
        <v>33</v>
      </c>
      <c r="K26" t="s">
        <v>34</v>
      </c>
      <c r="M26" s="36" t="s">
        <v>121</v>
      </c>
      <c r="N26" s="37"/>
      <c r="O26" t="s">
        <v>122</v>
      </c>
      <c r="P26" t="s">
        <v>123</v>
      </c>
      <c r="R26" s="38">
        <v>45658</v>
      </c>
      <c r="S26" s="39">
        <v>46477</v>
      </c>
      <c r="T26" s="50">
        <v>45658</v>
      </c>
      <c r="U26" s="47">
        <v>45382</v>
      </c>
      <c r="V26" s="40" t="s">
        <v>124</v>
      </c>
      <c r="W26" s="41" t="s">
        <v>39</v>
      </c>
      <c r="Y26" s="42"/>
      <c r="Z26" t="s">
        <v>81</v>
      </c>
      <c r="AA26" s="43"/>
      <c r="AC26" s="45"/>
      <c r="AF26" s="47">
        <v>45715</v>
      </c>
      <c r="AG26" s="48">
        <v>493000</v>
      </c>
      <c r="AH26" s="48">
        <v>409824.4</v>
      </c>
    </row>
    <row r="27" spans="1:35" ht="19.5" customHeight="1">
      <c r="A27" s="25">
        <f t="shared" si="0"/>
        <v>26</v>
      </c>
      <c r="B27" s="26">
        <v>6145903</v>
      </c>
      <c r="C27" s="27">
        <v>45664</v>
      </c>
      <c r="D27" s="28">
        <v>3389.94</v>
      </c>
      <c r="E27" s="29">
        <v>26324.92</v>
      </c>
      <c r="F27" s="30">
        <v>1515577</v>
      </c>
      <c r="G27" s="27">
        <v>45670</v>
      </c>
      <c r="H27" s="32"/>
      <c r="J27" s="34" t="s">
        <v>33</v>
      </c>
      <c r="K27" t="s">
        <v>34</v>
      </c>
      <c r="M27" s="36" t="s">
        <v>125</v>
      </c>
      <c r="N27" s="37"/>
      <c r="O27" t="s">
        <v>126</v>
      </c>
      <c r="P27" t="s">
        <v>127</v>
      </c>
      <c r="R27" s="38">
        <v>45654</v>
      </c>
      <c r="S27" s="39">
        <v>46018</v>
      </c>
      <c r="T27" s="50">
        <v>45778</v>
      </c>
      <c r="U27" s="47">
        <v>45961</v>
      </c>
      <c r="V27" s="40" t="s">
        <v>128</v>
      </c>
      <c r="W27" s="41" t="s">
        <v>39</v>
      </c>
      <c r="Y27" s="42" t="s">
        <v>56</v>
      </c>
      <c r="Z27" t="s">
        <v>81</v>
      </c>
      <c r="AA27" s="43"/>
      <c r="AC27" s="45"/>
      <c r="AF27" s="47">
        <v>45680</v>
      </c>
      <c r="AG27" s="48">
        <v>87384</v>
      </c>
      <c r="AH27" s="48">
        <v>51001.03</v>
      </c>
    </row>
    <row r="28" spans="1:35" ht="19.5" customHeight="1">
      <c r="A28" s="25">
        <f t="shared" si="0"/>
        <v>27</v>
      </c>
      <c r="B28" s="26">
        <v>6146399</v>
      </c>
      <c r="C28" s="27">
        <v>45665</v>
      </c>
      <c r="D28" s="28">
        <v>26204.35</v>
      </c>
      <c r="E28" s="29">
        <v>203492.5</v>
      </c>
      <c r="F28" s="30">
        <v>1515678</v>
      </c>
      <c r="G28" s="31">
        <v>45670</v>
      </c>
      <c r="H28" s="32"/>
      <c r="J28" s="34" t="s">
        <v>33</v>
      </c>
      <c r="K28" t="s">
        <v>34</v>
      </c>
      <c r="M28" s="36" t="s">
        <v>129</v>
      </c>
      <c r="N28" s="37"/>
      <c r="O28" t="s">
        <v>42</v>
      </c>
      <c r="P28" t="s">
        <v>130</v>
      </c>
      <c r="R28" s="50">
        <v>45658</v>
      </c>
      <c r="S28" s="47">
        <v>46022</v>
      </c>
      <c r="T28" s="50">
        <v>45748</v>
      </c>
      <c r="U28" s="47">
        <v>46112</v>
      </c>
      <c r="V28" s="40" t="s">
        <v>44</v>
      </c>
      <c r="W28" s="41" t="s">
        <v>114</v>
      </c>
      <c r="AA28" s="43"/>
      <c r="AC28" s="45"/>
      <c r="AF28" s="47">
        <v>45680</v>
      </c>
      <c r="AG28" s="48">
        <v>782000</v>
      </c>
      <c r="AH28" s="48">
        <v>562957.13</v>
      </c>
    </row>
    <row r="29" spans="1:35" ht="19.5" customHeight="1">
      <c r="A29" s="25">
        <f t="shared" si="0"/>
        <v>28</v>
      </c>
      <c r="B29" s="26">
        <v>6146411</v>
      </c>
      <c r="C29" s="27">
        <v>45665</v>
      </c>
      <c r="D29" s="28">
        <v>416.49</v>
      </c>
      <c r="E29" s="29">
        <v>3234.29</v>
      </c>
      <c r="F29" s="30">
        <v>1515676</v>
      </c>
      <c r="G29" s="31">
        <v>45670</v>
      </c>
      <c r="H29" s="32"/>
      <c r="J29" s="34" t="s">
        <v>33</v>
      </c>
      <c r="K29" t="s">
        <v>34</v>
      </c>
      <c r="M29" s="36" t="s">
        <v>131</v>
      </c>
      <c r="N29" s="37"/>
      <c r="O29" t="s">
        <v>132</v>
      </c>
      <c r="P29" t="s">
        <v>133</v>
      </c>
      <c r="R29" s="38">
        <v>45660</v>
      </c>
      <c r="S29" s="39">
        <v>46024</v>
      </c>
      <c r="T29" s="50">
        <v>45660</v>
      </c>
      <c r="U29" s="47">
        <v>46024</v>
      </c>
      <c r="V29" s="40" t="s">
        <v>134</v>
      </c>
      <c r="W29" s="41" t="s">
        <v>39</v>
      </c>
      <c r="Y29" s="42"/>
      <c r="Z29" t="s">
        <v>40</v>
      </c>
      <c r="AA29" s="43"/>
      <c r="AC29" s="45"/>
      <c r="AF29" s="47">
        <v>45708</v>
      </c>
      <c r="AG29" s="48">
        <v>8625</v>
      </c>
      <c r="AH29" s="48">
        <v>3269.45</v>
      </c>
    </row>
    <row r="30" spans="1:35" ht="19.5" customHeight="1">
      <c r="A30" s="25">
        <f t="shared" si="0"/>
        <v>29</v>
      </c>
      <c r="B30" s="26">
        <v>6146570</v>
      </c>
      <c r="C30" s="27">
        <v>45666</v>
      </c>
      <c r="D30" s="28">
        <v>2818.2</v>
      </c>
      <c r="E30" s="29">
        <v>21885.01</v>
      </c>
      <c r="F30" s="30">
        <v>1515693</v>
      </c>
      <c r="G30" s="31">
        <v>45666</v>
      </c>
      <c r="H30" s="32"/>
      <c r="J30" s="34" t="s">
        <v>33</v>
      </c>
      <c r="K30" t="s">
        <v>135</v>
      </c>
      <c r="M30" s="36" t="s">
        <v>136</v>
      </c>
      <c r="N30" s="37"/>
      <c r="O30" t="s">
        <v>137</v>
      </c>
      <c r="P30" t="s">
        <v>138</v>
      </c>
      <c r="R30" s="38">
        <v>45650</v>
      </c>
      <c r="S30" s="39">
        <v>46014</v>
      </c>
      <c r="T30" s="38">
        <v>45650</v>
      </c>
      <c r="U30" s="39">
        <v>46014</v>
      </c>
      <c r="V30" t="s">
        <v>76</v>
      </c>
      <c r="W30" s="41" t="s">
        <v>114</v>
      </c>
      <c r="AA30" s="43"/>
      <c r="AC30" s="45"/>
      <c r="AF30" s="47">
        <v>45680</v>
      </c>
      <c r="AG30" s="48">
        <v>59953</v>
      </c>
      <c r="AH30" s="48">
        <v>22122.87</v>
      </c>
    </row>
    <row r="31" spans="1:35" ht="19.5" customHeight="1">
      <c r="A31" s="25">
        <f t="shared" si="0"/>
        <v>30</v>
      </c>
      <c r="B31" s="26">
        <v>6146567</v>
      </c>
      <c r="C31" s="27">
        <v>45666</v>
      </c>
      <c r="E31" s="29">
        <v>18850</v>
      </c>
      <c r="F31" s="30">
        <v>1515889</v>
      </c>
      <c r="G31" s="31">
        <v>45671</v>
      </c>
      <c r="H31" s="32"/>
      <c r="J31" s="34" t="s">
        <v>33</v>
      </c>
      <c r="K31" t="s">
        <v>139</v>
      </c>
      <c r="M31" s="36" t="s">
        <v>140</v>
      </c>
      <c r="N31" s="37"/>
      <c r="O31" t="s">
        <v>87</v>
      </c>
      <c r="P31" t="s">
        <v>88</v>
      </c>
      <c r="R31" s="38">
        <v>45660</v>
      </c>
      <c r="S31" s="39">
        <v>46024</v>
      </c>
      <c r="T31" s="50" t="s">
        <v>141</v>
      </c>
      <c r="U31" s="47" t="s">
        <v>141</v>
      </c>
      <c r="V31" s="40" t="s">
        <v>89</v>
      </c>
      <c r="W31" s="41" t="s">
        <v>39</v>
      </c>
      <c r="Y31" s="42"/>
      <c r="Z31" t="s">
        <v>40</v>
      </c>
      <c r="AA31" s="62" t="s">
        <v>142</v>
      </c>
      <c r="AB31" s="44">
        <v>45740</v>
      </c>
      <c r="AF31" s="47">
        <v>45771</v>
      </c>
      <c r="AG31" s="48">
        <v>706501</v>
      </c>
      <c r="AH31" s="48">
        <v>54848.69</v>
      </c>
    </row>
    <row r="32" spans="1:35" ht="19.5" customHeight="1">
      <c r="A32" s="25">
        <f t="shared" si="0"/>
        <v>31</v>
      </c>
      <c r="B32" s="26">
        <v>6146621</v>
      </c>
      <c r="C32" s="27">
        <v>45666</v>
      </c>
      <c r="D32" s="28">
        <f>5211.68+8218.55</f>
        <v>13430.23</v>
      </c>
      <c r="E32" s="29">
        <v>104293.79</v>
      </c>
      <c r="F32" s="30">
        <v>1516018</v>
      </c>
      <c r="G32" s="27">
        <v>45673</v>
      </c>
      <c r="H32" s="32"/>
      <c r="J32" s="34" t="s">
        <v>33</v>
      </c>
      <c r="K32" t="s">
        <v>34</v>
      </c>
      <c r="M32" s="36" t="s">
        <v>143</v>
      </c>
      <c r="N32" s="37"/>
      <c r="O32" t="s">
        <v>144</v>
      </c>
      <c r="P32" t="s">
        <v>145</v>
      </c>
      <c r="R32" s="38">
        <v>45672</v>
      </c>
      <c r="S32" s="39">
        <v>46036</v>
      </c>
      <c r="T32" s="38">
        <v>45672</v>
      </c>
      <c r="U32" s="39">
        <v>46036</v>
      </c>
      <c r="V32" t="s">
        <v>51</v>
      </c>
      <c r="W32" s="41" t="s">
        <v>114</v>
      </c>
      <c r="AA32" s="43"/>
      <c r="AC32" s="45"/>
      <c r="AF32" s="47">
        <v>45708</v>
      </c>
      <c r="AG32" s="48">
        <v>180147</v>
      </c>
      <c r="AH32" s="48">
        <v>107297.31</v>
      </c>
    </row>
    <row r="33" spans="1:34" ht="19.5" customHeight="1">
      <c r="A33" s="25">
        <f t="shared" si="0"/>
        <v>32</v>
      </c>
      <c r="C33" s="27">
        <v>45666</v>
      </c>
      <c r="E33" s="29">
        <v>3570</v>
      </c>
      <c r="F33" s="30">
        <v>1515680</v>
      </c>
      <c r="G33" s="27">
        <v>45666</v>
      </c>
      <c r="H33" s="32"/>
      <c r="J33" s="34" t="s">
        <v>146</v>
      </c>
      <c r="K33" t="s">
        <v>139</v>
      </c>
      <c r="M33" s="36" t="s">
        <v>147</v>
      </c>
      <c r="N33" s="37"/>
      <c r="O33" t="s">
        <v>148</v>
      </c>
      <c r="P33" t="s">
        <v>149</v>
      </c>
      <c r="R33" s="38">
        <v>45366</v>
      </c>
      <c r="S33" s="39">
        <v>45730</v>
      </c>
      <c r="T33" s="50" t="s">
        <v>141</v>
      </c>
      <c r="U33" s="47" t="s">
        <v>141</v>
      </c>
      <c r="V33" s="40" t="s">
        <v>150</v>
      </c>
      <c r="W33" s="41" t="s">
        <v>39</v>
      </c>
      <c r="Y33" s="42" t="s">
        <v>56</v>
      </c>
      <c r="Z33" t="s">
        <v>40</v>
      </c>
      <c r="AA33" s="43" t="s">
        <v>151</v>
      </c>
      <c r="AB33" s="44">
        <v>45699</v>
      </c>
      <c r="AF33" s="47">
        <v>45716</v>
      </c>
      <c r="AG33" s="48">
        <v>17600</v>
      </c>
      <c r="AH33" s="48">
        <v>3570</v>
      </c>
    </row>
    <row r="34" spans="1:34" ht="19.5" customHeight="1">
      <c r="A34" s="25">
        <f t="shared" si="0"/>
        <v>33</v>
      </c>
      <c r="B34" s="26">
        <v>6146625</v>
      </c>
      <c r="C34" s="27">
        <v>45666</v>
      </c>
      <c r="D34" s="28">
        <v>218.21</v>
      </c>
      <c r="E34" s="29">
        <v>1694.53</v>
      </c>
      <c r="F34" s="30">
        <v>1515694</v>
      </c>
      <c r="G34" s="31">
        <v>45671</v>
      </c>
      <c r="H34" s="32"/>
      <c r="J34" s="34" t="s">
        <v>146</v>
      </c>
      <c r="K34" t="s">
        <v>34</v>
      </c>
      <c r="M34" s="36" t="s">
        <v>152</v>
      </c>
      <c r="N34" s="37"/>
      <c r="O34" t="s">
        <v>153</v>
      </c>
      <c r="P34" t="s">
        <v>154</v>
      </c>
      <c r="R34" s="38">
        <v>45664</v>
      </c>
      <c r="S34" s="39">
        <v>46028</v>
      </c>
      <c r="T34" s="50">
        <v>45658</v>
      </c>
      <c r="U34" s="47">
        <v>46022</v>
      </c>
      <c r="V34" s="40" t="s">
        <v>155</v>
      </c>
      <c r="W34" s="41" t="s">
        <v>114</v>
      </c>
      <c r="AA34" s="43"/>
      <c r="AC34" s="45"/>
      <c r="AF34" s="47">
        <v>45708</v>
      </c>
      <c r="AG34" s="48">
        <v>3427</v>
      </c>
      <c r="AH34" s="48">
        <v>1713</v>
      </c>
    </row>
    <row r="35" spans="1:34" ht="19.5" customHeight="1">
      <c r="A35" s="25">
        <f t="shared" si="0"/>
        <v>34</v>
      </c>
      <c r="C35" s="27">
        <v>45666</v>
      </c>
      <c r="E35" s="29">
        <v>1870</v>
      </c>
      <c r="F35" s="30">
        <v>1515702</v>
      </c>
      <c r="G35" s="27">
        <v>45666</v>
      </c>
      <c r="H35" s="32"/>
      <c r="J35" s="34" t="s">
        <v>146</v>
      </c>
      <c r="K35" t="s">
        <v>139</v>
      </c>
      <c r="M35" s="36" t="s">
        <v>156</v>
      </c>
      <c r="N35" s="37"/>
      <c r="O35" t="s">
        <v>144</v>
      </c>
      <c r="P35" t="s">
        <v>145</v>
      </c>
      <c r="R35" s="38">
        <v>45672</v>
      </c>
      <c r="S35" s="39">
        <v>46036</v>
      </c>
      <c r="T35" s="38">
        <v>45672</v>
      </c>
      <c r="U35" s="39">
        <v>46036</v>
      </c>
      <c r="V35" t="s">
        <v>51</v>
      </c>
      <c r="W35" s="41" t="s">
        <v>114</v>
      </c>
      <c r="AA35" s="43" t="s">
        <v>151</v>
      </c>
      <c r="AB35" s="44">
        <v>45699</v>
      </c>
      <c r="AF35" s="47">
        <v>45719</v>
      </c>
      <c r="AG35" s="48">
        <v>180147</v>
      </c>
      <c r="AH35" s="48">
        <v>107297.31</v>
      </c>
    </row>
    <row r="36" spans="1:34" ht="19.5" customHeight="1">
      <c r="A36" s="25">
        <f t="shared" si="0"/>
        <v>35</v>
      </c>
      <c r="B36" s="26">
        <v>6146716</v>
      </c>
      <c r="C36" s="27">
        <v>45666</v>
      </c>
      <c r="E36" s="29">
        <v>4590</v>
      </c>
      <c r="F36" s="30">
        <v>1516037</v>
      </c>
      <c r="G36" s="31">
        <v>45671</v>
      </c>
      <c r="H36" s="32"/>
      <c r="J36" s="34" t="s">
        <v>103</v>
      </c>
      <c r="K36" t="s">
        <v>139</v>
      </c>
      <c r="M36" s="36" t="s">
        <v>157</v>
      </c>
      <c r="N36" s="37"/>
      <c r="O36" t="s">
        <v>83</v>
      </c>
      <c r="P36" t="s">
        <v>84</v>
      </c>
      <c r="R36" s="38">
        <v>45658</v>
      </c>
      <c r="S36" s="39">
        <v>46022</v>
      </c>
      <c r="T36" s="50">
        <v>45658</v>
      </c>
      <c r="U36" s="47">
        <v>46022</v>
      </c>
      <c r="V36" s="40" t="s">
        <v>85</v>
      </c>
      <c r="W36" s="41" t="s">
        <v>39</v>
      </c>
      <c r="Y36" s="42"/>
      <c r="Z36" t="s">
        <v>40</v>
      </c>
      <c r="AA36" s="43" t="s">
        <v>158</v>
      </c>
      <c r="AB36" s="44">
        <v>45674</v>
      </c>
      <c r="AC36" s="45"/>
      <c r="AF36" s="47">
        <v>45716</v>
      </c>
      <c r="AG36" s="48">
        <v>148756</v>
      </c>
      <c r="AH36" s="48">
        <v>54984.1</v>
      </c>
    </row>
    <row r="37" spans="1:34" ht="19.5" customHeight="1">
      <c r="A37" s="25">
        <f t="shared" si="0"/>
        <v>36</v>
      </c>
      <c r="B37" s="26">
        <v>6146802</v>
      </c>
      <c r="C37" s="27">
        <v>45663</v>
      </c>
      <c r="E37" s="29">
        <v>46641.55</v>
      </c>
      <c r="F37" s="30">
        <v>1516541</v>
      </c>
      <c r="G37" s="27">
        <v>45672</v>
      </c>
      <c r="H37" s="32"/>
      <c r="J37" s="34" t="s">
        <v>159</v>
      </c>
      <c r="K37" t="s">
        <v>160</v>
      </c>
      <c r="M37" s="36" t="s">
        <v>161</v>
      </c>
      <c r="N37" s="37"/>
      <c r="O37" t="s">
        <v>162</v>
      </c>
      <c r="P37" t="s">
        <v>163</v>
      </c>
      <c r="R37" s="38">
        <v>45658</v>
      </c>
      <c r="S37" s="39">
        <v>46022</v>
      </c>
      <c r="T37" s="38">
        <v>45658</v>
      </c>
      <c r="U37" s="39">
        <v>46022</v>
      </c>
      <c r="V37" s="40" t="s">
        <v>64</v>
      </c>
      <c r="W37" s="41" t="s">
        <v>39</v>
      </c>
      <c r="Y37" s="42"/>
      <c r="Z37" t="s">
        <v>40</v>
      </c>
      <c r="AA37" s="43"/>
      <c r="AC37" s="45"/>
      <c r="AF37" s="47">
        <v>45719</v>
      </c>
      <c r="AG37" s="48">
        <v>186297</v>
      </c>
      <c r="AH37" s="48">
        <v>71331.55</v>
      </c>
    </row>
    <row r="38" spans="1:34" ht="19.5" customHeight="1">
      <c r="A38" s="25">
        <f t="shared" si="0"/>
        <v>37</v>
      </c>
      <c r="B38" s="26">
        <v>6147009</v>
      </c>
      <c r="C38" s="27">
        <v>45666</v>
      </c>
      <c r="D38" s="28">
        <v>5707.68</v>
      </c>
      <c r="E38" s="29">
        <v>44323.56</v>
      </c>
      <c r="F38" s="30">
        <v>1516118</v>
      </c>
      <c r="G38" s="31">
        <v>45672</v>
      </c>
      <c r="H38" s="32"/>
      <c r="J38" s="34" t="s">
        <v>146</v>
      </c>
      <c r="K38" t="s">
        <v>34</v>
      </c>
      <c r="M38" s="36" t="s">
        <v>164</v>
      </c>
      <c r="N38" s="37"/>
      <c r="O38" t="s">
        <v>165</v>
      </c>
      <c r="P38" t="s">
        <v>166</v>
      </c>
      <c r="R38" s="38">
        <v>45649</v>
      </c>
      <c r="S38" s="39">
        <v>46743</v>
      </c>
      <c r="T38" s="38">
        <v>45649</v>
      </c>
      <c r="U38" s="39">
        <v>46743</v>
      </c>
      <c r="V38" s="40" t="s">
        <v>167</v>
      </c>
      <c r="W38" s="41" t="s">
        <v>114</v>
      </c>
      <c r="AA38" s="43"/>
      <c r="AC38" s="45"/>
      <c r="AF38" s="47">
        <v>45708</v>
      </c>
      <c r="AG38" s="48">
        <v>84630</v>
      </c>
      <c r="AH38" s="48">
        <v>71725.84</v>
      </c>
    </row>
    <row r="39" spans="1:34" ht="19.5" customHeight="1">
      <c r="A39" s="25">
        <f t="shared" si="0"/>
        <v>38</v>
      </c>
      <c r="B39" s="26">
        <v>6147150</v>
      </c>
      <c r="C39" s="27">
        <v>45667</v>
      </c>
      <c r="E39" s="29">
        <v>10324.59</v>
      </c>
      <c r="F39" s="30">
        <v>1516656</v>
      </c>
      <c r="G39" s="27">
        <v>45672</v>
      </c>
      <c r="H39" s="32"/>
      <c r="J39" s="34" t="s">
        <v>159</v>
      </c>
      <c r="K39" t="s">
        <v>160</v>
      </c>
      <c r="M39" s="36" t="s">
        <v>168</v>
      </c>
      <c r="N39" s="37"/>
      <c r="O39" t="s">
        <v>169</v>
      </c>
      <c r="P39" t="s">
        <v>170</v>
      </c>
      <c r="R39" s="38">
        <v>45597</v>
      </c>
      <c r="S39" s="39">
        <v>45961</v>
      </c>
      <c r="T39" s="50">
        <v>45597</v>
      </c>
      <c r="U39" s="47">
        <v>45961</v>
      </c>
      <c r="V39" s="40" t="s">
        <v>76</v>
      </c>
      <c r="W39" s="41" t="s">
        <v>39</v>
      </c>
      <c r="Y39" s="42"/>
      <c r="Z39" t="s">
        <v>40</v>
      </c>
      <c r="AA39" s="43" t="s">
        <v>171</v>
      </c>
      <c r="AB39" s="44">
        <v>45708</v>
      </c>
      <c r="AC39" s="45"/>
      <c r="AF39" s="47">
        <v>45709</v>
      </c>
      <c r="AG39" s="48">
        <v>46416</v>
      </c>
      <c r="AH39" s="48">
        <v>10324.59</v>
      </c>
    </row>
    <row r="40" spans="1:34" ht="19.5" customHeight="1">
      <c r="A40" s="25">
        <f t="shared" si="0"/>
        <v>39</v>
      </c>
      <c r="B40" s="26">
        <v>6147215</v>
      </c>
      <c r="C40" s="27">
        <v>45667</v>
      </c>
      <c r="D40" s="28">
        <v>907.2</v>
      </c>
      <c r="E40" s="29">
        <v>7044.95</v>
      </c>
      <c r="F40" s="30">
        <v>1516001</v>
      </c>
      <c r="G40" s="27">
        <v>45670</v>
      </c>
      <c r="H40" s="32"/>
      <c r="J40" s="34" t="s">
        <v>33</v>
      </c>
      <c r="K40" t="s">
        <v>34</v>
      </c>
      <c r="M40" s="36" t="s">
        <v>172</v>
      </c>
      <c r="N40" s="37"/>
      <c r="O40" t="s">
        <v>173</v>
      </c>
      <c r="P40" t="s">
        <v>174</v>
      </c>
      <c r="R40" s="38">
        <v>45641</v>
      </c>
      <c r="S40" s="39">
        <v>46005</v>
      </c>
      <c r="T40" s="50">
        <v>45641</v>
      </c>
      <c r="U40" s="47">
        <v>46005</v>
      </c>
      <c r="V40" s="40" t="s">
        <v>175</v>
      </c>
      <c r="W40" s="41" t="s">
        <v>39</v>
      </c>
      <c r="Y40" s="42"/>
      <c r="Z40" t="s">
        <v>81</v>
      </c>
      <c r="AA40" s="43"/>
      <c r="AC40" s="45"/>
      <c r="AF40" s="47">
        <v>45715</v>
      </c>
      <c r="AG40" s="48">
        <v>69832</v>
      </c>
      <c r="AH40" s="48">
        <v>44838.03</v>
      </c>
    </row>
    <row r="41" spans="1:34" ht="19.5" customHeight="1">
      <c r="A41" s="25">
        <f t="shared" si="0"/>
        <v>40</v>
      </c>
      <c r="B41" s="26">
        <v>6147230</v>
      </c>
      <c r="C41" s="27">
        <v>45667</v>
      </c>
      <c r="E41" s="29">
        <v>84116</v>
      </c>
      <c r="F41" s="30">
        <v>1517231</v>
      </c>
      <c r="G41" s="27">
        <v>45674</v>
      </c>
      <c r="H41" s="32"/>
      <c r="J41" s="34" t="s">
        <v>103</v>
      </c>
      <c r="K41" t="s">
        <v>176</v>
      </c>
      <c r="M41" s="36" t="s">
        <v>177</v>
      </c>
      <c r="N41" s="37"/>
      <c r="O41" t="s">
        <v>178</v>
      </c>
      <c r="P41" t="s">
        <v>179</v>
      </c>
      <c r="R41" s="38">
        <v>45658</v>
      </c>
      <c r="S41" s="39">
        <v>46022</v>
      </c>
      <c r="T41" s="50">
        <v>45658</v>
      </c>
      <c r="U41" s="47">
        <v>46022</v>
      </c>
      <c r="V41" s="40" t="s">
        <v>38</v>
      </c>
      <c r="W41" s="41" t="s">
        <v>39</v>
      </c>
      <c r="Y41" s="42"/>
      <c r="Z41" t="s">
        <v>40</v>
      </c>
      <c r="AA41" s="62" t="s">
        <v>180</v>
      </c>
      <c r="AB41" s="44">
        <v>45709</v>
      </c>
      <c r="AF41" s="47">
        <v>45786</v>
      </c>
      <c r="AG41" s="48">
        <v>455976</v>
      </c>
      <c r="AH41" s="48">
        <v>364124</v>
      </c>
    </row>
    <row r="42" spans="1:34" ht="19.5" customHeight="1">
      <c r="A42" s="25">
        <f t="shared" si="0"/>
        <v>41</v>
      </c>
      <c r="B42" s="26">
        <v>6147434</v>
      </c>
      <c r="C42" s="27">
        <v>45670</v>
      </c>
      <c r="E42" s="29">
        <v>110370</v>
      </c>
      <c r="F42" s="30">
        <v>1516897</v>
      </c>
      <c r="G42" s="31">
        <v>45673</v>
      </c>
      <c r="H42" s="32"/>
      <c r="J42" s="34" t="s">
        <v>33</v>
      </c>
      <c r="K42" t="s">
        <v>139</v>
      </c>
      <c r="M42" s="36" t="s">
        <v>181</v>
      </c>
      <c r="N42" s="37"/>
      <c r="O42" t="s">
        <v>95</v>
      </c>
      <c r="P42" t="s">
        <v>96</v>
      </c>
      <c r="R42" s="38">
        <v>45474</v>
      </c>
      <c r="S42" s="39">
        <v>45838</v>
      </c>
      <c r="T42" s="64" t="s">
        <v>141</v>
      </c>
      <c r="U42" s="47" t="s">
        <v>141</v>
      </c>
      <c r="V42" s="40" t="s">
        <v>93</v>
      </c>
      <c r="W42" s="41" t="s">
        <v>39</v>
      </c>
      <c r="Y42" s="42"/>
      <c r="Z42" t="s">
        <v>40</v>
      </c>
      <c r="AA42" s="43">
        <v>90006730</v>
      </c>
      <c r="AB42" s="44">
        <v>45734</v>
      </c>
      <c r="AF42" s="47">
        <v>45743</v>
      </c>
      <c r="AG42" s="48">
        <v>1269511</v>
      </c>
      <c r="AH42" s="48">
        <v>528623.42000000004</v>
      </c>
    </row>
    <row r="43" spans="1:34" ht="19.5" customHeight="1">
      <c r="A43" s="25">
        <f t="shared" si="0"/>
        <v>42</v>
      </c>
      <c r="B43" s="26">
        <v>6147521</v>
      </c>
      <c r="C43" s="27">
        <v>45670</v>
      </c>
      <c r="E43" s="29">
        <v>7540</v>
      </c>
      <c r="F43" s="30">
        <v>1516645</v>
      </c>
      <c r="G43" s="27">
        <v>45672</v>
      </c>
      <c r="H43" s="32"/>
      <c r="J43" s="34" t="s">
        <v>103</v>
      </c>
      <c r="K43" t="s">
        <v>139</v>
      </c>
      <c r="M43" s="36" t="s">
        <v>182</v>
      </c>
      <c r="N43" s="37"/>
      <c r="O43" t="s">
        <v>78</v>
      </c>
      <c r="P43" t="s">
        <v>79</v>
      </c>
      <c r="R43" s="38">
        <v>45658</v>
      </c>
      <c r="S43" s="39">
        <v>46022</v>
      </c>
      <c r="T43" s="38">
        <v>45658</v>
      </c>
      <c r="U43" s="39">
        <v>46022</v>
      </c>
      <c r="V43" s="40" t="s">
        <v>80</v>
      </c>
      <c r="W43" s="41" t="s">
        <v>39</v>
      </c>
      <c r="Y43" s="42"/>
      <c r="Z43" t="s">
        <v>81</v>
      </c>
      <c r="AA43" s="43" t="s">
        <v>183</v>
      </c>
      <c r="AB43" s="44">
        <v>45674</v>
      </c>
      <c r="AC43" s="45"/>
      <c r="AF43" s="47">
        <v>45743</v>
      </c>
      <c r="AG43" s="48">
        <v>1062323</v>
      </c>
      <c r="AH43" s="48">
        <v>675139.81</v>
      </c>
    </row>
    <row r="44" spans="1:34" ht="19.5" customHeight="1">
      <c r="A44" s="25">
        <f t="shared" si="0"/>
        <v>43</v>
      </c>
      <c r="C44" s="27">
        <v>45670</v>
      </c>
      <c r="E44" s="29">
        <v>2940</v>
      </c>
      <c r="F44" s="30">
        <v>1516050</v>
      </c>
      <c r="G44" s="31">
        <v>45670</v>
      </c>
      <c r="H44" s="32"/>
      <c r="J44" s="34" t="s">
        <v>33</v>
      </c>
      <c r="K44" t="s">
        <v>139</v>
      </c>
      <c r="M44" s="36" t="s">
        <v>184</v>
      </c>
      <c r="N44" s="37"/>
      <c r="O44" t="s">
        <v>78</v>
      </c>
      <c r="P44" t="s">
        <v>79</v>
      </c>
      <c r="R44" s="38">
        <v>45658</v>
      </c>
      <c r="S44" s="39">
        <v>46022</v>
      </c>
      <c r="T44" s="50" t="s">
        <v>141</v>
      </c>
      <c r="U44" s="47" t="s">
        <v>141</v>
      </c>
      <c r="V44" s="40" t="s">
        <v>80</v>
      </c>
      <c r="W44" s="41" t="s">
        <v>39</v>
      </c>
      <c r="Y44" s="42" t="s">
        <v>185</v>
      </c>
      <c r="Z44" t="s">
        <v>81</v>
      </c>
      <c r="AA44" s="43">
        <v>90006678</v>
      </c>
      <c r="AB44" s="44">
        <v>45715</v>
      </c>
      <c r="AF44" s="47">
        <v>45719</v>
      </c>
      <c r="AG44" s="48">
        <v>1062323</v>
      </c>
      <c r="AH44" s="48">
        <v>675139.81</v>
      </c>
    </row>
    <row r="45" spans="1:34" ht="19.5" customHeight="1">
      <c r="A45" s="25">
        <f t="shared" si="0"/>
        <v>44</v>
      </c>
      <c r="C45" s="27">
        <v>45670</v>
      </c>
      <c r="D45" s="28">
        <v>595</v>
      </c>
      <c r="E45" s="29">
        <v>4620.53</v>
      </c>
      <c r="F45" s="30">
        <v>1516054</v>
      </c>
      <c r="G45" s="27">
        <v>45670</v>
      </c>
      <c r="H45" s="32"/>
      <c r="J45" s="34" t="s">
        <v>33</v>
      </c>
      <c r="K45" t="s">
        <v>186</v>
      </c>
      <c r="M45" s="36" t="s">
        <v>187</v>
      </c>
      <c r="N45" s="37"/>
      <c r="O45" t="s">
        <v>78</v>
      </c>
      <c r="P45" t="s">
        <v>79</v>
      </c>
      <c r="R45" s="38">
        <v>45658</v>
      </c>
      <c r="S45" s="39">
        <v>46022</v>
      </c>
      <c r="T45" s="50" t="s">
        <v>141</v>
      </c>
      <c r="U45" s="47" t="s">
        <v>141</v>
      </c>
      <c r="V45" s="40" t="s">
        <v>80</v>
      </c>
      <c r="W45" s="41" t="s">
        <v>39</v>
      </c>
      <c r="Y45" s="42"/>
      <c r="Z45" t="s">
        <v>81</v>
      </c>
      <c r="AA45" s="43" t="s">
        <v>188</v>
      </c>
      <c r="AB45" s="44">
        <v>45680</v>
      </c>
      <c r="AF45" s="47">
        <v>45743</v>
      </c>
      <c r="AG45" s="48">
        <v>1062323</v>
      </c>
      <c r="AH45" s="48">
        <v>675139.81</v>
      </c>
    </row>
    <row r="46" spans="1:34" ht="19.5" customHeight="1">
      <c r="A46" s="25">
        <f t="shared" si="0"/>
        <v>45</v>
      </c>
      <c r="B46" s="26">
        <v>6147606</v>
      </c>
      <c r="C46" s="27">
        <v>45670</v>
      </c>
      <c r="D46" s="28">
        <v>550.41999999999996</v>
      </c>
      <c r="E46" s="29">
        <v>4274.34</v>
      </c>
      <c r="F46" s="30">
        <v>1516262</v>
      </c>
      <c r="G46" s="27">
        <v>45672</v>
      </c>
      <c r="H46" s="32"/>
      <c r="J46" s="34" t="s">
        <v>33</v>
      </c>
      <c r="K46" t="s">
        <v>34</v>
      </c>
      <c r="M46" s="36" t="s">
        <v>189</v>
      </c>
      <c r="N46" s="37"/>
      <c r="O46" t="s">
        <v>190</v>
      </c>
      <c r="P46" t="s">
        <v>191</v>
      </c>
      <c r="R46" s="38">
        <v>45694</v>
      </c>
      <c r="S46" s="39">
        <v>46058</v>
      </c>
      <c r="T46" s="38">
        <v>45694</v>
      </c>
      <c r="U46" s="39">
        <v>46058</v>
      </c>
      <c r="V46" s="40" t="s">
        <v>192</v>
      </c>
      <c r="W46" s="41" t="s">
        <v>39</v>
      </c>
      <c r="Y46" s="42" t="s">
        <v>56</v>
      </c>
      <c r="Z46" t="s">
        <v>40</v>
      </c>
      <c r="AA46" s="43"/>
      <c r="AC46" s="45"/>
      <c r="AF46" s="47">
        <v>45708</v>
      </c>
      <c r="AG46" s="48">
        <v>4969</v>
      </c>
      <c r="AH46" s="48">
        <v>4320.8</v>
      </c>
    </row>
    <row r="47" spans="1:34" ht="19.5" customHeight="1">
      <c r="A47" s="25">
        <f t="shared" si="0"/>
        <v>46</v>
      </c>
      <c r="B47" s="26">
        <v>6147624</v>
      </c>
      <c r="C47" s="27">
        <v>45670</v>
      </c>
      <c r="E47" s="65">
        <f>21920-12350</f>
        <v>9570</v>
      </c>
      <c r="F47" s="30">
        <v>1516657</v>
      </c>
      <c r="G47" s="31">
        <v>45679</v>
      </c>
      <c r="H47" s="32"/>
      <c r="J47" s="34" t="s">
        <v>33</v>
      </c>
      <c r="K47" s="66" t="s">
        <v>193</v>
      </c>
      <c r="M47" s="36" t="s">
        <v>194</v>
      </c>
      <c r="N47" s="37"/>
      <c r="O47" t="s">
        <v>91</v>
      </c>
      <c r="P47" t="s">
        <v>92</v>
      </c>
      <c r="R47" s="38">
        <v>45658</v>
      </c>
      <c r="S47" s="39">
        <v>46022</v>
      </c>
      <c r="T47" s="50" t="s">
        <v>141</v>
      </c>
      <c r="U47" s="47" t="s">
        <v>141</v>
      </c>
      <c r="V47" s="40" t="s">
        <v>93</v>
      </c>
      <c r="W47" s="41" t="s">
        <v>39</v>
      </c>
      <c r="Y47" s="42"/>
      <c r="Z47" t="s">
        <v>40</v>
      </c>
      <c r="AA47" s="62" t="s">
        <v>195</v>
      </c>
      <c r="AB47" s="44">
        <v>45720</v>
      </c>
      <c r="AF47" s="47">
        <v>45771</v>
      </c>
      <c r="AG47" s="48">
        <v>478060</v>
      </c>
      <c r="AH47" s="48">
        <v>413212.07</v>
      </c>
    </row>
    <row r="48" spans="1:34" ht="19.5" customHeight="1">
      <c r="A48" s="25">
        <f t="shared" si="0"/>
        <v>47</v>
      </c>
      <c r="B48" s="26">
        <v>6147671</v>
      </c>
      <c r="C48" s="27">
        <v>45670</v>
      </c>
      <c r="E48" s="29">
        <v>24390</v>
      </c>
      <c r="F48" s="30">
        <v>1516850</v>
      </c>
      <c r="G48" s="31">
        <v>45673</v>
      </c>
      <c r="H48" s="32"/>
      <c r="J48" s="34" t="s">
        <v>33</v>
      </c>
      <c r="K48" t="s">
        <v>139</v>
      </c>
      <c r="M48" s="36" t="s">
        <v>196</v>
      </c>
      <c r="N48" s="37"/>
      <c r="O48" t="s">
        <v>126</v>
      </c>
      <c r="P48" t="s">
        <v>127</v>
      </c>
      <c r="R48" s="38">
        <v>45654</v>
      </c>
      <c r="S48" s="39">
        <v>46018</v>
      </c>
      <c r="T48" s="50" t="s">
        <v>141</v>
      </c>
      <c r="U48" s="47" t="s">
        <v>141</v>
      </c>
      <c r="V48" s="40" t="s">
        <v>128</v>
      </c>
      <c r="W48" s="41" t="s">
        <v>39</v>
      </c>
      <c r="Y48" s="42"/>
      <c r="Z48" t="s">
        <v>40</v>
      </c>
      <c r="AA48" s="43">
        <v>90006730</v>
      </c>
      <c r="AB48" s="44">
        <v>45734</v>
      </c>
      <c r="AF48" s="47">
        <v>45743</v>
      </c>
      <c r="AG48" s="48">
        <v>87384</v>
      </c>
      <c r="AH48" s="48">
        <v>51001.03</v>
      </c>
    </row>
    <row r="49" spans="1:34" ht="19.5" customHeight="1">
      <c r="A49" s="25">
        <f t="shared" si="0"/>
        <v>48</v>
      </c>
      <c r="B49" s="26">
        <v>6147694</v>
      </c>
      <c r="C49" s="27">
        <v>45670</v>
      </c>
      <c r="D49" s="28">
        <v>3012</v>
      </c>
      <c r="E49" s="29">
        <v>23389.99</v>
      </c>
      <c r="F49" s="30">
        <v>1516261</v>
      </c>
      <c r="G49" s="31">
        <v>45671</v>
      </c>
      <c r="H49" s="32"/>
      <c r="J49" s="34" t="s">
        <v>33</v>
      </c>
      <c r="K49" t="s">
        <v>34</v>
      </c>
      <c r="M49" s="36" t="s">
        <v>197</v>
      </c>
      <c r="N49" s="37"/>
      <c r="O49" t="s">
        <v>198</v>
      </c>
      <c r="P49" t="s">
        <v>199</v>
      </c>
      <c r="R49" s="38">
        <v>45658</v>
      </c>
      <c r="S49" s="39">
        <v>46022</v>
      </c>
      <c r="T49" s="50">
        <v>45658</v>
      </c>
      <c r="U49" s="47">
        <v>46022</v>
      </c>
      <c r="V49" s="40" t="s">
        <v>51</v>
      </c>
      <c r="W49" s="41" t="s">
        <v>39</v>
      </c>
      <c r="Y49" s="42" t="s">
        <v>56</v>
      </c>
      <c r="Z49" t="s">
        <v>40</v>
      </c>
      <c r="AA49" s="43"/>
      <c r="AC49" s="45"/>
      <c r="AF49" s="47">
        <v>45708</v>
      </c>
      <c r="AG49" s="48">
        <v>116730</v>
      </c>
      <c r="AH49" s="48">
        <v>100100.42</v>
      </c>
    </row>
    <row r="50" spans="1:34" ht="19.5" customHeight="1">
      <c r="A50" s="25">
        <f t="shared" si="0"/>
        <v>49</v>
      </c>
      <c r="C50" s="27">
        <v>45671</v>
      </c>
      <c r="E50" s="29">
        <v>3270</v>
      </c>
      <c r="F50" s="30">
        <v>1516284</v>
      </c>
      <c r="G50" s="27">
        <v>45671</v>
      </c>
      <c r="H50" s="32"/>
      <c r="J50" s="34" t="s">
        <v>33</v>
      </c>
      <c r="K50" t="s">
        <v>139</v>
      </c>
      <c r="M50" s="36" t="s">
        <v>200</v>
      </c>
      <c r="N50" s="37"/>
      <c r="O50" t="s">
        <v>53</v>
      </c>
      <c r="P50" t="s">
        <v>54</v>
      </c>
      <c r="R50" s="38">
        <v>45661</v>
      </c>
      <c r="S50" s="39">
        <v>46026</v>
      </c>
      <c r="T50" s="50" t="s">
        <v>141</v>
      </c>
      <c r="U50" s="47" t="s">
        <v>141</v>
      </c>
      <c r="V50" s="40" t="s">
        <v>55</v>
      </c>
      <c r="W50" s="41" t="s">
        <v>39</v>
      </c>
      <c r="Y50" s="42"/>
      <c r="Z50" t="s">
        <v>40</v>
      </c>
      <c r="AA50" s="43">
        <v>90006678</v>
      </c>
      <c r="AB50" s="44">
        <v>45715</v>
      </c>
      <c r="AF50" s="47">
        <v>45716</v>
      </c>
      <c r="AG50" s="48">
        <v>43125</v>
      </c>
      <c r="AH50" s="48">
        <v>36700.959999999999</v>
      </c>
    </row>
    <row r="51" spans="1:34" ht="19.5" customHeight="1">
      <c r="A51" s="25">
        <f t="shared" si="0"/>
        <v>50</v>
      </c>
      <c r="C51" s="27">
        <v>45671</v>
      </c>
      <c r="E51" s="29">
        <v>6490</v>
      </c>
      <c r="F51" s="30">
        <v>1516461</v>
      </c>
      <c r="G51" s="27">
        <v>45671</v>
      </c>
      <c r="H51" s="32"/>
      <c r="J51" s="34" t="s">
        <v>33</v>
      </c>
      <c r="K51" t="s">
        <v>139</v>
      </c>
      <c r="M51" s="36" t="s">
        <v>201</v>
      </c>
      <c r="N51" s="37"/>
      <c r="O51" t="s">
        <v>119</v>
      </c>
      <c r="P51" t="s">
        <v>120</v>
      </c>
      <c r="R51" s="38">
        <v>45675</v>
      </c>
      <c r="S51" s="39">
        <v>46039</v>
      </c>
      <c r="T51" s="50" t="s">
        <v>141</v>
      </c>
      <c r="U51" s="47" t="s">
        <v>141</v>
      </c>
      <c r="V51" s="40" t="s">
        <v>85</v>
      </c>
      <c r="W51" s="41" t="s">
        <v>39</v>
      </c>
      <c r="Y51" s="42"/>
      <c r="Z51" t="s">
        <v>40</v>
      </c>
      <c r="AA51" s="43">
        <v>90006678</v>
      </c>
      <c r="AB51" s="44">
        <v>45715</v>
      </c>
      <c r="AF51" s="47">
        <v>45716</v>
      </c>
      <c r="AG51" s="48">
        <v>67418</v>
      </c>
      <c r="AH51" s="48">
        <v>57475.38</v>
      </c>
    </row>
    <row r="52" spans="1:34" ht="19.5" customHeight="1">
      <c r="A52" s="25">
        <f t="shared" si="0"/>
        <v>51</v>
      </c>
      <c r="C52" s="27">
        <v>45671</v>
      </c>
      <c r="D52" s="28">
        <v>495</v>
      </c>
      <c r="E52" s="29">
        <v>3843.97</v>
      </c>
      <c r="F52" s="30">
        <v>1516512</v>
      </c>
      <c r="G52" s="31">
        <v>45671</v>
      </c>
      <c r="H52" s="32"/>
      <c r="J52" s="34" t="s">
        <v>33</v>
      </c>
      <c r="K52" t="s">
        <v>186</v>
      </c>
      <c r="M52" s="36" t="s">
        <v>202</v>
      </c>
      <c r="N52" s="37"/>
      <c r="P52" s="67" t="s">
        <v>141</v>
      </c>
      <c r="Q52" s="67"/>
      <c r="R52" s="38"/>
      <c r="S52" s="39"/>
      <c r="T52" s="50"/>
      <c r="U52" s="47"/>
      <c r="W52" s="41" t="s">
        <v>39</v>
      </c>
      <c r="AA52" s="43" t="s">
        <v>203</v>
      </c>
      <c r="AB52" s="44">
        <v>45693</v>
      </c>
      <c r="AF52" s="47">
        <v>45719</v>
      </c>
      <c r="AG52" s="48"/>
      <c r="AH52" s="48"/>
    </row>
    <row r="53" spans="1:34" ht="19.5" customHeight="1">
      <c r="A53" s="25">
        <f t="shared" si="0"/>
        <v>52</v>
      </c>
      <c r="B53" s="26" t="s">
        <v>141</v>
      </c>
      <c r="C53" s="27">
        <v>45671</v>
      </c>
      <c r="E53" s="29">
        <v>7330</v>
      </c>
      <c r="F53" s="30">
        <v>1516516</v>
      </c>
      <c r="G53" s="31">
        <v>45671</v>
      </c>
      <c r="H53" s="32"/>
      <c r="J53" s="34" t="s">
        <v>33</v>
      </c>
      <c r="K53" t="s">
        <v>139</v>
      </c>
      <c r="M53" s="36" t="s">
        <v>204</v>
      </c>
      <c r="N53" s="37"/>
      <c r="O53" t="s">
        <v>205</v>
      </c>
      <c r="P53" s="67" t="s">
        <v>141</v>
      </c>
      <c r="Q53" s="67"/>
      <c r="R53" s="38"/>
      <c r="S53" s="39"/>
      <c r="T53" s="50"/>
      <c r="U53" s="47"/>
      <c r="W53" s="41" t="s">
        <v>39</v>
      </c>
      <c r="AA53" s="62">
        <v>90006678</v>
      </c>
      <c r="AB53" s="44">
        <v>45715</v>
      </c>
      <c r="AC53" s="63">
        <v>60015876</v>
      </c>
      <c r="AG53" s="48"/>
      <c r="AH53" s="48"/>
    </row>
    <row r="54" spans="1:34" ht="19.5" customHeight="1">
      <c r="A54" s="25">
        <f t="shared" si="0"/>
        <v>53</v>
      </c>
      <c r="B54" s="26">
        <v>6148388</v>
      </c>
      <c r="C54" s="27">
        <v>45672</v>
      </c>
      <c r="D54" s="28">
        <v>1194.75</v>
      </c>
      <c r="E54" s="29">
        <v>9277.9500000000007</v>
      </c>
      <c r="F54" s="30">
        <v>1516714</v>
      </c>
      <c r="G54" s="31">
        <v>45672</v>
      </c>
      <c r="H54" s="32"/>
      <c r="J54" s="34" t="s">
        <v>103</v>
      </c>
      <c r="K54" s="40" t="s">
        <v>206</v>
      </c>
      <c r="M54" s="36" t="s">
        <v>207</v>
      </c>
      <c r="N54" s="37"/>
      <c r="O54" t="s">
        <v>208</v>
      </c>
      <c r="P54" t="s">
        <v>209</v>
      </c>
      <c r="R54" s="38">
        <v>45527</v>
      </c>
      <c r="S54" s="39">
        <v>45891</v>
      </c>
      <c r="T54" s="50">
        <v>45527</v>
      </c>
      <c r="U54" s="47">
        <v>45891</v>
      </c>
      <c r="V54" s="40" t="s">
        <v>210</v>
      </c>
      <c r="W54" s="41" t="s">
        <v>39</v>
      </c>
      <c r="Y54" s="42"/>
      <c r="Z54" t="s">
        <v>40</v>
      </c>
      <c r="AA54" s="62" t="s">
        <v>211</v>
      </c>
      <c r="AB54" s="44">
        <v>45692</v>
      </c>
      <c r="AF54" s="47">
        <v>45771</v>
      </c>
      <c r="AG54" s="48">
        <v>21000</v>
      </c>
      <c r="AH54" s="48">
        <v>12651.06</v>
      </c>
    </row>
    <row r="55" spans="1:34" ht="19.5" customHeight="1">
      <c r="A55" s="25">
        <f t="shared" si="0"/>
        <v>54</v>
      </c>
      <c r="B55" s="26">
        <v>6148429</v>
      </c>
      <c r="C55" s="27">
        <v>45672</v>
      </c>
      <c r="E55" s="29">
        <v>18640</v>
      </c>
      <c r="F55" s="30">
        <v>1517284</v>
      </c>
      <c r="G55" s="27">
        <v>45678</v>
      </c>
      <c r="H55" s="32"/>
      <c r="J55" s="34" t="s">
        <v>103</v>
      </c>
      <c r="K55" t="s">
        <v>212</v>
      </c>
      <c r="M55" s="36" t="s">
        <v>213</v>
      </c>
      <c r="N55" s="37"/>
      <c r="O55" t="s">
        <v>198</v>
      </c>
      <c r="P55" t="s">
        <v>199</v>
      </c>
      <c r="R55" s="38">
        <v>45658</v>
      </c>
      <c r="S55" s="39">
        <v>46022</v>
      </c>
      <c r="T55" s="50">
        <v>45658</v>
      </c>
      <c r="U55" s="39">
        <v>46022</v>
      </c>
      <c r="V55" s="40" t="s">
        <v>51</v>
      </c>
      <c r="W55" s="41" t="s">
        <v>39</v>
      </c>
      <c r="Y55" s="42"/>
      <c r="Z55" t="s">
        <v>40</v>
      </c>
      <c r="AA55" s="43"/>
      <c r="AC55" s="45"/>
      <c r="AF55" s="47">
        <v>45747</v>
      </c>
      <c r="AG55" s="48">
        <v>116730</v>
      </c>
      <c r="AH55" s="48">
        <v>100100.42</v>
      </c>
    </row>
    <row r="56" spans="1:34" ht="19.5" customHeight="1">
      <c r="A56" s="25">
        <f t="shared" si="0"/>
        <v>55</v>
      </c>
      <c r="B56" s="26">
        <v>6148534</v>
      </c>
      <c r="C56" s="27">
        <v>45672</v>
      </c>
      <c r="D56" s="28">
        <v>7940.66</v>
      </c>
      <c r="E56" s="29">
        <v>61663.99</v>
      </c>
      <c r="F56" s="30">
        <v>1516912</v>
      </c>
      <c r="G56" s="31">
        <v>45677</v>
      </c>
      <c r="H56" s="68">
        <v>7940.66</v>
      </c>
      <c r="I56" s="29">
        <v>61663.99</v>
      </c>
      <c r="J56" s="34" t="s">
        <v>33</v>
      </c>
      <c r="K56" t="s">
        <v>34</v>
      </c>
      <c r="M56" s="36" t="s">
        <v>214</v>
      </c>
      <c r="N56" s="37"/>
      <c r="O56" t="s">
        <v>215</v>
      </c>
      <c r="P56" t="s">
        <v>216</v>
      </c>
      <c r="R56" s="38">
        <v>45590</v>
      </c>
      <c r="S56" s="39">
        <v>45954</v>
      </c>
      <c r="T56" s="38">
        <v>45614</v>
      </c>
      <c r="U56" s="39">
        <v>45961</v>
      </c>
      <c r="V56" s="40" t="s">
        <v>85</v>
      </c>
      <c r="W56" s="41" t="s">
        <v>39</v>
      </c>
      <c r="Y56" s="42"/>
      <c r="Z56" t="s">
        <v>40</v>
      </c>
      <c r="AA56" s="43"/>
      <c r="AC56" s="45"/>
      <c r="AF56" s="47">
        <v>45708</v>
      </c>
      <c r="AG56" s="48">
        <v>292626</v>
      </c>
      <c r="AH56" s="48">
        <v>154672.53</v>
      </c>
    </row>
    <row r="57" spans="1:34" ht="19.5" customHeight="1">
      <c r="A57" s="25">
        <f t="shared" si="0"/>
        <v>56</v>
      </c>
      <c r="B57" s="26">
        <v>6148551</v>
      </c>
      <c r="C57" s="27">
        <v>45672</v>
      </c>
      <c r="D57" s="28">
        <v>1971.22</v>
      </c>
      <c r="E57" s="29">
        <v>15307.71</v>
      </c>
      <c r="F57" s="30">
        <v>1516844</v>
      </c>
      <c r="G57" s="31">
        <v>45673</v>
      </c>
      <c r="H57" s="32"/>
      <c r="J57" s="34" t="s">
        <v>33</v>
      </c>
      <c r="K57" t="s">
        <v>34</v>
      </c>
      <c r="M57" s="36" t="s">
        <v>217</v>
      </c>
      <c r="N57" s="37"/>
      <c r="O57" t="s">
        <v>218</v>
      </c>
      <c r="P57" t="s">
        <v>219</v>
      </c>
      <c r="R57" s="38">
        <v>45658</v>
      </c>
      <c r="S57" s="39">
        <v>46022</v>
      </c>
      <c r="T57" s="50">
        <v>45658</v>
      </c>
      <c r="U57" s="47">
        <v>46022</v>
      </c>
      <c r="V57" s="40" t="s">
        <v>97</v>
      </c>
      <c r="W57" s="41" t="s">
        <v>39</v>
      </c>
      <c r="Y57" s="42"/>
      <c r="Z57" t="s">
        <v>40</v>
      </c>
      <c r="AA57" s="43"/>
      <c r="AC57" s="45"/>
      <c r="AF57" s="47">
        <v>45708</v>
      </c>
      <c r="AG57" s="48">
        <v>36006</v>
      </c>
      <c r="AH57" s="48">
        <v>15474.08</v>
      </c>
    </row>
    <row r="58" spans="1:34" ht="19.5" customHeight="1">
      <c r="A58" s="25">
        <f t="shared" si="0"/>
        <v>57</v>
      </c>
      <c r="B58" s="26">
        <v>6148644</v>
      </c>
      <c r="C58" s="27">
        <v>45673</v>
      </c>
      <c r="D58" s="28">
        <v>1812</v>
      </c>
      <c r="E58" s="29">
        <v>14071.27</v>
      </c>
      <c r="F58" s="30">
        <v>1517555</v>
      </c>
      <c r="G58" s="31">
        <v>45678</v>
      </c>
      <c r="H58" s="32"/>
      <c r="J58" s="34" t="s">
        <v>103</v>
      </c>
      <c r="K58" s="40" t="s">
        <v>206</v>
      </c>
      <c r="M58" s="36" t="s">
        <v>220</v>
      </c>
      <c r="N58" s="37"/>
      <c r="O58" t="s">
        <v>221</v>
      </c>
      <c r="P58" t="s">
        <v>222</v>
      </c>
      <c r="R58" s="38">
        <v>45511</v>
      </c>
      <c r="S58" s="39">
        <v>45875</v>
      </c>
      <c r="T58" s="38">
        <v>45511</v>
      </c>
      <c r="U58" s="39">
        <v>45875</v>
      </c>
      <c r="V58" s="40" t="s">
        <v>210</v>
      </c>
      <c r="W58" s="41" t="s">
        <v>39</v>
      </c>
      <c r="Y58" s="42"/>
      <c r="Z58" t="s">
        <v>40</v>
      </c>
      <c r="AA58" s="43" t="s">
        <v>223</v>
      </c>
      <c r="AB58" s="44">
        <v>45698</v>
      </c>
      <c r="AC58" s="45"/>
      <c r="AF58" s="47">
        <v>45743</v>
      </c>
      <c r="AG58" s="48">
        <v>18588</v>
      </c>
      <c r="AH58" s="48">
        <v>14224.2</v>
      </c>
    </row>
    <row r="59" spans="1:34" ht="19.5" customHeight="1">
      <c r="A59" s="25">
        <f t="shared" si="0"/>
        <v>58</v>
      </c>
      <c r="B59" s="26">
        <v>6149061</v>
      </c>
      <c r="C59" s="27">
        <v>45674</v>
      </c>
      <c r="D59" s="28">
        <v>2259</v>
      </c>
      <c r="E59" s="29">
        <v>17542.490000000002</v>
      </c>
      <c r="F59" s="30">
        <v>1517091</v>
      </c>
      <c r="G59" s="31">
        <v>45674</v>
      </c>
      <c r="H59" s="32"/>
      <c r="J59" s="34" t="s">
        <v>33</v>
      </c>
      <c r="K59" t="s">
        <v>34</v>
      </c>
      <c r="M59" s="36" t="s">
        <v>224</v>
      </c>
      <c r="N59" s="37"/>
      <c r="O59" t="s">
        <v>225</v>
      </c>
      <c r="P59" t="s">
        <v>226</v>
      </c>
      <c r="R59" s="38">
        <v>45645</v>
      </c>
      <c r="S59" s="39">
        <v>46009</v>
      </c>
      <c r="T59" s="50">
        <v>45645</v>
      </c>
      <c r="U59" s="47">
        <v>46009</v>
      </c>
      <c r="V59" s="69" t="s">
        <v>227</v>
      </c>
      <c r="W59" s="41" t="s">
        <v>39</v>
      </c>
      <c r="Y59" s="42" t="s">
        <v>56</v>
      </c>
      <c r="Z59" t="s">
        <v>40</v>
      </c>
      <c r="AA59" s="43"/>
      <c r="AC59" s="45"/>
      <c r="AF59" s="47">
        <v>45708</v>
      </c>
      <c r="AG59" s="48">
        <v>23373</v>
      </c>
      <c r="AH59" s="48">
        <v>17733.150000000001</v>
      </c>
    </row>
    <row r="60" spans="1:34" ht="19.5" customHeight="1">
      <c r="A60" s="25">
        <f t="shared" si="0"/>
        <v>59</v>
      </c>
      <c r="B60" s="26">
        <v>6149082</v>
      </c>
      <c r="C60" s="27">
        <v>45674</v>
      </c>
      <c r="E60" s="65">
        <v>13400</v>
      </c>
      <c r="F60" s="30">
        <v>1517130</v>
      </c>
      <c r="G60" s="31">
        <v>45679</v>
      </c>
      <c r="H60" s="32"/>
      <c r="J60" s="34" t="s">
        <v>33</v>
      </c>
      <c r="K60" t="s">
        <v>193</v>
      </c>
      <c r="M60" s="36" t="s">
        <v>228</v>
      </c>
      <c r="N60" s="37"/>
      <c r="P60" s="67" t="s">
        <v>141</v>
      </c>
      <c r="Q60" s="67"/>
      <c r="R60" s="38"/>
      <c r="S60" s="39"/>
      <c r="T60" s="50"/>
      <c r="U60" s="47"/>
      <c r="W60" s="41" t="s">
        <v>39</v>
      </c>
      <c r="AA60" s="62" t="s">
        <v>229</v>
      </c>
      <c r="AB60" s="44">
        <v>45715</v>
      </c>
      <c r="AC60" s="63" t="s">
        <v>230</v>
      </c>
      <c r="AF60" s="47">
        <v>45881</v>
      </c>
      <c r="AG60" s="48"/>
      <c r="AH60" s="48"/>
    </row>
    <row r="61" spans="1:34" ht="19.5" customHeight="1">
      <c r="A61" s="25">
        <f t="shared" si="0"/>
        <v>60</v>
      </c>
      <c r="B61" s="26">
        <v>6149437</v>
      </c>
      <c r="C61" s="27">
        <v>45674</v>
      </c>
      <c r="D61" s="70">
        <v>12658.54</v>
      </c>
      <c r="E61" s="65">
        <f>D61*7.76560035729738</f>
        <v>98301.162746863192</v>
      </c>
      <c r="F61" s="30">
        <v>1517803</v>
      </c>
      <c r="G61" s="31">
        <v>45685</v>
      </c>
      <c r="H61" s="32"/>
      <c r="J61" s="34" t="s">
        <v>33</v>
      </c>
      <c r="K61" t="s">
        <v>34</v>
      </c>
      <c r="M61" s="36" t="s">
        <v>231</v>
      </c>
      <c r="N61" s="37"/>
      <c r="O61" t="s">
        <v>232</v>
      </c>
      <c r="P61" t="s">
        <v>233</v>
      </c>
      <c r="R61" s="38">
        <v>45658</v>
      </c>
      <c r="S61" s="39">
        <v>46022</v>
      </c>
      <c r="T61" s="38">
        <v>45944</v>
      </c>
      <c r="U61" s="39">
        <v>46308</v>
      </c>
      <c r="V61" s="40" t="s">
        <v>128</v>
      </c>
      <c r="W61" s="41" t="s">
        <v>39</v>
      </c>
      <c r="Y61" s="42"/>
      <c r="Z61" t="s">
        <v>81</v>
      </c>
      <c r="AA61" s="43"/>
      <c r="AC61" s="45"/>
      <c r="AF61" s="47">
        <v>45708</v>
      </c>
      <c r="AG61" s="48">
        <v>1059839</v>
      </c>
      <c r="AH61" s="48">
        <v>858441.03</v>
      </c>
    </row>
    <row r="62" spans="1:34" ht="19.5" customHeight="1">
      <c r="A62" s="25">
        <f t="shared" si="0"/>
        <v>61</v>
      </c>
      <c r="B62" s="26">
        <v>6149460</v>
      </c>
      <c r="C62" s="27">
        <v>45674</v>
      </c>
      <c r="D62" s="28">
        <v>801</v>
      </c>
      <c r="E62" s="29">
        <v>6220.24</v>
      </c>
      <c r="F62" s="30">
        <v>1518057</v>
      </c>
      <c r="G62" s="31">
        <v>45680</v>
      </c>
      <c r="H62" s="32"/>
      <c r="J62" s="34" t="s">
        <v>103</v>
      </c>
      <c r="K62" s="40" t="s">
        <v>206</v>
      </c>
      <c r="M62" s="36" t="s">
        <v>234</v>
      </c>
      <c r="N62" s="37"/>
      <c r="O62" t="s">
        <v>235</v>
      </c>
      <c r="P62" t="s">
        <v>236</v>
      </c>
      <c r="R62" s="38">
        <v>45668</v>
      </c>
      <c r="S62" s="39">
        <v>46032</v>
      </c>
      <c r="T62" s="38">
        <v>45668</v>
      </c>
      <c r="U62" s="39">
        <v>46032</v>
      </c>
      <c r="V62" s="40" t="s">
        <v>51</v>
      </c>
      <c r="W62" s="41" t="s">
        <v>114</v>
      </c>
      <c r="Z62" t="s">
        <v>81</v>
      </c>
      <c r="AA62" s="43" t="s">
        <v>211</v>
      </c>
      <c r="AB62" s="44">
        <v>45693</v>
      </c>
      <c r="AC62" s="45"/>
      <c r="AF62" s="47">
        <v>45743</v>
      </c>
      <c r="AG62" s="48">
        <v>10150</v>
      </c>
      <c r="AH62" s="48">
        <v>6287.85</v>
      </c>
    </row>
    <row r="63" spans="1:34" ht="19.5" customHeight="1">
      <c r="A63" s="25">
        <f t="shared" si="0"/>
        <v>62</v>
      </c>
      <c r="B63" s="26" t="s">
        <v>141</v>
      </c>
      <c r="C63" s="27">
        <v>45674</v>
      </c>
      <c r="E63" s="29">
        <v>2270</v>
      </c>
      <c r="F63" s="30">
        <v>1517188</v>
      </c>
      <c r="G63" s="31">
        <v>45674</v>
      </c>
      <c r="H63" s="32"/>
      <c r="J63" s="34" t="s">
        <v>33</v>
      </c>
      <c r="K63" t="s">
        <v>139</v>
      </c>
      <c r="M63" s="36" t="s">
        <v>237</v>
      </c>
      <c r="N63" s="37"/>
      <c r="O63" t="s">
        <v>232</v>
      </c>
      <c r="P63" t="s">
        <v>233</v>
      </c>
      <c r="R63" s="38">
        <v>45658</v>
      </c>
      <c r="S63" s="39">
        <v>46022</v>
      </c>
      <c r="T63" s="50" t="s">
        <v>141</v>
      </c>
      <c r="U63" s="47" t="s">
        <v>141</v>
      </c>
      <c r="V63" s="40" t="s">
        <v>128</v>
      </c>
      <c r="W63" s="41" t="s">
        <v>39</v>
      </c>
      <c r="Y63" s="42" t="s">
        <v>185</v>
      </c>
      <c r="Z63" t="s">
        <v>81</v>
      </c>
      <c r="AA63" s="43">
        <v>90006680</v>
      </c>
      <c r="AB63" s="44">
        <v>45723</v>
      </c>
      <c r="AF63" s="47">
        <v>45749</v>
      </c>
      <c r="AG63" s="48">
        <v>1059839</v>
      </c>
      <c r="AH63" s="48">
        <v>858441.03</v>
      </c>
    </row>
    <row r="64" spans="1:34" ht="19.5" customHeight="1">
      <c r="A64" s="25">
        <f t="shared" si="0"/>
        <v>63</v>
      </c>
      <c r="B64" s="26">
        <v>6149651</v>
      </c>
      <c r="C64" s="27">
        <v>45677</v>
      </c>
      <c r="D64" s="28">
        <v>13185.92</v>
      </c>
      <c r="E64" s="29">
        <v>102396.58</v>
      </c>
      <c r="F64" s="30">
        <v>1517722</v>
      </c>
      <c r="G64" s="27">
        <v>45681</v>
      </c>
      <c r="H64" s="32"/>
      <c r="J64" s="34" t="s">
        <v>33</v>
      </c>
      <c r="K64" t="s">
        <v>34</v>
      </c>
      <c r="M64" s="36" t="s">
        <v>238</v>
      </c>
      <c r="N64" s="37"/>
      <c r="O64" t="s">
        <v>232</v>
      </c>
      <c r="P64" t="s">
        <v>233</v>
      </c>
      <c r="R64" s="38">
        <v>45658</v>
      </c>
      <c r="S64" s="39">
        <v>46022</v>
      </c>
      <c r="T64" s="50">
        <v>45674</v>
      </c>
      <c r="U64" s="47">
        <v>46038</v>
      </c>
      <c r="V64" s="40" t="s">
        <v>128</v>
      </c>
      <c r="W64" s="41" t="s">
        <v>39</v>
      </c>
      <c r="Y64" s="42"/>
      <c r="Z64" t="s">
        <v>81</v>
      </c>
      <c r="AA64" s="43"/>
      <c r="AC64" s="45"/>
      <c r="AF64" s="47">
        <v>45708</v>
      </c>
      <c r="AG64" s="48">
        <v>1059839</v>
      </c>
      <c r="AH64" s="48">
        <v>858441.03</v>
      </c>
    </row>
    <row r="65" spans="1:34" ht="19.5" customHeight="1">
      <c r="A65" s="25">
        <f t="shared" si="0"/>
        <v>64</v>
      </c>
      <c r="B65" s="26">
        <v>6149658</v>
      </c>
      <c r="C65" s="27">
        <v>45677</v>
      </c>
      <c r="D65" s="28">
        <v>15096.1</v>
      </c>
      <c r="E65" s="29">
        <v>117230.27</v>
      </c>
      <c r="F65" s="30">
        <v>1517723</v>
      </c>
      <c r="G65" s="27">
        <v>45681</v>
      </c>
      <c r="H65" s="32"/>
      <c r="J65" s="34" t="s">
        <v>33</v>
      </c>
      <c r="K65" t="s">
        <v>34</v>
      </c>
      <c r="M65" s="36" t="s">
        <v>239</v>
      </c>
      <c r="N65" s="37"/>
      <c r="O65" t="s">
        <v>232</v>
      </c>
      <c r="P65" t="s">
        <v>233</v>
      </c>
      <c r="R65" s="38">
        <v>45658</v>
      </c>
      <c r="S65" s="39">
        <v>46022</v>
      </c>
      <c r="T65" s="50">
        <v>45717</v>
      </c>
      <c r="U65" s="47">
        <v>46081</v>
      </c>
      <c r="V65" s="40" t="s">
        <v>128</v>
      </c>
      <c r="W65" s="41" t="s">
        <v>39</v>
      </c>
      <c r="Y65" s="42"/>
      <c r="Z65" t="s">
        <v>81</v>
      </c>
      <c r="AA65" s="43"/>
      <c r="AC65" s="45"/>
      <c r="AF65" s="47">
        <v>45708</v>
      </c>
      <c r="AG65" s="48">
        <v>1059839</v>
      </c>
      <c r="AH65" s="48">
        <v>858441.03</v>
      </c>
    </row>
    <row r="66" spans="1:34" ht="19.5" customHeight="1">
      <c r="A66" s="25">
        <f t="shared" si="0"/>
        <v>65</v>
      </c>
      <c r="B66" s="26">
        <v>6149667</v>
      </c>
      <c r="C66" s="27">
        <v>45677</v>
      </c>
      <c r="D66" s="28">
        <v>10908.48</v>
      </c>
      <c r="E66" s="29">
        <v>84710.89</v>
      </c>
      <c r="F66" s="30">
        <v>1517728</v>
      </c>
      <c r="G66" s="31">
        <v>45681</v>
      </c>
      <c r="H66" s="32"/>
      <c r="J66" s="34" t="s">
        <v>33</v>
      </c>
      <c r="K66" t="s">
        <v>34</v>
      </c>
      <c r="M66" s="36" t="s">
        <v>238</v>
      </c>
      <c r="N66" s="37"/>
      <c r="O66" t="s">
        <v>232</v>
      </c>
      <c r="P66" t="s">
        <v>233</v>
      </c>
      <c r="R66" s="38">
        <v>45658</v>
      </c>
      <c r="S66" s="39">
        <v>46022</v>
      </c>
      <c r="T66" s="50">
        <v>45674</v>
      </c>
      <c r="U66" s="47">
        <v>46038</v>
      </c>
      <c r="V66" s="40" t="s">
        <v>128</v>
      </c>
      <c r="W66" s="41" t="s">
        <v>39</v>
      </c>
      <c r="Y66" s="42"/>
      <c r="Z66" t="s">
        <v>81</v>
      </c>
      <c r="AA66" s="43"/>
      <c r="AC66" s="45"/>
      <c r="AF66" s="47">
        <v>45708</v>
      </c>
      <c r="AG66" s="48">
        <v>1059839</v>
      </c>
      <c r="AH66" s="48">
        <v>858441.03</v>
      </c>
    </row>
    <row r="67" spans="1:34" ht="19.5" customHeight="1">
      <c r="A67" s="25">
        <f t="shared" si="0"/>
        <v>66</v>
      </c>
      <c r="B67" s="26">
        <v>6149928</v>
      </c>
      <c r="C67" s="27">
        <v>45677</v>
      </c>
      <c r="E67" s="65">
        <v>19700</v>
      </c>
      <c r="F67" s="30">
        <v>1517730</v>
      </c>
      <c r="G67" s="31">
        <v>45681</v>
      </c>
      <c r="H67" s="32"/>
      <c r="J67" s="34" t="s">
        <v>33</v>
      </c>
      <c r="K67" s="66" t="s">
        <v>193</v>
      </c>
      <c r="M67" s="36" t="s">
        <v>240</v>
      </c>
      <c r="N67" s="37"/>
      <c r="O67" t="s">
        <v>162</v>
      </c>
      <c r="P67" t="s">
        <v>163</v>
      </c>
      <c r="R67" s="38">
        <v>45658</v>
      </c>
      <c r="S67" s="39">
        <v>46022</v>
      </c>
      <c r="T67" s="50" t="s">
        <v>141</v>
      </c>
      <c r="U67" s="47" t="s">
        <v>141</v>
      </c>
      <c r="V67" s="40" t="s">
        <v>64</v>
      </c>
      <c r="W67" s="41" t="s">
        <v>39</v>
      </c>
      <c r="Y67" s="42"/>
      <c r="Z67" t="s">
        <v>40</v>
      </c>
      <c r="AA67" s="43" t="s">
        <v>241</v>
      </c>
      <c r="AB67" s="44">
        <v>45708</v>
      </c>
      <c r="AF67" s="47">
        <v>45719</v>
      </c>
      <c r="AG67" s="48">
        <v>186297</v>
      </c>
      <c r="AH67" s="48">
        <v>71331.55</v>
      </c>
    </row>
    <row r="68" spans="1:34" ht="19.5" customHeight="1">
      <c r="A68" s="25">
        <f t="shared" ref="A68:A131" si="1">A67+1</f>
        <v>67</v>
      </c>
      <c r="B68" s="26">
        <v>6149947</v>
      </c>
      <c r="C68" s="27">
        <v>45677</v>
      </c>
      <c r="E68" s="29">
        <v>10620</v>
      </c>
      <c r="F68" s="30">
        <v>1517729</v>
      </c>
      <c r="G68" s="31">
        <v>45681</v>
      </c>
      <c r="H68" s="32"/>
      <c r="J68" s="34" t="s">
        <v>33</v>
      </c>
      <c r="K68" t="s">
        <v>139</v>
      </c>
      <c r="M68" s="36" t="s">
        <v>242</v>
      </c>
      <c r="N68" s="37"/>
      <c r="O68" t="s">
        <v>243</v>
      </c>
      <c r="P68" t="s">
        <v>244</v>
      </c>
      <c r="R68" s="38">
        <v>45668</v>
      </c>
      <c r="S68" s="39">
        <v>46397</v>
      </c>
      <c r="T68" s="50" t="s">
        <v>141</v>
      </c>
      <c r="U68" s="47" t="s">
        <v>141</v>
      </c>
      <c r="V68" s="40" t="s">
        <v>245</v>
      </c>
      <c r="W68" s="41" t="s">
        <v>39</v>
      </c>
      <c r="Y68" s="42"/>
      <c r="Z68" t="s">
        <v>40</v>
      </c>
      <c r="AA68" s="43">
        <v>90006680</v>
      </c>
      <c r="AB68" s="44">
        <v>45723</v>
      </c>
      <c r="AF68" s="47">
        <v>45743</v>
      </c>
      <c r="AG68" s="48">
        <v>49800</v>
      </c>
      <c r="AH68" s="48">
        <v>10620</v>
      </c>
    </row>
    <row r="69" spans="1:34" ht="19.5" customHeight="1">
      <c r="A69" s="25">
        <f t="shared" si="1"/>
        <v>68</v>
      </c>
      <c r="B69" s="26">
        <v>6149976</v>
      </c>
      <c r="C69" s="27">
        <v>45677</v>
      </c>
      <c r="D69" s="28">
        <v>180684.72</v>
      </c>
      <c r="E69" s="29">
        <v>1403125.26</v>
      </c>
      <c r="F69" s="30">
        <v>1518256</v>
      </c>
      <c r="G69" s="27">
        <v>45681</v>
      </c>
      <c r="H69" s="32"/>
      <c r="J69" s="34" t="s">
        <v>33</v>
      </c>
      <c r="K69" t="s">
        <v>34</v>
      </c>
      <c r="M69" s="36" t="s">
        <v>246</v>
      </c>
      <c r="N69" s="37"/>
      <c r="O69" t="s">
        <v>247</v>
      </c>
      <c r="P69" t="s">
        <v>248</v>
      </c>
      <c r="R69" s="38">
        <v>45658</v>
      </c>
      <c r="S69" s="39">
        <v>46022</v>
      </c>
      <c r="T69" s="38">
        <v>45658</v>
      </c>
      <c r="U69" s="39">
        <v>46022</v>
      </c>
      <c r="V69" s="40" t="s">
        <v>249</v>
      </c>
      <c r="W69" s="41" t="s">
        <v>39</v>
      </c>
      <c r="Y69" s="42"/>
      <c r="Z69" t="s">
        <v>81</v>
      </c>
      <c r="AA69" s="43"/>
      <c r="AC69" s="45"/>
      <c r="AF69" s="47">
        <v>45708</v>
      </c>
      <c r="AG69" s="48"/>
      <c r="AH69" s="48"/>
    </row>
    <row r="70" spans="1:34" ht="19.5" customHeight="1">
      <c r="A70" s="25">
        <f t="shared" si="1"/>
        <v>69</v>
      </c>
      <c r="B70" s="26">
        <v>6149997</v>
      </c>
      <c r="C70" s="27">
        <v>45677</v>
      </c>
      <c r="D70" s="28">
        <v>4480.72</v>
      </c>
      <c r="E70" s="29">
        <v>34795.480000000003</v>
      </c>
      <c r="F70" s="30">
        <v>1518440</v>
      </c>
      <c r="G70" s="31">
        <v>45681</v>
      </c>
      <c r="H70" s="32"/>
      <c r="J70" s="34" t="s">
        <v>33</v>
      </c>
      <c r="K70" t="s">
        <v>34</v>
      </c>
      <c r="M70" s="36" t="s">
        <v>250</v>
      </c>
      <c r="N70" s="37"/>
      <c r="O70" t="s">
        <v>247</v>
      </c>
      <c r="P70" t="s">
        <v>248</v>
      </c>
      <c r="R70" s="38">
        <v>45658</v>
      </c>
      <c r="S70" s="39">
        <v>45961</v>
      </c>
      <c r="T70" s="38">
        <v>45658</v>
      </c>
      <c r="U70" s="39">
        <v>45961</v>
      </c>
      <c r="V70" s="40" t="s">
        <v>249</v>
      </c>
      <c r="W70" s="41" t="s">
        <v>39</v>
      </c>
      <c r="Y70" s="42"/>
      <c r="Z70" t="s">
        <v>81</v>
      </c>
      <c r="AA70" s="43"/>
      <c r="AC70" s="45"/>
      <c r="AF70" s="47">
        <v>45708</v>
      </c>
      <c r="AG70" s="48"/>
      <c r="AH70" s="48"/>
    </row>
    <row r="71" spans="1:34" ht="19.5" customHeight="1">
      <c r="A71" s="25">
        <f t="shared" si="1"/>
        <v>70</v>
      </c>
      <c r="B71" s="26">
        <v>6150003</v>
      </c>
      <c r="C71" s="27">
        <v>45677</v>
      </c>
      <c r="D71" s="28">
        <v>176839.58</v>
      </c>
      <c r="E71" s="29">
        <v>1373265.44</v>
      </c>
      <c r="F71" s="30">
        <v>1518257</v>
      </c>
      <c r="G71" s="27">
        <v>45681</v>
      </c>
      <c r="H71" s="32"/>
      <c r="J71" s="34" t="s">
        <v>33</v>
      </c>
      <c r="K71" t="s">
        <v>34</v>
      </c>
      <c r="M71" s="36" t="s">
        <v>251</v>
      </c>
      <c r="N71" s="37"/>
      <c r="O71" t="s">
        <v>247</v>
      </c>
      <c r="P71" t="s">
        <v>248</v>
      </c>
      <c r="R71" s="38">
        <v>45658</v>
      </c>
      <c r="S71" s="39">
        <v>46022</v>
      </c>
      <c r="T71" s="38">
        <v>45658</v>
      </c>
      <c r="U71" s="39">
        <v>46022</v>
      </c>
      <c r="V71" s="40" t="s">
        <v>249</v>
      </c>
      <c r="W71" s="41" t="s">
        <v>39</v>
      </c>
      <c r="Y71" s="42"/>
      <c r="Z71" t="s">
        <v>81</v>
      </c>
      <c r="AA71" s="43"/>
      <c r="AC71" s="45"/>
      <c r="AF71" s="47">
        <v>45708</v>
      </c>
      <c r="AG71" s="48"/>
      <c r="AH71" s="48"/>
    </row>
    <row r="72" spans="1:34" ht="19.5" customHeight="1">
      <c r="A72" s="25">
        <f t="shared" si="1"/>
        <v>71</v>
      </c>
      <c r="B72" s="26">
        <v>6150539</v>
      </c>
      <c r="C72" s="27">
        <v>45678</v>
      </c>
      <c r="D72" s="28">
        <v>62896.83</v>
      </c>
      <c r="E72" s="29">
        <v>488431.62</v>
      </c>
      <c r="F72" s="30">
        <v>1518442</v>
      </c>
      <c r="G72" s="31">
        <v>45681</v>
      </c>
      <c r="H72" s="32"/>
      <c r="J72" s="34" t="s">
        <v>33</v>
      </c>
      <c r="K72" t="s">
        <v>34</v>
      </c>
      <c r="M72" s="36" t="s">
        <v>252</v>
      </c>
      <c r="N72" s="37"/>
      <c r="O72" t="s">
        <v>247</v>
      </c>
      <c r="P72" t="s">
        <v>248</v>
      </c>
      <c r="R72" s="38">
        <v>45658</v>
      </c>
      <c r="S72" s="39">
        <v>46022</v>
      </c>
      <c r="T72" s="38">
        <v>45658</v>
      </c>
      <c r="U72" s="39">
        <v>46022</v>
      </c>
      <c r="V72" s="40" t="s">
        <v>249</v>
      </c>
      <c r="W72" s="41" t="s">
        <v>39</v>
      </c>
      <c r="Y72" s="42"/>
      <c r="Z72" t="s">
        <v>40</v>
      </c>
      <c r="AA72" s="43"/>
      <c r="AC72" s="45"/>
      <c r="AF72" s="47">
        <v>45708</v>
      </c>
      <c r="AG72" s="48"/>
      <c r="AH72" s="48"/>
    </row>
    <row r="73" spans="1:34" ht="19.5" customHeight="1">
      <c r="A73" s="25">
        <f t="shared" si="1"/>
        <v>72</v>
      </c>
      <c r="B73" s="26">
        <v>6150540</v>
      </c>
      <c r="C73" s="27">
        <v>45678</v>
      </c>
      <c r="D73" s="28">
        <v>195257.93</v>
      </c>
      <c r="E73" s="29">
        <v>1516294.98</v>
      </c>
      <c r="F73" s="30">
        <v>1518255</v>
      </c>
      <c r="G73" s="27">
        <v>45691</v>
      </c>
      <c r="H73" s="32"/>
      <c r="J73" s="34" t="s">
        <v>33</v>
      </c>
      <c r="K73" t="s">
        <v>34</v>
      </c>
      <c r="M73" s="36" t="s">
        <v>253</v>
      </c>
      <c r="N73" s="37"/>
      <c r="O73" t="s">
        <v>247</v>
      </c>
      <c r="P73" t="s">
        <v>248</v>
      </c>
      <c r="R73" s="38">
        <v>45658</v>
      </c>
      <c r="S73" s="39">
        <v>46022</v>
      </c>
      <c r="T73" s="38">
        <v>45748</v>
      </c>
      <c r="U73" s="39">
        <v>45930</v>
      </c>
      <c r="V73" s="40" t="s">
        <v>249</v>
      </c>
      <c r="W73" s="41" t="s">
        <v>39</v>
      </c>
      <c r="AA73" s="43"/>
      <c r="AC73" s="45"/>
      <c r="AF73" s="47">
        <v>45719</v>
      </c>
      <c r="AG73" s="48"/>
      <c r="AH73" s="48"/>
    </row>
    <row r="74" spans="1:34" ht="19.5" customHeight="1">
      <c r="A74" s="25">
        <f t="shared" si="1"/>
        <v>73</v>
      </c>
      <c r="B74" s="26">
        <v>6150095</v>
      </c>
      <c r="C74" s="27">
        <v>45678</v>
      </c>
      <c r="D74" s="28">
        <v>4928.5600000000004</v>
      </c>
      <c r="E74" s="29">
        <v>38273.230000000003</v>
      </c>
      <c r="F74" s="30">
        <v>1517721</v>
      </c>
      <c r="G74" s="31">
        <v>45684</v>
      </c>
      <c r="H74" s="32"/>
      <c r="J74" s="34" t="s">
        <v>33</v>
      </c>
      <c r="K74" t="s">
        <v>34</v>
      </c>
      <c r="M74" s="36" t="s">
        <v>254</v>
      </c>
      <c r="N74" s="37"/>
      <c r="O74" t="s">
        <v>255</v>
      </c>
      <c r="P74" t="s">
        <v>256</v>
      </c>
      <c r="R74" s="38">
        <v>45622</v>
      </c>
      <c r="S74" s="39">
        <v>45986</v>
      </c>
      <c r="T74" s="38">
        <v>45622</v>
      </c>
      <c r="U74" s="39">
        <v>45986</v>
      </c>
      <c r="V74" s="40" t="s">
        <v>51</v>
      </c>
      <c r="W74" s="41" t="s">
        <v>114</v>
      </c>
      <c r="Y74" s="42"/>
      <c r="Z74" t="s">
        <v>40</v>
      </c>
      <c r="AA74" s="43"/>
      <c r="AC74" s="45"/>
      <c r="AF74" s="47">
        <v>45708</v>
      </c>
      <c r="AG74" s="48">
        <v>47000</v>
      </c>
      <c r="AH74" s="48">
        <v>33530.61</v>
      </c>
    </row>
    <row r="75" spans="1:34" ht="19.5" customHeight="1">
      <c r="A75" s="25">
        <f t="shared" si="1"/>
        <v>74</v>
      </c>
      <c r="B75" s="26">
        <v>6150156</v>
      </c>
      <c r="C75" s="27">
        <v>45678</v>
      </c>
      <c r="E75" s="29">
        <v>67053.279999999999</v>
      </c>
      <c r="F75" s="30">
        <v>1518237</v>
      </c>
      <c r="G75" s="31">
        <v>45680</v>
      </c>
      <c r="H75" s="32"/>
      <c r="J75" s="34" t="s">
        <v>159</v>
      </c>
      <c r="K75" t="s">
        <v>160</v>
      </c>
      <c r="M75" s="36" t="s">
        <v>257</v>
      </c>
      <c r="N75" s="37"/>
      <c r="O75" t="s">
        <v>141</v>
      </c>
      <c r="P75" t="s">
        <v>258</v>
      </c>
      <c r="R75" s="38" t="s">
        <v>141</v>
      </c>
      <c r="S75" s="39" t="s">
        <v>141</v>
      </c>
      <c r="T75" s="50" t="s">
        <v>141</v>
      </c>
      <c r="U75" s="47" t="s">
        <v>141</v>
      </c>
      <c r="V75" s="40" t="s">
        <v>259</v>
      </c>
      <c r="W75" s="41" t="s">
        <v>114</v>
      </c>
      <c r="AA75" s="43" t="s">
        <v>260</v>
      </c>
      <c r="AB75" s="44">
        <v>45701</v>
      </c>
      <c r="AC75" s="45"/>
      <c r="AF75" s="47">
        <v>45701</v>
      </c>
      <c r="AG75" s="48" t="s">
        <v>141</v>
      </c>
      <c r="AH75" s="48" t="s">
        <v>141</v>
      </c>
    </row>
    <row r="76" spans="1:34" ht="19.5" customHeight="1">
      <c r="A76" s="25">
        <f t="shared" si="1"/>
        <v>75</v>
      </c>
      <c r="B76" s="26">
        <v>6150714</v>
      </c>
      <c r="C76" s="27">
        <v>45679</v>
      </c>
      <c r="E76" s="29">
        <v>378995.28</v>
      </c>
      <c r="F76" s="30">
        <v>1518329</v>
      </c>
      <c r="G76" s="31">
        <v>45685</v>
      </c>
      <c r="H76" s="32"/>
      <c r="J76" s="34" t="s">
        <v>103</v>
      </c>
      <c r="K76" t="s">
        <v>107</v>
      </c>
      <c r="M76" s="36" t="s">
        <v>261</v>
      </c>
      <c r="N76" s="37"/>
      <c r="O76" t="s">
        <v>262</v>
      </c>
      <c r="P76" t="s">
        <v>263</v>
      </c>
      <c r="R76" s="38">
        <v>45577</v>
      </c>
      <c r="S76" s="39">
        <v>45941</v>
      </c>
      <c r="T76" s="50">
        <v>45577</v>
      </c>
      <c r="U76" s="47">
        <v>45941</v>
      </c>
      <c r="V76" s="40" t="s">
        <v>60</v>
      </c>
      <c r="W76" s="41" t="s">
        <v>39</v>
      </c>
      <c r="Y76" s="42"/>
      <c r="Z76" t="s">
        <v>81</v>
      </c>
      <c r="AA76" s="62" t="s">
        <v>264</v>
      </c>
      <c r="AB76" s="44">
        <v>45693</v>
      </c>
      <c r="AF76" s="39">
        <v>45770</v>
      </c>
      <c r="AG76" s="48">
        <v>454800</v>
      </c>
      <c r="AH76" s="48">
        <v>378995.28</v>
      </c>
    </row>
    <row r="77" spans="1:34" ht="19.5" customHeight="1">
      <c r="A77" s="25">
        <f t="shared" si="1"/>
        <v>76</v>
      </c>
      <c r="B77" s="26">
        <v>6150790</v>
      </c>
      <c r="C77" s="27">
        <v>45679</v>
      </c>
      <c r="D77" s="28">
        <v>11112.68</v>
      </c>
      <c r="E77" s="29">
        <v>86296.63</v>
      </c>
      <c r="F77" s="30">
        <v>1518222</v>
      </c>
      <c r="G77" s="27">
        <v>45691</v>
      </c>
      <c r="H77" s="32"/>
      <c r="J77" s="34" t="s">
        <v>33</v>
      </c>
      <c r="K77" t="s">
        <v>34</v>
      </c>
      <c r="M77" s="36" t="s">
        <v>265</v>
      </c>
      <c r="N77" s="37"/>
      <c r="O77" t="s">
        <v>266</v>
      </c>
      <c r="P77" t="s">
        <v>267</v>
      </c>
      <c r="R77" s="38">
        <v>45689</v>
      </c>
      <c r="S77" s="39">
        <v>46022</v>
      </c>
      <c r="T77" s="50">
        <v>45658</v>
      </c>
      <c r="U77" s="47">
        <v>46022</v>
      </c>
      <c r="V77" s="40" t="s">
        <v>268</v>
      </c>
      <c r="W77" s="41" t="s">
        <v>39</v>
      </c>
      <c r="Y77" s="42"/>
      <c r="Z77" t="s">
        <v>40</v>
      </c>
      <c r="AA77" s="43"/>
      <c r="AC77" s="45"/>
      <c r="AF77" s="47">
        <v>45716</v>
      </c>
      <c r="AG77" s="48">
        <v>299500</v>
      </c>
      <c r="AH77" s="48">
        <v>134594.54</v>
      </c>
    </row>
    <row r="78" spans="1:34" ht="19.5" customHeight="1">
      <c r="A78" s="25">
        <f t="shared" si="1"/>
        <v>77</v>
      </c>
      <c r="B78" s="26">
        <v>6150831</v>
      </c>
      <c r="C78" s="27">
        <v>45679</v>
      </c>
      <c r="D78" s="28">
        <v>5117.2700000000004</v>
      </c>
      <c r="E78" s="29">
        <v>39738.67</v>
      </c>
      <c r="F78" s="30">
        <v>1518219</v>
      </c>
      <c r="G78" s="27">
        <v>45691</v>
      </c>
      <c r="H78" s="32"/>
      <c r="J78" s="34" t="s">
        <v>33</v>
      </c>
      <c r="K78" t="s">
        <v>34</v>
      </c>
      <c r="M78" s="36" t="s">
        <v>269</v>
      </c>
      <c r="N78" s="37"/>
      <c r="O78" t="s">
        <v>270</v>
      </c>
      <c r="P78" t="s">
        <v>271</v>
      </c>
      <c r="R78" s="38">
        <v>45658</v>
      </c>
      <c r="S78" s="39">
        <v>46022</v>
      </c>
      <c r="T78" s="38">
        <v>45731</v>
      </c>
      <c r="U78" s="39">
        <v>46095</v>
      </c>
      <c r="V78" s="40" t="s">
        <v>51</v>
      </c>
      <c r="W78" s="41" t="s">
        <v>39</v>
      </c>
      <c r="Y78" s="42"/>
      <c r="Z78" t="s">
        <v>40</v>
      </c>
      <c r="AA78" s="43"/>
      <c r="AC78" s="45"/>
      <c r="AF78" s="47">
        <v>45719</v>
      </c>
      <c r="AG78" s="48">
        <v>49000</v>
      </c>
      <c r="AH78" s="48">
        <v>40170.57</v>
      </c>
    </row>
    <row r="79" spans="1:34" ht="19.5" customHeight="1">
      <c r="A79" s="25">
        <f t="shared" si="1"/>
        <v>78</v>
      </c>
      <c r="B79" s="26">
        <v>6150846</v>
      </c>
      <c r="C79" s="27">
        <v>45679</v>
      </c>
      <c r="E79" s="29">
        <v>68160</v>
      </c>
      <c r="F79" s="30">
        <v>1518384</v>
      </c>
      <c r="G79" s="31">
        <v>45681</v>
      </c>
      <c r="H79" s="32"/>
      <c r="J79" s="34" t="s">
        <v>103</v>
      </c>
      <c r="K79" t="s">
        <v>272</v>
      </c>
      <c r="M79" s="36" t="s">
        <v>273</v>
      </c>
      <c r="N79" s="37"/>
      <c r="O79" t="s">
        <v>274</v>
      </c>
      <c r="P79" t="s">
        <v>275</v>
      </c>
      <c r="R79" s="38">
        <v>45658</v>
      </c>
      <c r="S79" s="39">
        <v>46022</v>
      </c>
      <c r="T79" s="50">
        <v>45658</v>
      </c>
      <c r="U79" s="47">
        <v>46022</v>
      </c>
      <c r="V79" s="40" t="s">
        <v>276</v>
      </c>
      <c r="W79" s="41" t="s">
        <v>39</v>
      </c>
      <c r="Y79" s="42"/>
      <c r="Z79" t="s">
        <v>40</v>
      </c>
      <c r="AA79" s="43" t="s">
        <v>277</v>
      </c>
      <c r="AB79" s="44">
        <v>45684</v>
      </c>
      <c r="AC79" s="45"/>
      <c r="AF79" s="47">
        <v>45749</v>
      </c>
      <c r="AG79" s="48">
        <v>76350</v>
      </c>
      <c r="AH79" s="48">
        <v>68160</v>
      </c>
    </row>
    <row r="80" spans="1:34" ht="19.5" customHeight="1">
      <c r="A80" s="25">
        <f t="shared" si="1"/>
        <v>79</v>
      </c>
      <c r="B80" s="26">
        <v>6151054</v>
      </c>
      <c r="C80" s="27">
        <v>45680</v>
      </c>
      <c r="D80" s="28">
        <v>1090.4100000000001</v>
      </c>
      <c r="E80" s="29">
        <v>8467.69</v>
      </c>
      <c r="F80" s="30">
        <v>1518260</v>
      </c>
      <c r="G80" s="27">
        <v>45691</v>
      </c>
      <c r="H80" s="32"/>
      <c r="J80" s="34" t="s">
        <v>33</v>
      </c>
      <c r="K80" t="s">
        <v>34</v>
      </c>
      <c r="M80" s="36" t="s">
        <v>278</v>
      </c>
      <c r="N80" s="37"/>
      <c r="O80" t="s">
        <v>279</v>
      </c>
      <c r="P80" t="s">
        <v>280</v>
      </c>
      <c r="R80" s="38">
        <v>45641</v>
      </c>
      <c r="S80" s="39">
        <v>46005</v>
      </c>
      <c r="T80" s="50">
        <v>45641</v>
      </c>
      <c r="U80" s="47">
        <v>46005</v>
      </c>
      <c r="V80" s="40" t="s">
        <v>268</v>
      </c>
      <c r="W80" s="41" t="s">
        <v>39</v>
      </c>
      <c r="Y80" s="42"/>
      <c r="Z80" t="s">
        <v>40</v>
      </c>
      <c r="AA80" s="43"/>
      <c r="AC80" s="45"/>
      <c r="AF80" s="47">
        <v>45716</v>
      </c>
      <c r="AG80" s="48">
        <v>19860</v>
      </c>
      <c r="AH80" s="48">
        <v>8559.7199999999993</v>
      </c>
    </row>
    <row r="81" spans="1:34" ht="19.5" customHeight="1">
      <c r="A81" s="25">
        <f t="shared" si="1"/>
        <v>80</v>
      </c>
      <c r="B81" s="26">
        <v>6151314</v>
      </c>
      <c r="C81" s="27">
        <v>45680</v>
      </c>
      <c r="D81" s="28">
        <v>6003.6</v>
      </c>
      <c r="E81" s="29">
        <v>46621.56</v>
      </c>
      <c r="F81" s="30">
        <v>1518864</v>
      </c>
      <c r="G81" s="31">
        <v>45692</v>
      </c>
      <c r="H81" s="32"/>
      <c r="J81" s="34" t="s">
        <v>33</v>
      </c>
      <c r="K81" t="s">
        <v>34</v>
      </c>
      <c r="M81" s="36" t="s">
        <v>281</v>
      </c>
      <c r="N81" s="37"/>
      <c r="O81" t="s">
        <v>282</v>
      </c>
      <c r="P81" t="s">
        <v>283</v>
      </c>
      <c r="R81" s="38">
        <v>45670</v>
      </c>
      <c r="S81" s="39">
        <v>46034</v>
      </c>
      <c r="T81" s="38">
        <v>45670</v>
      </c>
      <c r="U81" s="39">
        <v>46034</v>
      </c>
      <c r="V81" s="40" t="s">
        <v>44</v>
      </c>
      <c r="W81" s="41" t="s">
        <v>39</v>
      </c>
      <c r="Y81" s="42" t="s">
        <v>56</v>
      </c>
      <c r="Z81" t="s">
        <v>81</v>
      </c>
      <c r="AA81" s="43"/>
      <c r="AC81" s="45"/>
      <c r="AF81" s="47">
        <v>45719</v>
      </c>
      <c r="AG81" s="48">
        <v>69072</v>
      </c>
      <c r="AH81" s="48">
        <v>48898.26</v>
      </c>
    </row>
    <row r="82" spans="1:34" ht="19.5" customHeight="1">
      <c r="A82" s="25">
        <f t="shared" si="1"/>
        <v>81</v>
      </c>
      <c r="C82" s="27">
        <v>45680</v>
      </c>
      <c r="E82" s="29">
        <v>1770</v>
      </c>
      <c r="F82" s="30">
        <v>1518227</v>
      </c>
      <c r="G82" s="31">
        <v>45680</v>
      </c>
      <c r="H82" s="32"/>
      <c r="J82" s="34" t="s">
        <v>33</v>
      </c>
      <c r="K82" t="s">
        <v>139</v>
      </c>
      <c r="M82" s="36" t="s">
        <v>284</v>
      </c>
      <c r="N82" s="37"/>
      <c r="O82" t="s">
        <v>282</v>
      </c>
      <c r="P82" t="s">
        <v>283</v>
      </c>
      <c r="R82" s="38">
        <v>45670</v>
      </c>
      <c r="S82" s="39">
        <v>46034</v>
      </c>
      <c r="T82" s="50" t="s">
        <v>141</v>
      </c>
      <c r="U82" s="47" t="s">
        <v>141</v>
      </c>
      <c r="V82" s="40" t="s">
        <v>285</v>
      </c>
      <c r="W82" s="41" t="s">
        <v>39</v>
      </c>
      <c r="Z82" t="s">
        <v>81</v>
      </c>
      <c r="AA82" s="43" t="s">
        <v>151</v>
      </c>
      <c r="AB82" s="44">
        <v>45699</v>
      </c>
      <c r="AF82" s="47">
        <v>45743</v>
      </c>
      <c r="AG82" s="48">
        <v>69072</v>
      </c>
      <c r="AH82" s="48">
        <v>48898.26</v>
      </c>
    </row>
    <row r="83" spans="1:34" ht="19.5" customHeight="1">
      <c r="A83" s="25">
        <f t="shared" si="1"/>
        <v>82</v>
      </c>
      <c r="B83" s="26">
        <v>6151632</v>
      </c>
      <c r="C83" s="27">
        <v>45681</v>
      </c>
      <c r="D83" s="28">
        <v>2377.29</v>
      </c>
      <c r="E83" s="29">
        <v>18461.080000000002</v>
      </c>
      <c r="F83" s="30">
        <v>1518443</v>
      </c>
      <c r="G83" s="27">
        <v>45691</v>
      </c>
      <c r="H83" s="32"/>
      <c r="J83" s="34" t="s">
        <v>33</v>
      </c>
      <c r="K83" t="s">
        <v>34</v>
      </c>
      <c r="M83" s="36" t="s">
        <v>286</v>
      </c>
      <c r="N83" s="37"/>
      <c r="O83" t="s">
        <v>287</v>
      </c>
      <c r="P83" t="s">
        <v>288</v>
      </c>
      <c r="R83" s="38">
        <v>45658</v>
      </c>
      <c r="S83" s="39">
        <v>46022</v>
      </c>
      <c r="T83" s="50">
        <v>45658</v>
      </c>
      <c r="U83" s="47">
        <v>46022</v>
      </c>
      <c r="V83" s="40" t="s">
        <v>97</v>
      </c>
      <c r="W83" s="41" t="s">
        <v>39</v>
      </c>
      <c r="Y83" s="42"/>
      <c r="Z83" t="s">
        <v>40</v>
      </c>
      <c r="AA83" s="43"/>
      <c r="AC83" s="45"/>
      <c r="AF83" s="47">
        <v>45719</v>
      </c>
      <c r="AG83" s="48">
        <v>109060</v>
      </c>
      <c r="AH83" s="48">
        <v>86440.12</v>
      </c>
    </row>
    <row r="84" spans="1:34" ht="19.5" customHeight="1">
      <c r="A84" s="25">
        <f t="shared" si="1"/>
        <v>83</v>
      </c>
      <c r="B84" s="26">
        <v>6151787</v>
      </c>
      <c r="C84" s="27">
        <v>45681</v>
      </c>
      <c r="E84" s="29">
        <v>90422.76</v>
      </c>
      <c r="F84" s="30">
        <v>1519248</v>
      </c>
      <c r="G84" s="31">
        <v>45691</v>
      </c>
      <c r="H84" s="32"/>
      <c r="J84" s="34" t="s">
        <v>103</v>
      </c>
      <c r="K84" t="s">
        <v>107</v>
      </c>
      <c r="M84" s="36" t="s">
        <v>289</v>
      </c>
      <c r="N84" s="37"/>
      <c r="O84" t="s">
        <v>290</v>
      </c>
      <c r="P84" t="s">
        <v>291</v>
      </c>
      <c r="R84" s="38">
        <v>45688</v>
      </c>
      <c r="S84" s="39">
        <v>46052</v>
      </c>
      <c r="T84" s="38">
        <v>45776</v>
      </c>
      <c r="U84" s="39">
        <v>46140</v>
      </c>
      <c r="V84" s="40" t="s">
        <v>97</v>
      </c>
      <c r="W84" s="41" t="s">
        <v>39</v>
      </c>
      <c r="Z84" t="s">
        <v>40</v>
      </c>
      <c r="AA84" s="43" t="s">
        <v>292</v>
      </c>
      <c r="AB84" s="44">
        <v>45705</v>
      </c>
      <c r="AC84" s="45"/>
      <c r="AF84" s="47">
        <v>45743</v>
      </c>
      <c r="AG84" s="48">
        <v>121660</v>
      </c>
      <c r="AH84" s="48">
        <v>90422.77</v>
      </c>
    </row>
    <row r="85" spans="1:34" ht="19.5" customHeight="1">
      <c r="A85" s="25">
        <f t="shared" si="1"/>
        <v>84</v>
      </c>
      <c r="B85" s="26">
        <v>6151855</v>
      </c>
      <c r="C85" s="27">
        <v>45681</v>
      </c>
      <c r="E85" s="29">
        <v>12531.75</v>
      </c>
      <c r="F85" s="30">
        <v>1519190</v>
      </c>
      <c r="G85" s="31">
        <v>45693</v>
      </c>
      <c r="H85" s="32"/>
      <c r="J85" s="34" t="s">
        <v>103</v>
      </c>
      <c r="K85" t="s">
        <v>293</v>
      </c>
      <c r="M85" s="36" t="s">
        <v>294</v>
      </c>
      <c r="N85" s="37"/>
      <c r="O85" t="s">
        <v>295</v>
      </c>
      <c r="P85" t="s">
        <v>296</v>
      </c>
      <c r="R85" s="38">
        <v>45656</v>
      </c>
      <c r="S85" s="39">
        <v>46020</v>
      </c>
      <c r="T85" s="38">
        <v>45622</v>
      </c>
      <c r="U85" s="39">
        <v>46020</v>
      </c>
      <c r="V85" s="40" t="s">
        <v>210</v>
      </c>
      <c r="W85" s="41" t="s">
        <v>39</v>
      </c>
      <c r="Y85" s="42"/>
      <c r="Z85" t="s">
        <v>40</v>
      </c>
      <c r="AA85" s="43" t="s">
        <v>297</v>
      </c>
      <c r="AB85" s="44">
        <v>45695</v>
      </c>
      <c r="AC85" s="45"/>
      <c r="AF85" s="47">
        <v>45699</v>
      </c>
      <c r="AG85" s="48">
        <v>16688</v>
      </c>
      <c r="AH85" s="48">
        <v>12531.72</v>
      </c>
    </row>
    <row r="86" spans="1:34" ht="19.5" customHeight="1">
      <c r="A86" s="25">
        <f t="shared" si="1"/>
        <v>85</v>
      </c>
      <c r="B86" s="26">
        <v>6151881</v>
      </c>
      <c r="C86" s="27">
        <v>45681</v>
      </c>
      <c r="E86" s="29">
        <v>11202.12</v>
      </c>
      <c r="F86" s="30">
        <v>1518765</v>
      </c>
      <c r="G86" s="31">
        <v>45684</v>
      </c>
      <c r="H86" s="32"/>
      <c r="J86" s="34" t="s">
        <v>159</v>
      </c>
      <c r="K86" t="s">
        <v>160</v>
      </c>
      <c r="M86" s="36" t="s">
        <v>298</v>
      </c>
      <c r="N86" s="37"/>
      <c r="O86" t="s">
        <v>198</v>
      </c>
      <c r="P86" t="s">
        <v>199</v>
      </c>
      <c r="R86" s="38">
        <v>45658</v>
      </c>
      <c r="S86" s="39">
        <v>46022</v>
      </c>
      <c r="T86" s="50">
        <v>45658</v>
      </c>
      <c r="U86" s="47">
        <v>46022</v>
      </c>
      <c r="V86" s="40" t="s">
        <v>51</v>
      </c>
      <c r="W86" s="41" t="s">
        <v>39</v>
      </c>
      <c r="Z86" t="s">
        <v>40</v>
      </c>
      <c r="AA86" s="43"/>
      <c r="AC86" s="45"/>
      <c r="AF86" s="47">
        <v>45719</v>
      </c>
      <c r="AG86" s="48">
        <v>116730</v>
      </c>
      <c r="AH86" s="48">
        <v>100100.42</v>
      </c>
    </row>
    <row r="87" spans="1:34" ht="19.5" customHeight="1">
      <c r="A87" s="25">
        <f t="shared" si="1"/>
        <v>86</v>
      </c>
      <c r="C87" s="27">
        <v>45684</v>
      </c>
      <c r="E87" s="29">
        <v>1570</v>
      </c>
      <c r="F87" s="30">
        <v>1518653</v>
      </c>
      <c r="G87" s="31">
        <v>45684</v>
      </c>
      <c r="H87" s="32"/>
      <c r="J87" s="34" t="s">
        <v>33</v>
      </c>
      <c r="K87" t="s">
        <v>139</v>
      </c>
      <c r="M87" s="36" t="s">
        <v>299</v>
      </c>
      <c r="N87" s="37"/>
      <c r="O87" t="s">
        <v>300</v>
      </c>
      <c r="P87" t="s">
        <v>301</v>
      </c>
      <c r="R87" s="38">
        <v>45474</v>
      </c>
      <c r="S87" s="39">
        <v>45838</v>
      </c>
      <c r="T87" s="50" t="s">
        <v>141</v>
      </c>
      <c r="U87" s="47" t="s">
        <v>141</v>
      </c>
      <c r="V87" s="40" t="s">
        <v>302</v>
      </c>
      <c r="W87" s="41" t="s">
        <v>39</v>
      </c>
      <c r="Y87" s="42"/>
      <c r="Z87" t="s">
        <v>81</v>
      </c>
      <c r="AA87" s="43">
        <v>90006623</v>
      </c>
      <c r="AB87" s="44">
        <v>45684</v>
      </c>
      <c r="AF87" s="47">
        <v>45699</v>
      </c>
      <c r="AG87" s="48">
        <v>756082</v>
      </c>
      <c r="AH87" s="48">
        <v>487317.89</v>
      </c>
    </row>
    <row r="88" spans="1:34" ht="19.5" customHeight="1">
      <c r="A88" s="25">
        <f t="shared" si="1"/>
        <v>87</v>
      </c>
      <c r="B88" s="26">
        <v>6152091</v>
      </c>
      <c r="C88" s="27">
        <v>45684</v>
      </c>
      <c r="E88" s="29">
        <v>66853.98</v>
      </c>
      <c r="F88" s="30">
        <v>1518908</v>
      </c>
      <c r="G88" s="31">
        <v>45685</v>
      </c>
      <c r="H88" s="32"/>
      <c r="J88" s="34" t="s">
        <v>159</v>
      </c>
      <c r="K88" t="s">
        <v>160</v>
      </c>
      <c r="M88" s="36" t="s">
        <v>303</v>
      </c>
      <c r="N88" s="37"/>
      <c r="O88" t="s">
        <v>304</v>
      </c>
      <c r="P88" t="s">
        <v>305</v>
      </c>
      <c r="R88" s="38">
        <v>45658</v>
      </c>
      <c r="S88" s="39">
        <v>46022</v>
      </c>
      <c r="T88" s="50">
        <v>45658</v>
      </c>
      <c r="U88" s="47">
        <v>46022</v>
      </c>
      <c r="V88" s="40" t="s">
        <v>306</v>
      </c>
      <c r="W88" s="41" t="s">
        <v>39</v>
      </c>
      <c r="Y88" s="42"/>
      <c r="Z88" t="s">
        <v>40</v>
      </c>
      <c r="AA88" s="43" t="s">
        <v>171</v>
      </c>
      <c r="AB88" s="44">
        <v>45737</v>
      </c>
      <c r="AC88" s="45"/>
      <c r="AF88" s="47">
        <v>45709</v>
      </c>
      <c r="AG88" s="48">
        <v>72917.899999999994</v>
      </c>
      <c r="AH88" s="48">
        <v>66853.98</v>
      </c>
    </row>
    <row r="89" spans="1:34" ht="19.5" customHeight="1">
      <c r="A89" s="25">
        <f t="shared" si="1"/>
        <v>88</v>
      </c>
      <c r="B89" s="26">
        <v>6152397</v>
      </c>
      <c r="C89" s="27">
        <v>45685</v>
      </c>
      <c r="E89" s="29">
        <v>538406.31999999995</v>
      </c>
      <c r="F89" s="30">
        <v>1519171</v>
      </c>
      <c r="G89" s="27">
        <v>45691</v>
      </c>
      <c r="H89" s="32"/>
      <c r="J89" s="34" t="s">
        <v>103</v>
      </c>
      <c r="K89" t="s">
        <v>107</v>
      </c>
      <c r="M89" s="36" t="s">
        <v>307</v>
      </c>
      <c r="N89" s="37"/>
      <c r="O89" t="s">
        <v>308</v>
      </c>
      <c r="P89" t="s">
        <v>309</v>
      </c>
      <c r="R89" s="38">
        <v>45474</v>
      </c>
      <c r="S89" s="39">
        <v>45928</v>
      </c>
      <c r="T89" s="50">
        <v>45564</v>
      </c>
      <c r="U89" s="47">
        <v>45928</v>
      </c>
      <c r="V89" s="40" t="s">
        <v>60</v>
      </c>
      <c r="W89" s="41" t="s">
        <v>39</v>
      </c>
      <c r="Y89" s="42"/>
      <c r="Z89" t="s">
        <v>81</v>
      </c>
      <c r="AA89" s="62" t="s">
        <v>310</v>
      </c>
      <c r="AB89" s="44">
        <v>45705</v>
      </c>
      <c r="AF89" s="39">
        <v>45770</v>
      </c>
      <c r="AG89" s="48">
        <v>646090</v>
      </c>
      <c r="AH89" s="48">
        <v>538406.31999999995</v>
      </c>
    </row>
    <row r="90" spans="1:34" ht="19.5" customHeight="1">
      <c r="A90" s="25">
        <f t="shared" si="1"/>
        <v>89</v>
      </c>
      <c r="B90" s="26">
        <v>6152632</v>
      </c>
      <c r="C90" s="27">
        <v>45691</v>
      </c>
      <c r="D90" s="28">
        <v>1869.99</v>
      </c>
      <c r="E90" s="29">
        <v>14564.6</v>
      </c>
      <c r="F90" s="30">
        <v>1520048</v>
      </c>
      <c r="G90" s="27">
        <v>45695</v>
      </c>
      <c r="H90" s="32"/>
      <c r="J90" s="34" t="s">
        <v>33</v>
      </c>
      <c r="K90" t="s">
        <v>34</v>
      </c>
      <c r="M90" s="36" t="s">
        <v>311</v>
      </c>
      <c r="N90" s="37"/>
      <c r="O90" t="s">
        <v>312</v>
      </c>
      <c r="P90" t="s">
        <v>313</v>
      </c>
      <c r="R90" s="38">
        <v>45598</v>
      </c>
      <c r="S90" s="39">
        <v>46692</v>
      </c>
      <c r="T90" s="50">
        <v>45689</v>
      </c>
      <c r="U90" s="47">
        <v>46783</v>
      </c>
      <c r="V90" s="40" t="s">
        <v>80</v>
      </c>
      <c r="W90" s="41" t="s">
        <v>39</v>
      </c>
      <c r="Y90" s="42"/>
      <c r="Z90" t="s">
        <v>40</v>
      </c>
      <c r="AA90" s="43"/>
      <c r="AC90" s="45"/>
      <c r="AF90" s="47">
        <v>45719</v>
      </c>
      <c r="AG90" s="48">
        <v>23772</v>
      </c>
      <c r="AH90" s="48">
        <v>14679.42</v>
      </c>
    </row>
    <row r="91" spans="1:34" ht="19.5" customHeight="1">
      <c r="A91" s="25">
        <f t="shared" si="1"/>
        <v>90</v>
      </c>
      <c r="B91" s="26">
        <v>6152970</v>
      </c>
      <c r="C91" s="27">
        <v>45692</v>
      </c>
      <c r="E91" s="29">
        <v>2605.44</v>
      </c>
      <c r="F91" s="30">
        <v>1519450</v>
      </c>
      <c r="G91" s="27">
        <v>45694</v>
      </c>
      <c r="H91" s="32"/>
      <c r="J91" s="34" t="s">
        <v>159</v>
      </c>
      <c r="K91" t="s">
        <v>160</v>
      </c>
      <c r="M91" s="36" t="s">
        <v>314</v>
      </c>
      <c r="N91" s="37"/>
      <c r="O91" t="s">
        <v>315</v>
      </c>
      <c r="P91" t="s">
        <v>316</v>
      </c>
      <c r="R91" s="38">
        <v>45695</v>
      </c>
      <c r="S91" s="39">
        <v>46059</v>
      </c>
      <c r="T91" s="38">
        <v>45695</v>
      </c>
      <c r="U91" s="39">
        <v>46059</v>
      </c>
      <c r="V91" s="40" t="s">
        <v>150</v>
      </c>
      <c r="W91" s="41" t="s">
        <v>39</v>
      </c>
      <c r="Y91" s="42"/>
      <c r="Z91" t="s">
        <v>81</v>
      </c>
      <c r="AA91" s="43" t="s">
        <v>171</v>
      </c>
      <c r="AB91" s="44">
        <v>45772</v>
      </c>
      <c r="AC91" s="45"/>
      <c r="AF91" s="47">
        <v>45719</v>
      </c>
      <c r="AG91" s="48">
        <v>431712</v>
      </c>
      <c r="AH91" s="48">
        <v>218546.7</v>
      </c>
    </row>
    <row r="92" spans="1:34" ht="19.5" customHeight="1">
      <c r="A92" s="25">
        <f t="shared" si="1"/>
        <v>91</v>
      </c>
      <c r="B92" s="26">
        <v>6152982</v>
      </c>
      <c r="C92" s="27">
        <v>45692</v>
      </c>
      <c r="D92" s="28">
        <v>556</v>
      </c>
      <c r="E92" s="29">
        <v>4330.4799999999996</v>
      </c>
      <c r="F92" s="30">
        <v>1519853</v>
      </c>
      <c r="G92" s="27">
        <v>45694</v>
      </c>
      <c r="H92" s="32"/>
      <c r="J92" s="34" t="s">
        <v>103</v>
      </c>
      <c r="K92" s="40" t="s">
        <v>206</v>
      </c>
      <c r="M92" s="36" t="s">
        <v>317</v>
      </c>
      <c r="N92" s="37"/>
      <c r="O92" t="s">
        <v>318</v>
      </c>
      <c r="P92" t="s">
        <v>319</v>
      </c>
      <c r="R92" s="38">
        <v>45599</v>
      </c>
      <c r="S92" s="39">
        <v>45963</v>
      </c>
      <c r="T92" s="38">
        <v>45599</v>
      </c>
      <c r="U92" s="39">
        <v>45963</v>
      </c>
      <c r="V92" s="40" t="s">
        <v>210</v>
      </c>
      <c r="W92" s="41" t="s">
        <v>39</v>
      </c>
      <c r="Y92" s="42"/>
      <c r="Z92" t="s">
        <v>40</v>
      </c>
      <c r="AA92" s="62" t="s">
        <v>320</v>
      </c>
      <c r="AB92" s="44">
        <v>45700</v>
      </c>
      <c r="AF92" s="47">
        <v>45797</v>
      </c>
      <c r="AG92" s="48">
        <v>6537</v>
      </c>
      <c r="AH92" s="48">
        <v>4364.6000000000004</v>
      </c>
    </row>
    <row r="93" spans="1:34" ht="19.5" customHeight="1">
      <c r="A93" s="25">
        <f t="shared" si="1"/>
        <v>92</v>
      </c>
      <c r="B93" s="26">
        <v>6153122</v>
      </c>
      <c r="C93" s="27">
        <v>45692</v>
      </c>
      <c r="E93" s="29">
        <v>75580</v>
      </c>
      <c r="F93" s="30">
        <v>1519649</v>
      </c>
      <c r="G93" s="27">
        <v>45693</v>
      </c>
      <c r="H93" s="32"/>
      <c r="J93" s="34" t="s">
        <v>103</v>
      </c>
      <c r="K93" t="s">
        <v>321</v>
      </c>
      <c r="M93" s="36" t="s">
        <v>322</v>
      </c>
      <c r="N93" s="37"/>
      <c r="O93" t="s">
        <v>323</v>
      </c>
      <c r="P93" t="s">
        <v>324</v>
      </c>
      <c r="R93" s="38">
        <v>45716</v>
      </c>
      <c r="S93" s="39">
        <v>46080</v>
      </c>
      <c r="T93" s="50">
        <v>45716</v>
      </c>
      <c r="U93" s="47">
        <v>46080</v>
      </c>
      <c r="V93" s="40" t="s">
        <v>325</v>
      </c>
      <c r="W93" s="41" t="s">
        <v>39</v>
      </c>
      <c r="Y93" s="42"/>
      <c r="Z93" t="s">
        <v>40</v>
      </c>
      <c r="AA93" s="43"/>
      <c r="AC93" s="45"/>
      <c r="AF93" s="39">
        <v>45733</v>
      </c>
      <c r="AG93" s="48">
        <v>89387</v>
      </c>
      <c r="AH93" s="48">
        <v>75580</v>
      </c>
    </row>
    <row r="94" spans="1:34" ht="19.5" customHeight="1">
      <c r="A94" s="25">
        <f t="shared" si="1"/>
        <v>93</v>
      </c>
      <c r="C94" s="27">
        <v>45692</v>
      </c>
      <c r="E94" s="29">
        <v>6940</v>
      </c>
      <c r="F94" s="30">
        <v>1519384</v>
      </c>
      <c r="G94" s="31">
        <v>45692</v>
      </c>
      <c r="H94" s="32"/>
      <c r="J94" s="34" t="s">
        <v>33</v>
      </c>
      <c r="K94" t="s">
        <v>139</v>
      </c>
      <c r="M94" s="36" t="s">
        <v>326</v>
      </c>
      <c r="N94" s="37"/>
      <c r="O94" t="s">
        <v>205</v>
      </c>
      <c r="P94" s="67" t="s">
        <v>141</v>
      </c>
      <c r="Q94" s="67"/>
      <c r="R94" s="38"/>
      <c r="S94" s="39"/>
      <c r="T94" s="50"/>
      <c r="U94" s="47"/>
      <c r="W94" s="41" t="s">
        <v>39</v>
      </c>
      <c r="AA94" s="62">
        <v>90006678</v>
      </c>
      <c r="AB94" s="44">
        <v>45715</v>
      </c>
      <c r="AC94" s="63">
        <v>60015877</v>
      </c>
      <c r="AG94" s="48"/>
      <c r="AH94" s="48"/>
    </row>
    <row r="95" spans="1:34" ht="19.5" customHeight="1">
      <c r="A95" s="25">
        <f t="shared" si="1"/>
        <v>94</v>
      </c>
      <c r="B95" s="26">
        <v>6153471</v>
      </c>
      <c r="C95" s="27">
        <v>45693</v>
      </c>
      <c r="D95" s="28">
        <v>1810.46</v>
      </c>
      <c r="E95" s="29">
        <v>14100.95</v>
      </c>
      <c r="F95" s="30">
        <v>1520049</v>
      </c>
      <c r="G95" s="27">
        <v>45695</v>
      </c>
      <c r="H95" s="32"/>
      <c r="J95" s="34" t="s">
        <v>33</v>
      </c>
      <c r="K95" t="s">
        <v>34</v>
      </c>
      <c r="M95" s="36" t="s">
        <v>327</v>
      </c>
      <c r="N95" s="37"/>
      <c r="O95" t="s">
        <v>328</v>
      </c>
      <c r="P95" t="s">
        <v>329</v>
      </c>
      <c r="R95" s="38">
        <v>45658</v>
      </c>
      <c r="S95" s="39">
        <v>46022</v>
      </c>
      <c r="T95" s="50">
        <v>45653</v>
      </c>
      <c r="U95" s="47">
        <v>45961</v>
      </c>
      <c r="V95" s="40" t="s">
        <v>55</v>
      </c>
      <c r="W95" s="41" t="s">
        <v>39</v>
      </c>
      <c r="Z95" t="s">
        <v>40</v>
      </c>
      <c r="AA95" s="43"/>
      <c r="AC95" s="45"/>
      <c r="AF95" s="47">
        <v>45719</v>
      </c>
      <c r="AG95" s="48">
        <v>46682</v>
      </c>
      <c r="AH95" s="48">
        <v>36150.620000000003</v>
      </c>
    </row>
    <row r="96" spans="1:34" ht="19.5" customHeight="1">
      <c r="A96" s="25">
        <f t="shared" si="1"/>
        <v>95</v>
      </c>
      <c r="B96" s="26">
        <v>6153492</v>
      </c>
      <c r="C96" s="27">
        <v>45693</v>
      </c>
      <c r="D96" s="28">
        <v>1787.36</v>
      </c>
      <c r="E96" s="29">
        <v>13921.03</v>
      </c>
      <c r="F96" s="30">
        <v>1519666</v>
      </c>
      <c r="G96" s="31">
        <v>45698</v>
      </c>
      <c r="H96" s="32"/>
      <c r="J96" s="34" t="s">
        <v>33</v>
      </c>
      <c r="K96" t="s">
        <v>34</v>
      </c>
      <c r="M96" s="36" t="s">
        <v>330</v>
      </c>
      <c r="N96" s="37"/>
      <c r="O96" t="s">
        <v>331</v>
      </c>
      <c r="P96" t="s">
        <v>332</v>
      </c>
      <c r="R96" s="38">
        <v>45664</v>
      </c>
      <c r="S96" s="39">
        <v>46028</v>
      </c>
      <c r="T96" s="38">
        <v>45796</v>
      </c>
      <c r="U96" s="39">
        <v>46160</v>
      </c>
      <c r="V96" s="40" t="s">
        <v>245</v>
      </c>
      <c r="W96" s="41" t="s">
        <v>39</v>
      </c>
      <c r="Y96" s="42" t="s">
        <v>56</v>
      </c>
      <c r="Z96" t="s">
        <v>40</v>
      </c>
      <c r="AA96" s="43"/>
      <c r="AC96" s="45"/>
      <c r="AF96" s="47">
        <v>45719</v>
      </c>
      <c r="AG96" s="48">
        <v>17536</v>
      </c>
      <c r="AH96" s="48">
        <v>14030.78</v>
      </c>
    </row>
    <row r="97" spans="1:35" ht="19.5" customHeight="1">
      <c r="A97" s="25">
        <f t="shared" si="1"/>
        <v>96</v>
      </c>
      <c r="B97" s="26">
        <v>6153537</v>
      </c>
      <c r="C97" s="27">
        <v>45693</v>
      </c>
      <c r="D97" s="28">
        <v>3456.39</v>
      </c>
      <c r="E97" s="29">
        <v>26920.44</v>
      </c>
      <c r="F97" s="30">
        <v>1519689</v>
      </c>
      <c r="G97" s="27">
        <v>45694</v>
      </c>
      <c r="H97" s="32"/>
      <c r="J97" s="34" t="s">
        <v>33</v>
      </c>
      <c r="K97" t="s">
        <v>34</v>
      </c>
      <c r="M97" s="36" t="s">
        <v>333</v>
      </c>
      <c r="N97" s="37"/>
      <c r="O97" t="s">
        <v>334</v>
      </c>
      <c r="P97" t="s">
        <v>335</v>
      </c>
      <c r="R97" s="38">
        <v>45699</v>
      </c>
      <c r="S97" s="39">
        <v>46783</v>
      </c>
      <c r="T97" s="50">
        <v>45689</v>
      </c>
      <c r="U97" s="47">
        <v>46783</v>
      </c>
      <c r="V97" s="40" t="s">
        <v>150</v>
      </c>
      <c r="W97" s="41" t="s">
        <v>39</v>
      </c>
      <c r="Z97" t="s">
        <v>81</v>
      </c>
      <c r="AA97" s="43"/>
      <c r="AC97" s="45"/>
      <c r="AF97" s="47">
        <v>45719</v>
      </c>
      <c r="AG97" s="48">
        <v>1379174</v>
      </c>
      <c r="AH97" s="48">
        <v>1081656.21</v>
      </c>
    </row>
    <row r="98" spans="1:35" ht="19.5" customHeight="1">
      <c r="A98" s="25">
        <f t="shared" si="1"/>
        <v>97</v>
      </c>
      <c r="C98" s="27">
        <v>45694</v>
      </c>
      <c r="E98" s="29">
        <v>1770</v>
      </c>
      <c r="F98" s="30">
        <v>1519695</v>
      </c>
      <c r="G98" s="31">
        <v>45694</v>
      </c>
      <c r="H98" s="32"/>
      <c r="J98" s="34" t="s">
        <v>33</v>
      </c>
      <c r="K98" t="s">
        <v>139</v>
      </c>
      <c r="M98" s="36" t="s">
        <v>336</v>
      </c>
      <c r="N98" s="37"/>
      <c r="O98" t="s">
        <v>334</v>
      </c>
      <c r="P98" t="s">
        <v>335</v>
      </c>
      <c r="R98" s="38">
        <v>45689</v>
      </c>
      <c r="S98" s="39">
        <v>46783</v>
      </c>
      <c r="T98" s="50" t="s">
        <v>141</v>
      </c>
      <c r="U98" s="47" t="s">
        <v>141</v>
      </c>
      <c r="V98" s="40" t="s">
        <v>150</v>
      </c>
      <c r="W98" s="41" t="s">
        <v>39</v>
      </c>
      <c r="Y98" s="42" t="s">
        <v>185</v>
      </c>
      <c r="Z98" t="s">
        <v>81</v>
      </c>
      <c r="AA98" s="62" t="s">
        <v>151</v>
      </c>
      <c r="AB98" s="44">
        <v>45699</v>
      </c>
      <c r="AF98" s="47">
        <v>45771</v>
      </c>
      <c r="AG98" s="48">
        <v>1379174</v>
      </c>
      <c r="AH98" s="48">
        <v>1081656.21</v>
      </c>
    </row>
    <row r="99" spans="1:35" ht="19.5" customHeight="1">
      <c r="A99" s="25">
        <f t="shared" si="1"/>
        <v>98</v>
      </c>
      <c r="C99" s="27">
        <v>45694</v>
      </c>
      <c r="E99" s="29">
        <v>3770</v>
      </c>
      <c r="F99" s="30">
        <v>1519721</v>
      </c>
      <c r="G99" s="31">
        <v>45694</v>
      </c>
      <c r="H99" s="32"/>
      <c r="J99" s="34" t="s">
        <v>33</v>
      </c>
      <c r="K99" t="s">
        <v>139</v>
      </c>
      <c r="M99" s="36" t="s">
        <v>337</v>
      </c>
      <c r="N99" s="37"/>
      <c r="O99" t="s">
        <v>328</v>
      </c>
      <c r="P99" t="s">
        <v>329</v>
      </c>
      <c r="R99" s="38">
        <v>45658</v>
      </c>
      <c r="S99" s="39">
        <v>46022</v>
      </c>
      <c r="T99" s="50" t="s">
        <v>141</v>
      </c>
      <c r="U99" s="47" t="s">
        <v>141</v>
      </c>
      <c r="V99" s="40" t="s">
        <v>55</v>
      </c>
      <c r="W99" s="41" t="s">
        <v>39</v>
      </c>
      <c r="Y99" s="42"/>
      <c r="Z99" t="s">
        <v>40</v>
      </c>
      <c r="AA99" s="62">
        <v>90006678</v>
      </c>
      <c r="AB99" s="44">
        <v>45715</v>
      </c>
      <c r="AC99" s="63">
        <v>60015878</v>
      </c>
      <c r="AF99" s="47">
        <v>45835</v>
      </c>
      <c r="AG99" s="48">
        <v>46682</v>
      </c>
      <c r="AH99" s="48">
        <v>36150.620000000003</v>
      </c>
    </row>
    <row r="100" spans="1:35" ht="19.5" customHeight="1">
      <c r="A100" s="25">
        <f t="shared" si="1"/>
        <v>99</v>
      </c>
      <c r="C100" s="27">
        <v>45694</v>
      </c>
      <c r="E100" s="29">
        <v>5500</v>
      </c>
      <c r="F100" s="30">
        <v>1519736</v>
      </c>
      <c r="G100" s="31">
        <v>45694</v>
      </c>
      <c r="H100" s="32"/>
      <c r="J100" s="34" t="s">
        <v>33</v>
      </c>
      <c r="K100" t="s">
        <v>338</v>
      </c>
      <c r="M100" s="36" t="s">
        <v>339</v>
      </c>
      <c r="N100" s="37"/>
      <c r="O100" t="s">
        <v>205</v>
      </c>
      <c r="P100" s="67" t="s">
        <v>141</v>
      </c>
      <c r="Q100" s="67"/>
      <c r="R100" s="38"/>
      <c r="S100" s="39"/>
      <c r="T100" s="50"/>
      <c r="U100" s="47"/>
      <c r="W100" s="41" t="s">
        <v>39</v>
      </c>
      <c r="AA100" s="62" t="s">
        <v>340</v>
      </c>
      <c r="AB100" s="44">
        <v>45705</v>
      </c>
      <c r="AC100" s="63" t="s">
        <v>341</v>
      </c>
      <c r="AG100" s="48"/>
      <c r="AH100" s="48"/>
    </row>
    <row r="101" spans="1:35" ht="19.5" customHeight="1">
      <c r="A101" s="25">
        <f t="shared" si="1"/>
        <v>100</v>
      </c>
      <c r="B101" s="26">
        <v>6154007</v>
      </c>
      <c r="C101" s="27">
        <v>45694</v>
      </c>
      <c r="E101" s="29">
        <v>8840</v>
      </c>
      <c r="F101" s="30">
        <v>1520054</v>
      </c>
      <c r="G101" s="31">
        <v>45694</v>
      </c>
      <c r="H101" s="32"/>
      <c r="J101" s="34" t="s">
        <v>33</v>
      </c>
      <c r="K101" s="40" t="s">
        <v>193</v>
      </c>
      <c r="M101" s="36" t="s">
        <v>342</v>
      </c>
      <c r="N101" s="37"/>
      <c r="P101" s="67" t="s">
        <v>141</v>
      </c>
      <c r="Q101" s="67"/>
      <c r="R101" s="38"/>
      <c r="S101" s="39"/>
      <c r="T101" s="50"/>
      <c r="U101" s="47"/>
      <c r="W101" s="41" t="s">
        <v>39</v>
      </c>
      <c r="AA101" s="62" t="s">
        <v>343</v>
      </c>
      <c r="AB101" s="44">
        <v>45720</v>
      </c>
      <c r="AC101" s="63" t="s">
        <v>344</v>
      </c>
      <c r="AF101" s="47">
        <v>45881</v>
      </c>
      <c r="AG101" s="48"/>
      <c r="AH101" s="48"/>
    </row>
    <row r="102" spans="1:35" ht="19.5" customHeight="1">
      <c r="A102" s="25">
        <f t="shared" si="1"/>
        <v>101</v>
      </c>
      <c r="B102" s="26">
        <v>6154013</v>
      </c>
      <c r="C102" s="27">
        <v>45694</v>
      </c>
      <c r="E102" s="29">
        <v>8550</v>
      </c>
      <c r="F102" s="30">
        <v>1520053</v>
      </c>
      <c r="G102" s="31">
        <v>45694</v>
      </c>
      <c r="H102" s="32"/>
      <c r="J102" s="34" t="s">
        <v>33</v>
      </c>
      <c r="K102" t="s">
        <v>139</v>
      </c>
      <c r="M102" s="36" t="s">
        <v>345</v>
      </c>
      <c r="N102" s="37"/>
      <c r="O102" t="s">
        <v>205</v>
      </c>
      <c r="P102" s="67" t="s">
        <v>141</v>
      </c>
      <c r="Q102" s="67"/>
      <c r="R102" s="38"/>
      <c r="S102" s="39"/>
      <c r="T102" s="50"/>
      <c r="U102" s="47"/>
      <c r="W102" s="41" t="s">
        <v>39</v>
      </c>
      <c r="AA102" s="62">
        <v>90006678</v>
      </c>
      <c r="AB102" s="44">
        <v>45715</v>
      </c>
      <c r="AC102" s="63">
        <v>60015879</v>
      </c>
      <c r="AG102" s="48"/>
      <c r="AH102" s="48"/>
    </row>
    <row r="103" spans="1:35" ht="19.5" customHeight="1">
      <c r="A103" s="25">
        <f t="shared" si="1"/>
        <v>102</v>
      </c>
      <c r="B103" s="26">
        <v>6154022</v>
      </c>
      <c r="C103" s="27">
        <v>45694</v>
      </c>
      <c r="E103" s="29">
        <v>11310</v>
      </c>
      <c r="F103" s="30">
        <v>1520052</v>
      </c>
      <c r="G103" s="31">
        <v>45694</v>
      </c>
      <c r="H103" s="32"/>
      <c r="J103" s="34" t="s">
        <v>33</v>
      </c>
      <c r="K103" t="s">
        <v>193</v>
      </c>
      <c r="M103" s="36" t="s">
        <v>346</v>
      </c>
      <c r="N103" s="37"/>
      <c r="P103" s="67" t="s">
        <v>141</v>
      </c>
      <c r="Q103" s="67"/>
      <c r="R103" s="38"/>
      <c r="S103" s="39"/>
      <c r="T103" s="50"/>
      <c r="U103" s="47"/>
      <c r="W103" s="41" t="s">
        <v>39</v>
      </c>
      <c r="AA103" s="62" t="s">
        <v>347</v>
      </c>
      <c r="AB103" s="44">
        <v>45715</v>
      </c>
      <c r="AC103" s="63" t="s">
        <v>348</v>
      </c>
      <c r="AF103" s="47">
        <v>45881</v>
      </c>
      <c r="AG103" s="48"/>
      <c r="AH103" s="48"/>
      <c r="AI103" s="61"/>
    </row>
    <row r="104" spans="1:35" ht="19.5" customHeight="1">
      <c r="A104" s="25">
        <f t="shared" si="1"/>
        <v>103</v>
      </c>
      <c r="B104" s="26">
        <v>6154082</v>
      </c>
      <c r="C104" s="27">
        <v>45694</v>
      </c>
      <c r="D104" s="28">
        <v>8251.51</v>
      </c>
      <c r="E104" s="29">
        <v>64267.71</v>
      </c>
      <c r="F104" s="30">
        <v>1520144</v>
      </c>
      <c r="G104" s="31">
        <v>45700</v>
      </c>
      <c r="H104" s="32"/>
      <c r="J104" s="34" t="s">
        <v>33</v>
      </c>
      <c r="K104" t="s">
        <v>34</v>
      </c>
      <c r="M104" s="36" t="s">
        <v>349</v>
      </c>
      <c r="N104" s="37"/>
      <c r="O104" t="s">
        <v>350</v>
      </c>
      <c r="P104" t="s">
        <v>351</v>
      </c>
      <c r="R104" s="38">
        <v>45658</v>
      </c>
      <c r="S104" s="39">
        <v>46022</v>
      </c>
      <c r="T104" s="50">
        <v>45985</v>
      </c>
      <c r="U104" s="47">
        <v>46349</v>
      </c>
      <c r="V104" s="40" t="s">
        <v>85</v>
      </c>
      <c r="W104" s="41" t="s">
        <v>39</v>
      </c>
      <c r="Y104" s="42"/>
      <c r="Z104" t="s">
        <v>40</v>
      </c>
      <c r="AA104" s="43"/>
      <c r="AC104" s="45"/>
      <c r="AF104" s="47">
        <v>45719</v>
      </c>
      <c r="AG104" s="48">
        <v>620213.43000000005</v>
      </c>
      <c r="AH104" s="48">
        <v>512662.17</v>
      </c>
    </row>
    <row r="105" spans="1:35" ht="19.5" customHeight="1">
      <c r="A105" s="25">
        <f t="shared" si="1"/>
        <v>104</v>
      </c>
      <c r="B105" s="26">
        <v>6154175</v>
      </c>
      <c r="C105" s="27">
        <v>45695</v>
      </c>
      <c r="D105" s="28">
        <v>855.96</v>
      </c>
      <c r="E105" s="29">
        <v>6666.73</v>
      </c>
      <c r="F105" s="30">
        <v>1520516</v>
      </c>
      <c r="G105" s="31">
        <v>45702</v>
      </c>
      <c r="H105" s="32"/>
      <c r="J105" s="34" t="s">
        <v>33</v>
      </c>
      <c r="K105" t="s">
        <v>34</v>
      </c>
      <c r="M105" s="36" t="s">
        <v>352</v>
      </c>
      <c r="N105" s="37"/>
      <c r="O105" t="s">
        <v>353</v>
      </c>
      <c r="P105" t="s">
        <v>354</v>
      </c>
      <c r="R105" s="38">
        <v>45672</v>
      </c>
      <c r="S105" s="39">
        <v>46036</v>
      </c>
      <c r="T105" s="50">
        <v>46037</v>
      </c>
      <c r="U105" s="47">
        <v>46401</v>
      </c>
      <c r="V105" s="40" t="s">
        <v>51</v>
      </c>
      <c r="W105" s="41" t="s">
        <v>39</v>
      </c>
      <c r="Y105" s="42" t="s">
        <v>56</v>
      </c>
      <c r="Z105" t="s">
        <v>40</v>
      </c>
      <c r="AA105" s="43"/>
      <c r="AC105" s="45"/>
      <c r="AF105" s="47">
        <v>45726</v>
      </c>
      <c r="AG105" s="48">
        <v>16000</v>
      </c>
      <c r="AH105" s="48">
        <v>6719.29</v>
      </c>
    </row>
    <row r="106" spans="1:35" ht="19.5" customHeight="1">
      <c r="A106" s="25">
        <f t="shared" si="1"/>
        <v>105</v>
      </c>
      <c r="B106" s="26">
        <v>6154432</v>
      </c>
      <c r="C106" s="27">
        <v>45695</v>
      </c>
      <c r="D106" s="28">
        <v>7973.2</v>
      </c>
      <c r="E106" s="29">
        <v>62100.07</v>
      </c>
      <c r="F106" s="30">
        <v>1520145</v>
      </c>
      <c r="G106" s="31">
        <v>45700</v>
      </c>
      <c r="H106" s="32"/>
      <c r="J106" s="34" t="s">
        <v>33</v>
      </c>
      <c r="K106" t="s">
        <v>34</v>
      </c>
      <c r="M106" s="36" t="s">
        <v>355</v>
      </c>
      <c r="N106" s="37"/>
      <c r="O106" t="s">
        <v>356</v>
      </c>
      <c r="P106" t="s">
        <v>357</v>
      </c>
      <c r="R106" s="38">
        <v>45690</v>
      </c>
      <c r="S106" s="39">
        <v>46054</v>
      </c>
      <c r="T106" s="50">
        <v>45690</v>
      </c>
      <c r="U106" s="47">
        <v>46054</v>
      </c>
      <c r="V106" s="40" t="s">
        <v>60</v>
      </c>
      <c r="W106" s="41" t="s">
        <v>39</v>
      </c>
      <c r="Z106" t="s">
        <v>40</v>
      </c>
      <c r="AA106" s="43"/>
      <c r="AC106" s="45"/>
      <c r="AF106" s="47">
        <v>45719</v>
      </c>
      <c r="AG106" s="48">
        <v>101850</v>
      </c>
      <c r="AH106" s="48">
        <v>62589.62</v>
      </c>
    </row>
    <row r="107" spans="1:35" ht="19.5" customHeight="1">
      <c r="A107" s="25">
        <f t="shared" si="1"/>
        <v>106</v>
      </c>
      <c r="B107" s="26">
        <v>6154635</v>
      </c>
      <c r="C107" s="27">
        <v>45698</v>
      </c>
      <c r="E107" s="29">
        <v>30334</v>
      </c>
      <c r="F107" s="30">
        <v>1520704</v>
      </c>
      <c r="G107" s="31">
        <v>45702</v>
      </c>
      <c r="H107" s="32"/>
      <c r="J107" s="34" t="s">
        <v>159</v>
      </c>
      <c r="K107" t="s">
        <v>176</v>
      </c>
      <c r="M107" s="36" t="s">
        <v>358</v>
      </c>
      <c r="N107" s="37"/>
      <c r="O107" t="s">
        <v>350</v>
      </c>
      <c r="P107" t="s">
        <v>351</v>
      </c>
      <c r="R107" s="38">
        <v>45658</v>
      </c>
      <c r="S107" s="39">
        <v>46022</v>
      </c>
      <c r="T107" s="38">
        <v>45985</v>
      </c>
      <c r="U107" s="39">
        <v>46349</v>
      </c>
      <c r="V107" s="40" t="s">
        <v>85</v>
      </c>
      <c r="W107" s="41" t="s">
        <v>39</v>
      </c>
      <c r="Y107" s="42"/>
      <c r="Z107" t="s">
        <v>40</v>
      </c>
      <c r="AA107" s="62" t="s">
        <v>359</v>
      </c>
      <c r="AB107" s="44">
        <v>45748</v>
      </c>
      <c r="AF107" s="39">
        <v>45769</v>
      </c>
      <c r="AG107" s="48">
        <v>620213.43000000005</v>
      </c>
      <c r="AH107" s="48">
        <v>512662.17</v>
      </c>
    </row>
    <row r="108" spans="1:35" ht="19.5" customHeight="1">
      <c r="A108" s="25">
        <f t="shared" si="1"/>
        <v>107</v>
      </c>
      <c r="B108" s="26">
        <v>6154699</v>
      </c>
      <c r="C108" s="27">
        <v>45698</v>
      </c>
      <c r="E108" s="29">
        <v>7288</v>
      </c>
      <c r="F108" s="30">
        <v>1520763</v>
      </c>
      <c r="G108" s="31">
        <v>45701</v>
      </c>
      <c r="H108" s="32"/>
      <c r="J108" s="34" t="s">
        <v>103</v>
      </c>
      <c r="K108" t="s">
        <v>139</v>
      </c>
      <c r="M108" s="36" t="s">
        <v>360</v>
      </c>
      <c r="N108" s="37"/>
      <c r="O108" t="s">
        <v>350</v>
      </c>
      <c r="P108" t="s">
        <v>351</v>
      </c>
      <c r="R108" s="38">
        <v>45658</v>
      </c>
      <c r="S108" s="39">
        <v>46022</v>
      </c>
      <c r="T108" s="38">
        <v>45658</v>
      </c>
      <c r="U108" s="39">
        <v>46022</v>
      </c>
      <c r="V108" s="40" t="s">
        <v>85</v>
      </c>
      <c r="W108" s="41" t="s">
        <v>39</v>
      </c>
      <c r="Z108" t="s">
        <v>40</v>
      </c>
      <c r="AA108" s="62" t="s">
        <v>361</v>
      </c>
      <c r="AB108" s="44">
        <v>45703</v>
      </c>
      <c r="AF108" s="47">
        <v>45771</v>
      </c>
      <c r="AG108" s="48">
        <v>620213.43000000005</v>
      </c>
      <c r="AH108" s="48">
        <v>512662.17</v>
      </c>
    </row>
    <row r="109" spans="1:35" ht="19.5" customHeight="1">
      <c r="A109" s="25">
        <f t="shared" si="1"/>
        <v>108</v>
      </c>
      <c r="B109" s="26">
        <v>6154745</v>
      </c>
      <c r="C109" s="27">
        <v>45698</v>
      </c>
      <c r="E109" s="65">
        <f>2870*2</f>
        <v>5740</v>
      </c>
      <c r="F109" s="30">
        <v>1520774</v>
      </c>
      <c r="G109" s="27">
        <v>45706</v>
      </c>
      <c r="H109" s="32"/>
      <c r="J109" s="34" t="s">
        <v>103</v>
      </c>
      <c r="K109" s="66" t="s">
        <v>139</v>
      </c>
      <c r="M109" s="36" t="s">
        <v>362</v>
      </c>
      <c r="N109" s="37"/>
      <c r="O109" t="s">
        <v>350</v>
      </c>
      <c r="P109" t="s">
        <v>363</v>
      </c>
      <c r="R109" s="38">
        <v>45658</v>
      </c>
      <c r="S109" s="39">
        <v>46022</v>
      </c>
      <c r="T109" s="50">
        <v>45658</v>
      </c>
      <c r="U109" s="47">
        <v>46022</v>
      </c>
      <c r="V109" s="40" t="s">
        <v>85</v>
      </c>
      <c r="W109" s="41" t="s">
        <v>39</v>
      </c>
      <c r="Y109" s="42"/>
      <c r="Z109" t="s">
        <v>40</v>
      </c>
      <c r="AF109" s="47">
        <v>45771</v>
      </c>
      <c r="AG109" s="48">
        <v>620213.43000000005</v>
      </c>
      <c r="AH109" s="48">
        <v>512662.17</v>
      </c>
    </row>
    <row r="110" spans="1:35" ht="19.5" customHeight="1">
      <c r="A110" s="25">
        <f t="shared" si="1"/>
        <v>109</v>
      </c>
      <c r="B110" s="26">
        <v>6155141</v>
      </c>
      <c r="C110" s="27">
        <v>45699</v>
      </c>
      <c r="E110" s="65">
        <v>66880</v>
      </c>
      <c r="F110" s="30">
        <v>1521160</v>
      </c>
      <c r="G110" s="31">
        <v>45705</v>
      </c>
      <c r="H110" s="32"/>
      <c r="J110" s="34" t="s">
        <v>33</v>
      </c>
      <c r="K110" t="s">
        <v>139</v>
      </c>
      <c r="M110" s="36" t="s">
        <v>364</v>
      </c>
      <c r="N110" s="37"/>
      <c r="O110" t="s">
        <v>365</v>
      </c>
      <c r="P110" t="s">
        <v>366</v>
      </c>
      <c r="R110" s="38">
        <v>45536</v>
      </c>
      <c r="S110" s="39">
        <v>46265</v>
      </c>
      <c r="T110" s="50" t="s">
        <v>141</v>
      </c>
      <c r="U110" s="47" t="s">
        <v>141</v>
      </c>
      <c r="V110" s="40" t="s">
        <v>97</v>
      </c>
      <c r="W110" s="41" t="s">
        <v>39</v>
      </c>
      <c r="Y110" s="42"/>
      <c r="Z110" t="s">
        <v>40</v>
      </c>
      <c r="AA110" s="62" t="s">
        <v>142</v>
      </c>
      <c r="AB110" s="44">
        <v>45740</v>
      </c>
      <c r="AF110" s="47">
        <v>45777</v>
      </c>
      <c r="AG110" s="48">
        <v>862000</v>
      </c>
      <c r="AH110" s="48">
        <v>583439.96</v>
      </c>
    </row>
    <row r="111" spans="1:35" ht="19.5" customHeight="1">
      <c r="A111" s="25">
        <f t="shared" si="1"/>
        <v>110</v>
      </c>
      <c r="C111" s="27">
        <v>45699</v>
      </c>
      <c r="E111" s="29">
        <v>5010</v>
      </c>
      <c r="F111" s="30">
        <v>1520347</v>
      </c>
      <c r="G111" s="31">
        <v>45699</v>
      </c>
      <c r="H111" s="32"/>
      <c r="J111" s="34" t="s">
        <v>33</v>
      </c>
      <c r="K111" t="s">
        <v>139</v>
      </c>
      <c r="M111" s="36" t="s">
        <v>367</v>
      </c>
      <c r="N111" s="37"/>
      <c r="O111" t="s">
        <v>368</v>
      </c>
      <c r="P111" t="s">
        <v>369</v>
      </c>
      <c r="R111" s="38">
        <v>45678</v>
      </c>
      <c r="S111" s="39">
        <v>46772</v>
      </c>
      <c r="T111" s="50" t="s">
        <v>141</v>
      </c>
      <c r="U111" s="47" t="s">
        <v>141</v>
      </c>
      <c r="V111" s="40" t="s">
        <v>276</v>
      </c>
      <c r="W111" s="41" t="s">
        <v>39</v>
      </c>
      <c r="Y111" s="42" t="s">
        <v>185</v>
      </c>
      <c r="Z111" t="s">
        <v>81</v>
      </c>
      <c r="AA111" s="62">
        <v>90006678</v>
      </c>
      <c r="AB111" s="44">
        <v>45715</v>
      </c>
      <c r="AC111" s="63">
        <v>60015880</v>
      </c>
      <c r="AF111" s="47">
        <v>45835</v>
      </c>
      <c r="AG111" s="48">
        <v>22000</v>
      </c>
      <c r="AH111" s="48">
        <v>17600.3</v>
      </c>
    </row>
    <row r="112" spans="1:35" ht="19.5" customHeight="1">
      <c r="A112" s="25">
        <f t="shared" si="1"/>
        <v>111</v>
      </c>
      <c r="B112" s="26">
        <v>6155358</v>
      </c>
      <c r="C112" s="27">
        <v>45699</v>
      </c>
      <c r="D112" s="28">
        <v>1603.86</v>
      </c>
      <c r="E112" s="29">
        <v>12491.82</v>
      </c>
      <c r="F112" s="30">
        <v>1520515</v>
      </c>
      <c r="G112" s="31">
        <v>45702</v>
      </c>
      <c r="H112" s="32"/>
      <c r="J112" s="34" t="s">
        <v>33</v>
      </c>
      <c r="K112" t="s">
        <v>34</v>
      </c>
      <c r="M112" s="36" t="s">
        <v>370</v>
      </c>
      <c r="N112" s="37"/>
      <c r="O112" t="s">
        <v>368</v>
      </c>
      <c r="P112" t="s">
        <v>371</v>
      </c>
      <c r="R112" s="38">
        <v>45678</v>
      </c>
      <c r="S112" s="39">
        <v>46772</v>
      </c>
      <c r="T112" s="50">
        <v>45678</v>
      </c>
      <c r="U112" s="47">
        <v>46772</v>
      </c>
      <c r="V112" s="40" t="s">
        <v>276</v>
      </c>
      <c r="W112" s="41" t="s">
        <v>39</v>
      </c>
      <c r="Y112" s="42" t="s">
        <v>56</v>
      </c>
      <c r="Z112" t="s">
        <v>81</v>
      </c>
      <c r="AA112" s="43"/>
      <c r="AC112" s="45"/>
      <c r="AF112" s="47">
        <v>45726</v>
      </c>
      <c r="AG112" s="48">
        <v>22000</v>
      </c>
      <c r="AH112" s="48">
        <v>17600.3</v>
      </c>
    </row>
    <row r="113" spans="1:35" ht="19.5" customHeight="1">
      <c r="A113" s="25">
        <f t="shared" si="1"/>
        <v>112</v>
      </c>
      <c r="B113" s="26">
        <v>6155519</v>
      </c>
      <c r="C113" s="27">
        <v>45700</v>
      </c>
      <c r="D113" s="28">
        <v>110.25</v>
      </c>
      <c r="E113" s="29">
        <v>858.69</v>
      </c>
      <c r="F113" s="30">
        <v>1520757</v>
      </c>
      <c r="G113" s="31">
        <v>45702</v>
      </c>
      <c r="H113" s="32"/>
      <c r="J113" s="34" t="s">
        <v>33</v>
      </c>
      <c r="K113" t="s">
        <v>34</v>
      </c>
      <c r="M113" s="36" t="s">
        <v>372</v>
      </c>
      <c r="N113" s="37"/>
      <c r="O113" t="s">
        <v>373</v>
      </c>
      <c r="P113" t="s">
        <v>374</v>
      </c>
      <c r="R113" s="38">
        <v>45738</v>
      </c>
      <c r="S113" s="39">
        <v>46102</v>
      </c>
      <c r="T113" s="38">
        <v>45738</v>
      </c>
      <c r="U113" s="39">
        <v>46102</v>
      </c>
      <c r="V113" s="40" t="s">
        <v>375</v>
      </c>
      <c r="W113" s="41" t="s">
        <v>39</v>
      </c>
      <c r="Y113" s="42" t="s">
        <v>56</v>
      </c>
      <c r="Z113" t="s">
        <v>81</v>
      </c>
      <c r="AA113" s="43"/>
      <c r="AC113" s="45"/>
      <c r="AF113" s="47">
        <v>45726</v>
      </c>
      <c r="AG113" s="48">
        <v>1755</v>
      </c>
      <c r="AH113" s="48">
        <v>865.46</v>
      </c>
    </row>
    <row r="114" spans="1:35" ht="19.5" customHeight="1">
      <c r="A114" s="25">
        <f t="shared" si="1"/>
        <v>113</v>
      </c>
      <c r="B114" s="26">
        <v>6155695</v>
      </c>
      <c r="C114" s="27">
        <v>45700</v>
      </c>
      <c r="D114" s="28">
        <v>12231.77</v>
      </c>
      <c r="E114" s="29">
        <v>95268.37</v>
      </c>
      <c r="F114" s="30">
        <v>1521151</v>
      </c>
      <c r="G114" s="31">
        <v>45705</v>
      </c>
      <c r="H114" s="32"/>
      <c r="J114" s="34" t="s">
        <v>33</v>
      </c>
      <c r="K114" t="s">
        <v>34</v>
      </c>
      <c r="M114" s="36" t="s">
        <v>376</v>
      </c>
      <c r="N114" s="37"/>
      <c r="O114" t="s">
        <v>377</v>
      </c>
      <c r="P114" t="s">
        <v>378</v>
      </c>
      <c r="R114" s="38">
        <v>45658</v>
      </c>
      <c r="S114" s="39">
        <v>46022</v>
      </c>
      <c r="T114" s="50">
        <v>45658</v>
      </c>
      <c r="U114" s="47">
        <v>46022</v>
      </c>
      <c r="V114" s="40" t="s">
        <v>379</v>
      </c>
      <c r="W114" s="41" t="s">
        <v>39</v>
      </c>
      <c r="Y114" s="42"/>
      <c r="Z114" t="s">
        <v>81</v>
      </c>
      <c r="AA114" s="43"/>
      <c r="AC114" s="45"/>
      <c r="AF114" s="47">
        <v>45726</v>
      </c>
      <c r="AG114" s="48">
        <v>272000</v>
      </c>
      <c r="AH114" s="48">
        <v>241845.86</v>
      </c>
    </row>
    <row r="115" spans="1:35" ht="19.5" customHeight="1">
      <c r="A115" s="25">
        <f t="shared" si="1"/>
        <v>114</v>
      </c>
      <c r="B115" s="26">
        <v>6155721</v>
      </c>
      <c r="C115" s="27">
        <v>45700</v>
      </c>
      <c r="D115" s="28">
        <v>18576.62</v>
      </c>
      <c r="E115" s="29">
        <v>144685.85999999999</v>
      </c>
      <c r="F115" s="30">
        <v>1521152</v>
      </c>
      <c r="G115" s="27">
        <v>45706</v>
      </c>
      <c r="H115" s="32"/>
      <c r="J115" s="34" t="s">
        <v>33</v>
      </c>
      <c r="K115" t="s">
        <v>34</v>
      </c>
      <c r="M115" s="36" t="s">
        <v>376</v>
      </c>
      <c r="N115" s="37"/>
      <c r="O115" t="s">
        <v>377</v>
      </c>
      <c r="P115" t="s">
        <v>380</v>
      </c>
      <c r="R115" s="38">
        <v>45658</v>
      </c>
      <c r="S115" s="39">
        <v>46022</v>
      </c>
      <c r="T115" s="50">
        <v>45774</v>
      </c>
      <c r="U115" s="47">
        <v>45773</v>
      </c>
      <c r="V115" s="40" t="s">
        <v>379</v>
      </c>
      <c r="W115" s="41" t="s">
        <v>39</v>
      </c>
      <c r="Y115" s="42"/>
      <c r="Z115" t="s">
        <v>81</v>
      </c>
      <c r="AA115" s="43"/>
      <c r="AC115" s="45"/>
      <c r="AF115" s="47">
        <v>45726</v>
      </c>
      <c r="AG115" s="48">
        <v>272000</v>
      </c>
      <c r="AH115" s="48">
        <v>241845.86</v>
      </c>
    </row>
    <row r="116" spans="1:35" ht="19.5" customHeight="1">
      <c r="A116" s="25">
        <f t="shared" si="1"/>
        <v>115</v>
      </c>
      <c r="B116" s="26">
        <v>6155744</v>
      </c>
      <c r="C116" s="27">
        <v>45700</v>
      </c>
      <c r="E116" s="29">
        <v>47842.81</v>
      </c>
      <c r="F116" s="30">
        <v>1521171</v>
      </c>
      <c r="G116" s="31">
        <v>45705</v>
      </c>
      <c r="H116" s="32"/>
      <c r="J116" s="34" t="s">
        <v>159</v>
      </c>
      <c r="K116" t="s">
        <v>160</v>
      </c>
      <c r="M116" s="36" t="s">
        <v>381</v>
      </c>
      <c r="N116" s="37"/>
      <c r="O116" t="s">
        <v>382</v>
      </c>
      <c r="P116" t="s">
        <v>383</v>
      </c>
      <c r="R116" s="38">
        <v>45659</v>
      </c>
      <c r="S116" s="39">
        <v>11324</v>
      </c>
      <c r="T116" s="38">
        <v>45659</v>
      </c>
      <c r="U116" s="39">
        <v>11324</v>
      </c>
      <c r="V116" s="40" t="s">
        <v>150</v>
      </c>
      <c r="W116" s="41" t="s">
        <v>39</v>
      </c>
      <c r="Y116" s="42"/>
      <c r="Z116" t="s">
        <v>40</v>
      </c>
      <c r="AA116" s="43"/>
      <c r="AC116" s="45"/>
      <c r="AF116" s="47">
        <v>45747</v>
      </c>
      <c r="AG116" s="48">
        <v>2645460</v>
      </c>
      <c r="AH116" s="48">
        <v>1466112.62</v>
      </c>
    </row>
    <row r="117" spans="1:35" ht="19.5" customHeight="1">
      <c r="A117" s="25">
        <f t="shared" si="1"/>
        <v>116</v>
      </c>
      <c r="B117" s="26">
        <v>6155768</v>
      </c>
      <c r="C117" s="27">
        <v>45700</v>
      </c>
      <c r="D117" s="28">
        <v>1653.12</v>
      </c>
      <c r="E117" s="29">
        <v>12875.49</v>
      </c>
      <c r="F117" s="30">
        <v>1520722</v>
      </c>
      <c r="G117" s="31">
        <v>45701</v>
      </c>
      <c r="H117" s="32"/>
      <c r="J117" s="34" t="s">
        <v>384</v>
      </c>
      <c r="K117" t="s">
        <v>34</v>
      </c>
      <c r="M117" s="36" t="s">
        <v>385</v>
      </c>
      <c r="N117" s="37"/>
      <c r="O117" t="s">
        <v>386</v>
      </c>
      <c r="P117" t="s">
        <v>387</v>
      </c>
      <c r="R117" s="38">
        <v>45705</v>
      </c>
      <c r="S117" s="39">
        <v>46069</v>
      </c>
      <c r="T117" s="50">
        <v>45705</v>
      </c>
      <c r="U117" s="47">
        <v>46069</v>
      </c>
      <c r="V117" s="40" t="s">
        <v>388</v>
      </c>
      <c r="W117" s="41" t="s">
        <v>39</v>
      </c>
      <c r="Y117" s="42"/>
      <c r="Z117" t="s">
        <v>81</v>
      </c>
      <c r="AA117" s="43"/>
      <c r="AC117" s="45"/>
      <c r="AF117" s="47">
        <v>45756</v>
      </c>
      <c r="AG117" s="48">
        <v>18600</v>
      </c>
      <c r="AH117" s="48">
        <v>12976.99</v>
      </c>
      <c r="AI117" s="49" t="s">
        <v>389</v>
      </c>
    </row>
    <row r="118" spans="1:35" ht="19.5" customHeight="1">
      <c r="A118" s="25">
        <f t="shared" si="1"/>
        <v>117</v>
      </c>
      <c r="B118" s="26">
        <v>6156039</v>
      </c>
      <c r="C118" s="27">
        <v>45701</v>
      </c>
      <c r="E118" s="29">
        <v>73099.990000000005</v>
      </c>
      <c r="F118" s="30">
        <v>1521850</v>
      </c>
      <c r="G118" s="31">
        <v>45708</v>
      </c>
      <c r="H118" s="32"/>
      <c r="J118" s="34" t="s">
        <v>159</v>
      </c>
      <c r="K118" t="s">
        <v>160</v>
      </c>
      <c r="M118" s="36" t="s">
        <v>390</v>
      </c>
      <c r="N118" s="37"/>
      <c r="O118" t="s">
        <v>391</v>
      </c>
      <c r="P118" t="s">
        <v>392</v>
      </c>
      <c r="R118" s="38">
        <v>45640</v>
      </c>
      <c r="S118" s="39">
        <v>45961</v>
      </c>
      <c r="T118" s="50">
        <v>46016</v>
      </c>
      <c r="U118" s="47">
        <v>46046</v>
      </c>
      <c r="V118" s="40" t="s">
        <v>150</v>
      </c>
      <c r="W118" s="41" t="s">
        <v>39</v>
      </c>
      <c r="Y118" s="42"/>
      <c r="Z118" t="s">
        <v>40</v>
      </c>
      <c r="AA118" s="43"/>
      <c r="AC118" s="45"/>
      <c r="AF118" s="47">
        <v>45747</v>
      </c>
      <c r="AG118" s="48">
        <v>894381</v>
      </c>
      <c r="AH118" s="48">
        <v>554644.9</v>
      </c>
    </row>
    <row r="119" spans="1:35" ht="19.5" customHeight="1">
      <c r="A119" s="25">
        <f t="shared" si="1"/>
        <v>118</v>
      </c>
      <c r="B119" s="26">
        <v>6156121</v>
      </c>
      <c r="C119" s="27">
        <v>45701</v>
      </c>
      <c r="E119" s="29">
        <v>31070</v>
      </c>
      <c r="F119" s="30">
        <v>1521878</v>
      </c>
      <c r="G119" s="27">
        <v>45708</v>
      </c>
      <c r="H119" s="32"/>
      <c r="J119" s="34" t="s">
        <v>103</v>
      </c>
      <c r="K119" t="s">
        <v>212</v>
      </c>
      <c r="M119" s="36" t="s">
        <v>393</v>
      </c>
      <c r="N119" s="37"/>
      <c r="O119" t="s">
        <v>391</v>
      </c>
      <c r="P119" t="s">
        <v>392</v>
      </c>
      <c r="R119" s="38">
        <v>46005</v>
      </c>
      <c r="S119" s="39">
        <v>45961</v>
      </c>
      <c r="T119" s="50">
        <v>45662</v>
      </c>
      <c r="U119" s="47">
        <v>46026</v>
      </c>
      <c r="V119" s="40" t="s">
        <v>150</v>
      </c>
      <c r="W119" s="41" t="s">
        <v>39</v>
      </c>
      <c r="Y119" s="42"/>
      <c r="Z119" t="s">
        <v>40</v>
      </c>
      <c r="AF119" s="47">
        <v>45786</v>
      </c>
      <c r="AG119" s="48">
        <v>894381</v>
      </c>
      <c r="AH119" s="48">
        <v>554644.9</v>
      </c>
    </row>
    <row r="120" spans="1:35" ht="19.5" customHeight="1">
      <c r="A120" s="25">
        <f t="shared" si="1"/>
        <v>119</v>
      </c>
      <c r="B120" s="26">
        <v>6156495</v>
      </c>
      <c r="C120" s="27">
        <v>45702</v>
      </c>
      <c r="D120" s="28">
        <v>4448.76</v>
      </c>
      <c r="E120" s="29">
        <v>34649.61</v>
      </c>
      <c r="F120" s="30">
        <v>1521156</v>
      </c>
      <c r="G120" s="31">
        <v>45705</v>
      </c>
      <c r="H120" s="32"/>
      <c r="J120" s="34" t="s">
        <v>33</v>
      </c>
      <c r="K120" t="s">
        <v>34</v>
      </c>
      <c r="M120" s="36" t="s">
        <v>394</v>
      </c>
      <c r="N120" s="37"/>
      <c r="O120" t="s">
        <v>173</v>
      </c>
      <c r="P120" t="s">
        <v>174</v>
      </c>
      <c r="R120" s="38">
        <v>45641</v>
      </c>
      <c r="S120" s="39">
        <v>46005</v>
      </c>
      <c r="T120" s="50">
        <v>45641</v>
      </c>
      <c r="U120" s="47">
        <v>46005</v>
      </c>
      <c r="V120" s="40" t="s">
        <v>175</v>
      </c>
      <c r="W120" s="41" t="s">
        <v>114</v>
      </c>
      <c r="Y120" s="42"/>
      <c r="Z120" t="s">
        <v>81</v>
      </c>
      <c r="AA120" s="43"/>
      <c r="AC120" s="45"/>
      <c r="AF120" s="47">
        <v>45726</v>
      </c>
      <c r="AG120" s="48">
        <v>69832</v>
      </c>
      <c r="AH120" s="48">
        <v>42044.29</v>
      </c>
    </row>
    <row r="121" spans="1:35" ht="19.5" customHeight="1">
      <c r="A121" s="25">
        <f t="shared" si="1"/>
        <v>120</v>
      </c>
      <c r="B121" s="26">
        <v>6156501</v>
      </c>
      <c r="C121" s="27">
        <v>45702</v>
      </c>
      <c r="E121" s="29">
        <v>14489.82</v>
      </c>
      <c r="F121" s="30">
        <v>1521509</v>
      </c>
      <c r="G121" s="31">
        <v>45707</v>
      </c>
      <c r="H121" s="32"/>
      <c r="J121" s="34" t="s">
        <v>159</v>
      </c>
      <c r="K121" t="s">
        <v>160</v>
      </c>
      <c r="M121" s="36" t="s">
        <v>395</v>
      </c>
      <c r="N121" s="37"/>
      <c r="O121" t="s">
        <v>396</v>
      </c>
      <c r="P121" t="s">
        <v>397</v>
      </c>
      <c r="R121" s="38">
        <v>45604</v>
      </c>
      <c r="S121" s="39">
        <v>46499</v>
      </c>
      <c r="T121" s="38">
        <v>45604</v>
      </c>
      <c r="U121" s="39">
        <v>46499</v>
      </c>
      <c r="V121" s="40" t="s">
        <v>128</v>
      </c>
      <c r="W121" s="41" t="s">
        <v>114</v>
      </c>
      <c r="Y121" s="42"/>
      <c r="Z121" t="s">
        <v>81</v>
      </c>
      <c r="AA121" s="43" t="s">
        <v>171</v>
      </c>
      <c r="AB121" s="44">
        <v>45740</v>
      </c>
      <c r="AC121" s="45"/>
      <c r="AF121" s="47">
        <v>45747</v>
      </c>
      <c r="AG121" s="48">
        <v>20286</v>
      </c>
      <c r="AH121" s="48">
        <v>14489.82</v>
      </c>
    </row>
    <row r="122" spans="1:35" ht="19.5" customHeight="1">
      <c r="A122" s="25">
        <f t="shared" si="1"/>
        <v>121</v>
      </c>
      <c r="B122" s="26">
        <v>6156505</v>
      </c>
      <c r="C122" s="27">
        <v>45702</v>
      </c>
      <c r="E122" s="29">
        <v>6263.32</v>
      </c>
      <c r="F122" s="30">
        <v>1521441</v>
      </c>
      <c r="G122" s="31">
        <v>45707</v>
      </c>
      <c r="H122" s="32"/>
      <c r="J122" s="34" t="s">
        <v>159</v>
      </c>
      <c r="K122" t="s">
        <v>398</v>
      </c>
      <c r="M122" s="36" t="s">
        <v>399</v>
      </c>
      <c r="N122" s="37"/>
      <c r="O122" t="s">
        <v>400</v>
      </c>
      <c r="P122" t="s">
        <v>401</v>
      </c>
      <c r="R122" s="38">
        <v>45714</v>
      </c>
      <c r="S122" s="39">
        <v>46808</v>
      </c>
      <c r="T122" s="50">
        <v>45769</v>
      </c>
      <c r="U122" s="47">
        <v>46864</v>
      </c>
      <c r="V122" s="40" t="s">
        <v>51</v>
      </c>
      <c r="W122" s="41" t="s">
        <v>114</v>
      </c>
      <c r="Y122" s="42"/>
      <c r="Z122" t="s">
        <v>40</v>
      </c>
      <c r="AA122" s="43" t="s">
        <v>402</v>
      </c>
      <c r="AB122" s="44">
        <v>45727</v>
      </c>
      <c r="AC122" s="45"/>
      <c r="AF122" s="47">
        <v>45741</v>
      </c>
      <c r="AG122" s="48">
        <v>9960</v>
      </c>
      <c r="AH122" s="48">
        <v>6263.32</v>
      </c>
    </row>
    <row r="123" spans="1:35" ht="19.5" customHeight="1">
      <c r="A123" s="25">
        <f t="shared" si="1"/>
        <v>122</v>
      </c>
      <c r="C123" s="27">
        <v>45705</v>
      </c>
      <c r="E123" s="29">
        <v>870</v>
      </c>
      <c r="F123" s="30">
        <v>1521109</v>
      </c>
      <c r="G123" s="31">
        <v>45705</v>
      </c>
      <c r="H123" s="32"/>
      <c r="J123" s="34" t="s">
        <v>33</v>
      </c>
      <c r="K123" t="s">
        <v>139</v>
      </c>
      <c r="M123" s="36" t="s">
        <v>403</v>
      </c>
      <c r="N123" s="37"/>
      <c r="O123" t="s">
        <v>404</v>
      </c>
      <c r="P123" t="s">
        <v>405</v>
      </c>
      <c r="R123" s="38">
        <v>45640</v>
      </c>
      <c r="S123" s="39">
        <v>46004</v>
      </c>
      <c r="T123" s="38">
        <v>45640</v>
      </c>
      <c r="U123" s="39">
        <v>46004</v>
      </c>
      <c r="V123" s="40" t="s">
        <v>38</v>
      </c>
      <c r="W123" s="41" t="s">
        <v>114</v>
      </c>
      <c r="Y123" s="42"/>
      <c r="Z123" t="s">
        <v>40</v>
      </c>
      <c r="AA123" s="62">
        <v>90006678</v>
      </c>
      <c r="AB123" s="44">
        <v>45715</v>
      </c>
      <c r="AF123" s="47">
        <v>45771</v>
      </c>
      <c r="AG123" s="48">
        <v>17339</v>
      </c>
      <c r="AH123" s="48">
        <v>870</v>
      </c>
    </row>
    <row r="124" spans="1:35" ht="19.5" customHeight="1">
      <c r="A124" s="25">
        <f t="shared" si="1"/>
        <v>123</v>
      </c>
      <c r="B124" s="26">
        <v>6156690</v>
      </c>
      <c r="C124" s="27">
        <v>45705</v>
      </c>
      <c r="D124" s="71">
        <v>453.6</v>
      </c>
      <c r="E124" s="72">
        <v>3532.91</v>
      </c>
      <c r="F124" s="30">
        <v>1521261</v>
      </c>
      <c r="G124" s="31">
        <v>45706</v>
      </c>
      <c r="H124" s="73"/>
      <c r="I124" s="74"/>
      <c r="J124" s="34" t="s">
        <v>33</v>
      </c>
      <c r="K124" t="s">
        <v>34</v>
      </c>
      <c r="M124" s="36" t="s">
        <v>406</v>
      </c>
      <c r="N124" s="75"/>
      <c r="O124" t="s">
        <v>232</v>
      </c>
      <c r="P124" t="s">
        <v>233</v>
      </c>
      <c r="R124" s="50">
        <v>45658</v>
      </c>
      <c r="S124" s="47">
        <v>46022</v>
      </c>
      <c r="T124" s="50">
        <v>45658</v>
      </c>
      <c r="U124" s="47">
        <v>46022</v>
      </c>
      <c r="V124" s="40" t="s">
        <v>128</v>
      </c>
      <c r="W124" s="41" t="s">
        <v>114</v>
      </c>
      <c r="Y124" s="42"/>
      <c r="Z124" t="s">
        <v>81</v>
      </c>
      <c r="AA124" s="43"/>
      <c r="AC124" s="45"/>
      <c r="AF124" s="47">
        <v>45741</v>
      </c>
      <c r="AG124" s="76">
        <v>1059839</v>
      </c>
      <c r="AH124" s="76">
        <v>858441.03</v>
      </c>
    </row>
    <row r="125" spans="1:35" ht="19.5" customHeight="1">
      <c r="A125" s="25">
        <f t="shared" si="1"/>
        <v>124</v>
      </c>
      <c r="B125" s="26">
        <v>6157067</v>
      </c>
      <c r="C125" s="27">
        <v>45706</v>
      </c>
      <c r="D125" s="28">
        <v>1971.22</v>
      </c>
      <c r="E125" s="29">
        <v>15353.04</v>
      </c>
      <c r="F125" s="30">
        <v>1521327</v>
      </c>
      <c r="G125" s="31">
        <v>45706</v>
      </c>
      <c r="H125" s="32"/>
      <c r="J125" s="34" t="s">
        <v>33</v>
      </c>
      <c r="K125" t="s">
        <v>34</v>
      </c>
      <c r="M125" s="36" t="s">
        <v>407</v>
      </c>
      <c r="N125" s="37"/>
      <c r="O125" t="s">
        <v>408</v>
      </c>
      <c r="P125" t="s">
        <v>409</v>
      </c>
      <c r="R125" s="38">
        <v>45689</v>
      </c>
      <c r="S125" s="39">
        <v>46053</v>
      </c>
      <c r="T125" s="38">
        <v>45689</v>
      </c>
      <c r="U125" s="39">
        <v>46053</v>
      </c>
      <c r="V125" s="40" t="s">
        <v>97</v>
      </c>
      <c r="W125" s="41" t="s">
        <v>114</v>
      </c>
      <c r="Y125" s="42"/>
      <c r="Z125" t="s">
        <v>40</v>
      </c>
      <c r="AA125" s="43"/>
      <c r="AC125" s="45"/>
      <c r="AF125" s="47">
        <v>45726</v>
      </c>
      <c r="AG125" s="48">
        <v>936066</v>
      </c>
      <c r="AH125" s="48">
        <v>732508.71</v>
      </c>
    </row>
    <row r="126" spans="1:35" ht="19.5" customHeight="1">
      <c r="A126" s="25">
        <f t="shared" si="1"/>
        <v>125</v>
      </c>
      <c r="B126" s="26">
        <v>6157084</v>
      </c>
      <c r="C126" s="27">
        <v>45706</v>
      </c>
      <c r="E126" s="29">
        <v>28500</v>
      </c>
      <c r="F126" s="30">
        <v>1521971</v>
      </c>
      <c r="G126" s="31">
        <v>45712</v>
      </c>
      <c r="H126" s="32"/>
      <c r="J126" s="34" t="s">
        <v>103</v>
      </c>
      <c r="K126" t="s">
        <v>212</v>
      </c>
      <c r="M126" s="36" t="s">
        <v>410</v>
      </c>
      <c r="N126" s="37"/>
      <c r="O126" t="s">
        <v>408</v>
      </c>
      <c r="P126" t="s">
        <v>409</v>
      </c>
      <c r="R126" s="38">
        <v>45689</v>
      </c>
      <c r="S126" s="39">
        <v>46053</v>
      </c>
      <c r="T126" s="38">
        <v>45689</v>
      </c>
      <c r="U126" s="39">
        <v>46053</v>
      </c>
      <c r="V126" s="40" t="s">
        <v>97</v>
      </c>
      <c r="W126" s="41" t="s">
        <v>114</v>
      </c>
      <c r="Y126" s="42"/>
      <c r="Z126" t="s">
        <v>40</v>
      </c>
      <c r="AA126" s="62" t="s">
        <v>411</v>
      </c>
      <c r="AB126" s="44">
        <v>45749</v>
      </c>
      <c r="AF126" s="47">
        <v>45786</v>
      </c>
      <c r="AG126" s="48">
        <v>936066</v>
      </c>
      <c r="AH126" s="48">
        <v>732508.71</v>
      </c>
    </row>
    <row r="127" spans="1:35" ht="19.5" customHeight="1">
      <c r="A127" s="25">
        <f t="shared" si="1"/>
        <v>126</v>
      </c>
      <c r="B127" s="26">
        <v>6157122</v>
      </c>
      <c r="C127" s="27">
        <v>45706</v>
      </c>
      <c r="E127" s="29">
        <v>134803.71</v>
      </c>
      <c r="F127" s="30">
        <v>1522161</v>
      </c>
      <c r="G127" s="31">
        <v>45712</v>
      </c>
      <c r="H127" s="32"/>
      <c r="J127" s="34" t="s">
        <v>159</v>
      </c>
      <c r="K127" t="s">
        <v>160</v>
      </c>
      <c r="M127" s="36" t="s">
        <v>412</v>
      </c>
      <c r="N127" s="37"/>
      <c r="O127" t="s">
        <v>408</v>
      </c>
      <c r="P127" t="s">
        <v>409</v>
      </c>
      <c r="R127" s="38">
        <v>45689</v>
      </c>
      <c r="S127" s="39">
        <v>46053</v>
      </c>
      <c r="T127" s="38">
        <v>45689</v>
      </c>
      <c r="U127" s="39">
        <v>46053</v>
      </c>
      <c r="V127" s="40" t="s">
        <v>97</v>
      </c>
      <c r="W127" s="41" t="s">
        <v>114</v>
      </c>
      <c r="Y127" s="42"/>
      <c r="Z127" t="s">
        <v>40</v>
      </c>
      <c r="AA127" s="62" t="s">
        <v>171</v>
      </c>
      <c r="AB127" s="44">
        <v>45743</v>
      </c>
      <c r="AF127" s="47">
        <v>45777</v>
      </c>
      <c r="AG127" s="48">
        <v>936066</v>
      </c>
      <c r="AH127" s="48">
        <v>732508.71</v>
      </c>
    </row>
    <row r="128" spans="1:35" ht="19.5" customHeight="1">
      <c r="A128" s="25">
        <f t="shared" si="1"/>
        <v>127</v>
      </c>
      <c r="B128" s="26">
        <v>6157355</v>
      </c>
      <c r="C128" s="27">
        <v>45706</v>
      </c>
      <c r="E128" s="29">
        <v>8320</v>
      </c>
      <c r="F128" s="30">
        <v>1521734</v>
      </c>
      <c r="G128" s="31">
        <v>45709</v>
      </c>
      <c r="H128" s="32"/>
      <c r="J128" s="34" t="s">
        <v>33</v>
      </c>
      <c r="K128" t="s">
        <v>139</v>
      </c>
      <c r="M128" s="36" t="s">
        <v>413</v>
      </c>
      <c r="N128" s="37"/>
      <c r="O128" t="s">
        <v>414</v>
      </c>
      <c r="P128" t="s">
        <v>415</v>
      </c>
      <c r="R128" s="38">
        <v>45716</v>
      </c>
      <c r="S128" s="39">
        <v>46810</v>
      </c>
      <c r="T128" s="38">
        <v>45716</v>
      </c>
      <c r="U128" s="39">
        <v>46810</v>
      </c>
      <c r="V128" s="40" t="s">
        <v>227</v>
      </c>
      <c r="W128" s="41" t="s">
        <v>114</v>
      </c>
      <c r="Y128" s="42"/>
      <c r="Z128" t="s">
        <v>40</v>
      </c>
      <c r="AA128" s="62" t="s">
        <v>171</v>
      </c>
      <c r="AB128" s="44">
        <v>45716</v>
      </c>
      <c r="AF128" s="47">
        <v>45771</v>
      </c>
      <c r="AG128" s="48">
        <v>45000</v>
      </c>
      <c r="AH128" s="48">
        <v>12245</v>
      </c>
    </row>
    <row r="129" spans="1:34" ht="19.5" customHeight="1">
      <c r="A129" s="25">
        <f t="shared" si="1"/>
        <v>128</v>
      </c>
      <c r="B129" s="77">
        <v>6157376</v>
      </c>
      <c r="C129" s="27">
        <v>45706</v>
      </c>
      <c r="D129" s="71"/>
      <c r="E129" s="72">
        <v>1820</v>
      </c>
      <c r="F129" s="30" t="s">
        <v>416</v>
      </c>
      <c r="G129" s="31">
        <v>45706</v>
      </c>
      <c r="H129" s="73" t="s">
        <v>141</v>
      </c>
      <c r="I129" s="74">
        <v>1820</v>
      </c>
      <c r="J129" s="34" t="s">
        <v>33</v>
      </c>
      <c r="K129" s="40" t="s">
        <v>193</v>
      </c>
      <c r="M129" s="36" t="s">
        <v>417</v>
      </c>
      <c r="N129" s="75"/>
      <c r="O129" t="s">
        <v>418</v>
      </c>
      <c r="P129" t="s">
        <v>419</v>
      </c>
      <c r="Q129" t="s">
        <v>420</v>
      </c>
      <c r="R129" s="38">
        <v>45667</v>
      </c>
      <c r="S129" s="39">
        <v>46031</v>
      </c>
      <c r="T129" s="38">
        <v>45667</v>
      </c>
      <c r="U129" s="39">
        <v>46031</v>
      </c>
      <c r="V129" s="40" t="s">
        <v>421</v>
      </c>
      <c r="W129" s="41" t="s">
        <v>114</v>
      </c>
      <c r="Y129" s="42"/>
      <c r="Z129" t="s">
        <v>40</v>
      </c>
      <c r="AA129" s="43" t="s">
        <v>422</v>
      </c>
      <c r="AB129" s="44">
        <v>45972</v>
      </c>
      <c r="AC129" s="63" t="s">
        <v>423</v>
      </c>
      <c r="AD129" s="46">
        <v>45972</v>
      </c>
      <c r="AE129">
        <v>3181359</v>
      </c>
      <c r="AF129" s="39">
        <v>45978</v>
      </c>
      <c r="AG129" s="76">
        <v>206940</v>
      </c>
      <c r="AH129" s="76">
        <v>163506.29</v>
      </c>
    </row>
    <row r="130" spans="1:34" ht="19.5" customHeight="1">
      <c r="A130" s="25">
        <f t="shared" si="1"/>
        <v>129</v>
      </c>
      <c r="C130" s="27">
        <v>45706</v>
      </c>
      <c r="E130" s="29">
        <v>1770</v>
      </c>
      <c r="F130" s="30">
        <v>1521470</v>
      </c>
      <c r="G130" s="31">
        <v>45706</v>
      </c>
      <c r="H130" s="32"/>
      <c r="J130" s="34" t="s">
        <v>33</v>
      </c>
      <c r="K130" t="s">
        <v>139</v>
      </c>
      <c r="M130" s="36" t="s">
        <v>424</v>
      </c>
      <c r="N130" s="37"/>
      <c r="O130" t="s">
        <v>425</v>
      </c>
      <c r="P130" t="s">
        <v>426</v>
      </c>
      <c r="R130" s="38">
        <v>45703</v>
      </c>
      <c r="S130" s="39">
        <v>46067</v>
      </c>
      <c r="T130" s="38">
        <v>45703</v>
      </c>
      <c r="U130" s="39">
        <v>46067</v>
      </c>
      <c r="V130" s="40" t="s">
        <v>276</v>
      </c>
      <c r="W130" s="41" t="s">
        <v>114</v>
      </c>
      <c r="Y130" s="42"/>
      <c r="Z130" t="s">
        <v>40</v>
      </c>
      <c r="AA130" s="62">
        <v>90006678</v>
      </c>
      <c r="AB130" s="44">
        <v>45715</v>
      </c>
      <c r="AF130" s="47">
        <v>45771</v>
      </c>
      <c r="AG130" s="48">
        <v>39800</v>
      </c>
      <c r="AH130" s="48">
        <v>1770</v>
      </c>
    </row>
    <row r="131" spans="1:34" ht="19.5" customHeight="1">
      <c r="A131" s="25">
        <f t="shared" si="1"/>
        <v>130</v>
      </c>
      <c r="C131" s="27">
        <v>45707</v>
      </c>
      <c r="E131" s="29">
        <v>4870</v>
      </c>
      <c r="F131" s="30">
        <v>1521473</v>
      </c>
      <c r="G131" s="31">
        <v>45707</v>
      </c>
      <c r="H131" s="32"/>
      <c r="J131" s="34" t="s">
        <v>33</v>
      </c>
      <c r="K131" t="s">
        <v>139</v>
      </c>
      <c r="M131" s="36" t="s">
        <v>427</v>
      </c>
      <c r="N131" s="37"/>
      <c r="O131" t="s">
        <v>428</v>
      </c>
      <c r="P131" t="s">
        <v>429</v>
      </c>
      <c r="R131" s="38">
        <v>45689</v>
      </c>
      <c r="S131" s="39">
        <v>46783</v>
      </c>
      <c r="T131" s="38">
        <v>45689</v>
      </c>
      <c r="U131" s="39">
        <v>46783</v>
      </c>
      <c r="V131" s="78" t="s">
        <v>38</v>
      </c>
      <c r="W131" s="41" t="s">
        <v>114</v>
      </c>
      <c r="Y131" s="42"/>
      <c r="Z131" t="s">
        <v>40</v>
      </c>
      <c r="AA131" s="62">
        <v>90006680</v>
      </c>
      <c r="AB131" s="44">
        <v>45723</v>
      </c>
      <c r="AF131" s="47">
        <v>45786</v>
      </c>
      <c r="AG131" s="48">
        <v>82000</v>
      </c>
      <c r="AH131" s="48">
        <v>39290.519999999997</v>
      </c>
    </row>
    <row r="132" spans="1:34" ht="19.5" customHeight="1">
      <c r="A132" s="25">
        <f t="shared" ref="A132:A195" si="2">A131+1</f>
        <v>131</v>
      </c>
      <c r="B132" s="26">
        <v>6157385</v>
      </c>
      <c r="C132" s="27">
        <v>45707</v>
      </c>
      <c r="D132" s="28">
        <v>20596.98</v>
      </c>
      <c r="E132" s="29">
        <v>160421.64000000001</v>
      </c>
      <c r="F132" s="30">
        <v>1522705</v>
      </c>
      <c r="G132" s="31">
        <v>45716</v>
      </c>
      <c r="H132" s="32"/>
      <c r="J132" s="34" t="s">
        <v>33</v>
      </c>
      <c r="K132" t="s">
        <v>34</v>
      </c>
      <c r="M132" s="36" t="s">
        <v>430</v>
      </c>
      <c r="N132" s="37"/>
      <c r="O132" t="s">
        <v>418</v>
      </c>
      <c r="P132" t="s">
        <v>419</v>
      </c>
      <c r="R132" s="38">
        <v>45667</v>
      </c>
      <c r="S132" s="39">
        <v>46031</v>
      </c>
      <c r="T132" s="38">
        <v>45667</v>
      </c>
      <c r="U132" s="39">
        <v>46031</v>
      </c>
      <c r="V132" s="40" t="s">
        <v>421</v>
      </c>
      <c r="W132" s="41" t="s">
        <v>114</v>
      </c>
      <c r="Y132" s="42"/>
      <c r="Z132" t="s">
        <v>40</v>
      </c>
      <c r="AA132" s="43"/>
      <c r="AC132" s="45"/>
      <c r="AF132" s="47">
        <v>45726</v>
      </c>
      <c r="AG132" s="48">
        <v>206940</v>
      </c>
      <c r="AH132" s="48">
        <v>163506.29</v>
      </c>
    </row>
    <row r="133" spans="1:34" ht="19.5" customHeight="1">
      <c r="A133" s="25">
        <f t="shared" si="2"/>
        <v>132</v>
      </c>
      <c r="B133" s="26">
        <v>6157570</v>
      </c>
      <c r="C133" s="27">
        <v>45707</v>
      </c>
      <c r="D133" s="28">
        <v>1894.8</v>
      </c>
      <c r="E133" s="29">
        <v>14757.84</v>
      </c>
      <c r="F133" s="30">
        <v>1521742</v>
      </c>
      <c r="G133" s="31">
        <v>45709</v>
      </c>
      <c r="H133" s="32"/>
      <c r="J133" s="34" t="s">
        <v>33</v>
      </c>
      <c r="K133" t="s">
        <v>34</v>
      </c>
      <c r="M133" s="36" t="s">
        <v>431</v>
      </c>
      <c r="N133" s="37"/>
      <c r="O133" t="s">
        <v>432</v>
      </c>
      <c r="P133" t="s">
        <v>433</v>
      </c>
      <c r="R133" s="38">
        <v>45658</v>
      </c>
      <c r="S133" s="39">
        <v>46112</v>
      </c>
      <c r="T133" s="50">
        <v>45668</v>
      </c>
      <c r="U133" s="47">
        <v>46112</v>
      </c>
      <c r="V133" s="40" t="s">
        <v>434</v>
      </c>
      <c r="W133" s="41" t="s">
        <v>114</v>
      </c>
      <c r="Y133" s="42"/>
      <c r="Z133" t="s">
        <v>40</v>
      </c>
      <c r="AA133" s="43"/>
      <c r="AC133" s="45"/>
      <c r="AF133" s="47">
        <v>45726</v>
      </c>
      <c r="AG133" s="48">
        <v>36028</v>
      </c>
      <c r="AH133" s="48">
        <v>14874.18</v>
      </c>
    </row>
    <row r="134" spans="1:34" ht="19.5" customHeight="1">
      <c r="A134" s="25">
        <f t="shared" si="2"/>
        <v>133</v>
      </c>
      <c r="B134" s="26">
        <v>6157576</v>
      </c>
      <c r="C134" s="27">
        <v>45707</v>
      </c>
      <c r="D134" s="28">
        <v>4384.78</v>
      </c>
      <c r="E134" s="29">
        <v>34151.300000000003</v>
      </c>
      <c r="F134" s="30">
        <v>1521743</v>
      </c>
      <c r="G134" s="31">
        <v>45708</v>
      </c>
      <c r="H134" s="32"/>
      <c r="J134" s="34" t="s">
        <v>33</v>
      </c>
      <c r="K134" t="s">
        <v>34</v>
      </c>
      <c r="M134" s="36" t="s">
        <v>435</v>
      </c>
      <c r="N134" s="37"/>
      <c r="O134" t="s">
        <v>428</v>
      </c>
      <c r="P134" t="s">
        <v>436</v>
      </c>
      <c r="R134" s="38">
        <v>45689</v>
      </c>
      <c r="S134" s="39">
        <v>46783</v>
      </c>
      <c r="T134" s="50">
        <v>45737</v>
      </c>
      <c r="U134" s="47">
        <v>46173</v>
      </c>
      <c r="V134" s="40" t="s">
        <v>38</v>
      </c>
      <c r="W134" s="41" t="s">
        <v>114</v>
      </c>
      <c r="Y134" s="42"/>
      <c r="Z134" t="s">
        <v>40</v>
      </c>
      <c r="AA134" s="43"/>
      <c r="AC134" s="45"/>
      <c r="AF134" s="47">
        <v>45726</v>
      </c>
      <c r="AG134" s="48">
        <v>82000</v>
      </c>
      <c r="AH134" s="48">
        <v>39290.519999999997</v>
      </c>
    </row>
    <row r="135" spans="1:34" ht="19.5" customHeight="1">
      <c r="A135" s="25">
        <f t="shared" si="2"/>
        <v>134</v>
      </c>
      <c r="B135" s="26">
        <v>6157579</v>
      </c>
      <c r="C135" s="27">
        <v>45707</v>
      </c>
      <c r="D135" s="28">
        <v>222.19</v>
      </c>
      <c r="E135" s="29">
        <v>1730.55</v>
      </c>
      <c r="F135" s="30">
        <v>1521752</v>
      </c>
      <c r="G135" s="31">
        <v>45709</v>
      </c>
      <c r="H135" s="32"/>
      <c r="J135" s="34" t="s">
        <v>33</v>
      </c>
      <c r="K135" t="s">
        <v>34</v>
      </c>
      <c r="M135" s="36" t="s">
        <v>437</v>
      </c>
      <c r="N135" s="37"/>
      <c r="O135" t="s">
        <v>438</v>
      </c>
      <c r="P135" t="s">
        <v>439</v>
      </c>
      <c r="R135" s="38">
        <v>45706</v>
      </c>
      <c r="S135" s="39">
        <v>46070</v>
      </c>
      <c r="T135" s="50">
        <v>45725</v>
      </c>
      <c r="U135" s="47">
        <v>46089</v>
      </c>
      <c r="V135" s="40" t="s">
        <v>51</v>
      </c>
      <c r="W135" s="41" t="s">
        <v>114</v>
      </c>
      <c r="Y135" s="42"/>
      <c r="Z135" t="s">
        <v>40</v>
      </c>
      <c r="AA135" s="43"/>
      <c r="AC135" s="45"/>
      <c r="AF135" s="47">
        <v>45726</v>
      </c>
      <c r="AG135" s="48">
        <v>2664</v>
      </c>
      <c r="AH135" s="48">
        <v>1744.19</v>
      </c>
    </row>
    <row r="136" spans="1:34" ht="19.5" customHeight="1">
      <c r="A136" s="25">
        <f t="shared" si="2"/>
        <v>135</v>
      </c>
      <c r="C136" s="27">
        <v>45707</v>
      </c>
      <c r="E136" s="29">
        <v>3570</v>
      </c>
      <c r="F136" s="30">
        <v>1521687</v>
      </c>
      <c r="G136" s="31">
        <v>45707</v>
      </c>
      <c r="H136" s="32"/>
      <c r="J136" s="34" t="s">
        <v>33</v>
      </c>
      <c r="K136" t="s">
        <v>139</v>
      </c>
      <c r="M136" s="36" t="s">
        <v>147</v>
      </c>
      <c r="N136" s="37"/>
      <c r="O136" t="s">
        <v>440</v>
      </c>
      <c r="P136" t="s">
        <v>441</v>
      </c>
      <c r="R136" s="50">
        <v>45731</v>
      </c>
      <c r="S136" s="47">
        <v>46095</v>
      </c>
      <c r="T136" s="50">
        <v>45731</v>
      </c>
      <c r="U136" s="47">
        <v>46095</v>
      </c>
      <c r="V136" s="40" t="s">
        <v>150</v>
      </c>
      <c r="W136" s="41" t="s">
        <v>114</v>
      </c>
      <c r="Y136" s="42" t="s">
        <v>56</v>
      </c>
      <c r="Z136" t="s">
        <v>40</v>
      </c>
      <c r="AA136" s="62">
        <v>90006680</v>
      </c>
      <c r="AB136" s="44">
        <v>45723</v>
      </c>
      <c r="AF136" s="47">
        <v>45771</v>
      </c>
      <c r="AG136" s="48">
        <v>17600</v>
      </c>
      <c r="AH136" s="48">
        <v>3570</v>
      </c>
    </row>
    <row r="137" spans="1:34" ht="19.5" customHeight="1">
      <c r="A137" s="25">
        <f t="shared" si="2"/>
        <v>136</v>
      </c>
      <c r="B137" s="26">
        <v>6157751</v>
      </c>
      <c r="C137" s="27">
        <v>45708</v>
      </c>
      <c r="D137" s="28">
        <v>9879.9</v>
      </c>
      <c r="E137" s="29">
        <v>76950.59</v>
      </c>
      <c r="F137" s="30">
        <v>1521777</v>
      </c>
      <c r="G137" s="31">
        <v>45709</v>
      </c>
      <c r="H137" s="32"/>
      <c r="J137" s="34" t="s">
        <v>33</v>
      </c>
      <c r="K137" t="s">
        <v>34</v>
      </c>
      <c r="M137" s="36" t="s">
        <v>442</v>
      </c>
      <c r="N137" s="37"/>
      <c r="O137" t="s">
        <v>443</v>
      </c>
      <c r="P137" t="s">
        <v>444</v>
      </c>
      <c r="R137" s="38">
        <v>45717</v>
      </c>
      <c r="S137" s="39">
        <v>46812</v>
      </c>
      <c r="T137" s="38">
        <v>45717</v>
      </c>
      <c r="U137" s="39">
        <v>46812</v>
      </c>
      <c r="V137" s="40" t="s">
        <v>150</v>
      </c>
      <c r="W137" s="41" t="s">
        <v>114</v>
      </c>
      <c r="Y137" s="42"/>
      <c r="Z137" t="s">
        <v>81</v>
      </c>
      <c r="AA137" s="43"/>
      <c r="AC137" s="45"/>
      <c r="AF137" s="47">
        <v>45726</v>
      </c>
      <c r="AG137" s="48">
        <v>98343</v>
      </c>
      <c r="AH137" s="48">
        <v>77557.22</v>
      </c>
    </row>
    <row r="138" spans="1:34" ht="19.5" customHeight="1">
      <c r="A138" s="25">
        <f t="shared" si="2"/>
        <v>137</v>
      </c>
      <c r="B138" s="26">
        <v>6157752</v>
      </c>
      <c r="C138" s="27">
        <v>45708</v>
      </c>
      <c r="D138" s="28">
        <v>1060.3900000000001</v>
      </c>
      <c r="E138" s="29">
        <v>8258.9500000000007</v>
      </c>
      <c r="F138" s="30">
        <v>1521778</v>
      </c>
      <c r="G138" s="31">
        <v>45712</v>
      </c>
      <c r="H138" s="32"/>
      <c r="J138" s="34" t="s">
        <v>33</v>
      </c>
      <c r="K138" t="s">
        <v>34</v>
      </c>
      <c r="M138" s="36" t="s">
        <v>445</v>
      </c>
      <c r="N138" s="37"/>
      <c r="O138" t="s">
        <v>446</v>
      </c>
      <c r="P138" t="s">
        <v>447</v>
      </c>
      <c r="R138" s="38">
        <v>45735</v>
      </c>
      <c r="S138" s="39">
        <v>46099</v>
      </c>
      <c r="T138" s="38">
        <v>45996</v>
      </c>
      <c r="U138" s="39">
        <v>46360</v>
      </c>
      <c r="V138" s="40" t="s">
        <v>150</v>
      </c>
      <c r="W138" s="41" t="s">
        <v>114</v>
      </c>
      <c r="Z138" t="s">
        <v>40</v>
      </c>
      <c r="AA138" s="43"/>
      <c r="AC138" s="45"/>
      <c r="AF138" s="47">
        <v>45734</v>
      </c>
      <c r="AG138" s="48">
        <v>13720</v>
      </c>
      <c r="AH138" s="48">
        <v>8324.06</v>
      </c>
    </row>
    <row r="139" spans="1:34" ht="19.5" customHeight="1">
      <c r="A139" s="25">
        <f t="shared" si="2"/>
        <v>138</v>
      </c>
      <c r="B139" s="26">
        <v>6158128</v>
      </c>
      <c r="C139" s="27">
        <v>45708</v>
      </c>
      <c r="D139" s="28">
        <v>9667.49</v>
      </c>
      <c r="E139" s="29">
        <v>75296.210000000006</v>
      </c>
      <c r="F139" s="30">
        <v>1522135</v>
      </c>
      <c r="G139" s="27">
        <v>45712</v>
      </c>
      <c r="H139" s="32"/>
      <c r="J139" s="34" t="s">
        <v>33</v>
      </c>
      <c r="K139" t="s">
        <v>34</v>
      </c>
      <c r="M139" s="36" t="s">
        <v>448</v>
      </c>
      <c r="N139" s="37"/>
      <c r="O139" t="s">
        <v>449</v>
      </c>
      <c r="P139" t="s">
        <v>450</v>
      </c>
      <c r="R139" s="38">
        <v>45616</v>
      </c>
      <c r="S139" s="39">
        <v>45980</v>
      </c>
      <c r="T139" s="50">
        <v>45631</v>
      </c>
      <c r="U139" s="47">
        <v>45995</v>
      </c>
      <c r="V139" s="40" t="s">
        <v>150</v>
      </c>
      <c r="W139" s="41" t="s">
        <v>114</v>
      </c>
      <c r="X139" s="79" t="s">
        <v>451</v>
      </c>
      <c r="Y139" s="42"/>
      <c r="Z139" t="s">
        <v>40</v>
      </c>
      <c r="AA139" s="43"/>
      <c r="AC139" s="45"/>
      <c r="AF139" s="47">
        <v>45734</v>
      </c>
      <c r="AG139" s="48">
        <v>175258</v>
      </c>
      <c r="AH139" s="48">
        <v>146025.88</v>
      </c>
    </row>
    <row r="140" spans="1:34" ht="19.5" customHeight="1">
      <c r="A140" s="25">
        <f t="shared" si="2"/>
        <v>139</v>
      </c>
      <c r="B140" s="26">
        <v>6158597</v>
      </c>
      <c r="C140" s="27">
        <v>45709</v>
      </c>
      <c r="D140" s="28">
        <v>679.76</v>
      </c>
      <c r="E140" s="29">
        <v>5294.38</v>
      </c>
      <c r="F140" s="30">
        <v>1522704</v>
      </c>
      <c r="G140" s="31">
        <v>45716</v>
      </c>
      <c r="H140" s="32"/>
      <c r="J140" s="34" t="s">
        <v>33</v>
      </c>
      <c r="K140" t="s">
        <v>34</v>
      </c>
      <c r="M140" s="36" t="s">
        <v>452</v>
      </c>
      <c r="N140" s="37"/>
      <c r="O140" t="s">
        <v>453</v>
      </c>
      <c r="P140" t="s">
        <v>454</v>
      </c>
      <c r="R140" s="38">
        <v>45542</v>
      </c>
      <c r="S140" s="39">
        <v>46265</v>
      </c>
      <c r="T140" s="38">
        <v>45709</v>
      </c>
      <c r="U140" s="39">
        <v>46265</v>
      </c>
      <c r="V140" s="40" t="s">
        <v>150</v>
      </c>
      <c r="W140" s="41" t="s">
        <v>39</v>
      </c>
      <c r="Y140" s="42" t="s">
        <v>56</v>
      </c>
      <c r="Z140" t="s">
        <v>40</v>
      </c>
      <c r="AA140" s="43"/>
      <c r="AC140" s="45"/>
      <c r="AF140" s="47">
        <v>45726</v>
      </c>
      <c r="AG140" s="48">
        <v>200460</v>
      </c>
      <c r="AH140" s="48">
        <v>170170.2</v>
      </c>
    </row>
    <row r="141" spans="1:34" ht="19.5" customHeight="1">
      <c r="A141" s="25">
        <f t="shared" si="2"/>
        <v>140</v>
      </c>
      <c r="B141" s="26">
        <v>6158627</v>
      </c>
      <c r="C141" s="27">
        <v>45709</v>
      </c>
      <c r="D141" s="28">
        <v>620.36</v>
      </c>
      <c r="E141" s="29">
        <v>4831.74</v>
      </c>
      <c r="F141" s="30">
        <v>1522202</v>
      </c>
      <c r="G141" s="27">
        <v>45716</v>
      </c>
      <c r="H141" s="32"/>
      <c r="J141" s="34" t="s">
        <v>33</v>
      </c>
      <c r="K141" t="s">
        <v>34</v>
      </c>
      <c r="M141" s="36" t="s">
        <v>455</v>
      </c>
      <c r="N141" s="37"/>
      <c r="O141" t="s">
        <v>456</v>
      </c>
      <c r="P141" t="s">
        <v>457</v>
      </c>
      <c r="R141" s="38">
        <v>45673</v>
      </c>
      <c r="S141" s="39">
        <v>46402</v>
      </c>
      <c r="T141" s="38">
        <v>45698</v>
      </c>
      <c r="U141" s="39">
        <v>46402</v>
      </c>
      <c r="V141" s="40" t="s">
        <v>458</v>
      </c>
      <c r="W141" s="41" t="s">
        <v>39</v>
      </c>
      <c r="Z141" t="s">
        <v>40</v>
      </c>
      <c r="AA141" s="43"/>
      <c r="AC141" s="45"/>
      <c r="AF141" s="47">
        <v>45726</v>
      </c>
      <c r="AG141" s="48">
        <v>614468</v>
      </c>
      <c r="AH141" s="48">
        <v>437683.02</v>
      </c>
    </row>
    <row r="142" spans="1:34" ht="19.5" customHeight="1">
      <c r="A142" s="25">
        <f t="shared" si="2"/>
        <v>141</v>
      </c>
      <c r="B142" s="26">
        <v>6158660</v>
      </c>
      <c r="C142" s="27">
        <v>45709</v>
      </c>
      <c r="D142" s="28">
        <v>3237.83</v>
      </c>
      <c r="E142" s="29">
        <v>25218.16</v>
      </c>
      <c r="F142" s="30">
        <v>1522203</v>
      </c>
      <c r="G142" s="27">
        <v>45715</v>
      </c>
      <c r="H142" s="32"/>
      <c r="J142" s="34" t="s">
        <v>33</v>
      </c>
      <c r="K142" t="s">
        <v>34</v>
      </c>
      <c r="M142" s="36" t="s">
        <v>459</v>
      </c>
      <c r="N142" s="37"/>
      <c r="O142" t="s">
        <v>460</v>
      </c>
      <c r="P142" t="s">
        <v>461</v>
      </c>
      <c r="R142" s="38">
        <v>45573</v>
      </c>
      <c r="S142" s="39">
        <v>46302</v>
      </c>
      <c r="T142" s="50">
        <v>45736</v>
      </c>
      <c r="U142" s="47">
        <v>46302</v>
      </c>
      <c r="V142" s="40" t="s">
        <v>268</v>
      </c>
      <c r="W142" s="41" t="s">
        <v>39</v>
      </c>
      <c r="Z142" t="s">
        <v>40</v>
      </c>
      <c r="AA142" s="43"/>
      <c r="AC142" s="45"/>
      <c r="AF142" s="47">
        <v>45726</v>
      </c>
      <c r="AG142" s="48">
        <v>55000</v>
      </c>
      <c r="AH142" s="48">
        <v>25416.97</v>
      </c>
    </row>
    <row r="143" spans="1:34" ht="19.5" customHeight="1">
      <c r="A143" s="25">
        <f t="shared" si="2"/>
        <v>142</v>
      </c>
      <c r="B143" s="26">
        <v>6158804</v>
      </c>
      <c r="C143" s="27">
        <v>45712</v>
      </c>
      <c r="D143" s="28">
        <v>3852.24</v>
      </c>
      <c r="E143" s="29">
        <v>30003.56</v>
      </c>
      <c r="F143" s="30">
        <v>1522233</v>
      </c>
      <c r="G143" s="27">
        <v>45715</v>
      </c>
      <c r="H143" s="32"/>
      <c r="J143" s="34" t="s">
        <v>33</v>
      </c>
      <c r="K143" t="s">
        <v>34</v>
      </c>
      <c r="M143" s="36" t="s">
        <v>462</v>
      </c>
      <c r="N143" s="37"/>
      <c r="O143" t="s">
        <v>463</v>
      </c>
      <c r="P143" t="s">
        <v>464</v>
      </c>
      <c r="R143" s="38">
        <v>45722</v>
      </c>
      <c r="S143" s="39">
        <v>46086</v>
      </c>
      <c r="T143" s="38">
        <v>45658</v>
      </c>
      <c r="U143" s="39">
        <v>46086</v>
      </c>
      <c r="V143" s="40" t="s">
        <v>192</v>
      </c>
      <c r="W143" s="41" t="s">
        <v>39</v>
      </c>
      <c r="Z143" t="s">
        <v>40</v>
      </c>
      <c r="AA143" s="43"/>
      <c r="AC143" s="45"/>
      <c r="AF143" s="47">
        <v>45726</v>
      </c>
      <c r="AG143" s="48">
        <v>38412</v>
      </c>
      <c r="AH143" s="48">
        <v>30240.080000000002</v>
      </c>
    </row>
    <row r="144" spans="1:34" ht="19.5" customHeight="1">
      <c r="A144" s="25">
        <f t="shared" si="2"/>
        <v>143</v>
      </c>
      <c r="B144" s="26">
        <v>6158860</v>
      </c>
      <c r="C144" s="27">
        <v>45712</v>
      </c>
      <c r="D144" s="28">
        <v>2033.14</v>
      </c>
      <c r="E144" s="29">
        <v>15835.31</v>
      </c>
      <c r="F144" s="30">
        <v>1522369</v>
      </c>
      <c r="G144" s="27">
        <v>45715</v>
      </c>
      <c r="H144" s="32"/>
      <c r="J144" s="34" t="s">
        <v>33</v>
      </c>
      <c r="K144" t="s">
        <v>34</v>
      </c>
      <c r="M144" s="36" t="s">
        <v>465</v>
      </c>
      <c r="N144" s="37"/>
      <c r="O144" t="s">
        <v>466</v>
      </c>
      <c r="P144" t="s">
        <v>467</v>
      </c>
      <c r="R144" s="38">
        <v>45717</v>
      </c>
      <c r="S144" s="39">
        <v>46081</v>
      </c>
      <c r="T144" s="50">
        <v>45825</v>
      </c>
      <c r="U144" s="47">
        <v>46189</v>
      </c>
      <c r="V144" s="40" t="s">
        <v>55</v>
      </c>
      <c r="W144" s="41" t="s">
        <v>39</v>
      </c>
      <c r="Y144" s="42"/>
      <c r="Z144" t="s">
        <v>40</v>
      </c>
      <c r="AA144" s="43"/>
      <c r="AC144" s="45"/>
      <c r="AF144" s="47">
        <v>45726</v>
      </c>
      <c r="AG144" s="48">
        <v>27844</v>
      </c>
      <c r="AH144" s="48">
        <v>20830.150000000001</v>
      </c>
    </row>
    <row r="145" spans="1:34" ht="19.5" customHeight="1">
      <c r="A145" s="25">
        <f t="shared" si="2"/>
        <v>144</v>
      </c>
      <c r="B145" s="26">
        <v>6159052</v>
      </c>
      <c r="C145" s="27">
        <v>45712</v>
      </c>
      <c r="D145" s="28">
        <v>18383.490000000002</v>
      </c>
      <c r="E145" s="29">
        <v>143181.67000000001</v>
      </c>
      <c r="F145" s="30">
        <v>1523080</v>
      </c>
      <c r="G145" s="27">
        <v>45715</v>
      </c>
      <c r="H145" s="32"/>
      <c r="J145" s="34" t="s">
        <v>103</v>
      </c>
      <c r="K145" s="40" t="s">
        <v>206</v>
      </c>
      <c r="M145" s="36" t="s">
        <v>468</v>
      </c>
      <c r="N145" s="37"/>
      <c r="O145" t="s">
        <v>456</v>
      </c>
      <c r="P145" t="s">
        <v>457</v>
      </c>
      <c r="R145" s="38">
        <v>45673</v>
      </c>
      <c r="S145" s="39">
        <v>46402</v>
      </c>
      <c r="T145" s="50">
        <v>45612</v>
      </c>
      <c r="U145" s="47">
        <v>46402</v>
      </c>
      <c r="V145" s="40" t="s">
        <v>458</v>
      </c>
      <c r="W145" s="41" t="s">
        <v>39</v>
      </c>
      <c r="Y145" s="42"/>
      <c r="Z145" t="s">
        <v>81</v>
      </c>
      <c r="AA145" s="62" t="s">
        <v>469</v>
      </c>
      <c r="AB145" s="44">
        <v>45721</v>
      </c>
      <c r="AF145" s="47">
        <v>45771</v>
      </c>
      <c r="AG145" s="48">
        <v>614468</v>
      </c>
      <c r="AH145" s="48">
        <v>437683.02</v>
      </c>
    </row>
    <row r="146" spans="1:34" ht="19.5" customHeight="1">
      <c r="A146" s="25">
        <f t="shared" si="2"/>
        <v>145</v>
      </c>
      <c r="B146" s="26">
        <v>6159085</v>
      </c>
      <c r="C146" s="27">
        <v>45712</v>
      </c>
      <c r="D146" s="28">
        <v>18960.71</v>
      </c>
      <c r="E146" s="29">
        <v>147677.43</v>
      </c>
      <c r="F146" s="30">
        <v>1523091</v>
      </c>
      <c r="G146" s="27">
        <v>45715</v>
      </c>
      <c r="H146" s="32"/>
      <c r="J146" s="34" t="s">
        <v>103</v>
      </c>
      <c r="K146" s="40" t="s">
        <v>206</v>
      </c>
      <c r="M146" s="36" t="s">
        <v>470</v>
      </c>
      <c r="N146" s="37"/>
      <c r="O146" t="s">
        <v>456</v>
      </c>
      <c r="P146" t="s">
        <v>457</v>
      </c>
      <c r="R146" s="38">
        <v>45673</v>
      </c>
      <c r="S146" s="39">
        <v>46402</v>
      </c>
      <c r="T146" s="50">
        <v>45612</v>
      </c>
      <c r="U146" s="47">
        <v>46402</v>
      </c>
      <c r="V146" s="40" t="s">
        <v>458</v>
      </c>
      <c r="W146" s="41" t="s">
        <v>39</v>
      </c>
      <c r="Y146" s="42"/>
      <c r="Z146" t="s">
        <v>81</v>
      </c>
      <c r="AA146" s="62" t="s">
        <v>471</v>
      </c>
      <c r="AB146" s="44">
        <v>45721</v>
      </c>
      <c r="AF146" s="47">
        <v>45771</v>
      </c>
      <c r="AG146" s="48">
        <v>614468</v>
      </c>
      <c r="AH146" s="48">
        <v>437683.02</v>
      </c>
    </row>
    <row r="147" spans="1:34" ht="19.5" customHeight="1">
      <c r="A147" s="25">
        <f t="shared" si="2"/>
        <v>146</v>
      </c>
      <c r="B147" s="26">
        <v>6159113</v>
      </c>
      <c r="C147" s="27">
        <v>45712</v>
      </c>
      <c r="D147" s="28">
        <v>17791.240000000002</v>
      </c>
      <c r="E147" s="29">
        <v>138568.82999999999</v>
      </c>
      <c r="F147" s="30">
        <v>1523100</v>
      </c>
      <c r="G147" s="27">
        <v>45715</v>
      </c>
      <c r="H147" s="32"/>
      <c r="J147" s="34" t="s">
        <v>103</v>
      </c>
      <c r="K147" s="40" t="s">
        <v>206</v>
      </c>
      <c r="M147" s="36" t="s">
        <v>470</v>
      </c>
      <c r="N147" s="37"/>
      <c r="O147" t="s">
        <v>456</v>
      </c>
      <c r="P147" t="s">
        <v>457</v>
      </c>
      <c r="R147" s="38">
        <v>45673</v>
      </c>
      <c r="S147" s="39">
        <v>46402</v>
      </c>
      <c r="T147" s="38">
        <v>45773</v>
      </c>
      <c r="U147" s="39">
        <v>46402</v>
      </c>
      <c r="V147" s="40" t="s">
        <v>458</v>
      </c>
      <c r="W147" s="41" t="s">
        <v>39</v>
      </c>
      <c r="Y147" s="42"/>
      <c r="Z147" t="s">
        <v>81</v>
      </c>
      <c r="AA147" s="62" t="s">
        <v>472</v>
      </c>
      <c r="AB147" s="44">
        <v>45721</v>
      </c>
      <c r="AF147" s="47">
        <v>45771</v>
      </c>
      <c r="AG147" s="48">
        <v>614468</v>
      </c>
      <c r="AH147" s="48">
        <v>437683.02</v>
      </c>
    </row>
    <row r="148" spans="1:34" ht="19.5" customHeight="1">
      <c r="A148" s="25">
        <f t="shared" si="2"/>
        <v>147</v>
      </c>
      <c r="B148" s="26">
        <v>6159227</v>
      </c>
      <c r="C148" s="27">
        <v>45712</v>
      </c>
      <c r="D148" s="80">
        <v>0</v>
      </c>
      <c r="E148" s="29">
        <v>0</v>
      </c>
      <c r="F148" s="30">
        <v>1522396</v>
      </c>
      <c r="G148" s="27">
        <v>45716</v>
      </c>
      <c r="H148" s="32"/>
      <c r="J148" s="34" t="s">
        <v>33</v>
      </c>
      <c r="K148" t="s">
        <v>34</v>
      </c>
      <c r="M148" s="36" t="s">
        <v>445</v>
      </c>
      <c r="N148" s="37"/>
      <c r="O148" t="s">
        <v>446</v>
      </c>
      <c r="P148" t="s">
        <v>447</v>
      </c>
      <c r="R148" s="38">
        <v>45735</v>
      </c>
      <c r="S148" s="39">
        <v>46099</v>
      </c>
      <c r="T148" s="50">
        <v>45713</v>
      </c>
      <c r="U148" s="47">
        <v>46360</v>
      </c>
      <c r="V148" s="40" t="s">
        <v>150</v>
      </c>
      <c r="W148" s="41" t="s">
        <v>39</v>
      </c>
      <c r="Z148" t="s">
        <v>40</v>
      </c>
      <c r="AA148" s="43"/>
      <c r="AC148" s="45"/>
      <c r="AF148" s="47">
        <v>45741</v>
      </c>
      <c r="AG148" s="48">
        <v>13720</v>
      </c>
      <c r="AH148" s="48">
        <v>8324.06</v>
      </c>
    </row>
    <row r="149" spans="1:34" ht="19.5" customHeight="1">
      <c r="A149" s="25">
        <f t="shared" si="2"/>
        <v>148</v>
      </c>
      <c r="B149" s="26">
        <v>6159579</v>
      </c>
      <c r="C149" s="27">
        <v>45713</v>
      </c>
      <c r="D149" s="28">
        <v>13703.28</v>
      </c>
      <c r="E149" s="29">
        <v>106729.37</v>
      </c>
      <c r="F149" s="30">
        <v>1522830</v>
      </c>
      <c r="G149" s="27">
        <v>45714</v>
      </c>
      <c r="H149" s="32"/>
      <c r="J149" s="34" t="s">
        <v>33</v>
      </c>
      <c r="K149" t="s">
        <v>34</v>
      </c>
      <c r="M149" s="36" t="s">
        <v>473</v>
      </c>
      <c r="N149" s="37"/>
      <c r="O149" t="s">
        <v>474</v>
      </c>
      <c r="P149" t="s">
        <v>475</v>
      </c>
      <c r="R149" s="38">
        <v>45564</v>
      </c>
      <c r="S149" s="39">
        <v>46006</v>
      </c>
      <c r="T149" s="50">
        <v>45611</v>
      </c>
      <c r="U149" s="47">
        <v>45975</v>
      </c>
      <c r="V149" s="40" t="s">
        <v>60</v>
      </c>
      <c r="W149" s="41" t="s">
        <v>39</v>
      </c>
      <c r="Y149" s="42"/>
      <c r="Z149" t="s">
        <v>40</v>
      </c>
      <c r="AA149" s="43"/>
      <c r="AC149" s="45"/>
      <c r="AF149" s="47">
        <v>45726</v>
      </c>
      <c r="AG149" s="48">
        <v>137180</v>
      </c>
      <c r="AH149" s="48">
        <v>107570.72</v>
      </c>
    </row>
    <row r="150" spans="1:34" ht="19.5" customHeight="1">
      <c r="A150" s="25">
        <f t="shared" si="2"/>
        <v>149</v>
      </c>
      <c r="B150" s="26">
        <v>6159641</v>
      </c>
      <c r="C150" s="27">
        <v>45713</v>
      </c>
      <c r="D150" s="28">
        <v>612.51</v>
      </c>
      <c r="E150" s="29">
        <v>4770.59</v>
      </c>
      <c r="F150" s="30">
        <v>1523532</v>
      </c>
      <c r="G150" s="27">
        <v>45719</v>
      </c>
      <c r="H150" s="32"/>
      <c r="J150" s="34" t="s">
        <v>103</v>
      </c>
      <c r="K150" s="40" t="s">
        <v>206</v>
      </c>
      <c r="M150" s="36" t="s">
        <v>476</v>
      </c>
      <c r="N150" s="37"/>
      <c r="O150" t="s">
        <v>477</v>
      </c>
      <c r="P150" t="s">
        <v>478</v>
      </c>
      <c r="R150" s="38">
        <v>45746</v>
      </c>
      <c r="S150" s="39">
        <v>46112</v>
      </c>
      <c r="T150" s="50">
        <v>45746</v>
      </c>
      <c r="U150" s="47">
        <v>46112</v>
      </c>
      <c r="V150" s="40" t="s">
        <v>479</v>
      </c>
      <c r="W150" s="41" t="s">
        <v>39</v>
      </c>
      <c r="Y150" s="42"/>
      <c r="Z150" t="s">
        <v>40</v>
      </c>
      <c r="AA150" s="62" t="s">
        <v>480</v>
      </c>
      <c r="AB150" s="44">
        <v>45726</v>
      </c>
      <c r="AF150" s="47">
        <v>45771</v>
      </c>
      <c r="AG150" s="48">
        <v>6535</v>
      </c>
      <c r="AH150" s="48">
        <v>4808.2</v>
      </c>
    </row>
    <row r="151" spans="1:34" ht="19.5" customHeight="1">
      <c r="A151" s="25">
        <f t="shared" si="2"/>
        <v>150</v>
      </c>
      <c r="C151" s="27">
        <v>45713</v>
      </c>
      <c r="E151" s="29">
        <v>4870</v>
      </c>
      <c r="F151" s="30">
        <v>1522669</v>
      </c>
      <c r="G151" s="27">
        <v>45713</v>
      </c>
      <c r="H151" s="32"/>
      <c r="J151" s="34" t="s">
        <v>33</v>
      </c>
      <c r="K151" t="s">
        <v>139</v>
      </c>
      <c r="M151" s="36" t="s">
        <v>481</v>
      </c>
      <c r="N151" s="37"/>
      <c r="O151" t="s">
        <v>466</v>
      </c>
      <c r="P151" t="s">
        <v>467</v>
      </c>
      <c r="R151" s="38">
        <v>45717</v>
      </c>
      <c r="S151" s="39">
        <v>46081</v>
      </c>
      <c r="T151" s="50" t="s">
        <v>141</v>
      </c>
      <c r="U151" s="47" t="s">
        <v>141</v>
      </c>
      <c r="V151" s="40" t="s">
        <v>55</v>
      </c>
      <c r="W151" s="41" t="s">
        <v>39</v>
      </c>
      <c r="Y151" s="42"/>
      <c r="Z151" t="s">
        <v>40</v>
      </c>
      <c r="AA151" s="62" t="s">
        <v>142</v>
      </c>
      <c r="AB151" s="44">
        <v>45740</v>
      </c>
      <c r="AF151" s="47">
        <v>45771</v>
      </c>
      <c r="AG151" s="48">
        <v>27844</v>
      </c>
      <c r="AH151" s="48">
        <v>20830.150000000001</v>
      </c>
    </row>
    <row r="152" spans="1:34" ht="19.5" customHeight="1">
      <c r="A152" s="25">
        <f t="shared" si="2"/>
        <v>151</v>
      </c>
      <c r="B152" s="26">
        <v>6159951</v>
      </c>
      <c r="C152" s="27">
        <v>45714</v>
      </c>
      <c r="E152" s="29">
        <v>1648</v>
      </c>
      <c r="F152" s="30">
        <v>1524174</v>
      </c>
      <c r="G152" s="27">
        <v>45721</v>
      </c>
      <c r="H152" s="32"/>
      <c r="J152" s="34" t="s">
        <v>159</v>
      </c>
      <c r="K152" t="s">
        <v>176</v>
      </c>
      <c r="M152" s="36" t="s">
        <v>482</v>
      </c>
      <c r="N152" s="37"/>
      <c r="O152" t="s">
        <v>483</v>
      </c>
      <c r="P152" t="s">
        <v>484</v>
      </c>
      <c r="R152" s="38">
        <v>45731</v>
      </c>
      <c r="S152" s="39">
        <v>46095</v>
      </c>
      <c r="T152" s="50" t="s">
        <v>141</v>
      </c>
      <c r="U152" s="47" t="s">
        <v>141</v>
      </c>
      <c r="V152" s="40" t="s">
        <v>128</v>
      </c>
      <c r="W152" s="41" t="s">
        <v>39</v>
      </c>
      <c r="Y152" s="42"/>
      <c r="Z152" t="s">
        <v>40</v>
      </c>
      <c r="AA152" s="62" t="s">
        <v>485</v>
      </c>
      <c r="AB152" s="44">
        <v>45761</v>
      </c>
      <c r="AF152" s="39">
        <v>45769</v>
      </c>
      <c r="AG152" s="48">
        <v>5274</v>
      </c>
      <c r="AH152" s="48">
        <v>3448</v>
      </c>
    </row>
    <row r="153" spans="1:34" ht="19.5" customHeight="1">
      <c r="A153" s="25">
        <f t="shared" si="2"/>
        <v>152</v>
      </c>
      <c r="B153" s="26">
        <v>6160029</v>
      </c>
      <c r="C153" s="27">
        <v>45714</v>
      </c>
      <c r="E153" s="29">
        <v>13470</v>
      </c>
      <c r="F153" s="30">
        <v>1523041</v>
      </c>
      <c r="G153" s="27">
        <v>45715</v>
      </c>
      <c r="H153" s="32"/>
      <c r="J153" s="34" t="s">
        <v>33</v>
      </c>
      <c r="K153" t="s">
        <v>139</v>
      </c>
      <c r="M153" s="36" t="s">
        <v>486</v>
      </c>
      <c r="N153" s="37"/>
      <c r="O153" t="s">
        <v>91</v>
      </c>
      <c r="P153" t="s">
        <v>92</v>
      </c>
      <c r="R153" s="38">
        <v>45658</v>
      </c>
      <c r="S153" s="39">
        <v>46022</v>
      </c>
      <c r="T153" s="50" t="s">
        <v>141</v>
      </c>
      <c r="U153" s="47" t="s">
        <v>141</v>
      </c>
      <c r="V153" s="40" t="s">
        <v>93</v>
      </c>
      <c r="W153" s="41" t="s">
        <v>39</v>
      </c>
      <c r="Y153" s="42"/>
      <c r="Z153" t="s">
        <v>40</v>
      </c>
      <c r="AA153" s="62" t="s">
        <v>487</v>
      </c>
      <c r="AB153" s="44">
        <v>45747</v>
      </c>
      <c r="AF153" s="47">
        <v>45771</v>
      </c>
      <c r="AG153" s="48">
        <v>478060</v>
      </c>
      <c r="AH153" s="48">
        <v>413212.07</v>
      </c>
    </row>
    <row r="154" spans="1:34" ht="19.5" customHeight="1">
      <c r="A154" s="25">
        <f t="shared" si="2"/>
        <v>153</v>
      </c>
      <c r="B154" s="26">
        <v>6160040</v>
      </c>
      <c r="C154" s="27">
        <v>45714</v>
      </c>
      <c r="D154" s="28">
        <f>1482.73-33.44</f>
        <v>1449.29</v>
      </c>
      <c r="E154" s="29">
        <f>11548.39-243.93</f>
        <v>11304.46</v>
      </c>
      <c r="F154" s="30">
        <v>1523168</v>
      </c>
      <c r="G154" s="27">
        <v>45720</v>
      </c>
      <c r="H154" s="32"/>
      <c r="J154" s="34" t="s">
        <v>33</v>
      </c>
      <c r="K154" t="s">
        <v>34</v>
      </c>
      <c r="M154" s="36" t="s">
        <v>488</v>
      </c>
      <c r="N154" s="37"/>
      <c r="O154" t="s">
        <v>489</v>
      </c>
      <c r="P154" t="s">
        <v>490</v>
      </c>
      <c r="R154" s="38">
        <v>45572</v>
      </c>
      <c r="S154" s="39" t="s">
        <v>491</v>
      </c>
      <c r="T154" s="38">
        <v>45624</v>
      </c>
      <c r="U154" s="39">
        <v>46022</v>
      </c>
      <c r="V154" s="40" t="s">
        <v>302</v>
      </c>
      <c r="W154" s="41" t="s">
        <v>39</v>
      </c>
      <c r="Y154" s="42"/>
      <c r="Z154" t="s">
        <v>40</v>
      </c>
      <c r="AA154" s="43"/>
      <c r="AC154" s="45"/>
      <c r="AF154" s="47">
        <v>45771</v>
      </c>
      <c r="AG154" s="48">
        <v>18800</v>
      </c>
      <c r="AH154" s="48">
        <v>13243.74</v>
      </c>
    </row>
    <row r="155" spans="1:34" ht="19.5" customHeight="1">
      <c r="A155" s="25">
        <f t="shared" si="2"/>
        <v>154</v>
      </c>
      <c r="B155" s="26">
        <v>6160156</v>
      </c>
      <c r="C155" s="27">
        <v>45715</v>
      </c>
      <c r="D155" s="28">
        <v>16066.47</v>
      </c>
      <c r="E155" s="29">
        <v>125135.3</v>
      </c>
      <c r="F155" s="30">
        <v>1523191</v>
      </c>
      <c r="G155" s="27">
        <v>45716</v>
      </c>
      <c r="H155" s="32"/>
      <c r="J155" s="34" t="s">
        <v>33</v>
      </c>
      <c r="K155" t="s">
        <v>34</v>
      </c>
      <c r="M155" s="36" t="s">
        <v>473</v>
      </c>
      <c r="N155" s="37"/>
      <c r="O155" t="s">
        <v>492</v>
      </c>
      <c r="P155" t="s">
        <v>493</v>
      </c>
      <c r="R155" s="38">
        <v>45564</v>
      </c>
      <c r="S155" s="39">
        <v>45928</v>
      </c>
      <c r="T155" s="50">
        <v>45705</v>
      </c>
      <c r="U155" s="47">
        <v>46069</v>
      </c>
      <c r="V155" s="40" t="s">
        <v>60</v>
      </c>
      <c r="W155" s="41" t="s">
        <v>39</v>
      </c>
      <c r="Y155" s="42"/>
      <c r="Z155" t="s">
        <v>81</v>
      </c>
      <c r="AA155" s="43"/>
      <c r="AC155" s="45"/>
      <c r="AF155" s="47">
        <v>45726</v>
      </c>
      <c r="AG155" s="48">
        <v>276870</v>
      </c>
      <c r="AH155" s="48">
        <v>210827.77</v>
      </c>
    </row>
    <row r="156" spans="1:34" ht="19.5" customHeight="1">
      <c r="A156" s="25">
        <f t="shared" si="2"/>
        <v>155</v>
      </c>
      <c r="B156" s="26">
        <v>6160193</v>
      </c>
      <c r="C156" s="27">
        <v>45715</v>
      </c>
      <c r="D156" s="28">
        <v>10790.57</v>
      </c>
      <c r="E156" s="29">
        <v>84043.43</v>
      </c>
      <c r="F156" s="30">
        <v>1523189</v>
      </c>
      <c r="G156" s="27">
        <v>45716</v>
      </c>
      <c r="H156" s="32"/>
      <c r="J156" s="34" t="s">
        <v>33</v>
      </c>
      <c r="K156" t="s">
        <v>34</v>
      </c>
      <c r="M156" s="36" t="s">
        <v>494</v>
      </c>
      <c r="N156" s="37"/>
      <c r="O156" t="s">
        <v>492</v>
      </c>
      <c r="P156" t="s">
        <v>493</v>
      </c>
      <c r="R156" s="38">
        <v>45564</v>
      </c>
      <c r="S156" s="39">
        <v>45928</v>
      </c>
      <c r="T156" s="50">
        <v>45705</v>
      </c>
      <c r="U156" s="47">
        <v>46069</v>
      </c>
      <c r="V156" s="40" t="s">
        <v>60</v>
      </c>
      <c r="W156" s="41" t="s">
        <v>39</v>
      </c>
      <c r="Y156" s="42"/>
      <c r="Z156" t="s">
        <v>81</v>
      </c>
      <c r="AA156" s="43"/>
      <c r="AC156" s="45"/>
      <c r="AF156" s="47">
        <v>45726</v>
      </c>
      <c r="AG156" s="48">
        <v>276870</v>
      </c>
      <c r="AH156" s="48">
        <v>210827.77</v>
      </c>
    </row>
    <row r="157" spans="1:34" ht="19.5" customHeight="1">
      <c r="A157" s="25">
        <f t="shared" si="2"/>
        <v>156</v>
      </c>
      <c r="B157" s="26">
        <v>6160336</v>
      </c>
      <c r="C157" s="27">
        <v>45715</v>
      </c>
      <c r="D157" s="28">
        <v>3521.6</v>
      </c>
      <c r="E157" s="29">
        <v>27428.33</v>
      </c>
      <c r="F157" s="30">
        <v>1523412</v>
      </c>
      <c r="G157" s="27">
        <v>45719</v>
      </c>
      <c r="H157" s="32"/>
      <c r="J157" s="34" t="s">
        <v>33</v>
      </c>
      <c r="K157" t="s">
        <v>34</v>
      </c>
      <c r="M157" s="36" t="s">
        <v>495</v>
      </c>
      <c r="N157" s="37"/>
      <c r="O157" t="s">
        <v>496</v>
      </c>
      <c r="P157" t="s">
        <v>497</v>
      </c>
      <c r="R157" s="38">
        <v>45635</v>
      </c>
      <c r="S157" s="39">
        <v>45961</v>
      </c>
      <c r="T157" s="38">
        <v>45707</v>
      </c>
      <c r="U157" s="39">
        <v>45961</v>
      </c>
      <c r="V157" s="40" t="s">
        <v>80</v>
      </c>
      <c r="W157" s="41" t="s">
        <v>39</v>
      </c>
      <c r="Y157" s="42" t="s">
        <v>56</v>
      </c>
      <c r="Z157" t="s">
        <v>81</v>
      </c>
      <c r="AA157" s="43"/>
      <c r="AC157" s="45"/>
      <c r="AF157" s="47">
        <v>45747</v>
      </c>
      <c r="AG157" s="48">
        <v>35950</v>
      </c>
      <c r="AH157" s="48">
        <v>27644.560000000001</v>
      </c>
    </row>
    <row r="158" spans="1:34" ht="19.5" customHeight="1">
      <c r="A158" s="25">
        <f t="shared" si="2"/>
        <v>157</v>
      </c>
      <c r="B158" s="26">
        <v>6160355</v>
      </c>
      <c r="C158" s="27">
        <v>45715</v>
      </c>
      <c r="D158" s="28">
        <v>6990.35</v>
      </c>
      <c r="E158" s="29">
        <v>54338.09</v>
      </c>
      <c r="F158" s="30">
        <v>1526230</v>
      </c>
      <c r="G158" s="27">
        <v>45733</v>
      </c>
      <c r="H158" s="32"/>
      <c r="J158" s="34" t="s">
        <v>33</v>
      </c>
      <c r="K158" t="s">
        <v>34</v>
      </c>
      <c r="L158" s="81"/>
      <c r="M158" s="36" t="s">
        <v>498</v>
      </c>
      <c r="N158" s="37"/>
      <c r="O158" t="s">
        <v>365</v>
      </c>
      <c r="P158" t="s">
        <v>366</v>
      </c>
      <c r="R158" s="38">
        <v>45536</v>
      </c>
      <c r="S158" s="39">
        <v>46265</v>
      </c>
      <c r="T158" s="38">
        <v>45622</v>
      </c>
      <c r="U158" s="39">
        <v>46351</v>
      </c>
      <c r="V158" s="40" t="s">
        <v>97</v>
      </c>
      <c r="W158" s="41" t="s">
        <v>39</v>
      </c>
      <c r="Y158" s="42"/>
      <c r="Z158" t="s">
        <v>40</v>
      </c>
      <c r="AA158" s="43"/>
      <c r="AC158" s="45"/>
      <c r="AF158" s="39">
        <v>45769</v>
      </c>
      <c r="AG158" s="48">
        <v>862000</v>
      </c>
      <c r="AH158" s="48">
        <v>583439.96</v>
      </c>
    </row>
    <row r="159" spans="1:34" ht="19.5" customHeight="1">
      <c r="A159" s="25">
        <f t="shared" si="2"/>
        <v>158</v>
      </c>
      <c r="B159" s="26">
        <v>6160515</v>
      </c>
      <c r="C159" s="27">
        <v>45716</v>
      </c>
      <c r="D159" s="28">
        <v>1391.48</v>
      </c>
      <c r="E159" s="29">
        <v>10837.68</v>
      </c>
      <c r="F159" s="30">
        <v>1523299</v>
      </c>
      <c r="G159" s="27">
        <v>45721</v>
      </c>
      <c r="H159" s="32"/>
      <c r="J159" s="34" t="s">
        <v>33</v>
      </c>
      <c r="K159" t="s">
        <v>34</v>
      </c>
      <c r="M159" s="36" t="s">
        <v>499</v>
      </c>
      <c r="N159" s="37"/>
      <c r="O159" t="s">
        <v>500</v>
      </c>
      <c r="P159" t="s">
        <v>501</v>
      </c>
      <c r="R159" s="38">
        <v>45707</v>
      </c>
      <c r="S159" s="39">
        <v>46387</v>
      </c>
      <c r="T159" s="50">
        <v>45707</v>
      </c>
      <c r="U159" s="47">
        <v>46387</v>
      </c>
      <c r="V159" s="40" t="s">
        <v>85</v>
      </c>
      <c r="W159" s="41" t="s">
        <v>39</v>
      </c>
      <c r="Y159" s="42"/>
      <c r="Z159" t="s">
        <v>40</v>
      </c>
      <c r="AA159" s="43"/>
      <c r="AC159" s="45"/>
      <c r="AF159" s="47">
        <v>45747</v>
      </c>
      <c r="AG159" s="48">
        <v>13190</v>
      </c>
      <c r="AH159" s="48">
        <v>10923.12</v>
      </c>
    </row>
    <row r="160" spans="1:34" ht="19.5" customHeight="1">
      <c r="A160" s="25">
        <f t="shared" si="2"/>
        <v>159</v>
      </c>
      <c r="B160" s="26">
        <v>6160542</v>
      </c>
      <c r="C160" s="27">
        <v>45716</v>
      </c>
      <c r="D160" s="28">
        <v>9294.56</v>
      </c>
      <c r="E160" s="29">
        <v>72391.61</v>
      </c>
      <c r="F160" s="30">
        <v>1523501</v>
      </c>
      <c r="G160" s="27">
        <v>45722</v>
      </c>
      <c r="H160" s="32"/>
      <c r="J160" s="34" t="s">
        <v>33</v>
      </c>
      <c r="K160" t="s">
        <v>34</v>
      </c>
      <c r="M160" s="36" t="s">
        <v>502</v>
      </c>
      <c r="N160" s="37"/>
      <c r="O160" t="s">
        <v>503</v>
      </c>
      <c r="P160" t="s">
        <v>504</v>
      </c>
      <c r="R160" s="38">
        <v>45766</v>
      </c>
      <c r="S160" s="39">
        <v>46861</v>
      </c>
      <c r="T160" s="50">
        <v>45750</v>
      </c>
      <c r="U160" s="47">
        <v>46845</v>
      </c>
      <c r="V160" s="40" t="s">
        <v>80</v>
      </c>
      <c r="W160" s="41" t="s">
        <v>39</v>
      </c>
      <c r="Y160" s="42" t="s">
        <v>56</v>
      </c>
      <c r="Z160" t="s">
        <v>40</v>
      </c>
      <c r="AA160" s="43"/>
      <c r="AC160" s="45"/>
      <c r="AF160" s="47">
        <v>45747</v>
      </c>
      <c r="AG160" s="48">
        <v>197072</v>
      </c>
      <c r="AH160" s="48">
        <v>153962.29999999999</v>
      </c>
    </row>
    <row r="161" spans="1:34" ht="19.5" customHeight="1">
      <c r="A161" s="25">
        <f t="shared" si="2"/>
        <v>160</v>
      </c>
      <c r="C161" s="27">
        <v>45716</v>
      </c>
      <c r="E161" s="29">
        <v>3260</v>
      </c>
      <c r="F161" s="30">
        <v>1523308</v>
      </c>
      <c r="G161" s="27">
        <v>45716</v>
      </c>
      <c r="H161" s="32"/>
      <c r="J161" s="34" t="s">
        <v>33</v>
      </c>
      <c r="K161" t="s">
        <v>139</v>
      </c>
      <c r="M161" s="36" t="s">
        <v>505</v>
      </c>
      <c r="N161" s="37"/>
      <c r="O161" t="s">
        <v>506</v>
      </c>
      <c r="P161" t="s">
        <v>507</v>
      </c>
      <c r="R161" s="38">
        <v>45658</v>
      </c>
      <c r="S161" s="39">
        <v>45838</v>
      </c>
      <c r="T161" s="50" t="s">
        <v>141</v>
      </c>
      <c r="U161" s="47" t="s">
        <v>141</v>
      </c>
      <c r="V161" s="40" t="s">
        <v>268</v>
      </c>
      <c r="W161" s="41" t="s">
        <v>39</v>
      </c>
      <c r="Y161" s="42"/>
      <c r="Z161" t="s">
        <v>40</v>
      </c>
      <c r="AA161" s="62" t="s">
        <v>142</v>
      </c>
      <c r="AB161" s="44">
        <v>45740</v>
      </c>
      <c r="AF161" s="47">
        <v>45786</v>
      </c>
      <c r="AG161" s="48">
        <v>46500</v>
      </c>
      <c r="AH161" s="48">
        <v>5480</v>
      </c>
    </row>
    <row r="162" spans="1:34" ht="19.5" customHeight="1">
      <c r="A162" s="25">
        <f t="shared" si="2"/>
        <v>161</v>
      </c>
      <c r="C162" s="27">
        <v>45716</v>
      </c>
      <c r="E162" s="29">
        <v>3940</v>
      </c>
      <c r="F162" s="30">
        <v>1523337</v>
      </c>
      <c r="G162" s="27">
        <v>45716</v>
      </c>
      <c r="H162" s="32"/>
      <c r="J162" s="34" t="s">
        <v>33</v>
      </c>
      <c r="K162" t="s">
        <v>139</v>
      </c>
      <c r="M162" s="36" t="s">
        <v>508</v>
      </c>
      <c r="N162" s="37"/>
      <c r="O162" t="s">
        <v>509</v>
      </c>
      <c r="P162" t="s">
        <v>510</v>
      </c>
      <c r="R162" s="38">
        <v>45745</v>
      </c>
      <c r="S162" s="39">
        <v>46109</v>
      </c>
      <c r="T162" s="50" t="s">
        <v>141</v>
      </c>
      <c r="U162" s="47" t="s">
        <v>141</v>
      </c>
      <c r="V162" s="40" t="s">
        <v>51</v>
      </c>
      <c r="W162" s="41" t="s">
        <v>39</v>
      </c>
      <c r="Y162" s="42"/>
      <c r="Z162" t="s">
        <v>40</v>
      </c>
      <c r="AA162" s="62" t="s">
        <v>142</v>
      </c>
      <c r="AB162" s="44">
        <v>45740</v>
      </c>
      <c r="AF162" s="47">
        <v>45771</v>
      </c>
      <c r="AG162" s="48">
        <v>1378254</v>
      </c>
      <c r="AH162" s="48">
        <v>1098033.3799999999</v>
      </c>
    </row>
    <row r="163" spans="1:34" ht="19.5" customHeight="1">
      <c r="A163" s="25">
        <f t="shared" si="2"/>
        <v>162</v>
      </c>
      <c r="B163" s="26">
        <v>6161450</v>
      </c>
      <c r="C163" s="27">
        <v>45720</v>
      </c>
      <c r="D163" s="28">
        <v>158.13999999999999</v>
      </c>
      <c r="E163" s="29">
        <v>1229.27</v>
      </c>
      <c r="F163" s="30">
        <v>1523695</v>
      </c>
      <c r="G163" s="27">
        <v>45723</v>
      </c>
      <c r="H163" s="32"/>
      <c r="J163" s="34" t="s">
        <v>33</v>
      </c>
      <c r="K163" t="s">
        <v>34</v>
      </c>
      <c r="M163" s="36" t="s">
        <v>511</v>
      </c>
      <c r="N163" s="37"/>
      <c r="O163" t="s">
        <v>512</v>
      </c>
      <c r="P163" t="s">
        <v>513</v>
      </c>
      <c r="R163" s="38">
        <v>45687</v>
      </c>
      <c r="S163" s="39">
        <v>46051</v>
      </c>
      <c r="T163" s="50">
        <v>45813</v>
      </c>
      <c r="U163" s="47">
        <v>46177</v>
      </c>
      <c r="V163" s="40" t="s">
        <v>134</v>
      </c>
      <c r="W163" s="41" t="s">
        <v>39</v>
      </c>
      <c r="Y163" s="42"/>
      <c r="Z163" t="s">
        <v>40</v>
      </c>
      <c r="AA163" s="43"/>
      <c r="AC163" s="45"/>
      <c r="AF163" s="47">
        <v>45747</v>
      </c>
      <c r="AG163" s="48">
        <v>5451</v>
      </c>
      <c r="AH163" s="48">
        <v>1241.4000000000001</v>
      </c>
    </row>
    <row r="164" spans="1:34" ht="19.5" customHeight="1">
      <c r="A164" s="25">
        <f t="shared" si="2"/>
        <v>163</v>
      </c>
      <c r="B164" s="26">
        <v>6161589</v>
      </c>
      <c r="C164" s="27">
        <v>45720</v>
      </c>
      <c r="D164" s="28">
        <v>1692.9</v>
      </c>
      <c r="E164" s="29">
        <v>13159.42</v>
      </c>
      <c r="F164" s="30">
        <v>1523859</v>
      </c>
      <c r="G164" s="27">
        <v>45723</v>
      </c>
      <c r="H164" s="32"/>
      <c r="J164" s="34" t="s">
        <v>33</v>
      </c>
      <c r="K164" t="s">
        <v>34</v>
      </c>
      <c r="M164" s="36" t="s">
        <v>514</v>
      </c>
      <c r="N164" s="37"/>
      <c r="O164" t="s">
        <v>515</v>
      </c>
      <c r="P164" t="s">
        <v>516</v>
      </c>
      <c r="R164" s="38">
        <v>45658</v>
      </c>
      <c r="S164" s="39">
        <v>46022</v>
      </c>
      <c r="T164" s="50">
        <v>45658</v>
      </c>
      <c r="U164" s="47">
        <v>46022</v>
      </c>
      <c r="V164" s="40" t="s">
        <v>517</v>
      </c>
      <c r="W164" s="41" t="s">
        <v>39</v>
      </c>
      <c r="Y164" s="42"/>
      <c r="Z164" t="s">
        <v>40</v>
      </c>
      <c r="AA164" s="43"/>
      <c r="AC164" s="45"/>
      <c r="AF164" s="47">
        <v>45747</v>
      </c>
      <c r="AG164" s="48">
        <v>52941</v>
      </c>
      <c r="AH164" s="48">
        <v>13289.27</v>
      </c>
    </row>
    <row r="165" spans="1:34" ht="19.5" customHeight="1">
      <c r="A165" s="25">
        <f t="shared" si="2"/>
        <v>164</v>
      </c>
      <c r="B165" s="26">
        <v>6161770</v>
      </c>
      <c r="C165" s="27">
        <v>45720</v>
      </c>
      <c r="E165" s="29">
        <v>17805.62</v>
      </c>
      <c r="F165" s="30">
        <v>1524552</v>
      </c>
      <c r="G165" s="27">
        <v>45723</v>
      </c>
      <c r="H165" s="32"/>
      <c r="J165" s="34" t="s">
        <v>159</v>
      </c>
      <c r="K165" t="s">
        <v>160</v>
      </c>
      <c r="M165" s="36" t="s">
        <v>518</v>
      </c>
      <c r="N165" s="37"/>
      <c r="O165" t="s">
        <v>519</v>
      </c>
      <c r="P165" t="s">
        <v>520</v>
      </c>
      <c r="R165" s="38">
        <v>45731</v>
      </c>
      <c r="S165" s="39">
        <v>11031</v>
      </c>
      <c r="T165" s="50">
        <v>45731</v>
      </c>
      <c r="U165" s="47">
        <v>11031</v>
      </c>
      <c r="V165" s="40" t="s">
        <v>521</v>
      </c>
      <c r="W165" s="41" t="s">
        <v>39</v>
      </c>
      <c r="Y165" s="42"/>
      <c r="Z165" t="s">
        <v>40</v>
      </c>
      <c r="AA165" s="62" t="s">
        <v>171</v>
      </c>
      <c r="AB165" s="44">
        <v>45757</v>
      </c>
      <c r="AF165" s="47">
        <v>45777</v>
      </c>
      <c r="AG165" s="48">
        <v>61404</v>
      </c>
      <c r="AH165" s="48">
        <v>23175.62</v>
      </c>
    </row>
    <row r="166" spans="1:34" ht="19.5" customHeight="1">
      <c r="A166" s="25">
        <f t="shared" si="2"/>
        <v>165</v>
      </c>
      <c r="C166" s="27">
        <v>45720</v>
      </c>
      <c r="E166" s="29">
        <v>5370</v>
      </c>
      <c r="F166" s="30">
        <v>1523778</v>
      </c>
      <c r="G166" s="27">
        <v>45720</v>
      </c>
      <c r="H166" s="32"/>
      <c r="J166" s="34" t="s">
        <v>33</v>
      </c>
      <c r="K166" t="s">
        <v>139</v>
      </c>
      <c r="M166" s="36" t="s">
        <v>522</v>
      </c>
      <c r="N166" s="37"/>
      <c r="O166" t="s">
        <v>519</v>
      </c>
      <c r="P166" t="s">
        <v>520</v>
      </c>
      <c r="R166" s="38">
        <v>45731</v>
      </c>
      <c r="S166" s="39">
        <v>11031</v>
      </c>
      <c r="T166" s="50" t="s">
        <v>141</v>
      </c>
      <c r="U166" s="47" t="s">
        <v>141</v>
      </c>
      <c r="V166" s="40" t="s">
        <v>523</v>
      </c>
      <c r="W166" s="41" t="s">
        <v>39</v>
      </c>
      <c r="Y166" s="42"/>
      <c r="Z166" t="s">
        <v>40</v>
      </c>
      <c r="AA166" s="62" t="s">
        <v>142</v>
      </c>
      <c r="AB166" s="44">
        <v>45740</v>
      </c>
      <c r="AF166" s="47">
        <v>45786</v>
      </c>
      <c r="AG166" s="48">
        <v>61404</v>
      </c>
      <c r="AH166" s="48">
        <v>23175.62</v>
      </c>
    </row>
    <row r="167" spans="1:34" ht="19.5" customHeight="1">
      <c r="A167" s="25">
        <f t="shared" si="2"/>
        <v>166</v>
      </c>
      <c r="B167" s="26">
        <v>6162226</v>
      </c>
      <c r="C167" s="27">
        <v>45721</v>
      </c>
      <c r="D167" s="28">
        <v>1244.93</v>
      </c>
      <c r="E167" s="29">
        <v>9677.2099999999991</v>
      </c>
      <c r="F167" s="30">
        <v>1524935</v>
      </c>
      <c r="G167" s="27">
        <v>45726</v>
      </c>
      <c r="H167" s="32"/>
      <c r="J167" s="34" t="s">
        <v>33</v>
      </c>
      <c r="K167" t="s">
        <v>34</v>
      </c>
      <c r="M167" s="36" t="s">
        <v>524</v>
      </c>
      <c r="N167" s="37"/>
      <c r="O167" t="s">
        <v>525</v>
      </c>
      <c r="P167" t="s">
        <v>526</v>
      </c>
      <c r="R167" s="38">
        <v>45473</v>
      </c>
      <c r="S167" s="39">
        <v>45837</v>
      </c>
      <c r="T167" s="38">
        <v>45675</v>
      </c>
      <c r="U167" s="39">
        <v>46039</v>
      </c>
      <c r="V167" s="40" t="s">
        <v>85</v>
      </c>
      <c r="W167" s="41" t="s">
        <v>39</v>
      </c>
      <c r="Y167" s="42"/>
      <c r="Z167" t="s">
        <v>40</v>
      </c>
      <c r="AA167" s="43"/>
      <c r="AC167" s="45"/>
      <c r="AF167" s="47">
        <v>45747</v>
      </c>
      <c r="AG167" s="48">
        <v>204606.44</v>
      </c>
      <c r="AH167" s="48">
        <v>108975.79</v>
      </c>
    </row>
    <row r="168" spans="1:34" ht="19.5" customHeight="1">
      <c r="A168" s="25">
        <f t="shared" si="2"/>
        <v>167</v>
      </c>
      <c r="B168" s="26">
        <v>6162267</v>
      </c>
      <c r="C168" s="27">
        <v>45721</v>
      </c>
      <c r="E168" s="29">
        <v>99610</v>
      </c>
      <c r="F168" s="30">
        <v>1525274</v>
      </c>
      <c r="G168" s="27">
        <v>45730</v>
      </c>
      <c r="H168" s="32"/>
      <c r="J168" s="34" t="s">
        <v>33</v>
      </c>
      <c r="K168" t="s">
        <v>139</v>
      </c>
      <c r="M168" s="36" t="s">
        <v>527</v>
      </c>
      <c r="N168" s="37"/>
      <c r="O168" t="s">
        <v>525</v>
      </c>
      <c r="P168" t="s">
        <v>526</v>
      </c>
      <c r="R168" s="38">
        <v>45473</v>
      </c>
      <c r="S168" s="39">
        <v>45837</v>
      </c>
      <c r="T168" s="50" t="s">
        <v>141</v>
      </c>
      <c r="U168" s="47" t="s">
        <v>141</v>
      </c>
      <c r="V168" s="40" t="s">
        <v>85</v>
      </c>
      <c r="W168" s="41" t="s">
        <v>39</v>
      </c>
      <c r="Y168" s="42"/>
      <c r="Z168" t="s">
        <v>40</v>
      </c>
      <c r="AA168" s="62">
        <v>90006758</v>
      </c>
      <c r="AB168" s="44">
        <v>45747</v>
      </c>
      <c r="AC168" s="63">
        <v>60016013</v>
      </c>
      <c r="AF168" s="47">
        <v>45835</v>
      </c>
      <c r="AG168" s="48">
        <v>204606.44</v>
      </c>
      <c r="AH168" s="48">
        <v>108975.79</v>
      </c>
    </row>
    <row r="169" spans="1:34" ht="19.5" customHeight="1">
      <c r="A169" s="25">
        <f t="shared" si="2"/>
        <v>168</v>
      </c>
      <c r="B169" s="26">
        <v>6162291</v>
      </c>
      <c r="C169" s="27">
        <v>45721</v>
      </c>
      <c r="D169" s="28">
        <v>2259</v>
      </c>
      <c r="E169" s="29">
        <v>17559.88</v>
      </c>
      <c r="F169" s="30">
        <v>1524172</v>
      </c>
      <c r="G169" s="27">
        <v>45726</v>
      </c>
      <c r="H169" s="32"/>
      <c r="J169" s="34" t="s">
        <v>33</v>
      </c>
      <c r="K169" t="s">
        <v>34</v>
      </c>
      <c r="M169" s="36" t="s">
        <v>528</v>
      </c>
      <c r="N169" s="37"/>
      <c r="O169" t="s">
        <v>529</v>
      </c>
      <c r="P169" t="s">
        <v>530</v>
      </c>
      <c r="R169" s="38">
        <v>45717</v>
      </c>
      <c r="S169" s="39">
        <v>46081</v>
      </c>
      <c r="T169" s="50">
        <v>45717</v>
      </c>
      <c r="U169" s="47">
        <v>46081</v>
      </c>
      <c r="V169" s="40" t="s">
        <v>227</v>
      </c>
      <c r="W169" s="41" t="s">
        <v>39</v>
      </c>
      <c r="Y169" s="42" t="s">
        <v>56</v>
      </c>
      <c r="Z169" t="s">
        <v>40</v>
      </c>
      <c r="AA169" s="43"/>
      <c r="AC169" s="45"/>
      <c r="AF169" s="47">
        <v>45747</v>
      </c>
      <c r="AG169" s="48">
        <v>22890</v>
      </c>
      <c r="AH169" s="48">
        <v>17733.150000000001</v>
      </c>
    </row>
    <row r="170" spans="1:34" ht="19.5" customHeight="1">
      <c r="A170" s="25">
        <f t="shared" si="2"/>
        <v>169</v>
      </c>
      <c r="C170" s="27">
        <v>45722</v>
      </c>
      <c r="E170" s="29">
        <v>2370</v>
      </c>
      <c r="F170" s="30">
        <v>1524262</v>
      </c>
      <c r="G170" s="27">
        <v>45722</v>
      </c>
      <c r="H170" s="32"/>
      <c r="J170" s="34" t="s">
        <v>33</v>
      </c>
      <c r="K170" t="s">
        <v>139</v>
      </c>
      <c r="M170" s="36" t="s">
        <v>531</v>
      </c>
      <c r="N170" s="37"/>
      <c r="O170" t="s">
        <v>532</v>
      </c>
      <c r="P170" t="s">
        <v>533</v>
      </c>
      <c r="R170" s="38">
        <v>45722</v>
      </c>
      <c r="S170" s="39">
        <v>46086</v>
      </c>
      <c r="T170" s="50" t="s">
        <v>141</v>
      </c>
      <c r="U170" s="47" t="s">
        <v>141</v>
      </c>
      <c r="V170" s="40" t="s">
        <v>375</v>
      </c>
      <c r="W170" s="41" t="s">
        <v>39</v>
      </c>
      <c r="Y170" s="42" t="s">
        <v>185</v>
      </c>
      <c r="Z170" t="s">
        <v>81</v>
      </c>
      <c r="AA170" s="62" t="s">
        <v>142</v>
      </c>
      <c r="AB170" s="44">
        <v>45740</v>
      </c>
      <c r="AF170" s="47">
        <v>45771</v>
      </c>
      <c r="AG170" s="48">
        <v>31725</v>
      </c>
      <c r="AH170" s="48">
        <v>3440</v>
      </c>
    </row>
    <row r="171" spans="1:34" ht="19.5" customHeight="1">
      <c r="A171" s="25">
        <f t="shared" si="2"/>
        <v>170</v>
      </c>
      <c r="B171" s="26">
        <v>6162706</v>
      </c>
      <c r="C171" s="27">
        <v>45722</v>
      </c>
      <c r="E171" s="29">
        <v>26240</v>
      </c>
      <c r="F171" s="30">
        <v>1524937</v>
      </c>
      <c r="G171" s="27">
        <v>45726</v>
      </c>
      <c r="H171" s="32"/>
      <c r="J171" s="34" t="s">
        <v>33</v>
      </c>
      <c r="K171" t="s">
        <v>139</v>
      </c>
      <c r="M171" s="36" t="s">
        <v>534</v>
      </c>
      <c r="N171" s="37"/>
      <c r="O171" t="s">
        <v>535</v>
      </c>
      <c r="P171" t="s">
        <v>536</v>
      </c>
      <c r="R171" s="38">
        <v>45637</v>
      </c>
      <c r="S171" s="39">
        <v>46001</v>
      </c>
      <c r="T171" s="50" t="s">
        <v>141</v>
      </c>
      <c r="U171" s="47" t="s">
        <v>141</v>
      </c>
      <c r="V171" s="40" t="s">
        <v>306</v>
      </c>
      <c r="W171" s="41" t="s">
        <v>39</v>
      </c>
      <c r="Y171" s="42"/>
      <c r="Z171" t="s">
        <v>40</v>
      </c>
      <c r="AA171" s="62">
        <v>90006758</v>
      </c>
      <c r="AB171" s="44">
        <v>45747</v>
      </c>
      <c r="AC171" s="63">
        <v>60016011</v>
      </c>
      <c r="AF171" s="47">
        <v>45835</v>
      </c>
      <c r="AG171" s="82" t="s">
        <v>141</v>
      </c>
      <c r="AH171" s="82" t="s">
        <v>141</v>
      </c>
    </row>
    <row r="172" spans="1:34" ht="19.5" customHeight="1">
      <c r="A172" s="25">
        <f t="shared" si="2"/>
        <v>171</v>
      </c>
      <c r="B172" s="26">
        <v>6162837</v>
      </c>
      <c r="C172" s="27">
        <v>45723</v>
      </c>
      <c r="D172" s="28">
        <v>5952.02</v>
      </c>
      <c r="E172" s="29">
        <v>46266.84</v>
      </c>
      <c r="F172" s="30">
        <v>1525142</v>
      </c>
      <c r="G172" s="27">
        <v>45727</v>
      </c>
      <c r="H172" s="32"/>
      <c r="J172" s="34" t="s">
        <v>33</v>
      </c>
      <c r="K172" t="s">
        <v>34</v>
      </c>
      <c r="M172" s="36" t="s">
        <v>537</v>
      </c>
      <c r="N172" s="37"/>
      <c r="O172" t="s">
        <v>538</v>
      </c>
      <c r="P172" t="s">
        <v>539</v>
      </c>
      <c r="R172" s="38">
        <v>45620</v>
      </c>
      <c r="S172" s="39">
        <v>45987</v>
      </c>
      <c r="T172" s="50">
        <v>45689</v>
      </c>
      <c r="U172" s="47">
        <v>46053</v>
      </c>
      <c r="V172" s="40" t="s">
        <v>89</v>
      </c>
      <c r="W172" s="41" t="s">
        <v>39</v>
      </c>
      <c r="Y172" s="42"/>
      <c r="Z172" t="s">
        <v>81</v>
      </c>
      <c r="AA172" s="43"/>
      <c r="AC172" s="45"/>
      <c r="AF172" s="47">
        <v>45777</v>
      </c>
      <c r="AG172" s="48">
        <v>82923</v>
      </c>
      <c r="AH172" s="48">
        <v>46723.31</v>
      </c>
    </row>
    <row r="173" spans="1:34" ht="19.5" customHeight="1">
      <c r="A173" s="25">
        <f t="shared" si="2"/>
        <v>172</v>
      </c>
      <c r="B173" s="26">
        <v>6162920</v>
      </c>
      <c r="C173" s="27">
        <v>45723</v>
      </c>
      <c r="D173" s="28">
        <v>1555.15</v>
      </c>
      <c r="E173" s="29">
        <v>12088.65</v>
      </c>
      <c r="F173" s="30">
        <v>1524936</v>
      </c>
      <c r="G173" s="27">
        <v>45726</v>
      </c>
      <c r="H173" s="32"/>
      <c r="J173" s="34" t="s">
        <v>33</v>
      </c>
      <c r="K173" t="s">
        <v>34</v>
      </c>
      <c r="M173" s="36" t="s">
        <v>540</v>
      </c>
      <c r="N173" s="37"/>
      <c r="O173" t="s">
        <v>535</v>
      </c>
      <c r="P173" t="s">
        <v>536</v>
      </c>
      <c r="R173" s="38">
        <v>45637</v>
      </c>
      <c r="S173" s="39">
        <v>46001</v>
      </c>
      <c r="T173" s="50">
        <v>45720</v>
      </c>
      <c r="U173" s="47">
        <v>46084</v>
      </c>
      <c r="V173" s="40" t="s">
        <v>306</v>
      </c>
      <c r="W173" s="41" t="s">
        <v>39</v>
      </c>
      <c r="Y173" s="42"/>
      <c r="Z173" t="s">
        <v>40</v>
      </c>
      <c r="AA173" s="43"/>
      <c r="AC173" s="45"/>
      <c r="AF173" s="47">
        <v>45747</v>
      </c>
      <c r="AG173" s="48">
        <v>209877</v>
      </c>
      <c r="AH173" s="48">
        <v>141896.93</v>
      </c>
    </row>
    <row r="174" spans="1:34" ht="19.5" customHeight="1">
      <c r="A174" s="25">
        <f t="shared" si="2"/>
        <v>173</v>
      </c>
      <c r="B174" s="26">
        <v>6162961</v>
      </c>
      <c r="C174" s="27">
        <v>45723</v>
      </c>
      <c r="E174" s="29">
        <v>8780</v>
      </c>
      <c r="F174" s="30">
        <v>1524869</v>
      </c>
      <c r="G174" s="27">
        <v>45728</v>
      </c>
      <c r="H174" s="32"/>
      <c r="J174" s="34" t="s">
        <v>33</v>
      </c>
      <c r="K174" t="s">
        <v>139</v>
      </c>
      <c r="M174" s="36" t="s">
        <v>541</v>
      </c>
      <c r="N174" s="37"/>
      <c r="O174" t="s">
        <v>542</v>
      </c>
      <c r="P174" t="s">
        <v>543</v>
      </c>
      <c r="R174" s="38">
        <v>45627</v>
      </c>
      <c r="S174" s="39">
        <v>45991</v>
      </c>
      <c r="T174" s="50" t="s">
        <v>141</v>
      </c>
      <c r="U174" s="47" t="s">
        <v>141</v>
      </c>
      <c r="V174" s="40" t="s">
        <v>544</v>
      </c>
      <c r="W174" s="41" t="s">
        <v>39</v>
      </c>
      <c r="Y174" s="42"/>
      <c r="Z174" t="s">
        <v>40</v>
      </c>
      <c r="AA174" s="62" t="s">
        <v>487</v>
      </c>
      <c r="AB174" s="44">
        <v>45747</v>
      </c>
      <c r="AF174" s="47">
        <v>45771</v>
      </c>
      <c r="AG174" s="48">
        <v>23554</v>
      </c>
      <c r="AH174" s="48">
        <v>10000</v>
      </c>
    </row>
    <row r="175" spans="1:34" ht="19.5" customHeight="1">
      <c r="A175" s="25">
        <f t="shared" si="2"/>
        <v>174</v>
      </c>
      <c r="B175" s="26">
        <v>6163117</v>
      </c>
      <c r="C175" s="27">
        <v>45723</v>
      </c>
      <c r="D175" s="28">
        <v>3792.52</v>
      </c>
      <c r="E175" s="29">
        <v>29480.400000000001</v>
      </c>
      <c r="F175" s="30">
        <v>1525139</v>
      </c>
      <c r="G175" s="27">
        <v>45727</v>
      </c>
      <c r="H175" s="32"/>
      <c r="J175" s="34" t="s">
        <v>33</v>
      </c>
      <c r="K175" t="s">
        <v>34</v>
      </c>
      <c r="M175" s="36" t="s">
        <v>545</v>
      </c>
      <c r="N175" s="37"/>
      <c r="O175" t="s">
        <v>546</v>
      </c>
      <c r="P175" t="s">
        <v>547</v>
      </c>
      <c r="R175" s="38">
        <v>45740</v>
      </c>
      <c r="S175" s="39">
        <v>46104</v>
      </c>
      <c r="T175" s="50">
        <v>45740</v>
      </c>
      <c r="U175" s="47">
        <v>46104</v>
      </c>
      <c r="V175" s="40" t="s">
        <v>38</v>
      </c>
      <c r="W175" s="41" t="s">
        <v>39</v>
      </c>
      <c r="Y175" s="42"/>
      <c r="Z175" t="s">
        <v>40</v>
      </c>
      <c r="AA175" s="43"/>
      <c r="AC175" s="45"/>
      <c r="AF175" s="39">
        <v>45769</v>
      </c>
      <c r="AG175" s="48">
        <v>108177</v>
      </c>
      <c r="AH175" s="48">
        <v>50441.279999999999</v>
      </c>
    </row>
    <row r="176" spans="1:34" ht="19.5" customHeight="1">
      <c r="A176" s="25">
        <f t="shared" si="2"/>
        <v>175</v>
      </c>
      <c r="B176" s="26">
        <v>6163126</v>
      </c>
      <c r="C176" s="27">
        <v>45723</v>
      </c>
      <c r="E176" s="29">
        <v>20670</v>
      </c>
      <c r="F176" s="30">
        <v>1524943</v>
      </c>
      <c r="G176" s="27">
        <v>45729</v>
      </c>
      <c r="H176" s="32"/>
      <c r="J176" s="34" t="s">
        <v>33</v>
      </c>
      <c r="K176" t="s">
        <v>139</v>
      </c>
      <c r="M176" s="36" t="s">
        <v>548</v>
      </c>
      <c r="N176" s="37"/>
      <c r="O176" t="s">
        <v>546</v>
      </c>
      <c r="P176" t="s">
        <v>547</v>
      </c>
      <c r="R176" s="38">
        <v>45740</v>
      </c>
      <c r="S176" s="39">
        <v>46104</v>
      </c>
      <c r="T176" s="50" t="s">
        <v>141</v>
      </c>
      <c r="U176" s="47" t="s">
        <v>141</v>
      </c>
      <c r="V176" s="40" t="s">
        <v>38</v>
      </c>
      <c r="W176" s="41" t="s">
        <v>39</v>
      </c>
      <c r="Y176" s="42"/>
      <c r="Z176" t="s">
        <v>40</v>
      </c>
      <c r="AA176" s="62">
        <v>90006758</v>
      </c>
      <c r="AB176" s="44">
        <v>45747</v>
      </c>
      <c r="AC176" s="63">
        <v>60016012</v>
      </c>
      <c r="AF176" s="47">
        <v>45835</v>
      </c>
      <c r="AG176" s="48">
        <v>108177</v>
      </c>
      <c r="AH176" s="48">
        <v>50441.279999999999</v>
      </c>
    </row>
    <row r="177" spans="1:34" ht="19.5" customHeight="1">
      <c r="A177" s="25">
        <f t="shared" si="2"/>
        <v>176</v>
      </c>
      <c r="B177" s="26">
        <v>6163401</v>
      </c>
      <c r="C177" s="27">
        <v>45726</v>
      </c>
      <c r="D177" s="28">
        <v>17148.12</v>
      </c>
      <c r="E177" s="29">
        <v>133297.48000000001</v>
      </c>
      <c r="F177" s="30">
        <v>1525267</v>
      </c>
      <c r="G177" s="27">
        <v>45727</v>
      </c>
      <c r="H177" s="32"/>
      <c r="J177" s="34" t="s">
        <v>33</v>
      </c>
      <c r="K177" t="s">
        <v>34</v>
      </c>
      <c r="M177" s="36" t="s">
        <v>549</v>
      </c>
      <c r="N177" s="37"/>
      <c r="O177" t="s">
        <v>550</v>
      </c>
      <c r="P177" t="s">
        <v>551</v>
      </c>
      <c r="R177" s="38">
        <v>45635</v>
      </c>
      <c r="S177" s="39">
        <v>45999</v>
      </c>
      <c r="T177" s="50">
        <v>45752</v>
      </c>
      <c r="U177" s="47">
        <v>46116</v>
      </c>
      <c r="V177" s="40" t="s">
        <v>89</v>
      </c>
      <c r="W177" s="41" t="s">
        <v>39</v>
      </c>
      <c r="Y177" s="42"/>
      <c r="Z177" t="s">
        <v>81</v>
      </c>
      <c r="AA177" s="43"/>
      <c r="AC177" s="45"/>
      <c r="AF177" s="47">
        <v>45777</v>
      </c>
      <c r="AG177" s="48">
        <v>264750</v>
      </c>
      <c r="AH177" s="48">
        <v>120706.93</v>
      </c>
    </row>
    <row r="178" spans="1:34" ht="19.5" customHeight="1">
      <c r="A178" s="25">
        <f t="shared" si="2"/>
        <v>177</v>
      </c>
      <c r="B178" s="26">
        <v>6163469</v>
      </c>
      <c r="C178" s="27">
        <v>45726</v>
      </c>
      <c r="D178" s="28">
        <v>207402.48</v>
      </c>
      <c r="E178" s="29">
        <v>1612201.7</v>
      </c>
      <c r="F178" s="30">
        <v>1525297</v>
      </c>
      <c r="G178" s="27">
        <v>45728</v>
      </c>
      <c r="H178" s="32"/>
      <c r="J178" s="34" t="s">
        <v>33</v>
      </c>
      <c r="K178" t="s">
        <v>34</v>
      </c>
      <c r="L178" s="35">
        <v>481903348</v>
      </c>
      <c r="M178" s="36" t="s">
        <v>552</v>
      </c>
      <c r="N178" s="37"/>
      <c r="O178" t="s">
        <v>553</v>
      </c>
      <c r="P178" t="s">
        <v>554</v>
      </c>
      <c r="R178" s="38">
        <v>45638</v>
      </c>
      <c r="S178" s="39">
        <v>46805</v>
      </c>
      <c r="T178" s="38">
        <v>45711</v>
      </c>
      <c r="U178" s="39">
        <v>46805</v>
      </c>
      <c r="V178" s="40" t="s">
        <v>167</v>
      </c>
      <c r="W178" s="41" t="s">
        <v>39</v>
      </c>
      <c r="Y178" s="42"/>
      <c r="Z178" t="s">
        <v>40</v>
      </c>
      <c r="AA178" s="43"/>
      <c r="AC178" s="45"/>
      <c r="AF178" s="39">
        <v>45769</v>
      </c>
      <c r="AG178" s="48">
        <v>3722944</v>
      </c>
      <c r="AH178" s="48">
        <v>3267880.08</v>
      </c>
    </row>
    <row r="179" spans="1:34" ht="19.5" customHeight="1">
      <c r="A179" s="25">
        <f t="shared" si="2"/>
        <v>178</v>
      </c>
      <c r="B179" s="26">
        <v>6163479</v>
      </c>
      <c r="C179" s="27">
        <v>45726</v>
      </c>
      <c r="D179" s="28">
        <v>72245.27</v>
      </c>
      <c r="E179" s="29">
        <v>561584.16</v>
      </c>
      <c r="F179" s="30">
        <v>1525296</v>
      </c>
      <c r="G179" s="27">
        <v>45728</v>
      </c>
      <c r="H179" s="32"/>
      <c r="J179" s="34" t="s">
        <v>33</v>
      </c>
      <c r="K179" t="s">
        <v>34</v>
      </c>
      <c r="L179" s="35">
        <v>431901343</v>
      </c>
      <c r="M179" s="36" t="s">
        <v>552</v>
      </c>
      <c r="N179" s="37"/>
      <c r="O179" t="s">
        <v>553</v>
      </c>
      <c r="P179" t="s">
        <v>554</v>
      </c>
      <c r="R179" s="38">
        <v>45638</v>
      </c>
      <c r="S179" s="39">
        <v>46805</v>
      </c>
      <c r="T179" s="50">
        <v>45711</v>
      </c>
      <c r="U179" s="47">
        <v>46805</v>
      </c>
      <c r="V179" s="40" t="s">
        <v>167</v>
      </c>
      <c r="W179" s="41" t="s">
        <v>39</v>
      </c>
      <c r="Y179" s="42"/>
      <c r="Z179" t="s">
        <v>40</v>
      </c>
      <c r="AA179" s="43"/>
      <c r="AC179" s="45"/>
      <c r="AF179" s="39">
        <v>45769</v>
      </c>
      <c r="AG179" s="48">
        <v>3722944</v>
      </c>
      <c r="AH179" s="48">
        <v>3267880.08</v>
      </c>
    </row>
    <row r="180" spans="1:34" ht="19.5" customHeight="1">
      <c r="A180" s="25">
        <f t="shared" si="2"/>
        <v>179</v>
      </c>
      <c r="B180" s="26">
        <v>6163484</v>
      </c>
      <c r="C180" s="27">
        <v>45726</v>
      </c>
      <c r="D180" s="28">
        <v>78222.240000000005</v>
      </c>
      <c r="E180" s="29">
        <v>608044.93999999994</v>
      </c>
      <c r="F180" s="30">
        <v>1525348</v>
      </c>
      <c r="G180" s="27">
        <v>45728</v>
      </c>
      <c r="H180" s="32"/>
      <c r="J180" s="34" t="s">
        <v>33</v>
      </c>
      <c r="K180" t="s">
        <v>34</v>
      </c>
      <c r="M180" s="36" t="s">
        <v>555</v>
      </c>
      <c r="N180" s="37"/>
      <c r="O180" t="s">
        <v>553</v>
      </c>
      <c r="P180" t="s">
        <v>554</v>
      </c>
      <c r="R180" s="38">
        <v>45638</v>
      </c>
      <c r="S180" s="39">
        <v>46805</v>
      </c>
      <c r="T180" s="50">
        <v>45803</v>
      </c>
      <c r="U180" s="47">
        <v>46898</v>
      </c>
      <c r="V180" s="40" t="s">
        <v>167</v>
      </c>
      <c r="W180" s="41" t="s">
        <v>39</v>
      </c>
      <c r="Y180" s="42"/>
      <c r="Z180" t="s">
        <v>40</v>
      </c>
      <c r="AA180" s="43"/>
      <c r="AC180" s="45"/>
      <c r="AF180" s="47">
        <v>45777</v>
      </c>
      <c r="AG180" s="48">
        <v>3722944</v>
      </c>
      <c r="AH180" s="48">
        <v>3267880.08</v>
      </c>
    </row>
    <row r="181" spans="1:34" ht="19.5" customHeight="1">
      <c r="A181" s="25">
        <f t="shared" si="2"/>
        <v>180</v>
      </c>
      <c r="B181" s="26">
        <v>6163618</v>
      </c>
      <c r="C181" s="27">
        <v>45727</v>
      </c>
      <c r="E181" s="29">
        <v>9640</v>
      </c>
      <c r="F181" s="30">
        <v>1525266</v>
      </c>
      <c r="G181" s="27">
        <v>45730</v>
      </c>
      <c r="H181" s="32"/>
      <c r="J181" s="34" t="s">
        <v>33</v>
      </c>
      <c r="K181" t="s">
        <v>139</v>
      </c>
      <c r="M181" s="36" t="s">
        <v>556</v>
      </c>
      <c r="N181" s="37"/>
      <c r="O181" t="s">
        <v>557</v>
      </c>
      <c r="P181" t="s">
        <v>558</v>
      </c>
      <c r="R181" s="38">
        <v>45275</v>
      </c>
      <c r="S181" s="39">
        <v>45640</v>
      </c>
      <c r="T181" s="50" t="s">
        <v>141</v>
      </c>
      <c r="U181" s="47" t="s">
        <v>141</v>
      </c>
      <c r="V181" s="40" t="s">
        <v>544</v>
      </c>
      <c r="W181" s="41" t="s">
        <v>39</v>
      </c>
      <c r="Y181" s="42"/>
      <c r="Z181" t="s">
        <v>40</v>
      </c>
      <c r="AA181" s="62">
        <v>90006782</v>
      </c>
      <c r="AB181" s="44">
        <v>45757</v>
      </c>
      <c r="AC181" s="63">
        <v>60016041</v>
      </c>
      <c r="AF181" s="47">
        <v>45835</v>
      </c>
      <c r="AG181" s="48">
        <v>52728</v>
      </c>
      <c r="AH181" s="48">
        <v>37640</v>
      </c>
    </row>
    <row r="182" spans="1:34" ht="19.5" customHeight="1">
      <c r="A182" s="25">
        <f t="shared" si="2"/>
        <v>181</v>
      </c>
      <c r="B182" s="26">
        <v>6163984</v>
      </c>
      <c r="C182" s="27">
        <v>45727</v>
      </c>
      <c r="E182" s="29">
        <v>142362</v>
      </c>
      <c r="F182" s="30">
        <v>1525369</v>
      </c>
      <c r="G182" s="27">
        <v>45729</v>
      </c>
      <c r="H182" s="32"/>
      <c r="J182" s="34" t="s">
        <v>33</v>
      </c>
      <c r="K182" t="s">
        <v>559</v>
      </c>
      <c r="M182" s="36" t="s">
        <v>560</v>
      </c>
      <c r="N182" s="37"/>
      <c r="O182" t="s">
        <v>205</v>
      </c>
      <c r="P182" s="67" t="s">
        <v>141</v>
      </c>
      <c r="Q182" s="67"/>
      <c r="R182" s="38"/>
      <c r="S182" s="39"/>
      <c r="T182" s="50"/>
      <c r="U182" s="47"/>
      <c r="W182" s="41" t="s">
        <v>39</v>
      </c>
      <c r="AA182" s="43" t="s">
        <v>561</v>
      </c>
      <c r="AB182" s="44" t="s">
        <v>562</v>
      </c>
      <c r="AC182" s="63" t="s">
        <v>563</v>
      </c>
      <c r="AG182" s="48"/>
      <c r="AH182" s="48"/>
    </row>
    <row r="183" spans="1:34" ht="19.5" customHeight="1">
      <c r="A183" s="25">
        <f t="shared" si="2"/>
        <v>182</v>
      </c>
      <c r="B183" s="26">
        <v>6163989</v>
      </c>
      <c r="C183" s="27">
        <v>45727</v>
      </c>
      <c r="E183" s="29">
        <v>134453</v>
      </c>
      <c r="F183" s="30">
        <v>1525370</v>
      </c>
      <c r="G183" s="27">
        <v>45729</v>
      </c>
      <c r="H183" s="32"/>
      <c r="J183" s="34" t="s">
        <v>33</v>
      </c>
      <c r="K183" t="s">
        <v>559</v>
      </c>
      <c r="M183" s="36" t="s">
        <v>560</v>
      </c>
      <c r="N183" s="37"/>
      <c r="O183" t="s">
        <v>205</v>
      </c>
      <c r="P183" s="67" t="s">
        <v>141</v>
      </c>
      <c r="Q183" s="67"/>
      <c r="R183" s="38"/>
      <c r="S183" s="39"/>
      <c r="T183" s="50"/>
      <c r="U183" s="47"/>
      <c r="W183" s="41" t="s">
        <v>39</v>
      </c>
      <c r="AA183" s="43" t="s">
        <v>561</v>
      </c>
      <c r="AB183" s="44" t="s">
        <v>562</v>
      </c>
      <c r="AC183" s="63" t="s">
        <v>563</v>
      </c>
      <c r="AG183" s="48"/>
      <c r="AH183" s="48"/>
    </row>
    <row r="184" spans="1:34" ht="19.5" customHeight="1">
      <c r="A184" s="25">
        <f t="shared" si="2"/>
        <v>183</v>
      </c>
      <c r="B184" s="26">
        <v>6164748</v>
      </c>
      <c r="C184" s="27">
        <v>45729</v>
      </c>
      <c r="E184" s="29">
        <v>1645.54</v>
      </c>
      <c r="F184" s="30">
        <v>1526436</v>
      </c>
      <c r="G184" s="27">
        <v>45734</v>
      </c>
      <c r="H184" s="32"/>
      <c r="J184" s="34" t="s">
        <v>159</v>
      </c>
      <c r="K184" t="s">
        <v>160</v>
      </c>
      <c r="M184" s="36" t="s">
        <v>564</v>
      </c>
      <c r="N184" s="37"/>
      <c r="O184" t="s">
        <v>565</v>
      </c>
      <c r="P184" t="s">
        <v>566</v>
      </c>
      <c r="R184" s="38">
        <v>45658</v>
      </c>
      <c r="S184" s="39">
        <v>46022</v>
      </c>
      <c r="T184" s="38">
        <v>45658</v>
      </c>
      <c r="U184" s="47" t="s">
        <v>567</v>
      </c>
      <c r="V184" s="40" t="s">
        <v>434</v>
      </c>
      <c r="W184" s="41" t="s">
        <v>39</v>
      </c>
      <c r="Y184" s="42"/>
      <c r="Z184" t="s">
        <v>40</v>
      </c>
      <c r="AA184" s="62" t="s">
        <v>171</v>
      </c>
      <c r="AB184" s="44">
        <v>45757</v>
      </c>
      <c r="AF184" s="39">
        <v>45783</v>
      </c>
      <c r="AG184" s="48">
        <v>195000</v>
      </c>
      <c r="AH184" s="48">
        <v>19591.900000000001</v>
      </c>
    </row>
    <row r="185" spans="1:34" ht="19.5" customHeight="1">
      <c r="A185" s="25">
        <f t="shared" si="2"/>
        <v>184</v>
      </c>
      <c r="B185" s="26">
        <v>6165109</v>
      </c>
      <c r="C185" s="27">
        <v>45730</v>
      </c>
      <c r="E185" s="29">
        <v>17470</v>
      </c>
      <c r="F185" s="30">
        <v>1526274</v>
      </c>
      <c r="G185" s="27">
        <v>45735</v>
      </c>
      <c r="H185" s="32"/>
      <c r="J185" s="34" t="s">
        <v>33</v>
      </c>
      <c r="K185" t="s">
        <v>139</v>
      </c>
      <c r="L185" s="35">
        <v>80005027</v>
      </c>
      <c r="M185" s="36" t="s">
        <v>568</v>
      </c>
      <c r="N185" s="37"/>
      <c r="O185" t="s">
        <v>569</v>
      </c>
      <c r="P185" t="s">
        <v>570</v>
      </c>
      <c r="R185" s="50">
        <v>45775</v>
      </c>
      <c r="S185" s="47">
        <v>46139</v>
      </c>
      <c r="T185" s="50">
        <v>45775</v>
      </c>
      <c r="U185" s="47">
        <v>46139</v>
      </c>
      <c r="V185" s="40" t="s">
        <v>571</v>
      </c>
      <c r="W185" s="41" t="s">
        <v>114</v>
      </c>
      <c r="Y185" s="42" t="s">
        <v>56</v>
      </c>
      <c r="Z185" t="s">
        <v>40</v>
      </c>
      <c r="AA185" s="83" t="s">
        <v>572</v>
      </c>
      <c r="AB185" s="84">
        <v>45738</v>
      </c>
      <c r="AC185" s="45" t="s">
        <v>573</v>
      </c>
      <c r="AD185" s="85"/>
      <c r="AF185" s="47">
        <v>45835</v>
      </c>
      <c r="AG185" s="48">
        <v>24680</v>
      </c>
      <c r="AH185" s="48">
        <v>17470</v>
      </c>
    </row>
    <row r="186" spans="1:34" ht="19.5" customHeight="1">
      <c r="A186" s="25">
        <f t="shared" si="2"/>
        <v>185</v>
      </c>
      <c r="B186" s="26">
        <v>6165136</v>
      </c>
      <c r="C186" s="27">
        <v>45730</v>
      </c>
      <c r="D186" s="28">
        <v>572.55999999999995</v>
      </c>
      <c r="E186" s="29">
        <v>4450.68</v>
      </c>
      <c r="F186" s="30">
        <v>1525985</v>
      </c>
      <c r="G186" s="27">
        <v>45734</v>
      </c>
      <c r="H186" s="32"/>
      <c r="J186" s="34" t="s">
        <v>33</v>
      </c>
      <c r="K186" t="s">
        <v>34</v>
      </c>
      <c r="L186" s="35">
        <v>382113901</v>
      </c>
      <c r="M186" s="36" t="s">
        <v>574</v>
      </c>
      <c r="N186" s="37"/>
      <c r="O186" t="s">
        <v>575</v>
      </c>
      <c r="P186" t="s">
        <v>576</v>
      </c>
      <c r="R186" s="38">
        <v>45689</v>
      </c>
      <c r="S186" s="39">
        <v>46053</v>
      </c>
      <c r="T186" s="50">
        <v>45693</v>
      </c>
      <c r="U186" s="47">
        <v>46057</v>
      </c>
      <c r="V186" s="40" t="s">
        <v>577</v>
      </c>
      <c r="W186" s="41" t="s">
        <v>114</v>
      </c>
      <c r="Z186" t="s">
        <v>40</v>
      </c>
      <c r="AA186" s="43"/>
      <c r="AC186" s="45"/>
      <c r="AF186" s="39">
        <v>45769</v>
      </c>
      <c r="AG186" s="48"/>
      <c r="AH186" s="48"/>
    </row>
    <row r="187" spans="1:34" ht="19.5" customHeight="1">
      <c r="A187" s="25">
        <f t="shared" si="2"/>
        <v>186</v>
      </c>
      <c r="B187" s="26">
        <v>6165150</v>
      </c>
      <c r="C187" s="27">
        <v>45730</v>
      </c>
      <c r="D187" s="28">
        <v>252.04</v>
      </c>
      <c r="E187" s="29">
        <v>1959.18</v>
      </c>
      <c r="F187" s="30">
        <v>1525986</v>
      </c>
      <c r="G187" s="27">
        <v>45734</v>
      </c>
      <c r="H187" s="32"/>
      <c r="J187" s="34" t="s">
        <v>33</v>
      </c>
      <c r="K187" t="s">
        <v>34</v>
      </c>
      <c r="L187" s="35">
        <v>481909607</v>
      </c>
      <c r="M187" s="36" t="s">
        <v>118</v>
      </c>
      <c r="N187" s="37"/>
      <c r="O187" t="s">
        <v>578</v>
      </c>
      <c r="P187" t="s">
        <v>579</v>
      </c>
      <c r="R187" s="38">
        <v>45730</v>
      </c>
      <c r="S187" s="39">
        <v>46094</v>
      </c>
      <c r="T187" s="50">
        <v>45730</v>
      </c>
      <c r="U187" s="47">
        <v>46094</v>
      </c>
      <c r="V187" s="40" t="s">
        <v>85</v>
      </c>
      <c r="W187" s="41" t="s">
        <v>114</v>
      </c>
      <c r="Y187" s="42"/>
      <c r="Z187" t="s">
        <v>40</v>
      </c>
      <c r="AA187" s="43"/>
      <c r="AC187" s="45"/>
      <c r="AF187" s="39">
        <v>45769</v>
      </c>
      <c r="AG187" s="48">
        <v>97547</v>
      </c>
      <c r="AH187" s="48">
        <v>82911.62</v>
      </c>
    </row>
    <row r="188" spans="1:34" ht="19.5" customHeight="1">
      <c r="A188" s="25">
        <f t="shared" si="2"/>
        <v>187</v>
      </c>
      <c r="B188" s="26">
        <v>6165413</v>
      </c>
      <c r="C188" s="27">
        <v>45730</v>
      </c>
      <c r="D188" s="28">
        <v>414.16</v>
      </c>
      <c r="E188" s="29">
        <v>3219.39</v>
      </c>
      <c r="F188" s="30">
        <v>1526118</v>
      </c>
      <c r="G188" s="27">
        <v>45734</v>
      </c>
      <c r="H188" s="32"/>
      <c r="J188" s="34" t="s">
        <v>33</v>
      </c>
      <c r="K188" t="s">
        <v>34</v>
      </c>
      <c r="L188" s="35">
        <v>471881962</v>
      </c>
      <c r="M188" s="36" t="s">
        <v>580</v>
      </c>
      <c r="N188" s="37"/>
      <c r="O188" t="s">
        <v>581</v>
      </c>
      <c r="P188" t="s">
        <v>582</v>
      </c>
      <c r="R188" s="38">
        <v>45748</v>
      </c>
      <c r="S188" s="39">
        <v>46112</v>
      </c>
      <c r="T188" s="38">
        <v>45748</v>
      </c>
      <c r="U188" s="39">
        <v>46112</v>
      </c>
      <c r="V188" s="40" t="s">
        <v>44</v>
      </c>
      <c r="W188" s="41" t="s">
        <v>114</v>
      </c>
      <c r="AA188" s="43"/>
      <c r="AC188" s="45"/>
      <c r="AF188" s="39">
        <v>45769</v>
      </c>
      <c r="AG188" s="48">
        <v>4400</v>
      </c>
      <c r="AH188" s="48">
        <v>3251.16</v>
      </c>
    </row>
    <row r="189" spans="1:34" ht="19.5" customHeight="1">
      <c r="A189" s="25">
        <f t="shared" si="2"/>
        <v>188</v>
      </c>
      <c r="B189" s="26">
        <v>6165197</v>
      </c>
      <c r="C189" s="27">
        <v>45730</v>
      </c>
      <c r="D189" s="28">
        <f>7422.69</f>
        <v>7422.69</v>
      </c>
      <c r="E189" s="29">
        <v>57698.8</v>
      </c>
      <c r="F189" s="30">
        <v>1526719</v>
      </c>
      <c r="G189" s="27">
        <v>45735</v>
      </c>
      <c r="H189" s="32"/>
      <c r="J189" s="34" t="s">
        <v>33</v>
      </c>
      <c r="K189" t="s">
        <v>34</v>
      </c>
      <c r="L189" s="35">
        <v>302076100</v>
      </c>
      <c r="M189" s="36" t="s">
        <v>583</v>
      </c>
      <c r="N189" s="37"/>
      <c r="O189" t="s">
        <v>584</v>
      </c>
      <c r="P189" t="s">
        <v>585</v>
      </c>
      <c r="R189" s="38">
        <v>45292</v>
      </c>
      <c r="S189" s="39">
        <v>45657</v>
      </c>
      <c r="T189" s="38">
        <v>45579</v>
      </c>
      <c r="U189" s="39">
        <v>45943</v>
      </c>
      <c r="V189" s="40" t="s">
        <v>586</v>
      </c>
      <c r="W189" s="41" t="s">
        <v>114</v>
      </c>
      <c r="Y189" s="42"/>
      <c r="Z189" t="s">
        <v>40</v>
      </c>
      <c r="AA189" s="43"/>
      <c r="AC189" s="45"/>
      <c r="AF189" s="47">
        <v>45771</v>
      </c>
      <c r="AG189" s="48">
        <v>4338684</v>
      </c>
      <c r="AH189" s="48">
        <v>345328.39</v>
      </c>
    </row>
    <row r="190" spans="1:34" ht="19.5" customHeight="1">
      <c r="A190" s="25">
        <f t="shared" si="2"/>
        <v>189</v>
      </c>
      <c r="B190" s="26">
        <v>6165673</v>
      </c>
      <c r="C190" s="27">
        <v>45733</v>
      </c>
      <c r="D190" s="28">
        <f>38326.19-11912.8-11482.02</f>
        <v>14931.370000000003</v>
      </c>
      <c r="E190" s="29">
        <v>116066.02</v>
      </c>
      <c r="F190" s="30">
        <v>1526721</v>
      </c>
      <c r="G190" s="27">
        <v>45735</v>
      </c>
      <c r="H190" s="32"/>
      <c r="J190" s="34" t="s">
        <v>33</v>
      </c>
      <c r="K190" t="s">
        <v>34</v>
      </c>
      <c r="L190" s="35">
        <v>282229420</v>
      </c>
      <c r="M190" s="36" t="s">
        <v>583</v>
      </c>
      <c r="N190" s="37"/>
      <c r="O190" t="s">
        <v>584</v>
      </c>
      <c r="P190" t="s">
        <v>585</v>
      </c>
      <c r="R190" s="38">
        <v>45292</v>
      </c>
      <c r="S190" s="39">
        <v>45657</v>
      </c>
      <c r="T190" s="38">
        <v>45579</v>
      </c>
      <c r="U190" s="39">
        <v>45943</v>
      </c>
      <c r="V190" s="40" t="s">
        <v>586</v>
      </c>
      <c r="W190" s="41" t="s">
        <v>114</v>
      </c>
      <c r="AA190" s="43"/>
      <c r="AC190" s="45"/>
      <c r="AF190" s="47">
        <v>45771</v>
      </c>
      <c r="AG190" s="48">
        <v>4338684</v>
      </c>
      <c r="AH190" s="48">
        <v>345328.39</v>
      </c>
    </row>
    <row r="191" spans="1:34" ht="19.5" customHeight="1">
      <c r="A191" s="25">
        <f t="shared" si="2"/>
        <v>190</v>
      </c>
      <c r="B191" s="26">
        <v>6165749</v>
      </c>
      <c r="C191" s="27">
        <v>45733</v>
      </c>
      <c r="D191" s="28">
        <f>23394.82-11482.02</f>
        <v>11912.8</v>
      </c>
      <c r="E191" s="29">
        <v>92601.77</v>
      </c>
      <c r="F191" s="30">
        <v>1526720</v>
      </c>
      <c r="G191" s="27">
        <v>45735</v>
      </c>
      <c r="H191" s="32"/>
      <c r="J191" s="34" t="s">
        <v>33</v>
      </c>
      <c r="K191" t="s">
        <v>34</v>
      </c>
      <c r="L191" s="35">
        <v>212227881</v>
      </c>
      <c r="M191" s="36" t="s">
        <v>583</v>
      </c>
      <c r="N191" s="37"/>
      <c r="O191" t="s">
        <v>584</v>
      </c>
      <c r="P191" t="s">
        <v>585</v>
      </c>
      <c r="R191" s="38">
        <v>45292</v>
      </c>
      <c r="S191" s="39">
        <v>45657</v>
      </c>
      <c r="T191" s="38">
        <v>45579</v>
      </c>
      <c r="U191" s="39">
        <v>45943</v>
      </c>
      <c r="V191" s="40" t="s">
        <v>586</v>
      </c>
      <c r="W191" s="41" t="s">
        <v>114</v>
      </c>
      <c r="AA191" s="43"/>
      <c r="AC191" s="45"/>
      <c r="AF191" s="47">
        <v>45771</v>
      </c>
      <c r="AG191" s="48">
        <v>4338684</v>
      </c>
      <c r="AH191" s="48">
        <v>345328.39</v>
      </c>
    </row>
    <row r="192" spans="1:34" ht="19.5" customHeight="1">
      <c r="A192" s="25">
        <f t="shared" si="2"/>
        <v>191</v>
      </c>
      <c r="B192" s="26">
        <v>6165759</v>
      </c>
      <c r="C192" s="27">
        <v>45733</v>
      </c>
      <c r="D192" s="28">
        <f>23394.82-11912.8</f>
        <v>11482.02</v>
      </c>
      <c r="E192" s="29">
        <v>89253.19</v>
      </c>
      <c r="F192" s="30">
        <v>1526718</v>
      </c>
      <c r="G192" s="27">
        <v>45735</v>
      </c>
      <c r="H192" s="32"/>
      <c r="J192" s="34" t="s">
        <v>33</v>
      </c>
      <c r="K192" t="s">
        <v>34</v>
      </c>
      <c r="L192" s="35">
        <v>392114811</v>
      </c>
      <c r="M192" s="36" t="s">
        <v>583</v>
      </c>
      <c r="N192" s="37"/>
      <c r="O192" t="s">
        <v>584</v>
      </c>
      <c r="P192" t="s">
        <v>585</v>
      </c>
      <c r="R192" s="38">
        <v>45292</v>
      </c>
      <c r="S192" s="39">
        <v>45657</v>
      </c>
      <c r="T192" s="38">
        <v>45579</v>
      </c>
      <c r="U192" s="39">
        <v>45943</v>
      </c>
      <c r="V192" s="40" t="s">
        <v>586</v>
      </c>
      <c r="W192" s="41" t="s">
        <v>114</v>
      </c>
      <c r="AA192" s="43"/>
      <c r="AC192" s="45"/>
      <c r="AF192" s="47">
        <v>45771</v>
      </c>
      <c r="AG192" s="48">
        <v>4338684</v>
      </c>
      <c r="AH192" s="48">
        <v>345328.39</v>
      </c>
    </row>
    <row r="193" spans="1:34" ht="19.5" customHeight="1">
      <c r="A193" s="25">
        <f t="shared" si="2"/>
        <v>192</v>
      </c>
      <c r="B193" s="26">
        <v>6165805</v>
      </c>
      <c r="C193" s="27">
        <v>45733</v>
      </c>
      <c r="E193" s="29">
        <v>90415.07</v>
      </c>
      <c r="F193" s="30">
        <v>1527275</v>
      </c>
      <c r="G193" s="27">
        <v>45737</v>
      </c>
      <c r="H193" s="32"/>
      <c r="J193" s="34" t="s">
        <v>103</v>
      </c>
      <c r="K193" t="s">
        <v>107</v>
      </c>
      <c r="L193" s="86" t="s">
        <v>141</v>
      </c>
      <c r="M193" s="36" t="s">
        <v>587</v>
      </c>
      <c r="N193" s="37"/>
      <c r="O193" t="s">
        <v>588</v>
      </c>
      <c r="P193" t="s">
        <v>589</v>
      </c>
      <c r="R193" s="38">
        <v>45829</v>
      </c>
      <c r="S193" s="39">
        <v>46193</v>
      </c>
      <c r="T193" s="50">
        <v>45829</v>
      </c>
      <c r="U193" s="47">
        <v>46193</v>
      </c>
      <c r="V193" s="40" t="s">
        <v>590</v>
      </c>
      <c r="W193" s="41" t="s">
        <v>39</v>
      </c>
      <c r="Y193" s="42"/>
      <c r="Z193" t="s">
        <v>40</v>
      </c>
      <c r="AA193" s="62" t="s">
        <v>591</v>
      </c>
      <c r="AB193" s="44">
        <v>45742</v>
      </c>
      <c r="AC193" s="63" t="s">
        <v>592</v>
      </c>
      <c r="AF193" s="47">
        <v>45835</v>
      </c>
      <c r="AG193" s="48">
        <v>99820</v>
      </c>
      <c r="AH193" s="48">
        <v>90745.07</v>
      </c>
    </row>
    <row r="194" spans="1:34" ht="19.5" customHeight="1">
      <c r="A194" s="25">
        <f t="shared" si="2"/>
        <v>193</v>
      </c>
      <c r="B194" s="26">
        <v>6165878</v>
      </c>
      <c r="C194" s="27">
        <v>45733</v>
      </c>
      <c r="E194" s="29">
        <v>1540.88</v>
      </c>
      <c r="F194" s="30">
        <v>1526666</v>
      </c>
      <c r="G194" s="27">
        <v>45735</v>
      </c>
      <c r="H194" s="32"/>
      <c r="J194" s="34" t="s">
        <v>159</v>
      </c>
      <c r="K194" t="s">
        <v>160</v>
      </c>
      <c r="L194" s="35" t="s">
        <v>593</v>
      </c>
      <c r="M194" s="36" t="s">
        <v>594</v>
      </c>
      <c r="N194" s="37"/>
      <c r="O194" t="s">
        <v>595</v>
      </c>
      <c r="P194" t="s">
        <v>596</v>
      </c>
      <c r="R194" s="38">
        <v>45640</v>
      </c>
      <c r="S194" s="39">
        <v>46004</v>
      </c>
      <c r="T194" s="50">
        <v>45640</v>
      </c>
      <c r="U194" s="47">
        <v>46004</v>
      </c>
      <c r="V194" s="40" t="s">
        <v>597</v>
      </c>
      <c r="W194" s="41" t="s">
        <v>39</v>
      </c>
      <c r="Y194" s="42"/>
      <c r="Z194" t="s">
        <v>40</v>
      </c>
      <c r="AA194" s="62" t="s">
        <v>171</v>
      </c>
      <c r="AB194" s="44">
        <v>45757</v>
      </c>
      <c r="AF194" s="39">
        <v>45783</v>
      </c>
      <c r="AG194" s="48">
        <v>153338</v>
      </c>
      <c r="AH194" s="48">
        <v>15859.28</v>
      </c>
    </row>
    <row r="195" spans="1:34" ht="19.5" customHeight="1">
      <c r="A195" s="25">
        <f t="shared" si="2"/>
        <v>194</v>
      </c>
      <c r="B195" s="26">
        <v>6165916</v>
      </c>
      <c r="C195" s="27">
        <v>45733</v>
      </c>
      <c r="D195" s="28">
        <v>100.24</v>
      </c>
      <c r="E195" s="29">
        <v>779.2</v>
      </c>
      <c r="F195" s="30">
        <v>1526472</v>
      </c>
      <c r="G195" s="27">
        <v>45734</v>
      </c>
      <c r="H195" s="32"/>
      <c r="J195" s="34" t="s">
        <v>33</v>
      </c>
      <c r="K195" t="s">
        <v>34</v>
      </c>
      <c r="L195" s="35">
        <v>421901355</v>
      </c>
      <c r="M195" s="36" t="s">
        <v>598</v>
      </c>
      <c r="N195" s="37"/>
      <c r="O195" t="s">
        <v>599</v>
      </c>
      <c r="P195" t="s">
        <v>600</v>
      </c>
      <c r="R195" s="38">
        <v>45754</v>
      </c>
      <c r="S195" s="39">
        <v>46118</v>
      </c>
      <c r="T195" s="50">
        <v>45809</v>
      </c>
      <c r="U195" s="47">
        <v>46173</v>
      </c>
      <c r="V195" s="40" t="s">
        <v>38</v>
      </c>
      <c r="W195" s="41" t="s">
        <v>39</v>
      </c>
      <c r="Y195" s="42" t="s">
        <v>56</v>
      </c>
      <c r="Z195" t="s">
        <v>40</v>
      </c>
      <c r="AA195" s="43"/>
      <c r="AC195" s="45"/>
      <c r="AF195" s="39">
        <v>45769</v>
      </c>
      <c r="AG195" s="48">
        <v>2284</v>
      </c>
      <c r="AH195" s="48">
        <v>786.88</v>
      </c>
    </row>
    <row r="196" spans="1:34" ht="19.5" customHeight="1">
      <c r="A196" s="25">
        <f t="shared" ref="A196:A259" si="3">A195+1</f>
        <v>195</v>
      </c>
      <c r="B196" s="26">
        <v>6166223</v>
      </c>
      <c r="C196" s="27">
        <v>45734</v>
      </c>
      <c r="E196" s="29">
        <v>65153.81</v>
      </c>
      <c r="F196" s="30">
        <v>1526711</v>
      </c>
      <c r="G196" s="27">
        <v>45735</v>
      </c>
      <c r="H196" s="32"/>
      <c r="J196" s="34" t="s">
        <v>159</v>
      </c>
      <c r="K196" t="s">
        <v>160</v>
      </c>
      <c r="L196" s="35" t="s">
        <v>601</v>
      </c>
      <c r="M196" s="36" t="s">
        <v>602</v>
      </c>
      <c r="N196" s="37"/>
      <c r="O196" t="s">
        <v>603</v>
      </c>
      <c r="P196" t="s">
        <v>604</v>
      </c>
      <c r="R196" s="38">
        <v>45739</v>
      </c>
      <c r="S196" s="39">
        <v>46203</v>
      </c>
      <c r="T196" s="50">
        <v>45739</v>
      </c>
      <c r="U196" s="47">
        <v>46203</v>
      </c>
      <c r="V196" s="40" t="s">
        <v>64</v>
      </c>
      <c r="W196" s="41" t="s">
        <v>39</v>
      </c>
      <c r="Y196" s="42"/>
      <c r="Z196" t="s">
        <v>40</v>
      </c>
      <c r="AA196" s="62" t="s">
        <v>171</v>
      </c>
      <c r="AB196" s="44">
        <v>45742</v>
      </c>
      <c r="AF196" s="39">
        <v>45783</v>
      </c>
      <c r="AG196" s="48">
        <v>154800.79999999999</v>
      </c>
      <c r="AH196" s="48">
        <v>86447.81</v>
      </c>
    </row>
    <row r="197" spans="1:34" ht="19.5" customHeight="1">
      <c r="A197" s="25">
        <f t="shared" si="3"/>
        <v>196</v>
      </c>
      <c r="B197" s="26">
        <v>6166248</v>
      </c>
      <c r="C197" s="27">
        <v>45734</v>
      </c>
      <c r="E197" s="29">
        <v>21294</v>
      </c>
      <c r="F197" s="30">
        <v>1526972</v>
      </c>
      <c r="G197" s="27">
        <v>45740</v>
      </c>
      <c r="H197" s="32"/>
      <c r="J197" s="34" t="s">
        <v>103</v>
      </c>
      <c r="K197" t="s">
        <v>212</v>
      </c>
      <c r="L197" s="35" t="s">
        <v>605</v>
      </c>
      <c r="M197" s="36" t="s">
        <v>606</v>
      </c>
      <c r="N197" s="37"/>
      <c r="O197" t="s">
        <v>603</v>
      </c>
      <c r="P197" t="s">
        <v>604</v>
      </c>
      <c r="R197" s="38">
        <v>45739</v>
      </c>
      <c r="S197" s="39">
        <v>46203</v>
      </c>
      <c r="T197" s="38">
        <v>45743</v>
      </c>
      <c r="U197" s="39">
        <v>46203</v>
      </c>
      <c r="V197" s="40" t="s">
        <v>64</v>
      </c>
      <c r="W197" s="41" t="s">
        <v>39</v>
      </c>
      <c r="Y197" s="42"/>
      <c r="Z197" t="s">
        <v>40</v>
      </c>
      <c r="AA197" s="43"/>
      <c r="AC197" s="45"/>
      <c r="AF197" s="47">
        <v>45786</v>
      </c>
      <c r="AG197" s="48">
        <v>154800.79999999999</v>
      </c>
      <c r="AH197" s="48">
        <v>86447.81</v>
      </c>
    </row>
    <row r="198" spans="1:34" ht="19.5" customHeight="1">
      <c r="A198" s="25">
        <f t="shared" si="3"/>
        <v>197</v>
      </c>
      <c r="B198" s="26">
        <v>6166552</v>
      </c>
      <c r="C198" s="27">
        <v>45735</v>
      </c>
      <c r="D198" s="28">
        <v>225.06</v>
      </c>
      <c r="E198" s="29">
        <v>1749.46</v>
      </c>
      <c r="F198" s="30">
        <v>1526855</v>
      </c>
      <c r="G198" s="27">
        <v>45736</v>
      </c>
      <c r="H198" s="32"/>
      <c r="J198" s="34" t="s">
        <v>33</v>
      </c>
      <c r="K198" t="s">
        <v>34</v>
      </c>
      <c r="L198" s="35">
        <v>212229248</v>
      </c>
      <c r="M198" s="36" t="s">
        <v>607</v>
      </c>
      <c r="N198" s="37"/>
      <c r="O198" t="s">
        <v>608</v>
      </c>
      <c r="P198" t="s">
        <v>609</v>
      </c>
      <c r="R198" s="38">
        <v>45536</v>
      </c>
      <c r="S198" s="39">
        <v>45900</v>
      </c>
      <c r="T198" s="38">
        <v>45712</v>
      </c>
      <c r="U198" s="39">
        <v>46076</v>
      </c>
      <c r="V198" s="40" t="s">
        <v>89</v>
      </c>
      <c r="W198" s="41" t="s">
        <v>39</v>
      </c>
      <c r="Y198" s="42"/>
      <c r="Z198" t="s">
        <v>81</v>
      </c>
      <c r="AA198" s="43"/>
      <c r="AC198" s="45"/>
      <c r="AF198" s="47">
        <v>45777</v>
      </c>
      <c r="AG198" s="48">
        <v>211848</v>
      </c>
      <c r="AH198" s="48">
        <v>8076.73</v>
      </c>
    </row>
    <row r="199" spans="1:34" ht="19.5" customHeight="1">
      <c r="A199" s="25">
        <f t="shared" si="3"/>
        <v>198</v>
      </c>
      <c r="C199" s="27">
        <v>45735</v>
      </c>
      <c r="E199" s="29">
        <v>6310</v>
      </c>
      <c r="F199" s="30">
        <v>1526737</v>
      </c>
      <c r="G199" s="27">
        <v>45735</v>
      </c>
      <c r="H199" s="32"/>
      <c r="J199" s="34" t="s">
        <v>33</v>
      </c>
      <c r="K199" t="s">
        <v>139</v>
      </c>
      <c r="L199" s="35">
        <v>80005045</v>
      </c>
      <c r="M199" s="36" t="s">
        <v>610</v>
      </c>
      <c r="N199" s="37"/>
      <c r="O199" t="s">
        <v>608</v>
      </c>
      <c r="P199" t="s">
        <v>609</v>
      </c>
      <c r="R199" s="38">
        <v>45536</v>
      </c>
      <c r="S199" s="39">
        <v>45900</v>
      </c>
      <c r="T199" s="50" t="s">
        <v>141</v>
      </c>
      <c r="U199" s="47" t="s">
        <v>141</v>
      </c>
      <c r="V199" s="40" t="s">
        <v>89</v>
      </c>
      <c r="W199" s="41" t="s">
        <v>39</v>
      </c>
      <c r="Y199" s="42" t="s">
        <v>185</v>
      </c>
      <c r="Z199" t="s">
        <v>81</v>
      </c>
      <c r="AA199" s="43">
        <v>90006848</v>
      </c>
      <c r="AB199" s="44">
        <v>45797</v>
      </c>
      <c r="AC199" s="63">
        <v>60016159</v>
      </c>
      <c r="AF199" s="47">
        <v>45835</v>
      </c>
      <c r="AG199" s="48">
        <v>211848</v>
      </c>
      <c r="AH199" s="48">
        <v>8076.73</v>
      </c>
    </row>
    <row r="200" spans="1:34" ht="19.5" customHeight="1">
      <c r="A200" s="25">
        <f t="shared" si="3"/>
        <v>199</v>
      </c>
      <c r="B200" s="26">
        <v>6166627</v>
      </c>
      <c r="C200" s="27">
        <v>45735</v>
      </c>
      <c r="D200" s="28">
        <v>11145.75</v>
      </c>
      <c r="E200" s="29">
        <v>86639.26</v>
      </c>
      <c r="F200" s="30">
        <v>1527755</v>
      </c>
      <c r="G200" s="27">
        <v>45743</v>
      </c>
      <c r="H200" s="32"/>
      <c r="J200" s="34" t="s">
        <v>33</v>
      </c>
      <c r="K200" t="s">
        <v>34</v>
      </c>
      <c r="L200" s="35">
        <v>441904635</v>
      </c>
      <c r="M200" s="36" t="s">
        <v>611</v>
      </c>
      <c r="N200" s="37"/>
      <c r="O200" t="s">
        <v>612</v>
      </c>
      <c r="P200" t="s">
        <v>613</v>
      </c>
      <c r="R200" s="38">
        <v>45697</v>
      </c>
      <c r="S200" s="39">
        <v>46061</v>
      </c>
      <c r="T200" s="38">
        <v>45834</v>
      </c>
      <c r="U200" s="39">
        <v>46198</v>
      </c>
      <c r="V200" s="40" t="s">
        <v>89</v>
      </c>
      <c r="W200" s="41" t="s">
        <v>39</v>
      </c>
      <c r="Y200" s="42" t="s">
        <v>56</v>
      </c>
      <c r="Z200" t="s">
        <v>40</v>
      </c>
      <c r="AA200" s="43"/>
      <c r="AC200" s="45"/>
      <c r="AF200" s="47">
        <v>45771</v>
      </c>
      <c r="AG200" s="48">
        <v>562899</v>
      </c>
      <c r="AH200" s="48">
        <v>163709.26</v>
      </c>
    </row>
    <row r="201" spans="1:34" ht="19.5" customHeight="1">
      <c r="A201" s="25">
        <f t="shared" si="3"/>
        <v>200</v>
      </c>
      <c r="B201" s="26">
        <v>6166639</v>
      </c>
      <c r="C201" s="27">
        <v>45735</v>
      </c>
      <c r="D201" s="28">
        <v>9708.93</v>
      </c>
      <c r="E201" s="29">
        <v>75470.429999999993</v>
      </c>
      <c r="F201" s="30">
        <v>1527757</v>
      </c>
      <c r="G201" s="27">
        <v>45743</v>
      </c>
      <c r="H201" s="32"/>
      <c r="J201" s="34" t="s">
        <v>33</v>
      </c>
      <c r="K201" t="s">
        <v>34</v>
      </c>
      <c r="L201" s="35">
        <v>282230473</v>
      </c>
      <c r="M201" s="36" t="s">
        <v>611</v>
      </c>
      <c r="N201" s="37"/>
      <c r="O201" t="s">
        <v>612</v>
      </c>
      <c r="P201" t="s">
        <v>613</v>
      </c>
      <c r="R201" s="38">
        <v>45697</v>
      </c>
      <c r="S201" s="39">
        <v>46061</v>
      </c>
      <c r="T201" s="38">
        <v>45834</v>
      </c>
      <c r="U201" s="39">
        <v>46198</v>
      </c>
      <c r="V201" s="40" t="s">
        <v>89</v>
      </c>
      <c r="W201" s="41" t="s">
        <v>39</v>
      </c>
      <c r="Y201" s="42" t="s">
        <v>56</v>
      </c>
      <c r="Z201" t="s">
        <v>40</v>
      </c>
      <c r="AA201" s="43"/>
      <c r="AC201" s="45"/>
      <c r="AF201" s="47">
        <v>45771</v>
      </c>
      <c r="AG201" s="48">
        <v>562899</v>
      </c>
      <c r="AH201" s="48">
        <v>163709.26</v>
      </c>
    </row>
    <row r="202" spans="1:34" ht="19.5" customHeight="1">
      <c r="A202" s="25">
        <f t="shared" si="3"/>
        <v>201</v>
      </c>
      <c r="B202" s="26">
        <v>6166664</v>
      </c>
      <c r="C202" s="27">
        <v>45735</v>
      </c>
      <c r="D202" s="28">
        <v>616.01</v>
      </c>
      <c r="E202" s="29">
        <v>4788.43</v>
      </c>
      <c r="F202" s="30">
        <v>1527747</v>
      </c>
      <c r="G202" s="27">
        <v>45743</v>
      </c>
      <c r="H202" s="32"/>
      <c r="J202" s="34" t="s">
        <v>33</v>
      </c>
      <c r="K202" t="s">
        <v>34</v>
      </c>
      <c r="L202" s="35">
        <v>401894841</v>
      </c>
      <c r="M202" s="36" t="s">
        <v>614</v>
      </c>
      <c r="N202" s="37"/>
      <c r="O202" t="s">
        <v>615</v>
      </c>
      <c r="P202" t="s">
        <v>616</v>
      </c>
      <c r="R202" s="38">
        <v>45749</v>
      </c>
      <c r="S202" s="39">
        <v>46113</v>
      </c>
      <c r="T202" s="50">
        <v>45785</v>
      </c>
      <c r="U202" s="47">
        <v>46149</v>
      </c>
      <c r="V202" s="40" t="s">
        <v>51</v>
      </c>
      <c r="W202" s="41" t="s">
        <v>39</v>
      </c>
      <c r="Z202" t="s">
        <v>40</v>
      </c>
      <c r="AA202" s="43"/>
      <c r="AC202" s="45"/>
      <c r="AF202" s="39">
        <v>45769</v>
      </c>
      <c r="AG202" s="48">
        <v>21600</v>
      </c>
      <c r="AH202" s="48">
        <v>4835.68</v>
      </c>
    </row>
    <row r="203" spans="1:34" ht="19.5" customHeight="1">
      <c r="A203" s="25">
        <f t="shared" si="3"/>
        <v>202</v>
      </c>
      <c r="B203" s="26">
        <v>6166704</v>
      </c>
      <c r="C203" s="27">
        <v>45735</v>
      </c>
      <c r="E203" s="29">
        <v>31135.5</v>
      </c>
      <c r="F203" s="30">
        <v>1526861</v>
      </c>
      <c r="G203" s="27">
        <v>45740</v>
      </c>
      <c r="H203" s="32"/>
      <c r="J203" s="34" t="s">
        <v>33</v>
      </c>
      <c r="K203" t="s">
        <v>139</v>
      </c>
      <c r="L203" s="35">
        <v>80005038</v>
      </c>
      <c r="M203" s="36" t="s">
        <v>617</v>
      </c>
      <c r="N203" s="37"/>
      <c r="O203" t="s">
        <v>618</v>
      </c>
      <c r="P203" t="s">
        <v>619</v>
      </c>
      <c r="R203" s="38">
        <v>45742</v>
      </c>
      <c r="S203" s="39">
        <v>46106</v>
      </c>
      <c r="T203" s="50">
        <v>45742</v>
      </c>
      <c r="U203" s="47">
        <v>46106</v>
      </c>
      <c r="V203" s="40" t="s">
        <v>375</v>
      </c>
      <c r="W203" s="41" t="s">
        <v>39</v>
      </c>
      <c r="Z203" t="s">
        <v>81</v>
      </c>
      <c r="AA203" s="43" t="s">
        <v>620</v>
      </c>
      <c r="AB203" s="44">
        <v>45771</v>
      </c>
      <c r="AC203" s="45">
        <v>60016067</v>
      </c>
      <c r="AF203" s="47">
        <v>45835</v>
      </c>
      <c r="AG203" s="48">
        <v>43267</v>
      </c>
      <c r="AH203" s="48">
        <v>31135.5</v>
      </c>
    </row>
    <row r="204" spans="1:34" ht="19.5" customHeight="1">
      <c r="A204" s="25">
        <f t="shared" si="3"/>
        <v>203</v>
      </c>
      <c r="C204" s="27">
        <v>45736</v>
      </c>
      <c r="E204" s="29">
        <v>1270</v>
      </c>
      <c r="F204" s="30">
        <v>1526964</v>
      </c>
      <c r="G204" s="27">
        <v>45736</v>
      </c>
      <c r="H204" s="32"/>
      <c r="J204" s="34" t="s">
        <v>33</v>
      </c>
      <c r="K204" t="s">
        <v>139</v>
      </c>
      <c r="L204" s="86" t="s">
        <v>141</v>
      </c>
      <c r="M204" s="36" t="s">
        <v>621</v>
      </c>
      <c r="N204" s="37"/>
      <c r="O204" t="s">
        <v>622</v>
      </c>
      <c r="P204" t="s">
        <v>623</v>
      </c>
      <c r="R204" s="38">
        <v>45689</v>
      </c>
      <c r="S204" s="39">
        <v>46783</v>
      </c>
      <c r="T204" s="50" t="s">
        <v>141</v>
      </c>
      <c r="U204" s="47" t="s">
        <v>141</v>
      </c>
      <c r="V204" s="40" t="s">
        <v>64</v>
      </c>
      <c r="W204" s="41" t="s">
        <v>39</v>
      </c>
      <c r="Y204" s="42"/>
      <c r="Z204" t="s">
        <v>40</v>
      </c>
      <c r="AA204" s="62" t="s">
        <v>487</v>
      </c>
      <c r="AB204" s="44">
        <v>45747</v>
      </c>
      <c r="AC204" s="63">
        <v>60016014</v>
      </c>
      <c r="AF204" s="47">
        <v>45835</v>
      </c>
      <c r="AG204" s="48">
        <v>1200000</v>
      </c>
      <c r="AH204" s="48">
        <v>749584.7</v>
      </c>
    </row>
    <row r="205" spans="1:34" ht="19.5" customHeight="1">
      <c r="A205" s="25">
        <f t="shared" si="3"/>
        <v>204</v>
      </c>
      <c r="B205" s="26">
        <v>6167300</v>
      </c>
      <c r="C205" s="27">
        <v>45737</v>
      </c>
      <c r="D205" s="28">
        <v>19534.240000000002</v>
      </c>
      <c r="E205" s="29">
        <v>151845.51</v>
      </c>
      <c r="F205" s="30">
        <v>1527490</v>
      </c>
      <c r="G205" s="27">
        <v>45740</v>
      </c>
      <c r="H205" s="32"/>
      <c r="J205" s="34" t="s">
        <v>33</v>
      </c>
      <c r="K205" t="s">
        <v>34</v>
      </c>
      <c r="L205" s="35">
        <v>262227022</v>
      </c>
      <c r="M205" s="36" t="s">
        <v>624</v>
      </c>
      <c r="N205" s="37"/>
      <c r="O205" t="s">
        <v>625</v>
      </c>
      <c r="P205" t="s">
        <v>626</v>
      </c>
      <c r="R205" s="38">
        <v>45658</v>
      </c>
      <c r="S205" s="39">
        <v>46112</v>
      </c>
      <c r="T205" s="50">
        <v>45717</v>
      </c>
      <c r="U205" s="47">
        <v>46112</v>
      </c>
      <c r="V205" s="40" t="s">
        <v>434</v>
      </c>
      <c r="W205" s="41" t="s">
        <v>39</v>
      </c>
      <c r="Y205" s="42"/>
      <c r="Z205" t="s">
        <v>40</v>
      </c>
      <c r="AA205" s="43"/>
      <c r="AC205" s="45"/>
      <c r="AF205" s="39">
        <v>45769</v>
      </c>
      <c r="AG205" s="48">
        <v>521899</v>
      </c>
      <c r="AH205" s="48">
        <v>169823.76</v>
      </c>
    </row>
    <row r="206" spans="1:34" ht="19.5" customHeight="1">
      <c r="A206" s="25">
        <f t="shared" si="3"/>
        <v>205</v>
      </c>
      <c r="B206" s="26">
        <v>6167492</v>
      </c>
      <c r="C206" s="27">
        <v>45737</v>
      </c>
      <c r="D206" s="28">
        <v>2099.36</v>
      </c>
      <c r="E206" s="29">
        <v>16318.96</v>
      </c>
      <c r="F206" s="30">
        <v>1527492</v>
      </c>
      <c r="G206" s="27">
        <v>45740</v>
      </c>
      <c r="H206" s="32"/>
      <c r="J206" s="34" t="s">
        <v>33</v>
      </c>
      <c r="K206" t="s">
        <v>34</v>
      </c>
      <c r="L206" s="35">
        <v>212226724</v>
      </c>
      <c r="M206" s="36" t="s">
        <v>627</v>
      </c>
      <c r="N206" s="37"/>
      <c r="O206" t="s">
        <v>625</v>
      </c>
      <c r="P206" t="s">
        <v>626</v>
      </c>
      <c r="R206" s="38">
        <v>45658</v>
      </c>
      <c r="S206" s="39">
        <v>46112</v>
      </c>
      <c r="T206" s="50">
        <v>45717</v>
      </c>
      <c r="U206" s="47">
        <v>46112</v>
      </c>
      <c r="V206" s="40" t="s">
        <v>434</v>
      </c>
      <c r="W206" s="41" t="s">
        <v>39</v>
      </c>
      <c r="Y206" s="42"/>
      <c r="Z206" t="s">
        <v>40</v>
      </c>
      <c r="AA206" s="43"/>
      <c r="AC206" s="45"/>
      <c r="AF206" s="39">
        <v>45769</v>
      </c>
      <c r="AG206" s="48">
        <v>521899</v>
      </c>
      <c r="AH206" s="48">
        <v>169823.76</v>
      </c>
    </row>
    <row r="207" spans="1:34" ht="19.5" customHeight="1">
      <c r="A207" s="25">
        <f t="shared" si="3"/>
        <v>206</v>
      </c>
      <c r="B207" s="26">
        <v>6167540</v>
      </c>
      <c r="C207" s="27">
        <v>45737</v>
      </c>
      <c r="E207" s="29">
        <v>103896.18</v>
      </c>
      <c r="F207" s="30">
        <v>1528407</v>
      </c>
      <c r="G207" s="27">
        <v>45744</v>
      </c>
      <c r="H207" s="32"/>
      <c r="J207" s="34" t="s">
        <v>103</v>
      </c>
      <c r="K207" t="s">
        <v>107</v>
      </c>
      <c r="L207" s="35" t="s">
        <v>628</v>
      </c>
      <c r="M207" s="36" t="s">
        <v>629</v>
      </c>
      <c r="N207" s="37"/>
      <c r="O207" t="s">
        <v>630</v>
      </c>
      <c r="P207" t="s">
        <v>631</v>
      </c>
      <c r="R207" s="38">
        <v>45748</v>
      </c>
      <c r="S207" s="39">
        <v>46477</v>
      </c>
      <c r="T207" s="50">
        <v>45794</v>
      </c>
      <c r="U207" s="47">
        <v>46158</v>
      </c>
      <c r="V207" s="40" t="s">
        <v>128</v>
      </c>
      <c r="W207" s="41" t="s">
        <v>39</v>
      </c>
      <c r="Y207" s="42"/>
      <c r="Z207" t="s">
        <v>40</v>
      </c>
      <c r="AA207" s="43"/>
      <c r="AB207" s="44">
        <v>45771</v>
      </c>
      <c r="AC207" s="45" t="s">
        <v>632</v>
      </c>
      <c r="AF207" s="47">
        <v>45835</v>
      </c>
      <c r="AG207" s="48">
        <v>349098</v>
      </c>
      <c r="AH207" s="48">
        <v>207792.36</v>
      </c>
    </row>
    <row r="208" spans="1:34" ht="19.5" customHeight="1">
      <c r="A208" s="25">
        <f t="shared" si="3"/>
        <v>207</v>
      </c>
      <c r="B208" s="26">
        <v>6167559</v>
      </c>
      <c r="C208" s="27">
        <v>45737</v>
      </c>
      <c r="E208" s="29">
        <v>103896.18</v>
      </c>
      <c r="F208" s="30">
        <v>1528412</v>
      </c>
      <c r="G208" s="27">
        <v>45744</v>
      </c>
      <c r="H208" s="32"/>
      <c r="J208" s="34" t="s">
        <v>103</v>
      </c>
      <c r="K208" t="s">
        <v>107</v>
      </c>
      <c r="L208" s="35" t="s">
        <v>633</v>
      </c>
      <c r="M208" s="36" t="s">
        <v>634</v>
      </c>
      <c r="N208" s="37"/>
      <c r="O208" t="s">
        <v>630</v>
      </c>
      <c r="P208" t="s">
        <v>631</v>
      </c>
      <c r="R208" s="38">
        <v>45748</v>
      </c>
      <c r="S208" s="39">
        <v>46477</v>
      </c>
      <c r="T208" s="50">
        <v>46159</v>
      </c>
      <c r="U208" s="47">
        <v>46523</v>
      </c>
      <c r="V208" s="40" t="s">
        <v>128</v>
      </c>
      <c r="W208" s="41" t="s">
        <v>39</v>
      </c>
      <c r="Y208" s="42"/>
      <c r="Z208" t="s">
        <v>40</v>
      </c>
      <c r="AA208" s="43" t="s">
        <v>635</v>
      </c>
      <c r="AB208" s="44">
        <v>45771</v>
      </c>
      <c r="AC208" s="45"/>
      <c r="AF208" s="47">
        <v>45835</v>
      </c>
      <c r="AG208" s="48">
        <v>349098</v>
      </c>
      <c r="AH208" s="48">
        <v>207792.36</v>
      </c>
    </row>
    <row r="209" spans="1:34" ht="19.5" customHeight="1">
      <c r="A209" s="25">
        <f t="shared" si="3"/>
        <v>208</v>
      </c>
      <c r="B209" s="26">
        <v>6167737</v>
      </c>
      <c r="C209" s="27">
        <v>45740</v>
      </c>
      <c r="E209" s="29">
        <v>1550.9</v>
      </c>
      <c r="F209" s="30">
        <v>1527521</v>
      </c>
      <c r="G209" s="27">
        <v>45741</v>
      </c>
      <c r="H209" s="32"/>
      <c r="J209" s="34" t="s">
        <v>103</v>
      </c>
      <c r="K209" t="s">
        <v>398</v>
      </c>
      <c r="L209" s="35" t="s">
        <v>636</v>
      </c>
      <c r="M209" s="36" t="s">
        <v>637</v>
      </c>
      <c r="N209" s="37"/>
      <c r="O209" t="s">
        <v>638</v>
      </c>
      <c r="P209" t="s">
        <v>639</v>
      </c>
      <c r="R209" s="38">
        <v>45647</v>
      </c>
      <c r="S209" s="39">
        <v>46011</v>
      </c>
      <c r="T209" s="50">
        <v>45753</v>
      </c>
      <c r="U209" s="47">
        <v>46117</v>
      </c>
      <c r="V209" s="40" t="s">
        <v>388</v>
      </c>
      <c r="W209" s="41" t="s">
        <v>39</v>
      </c>
      <c r="Y209" s="42"/>
      <c r="Z209" t="s">
        <v>81</v>
      </c>
      <c r="AA209" s="62" t="s">
        <v>640</v>
      </c>
      <c r="AB209" s="44">
        <v>45749</v>
      </c>
      <c r="AF209" s="39">
        <v>45783</v>
      </c>
      <c r="AG209" s="48">
        <v>1989240</v>
      </c>
      <c r="AH209" s="48">
        <v>1164266.21</v>
      </c>
    </row>
    <row r="210" spans="1:34" ht="19.5" customHeight="1">
      <c r="A210" s="25">
        <f t="shared" si="3"/>
        <v>209</v>
      </c>
      <c r="B210" s="26">
        <v>6167926</v>
      </c>
      <c r="C210" s="27">
        <v>45740</v>
      </c>
      <c r="D210" s="28">
        <v>667.7</v>
      </c>
      <c r="E210" s="29">
        <v>5190.2299999999996</v>
      </c>
      <c r="F210" s="30">
        <v>1527749</v>
      </c>
      <c r="G210" s="27">
        <v>45743</v>
      </c>
      <c r="H210" s="32"/>
      <c r="J210" s="34" t="s">
        <v>33</v>
      </c>
      <c r="K210" t="s">
        <v>34</v>
      </c>
      <c r="L210" s="35">
        <v>352109724</v>
      </c>
      <c r="M210" s="36" t="s">
        <v>641</v>
      </c>
      <c r="N210" s="37"/>
      <c r="O210" t="s">
        <v>642</v>
      </c>
      <c r="P210" t="s">
        <v>643</v>
      </c>
      <c r="R210" s="38">
        <v>45748</v>
      </c>
      <c r="S210" s="39">
        <v>46173</v>
      </c>
      <c r="T210" s="50">
        <v>45748</v>
      </c>
      <c r="U210" s="47">
        <v>45961</v>
      </c>
      <c r="V210" s="40" t="s">
        <v>167</v>
      </c>
      <c r="W210" s="41" t="s">
        <v>39</v>
      </c>
      <c r="Y210" s="42" t="s">
        <v>56</v>
      </c>
      <c r="Z210" t="s">
        <v>40</v>
      </c>
      <c r="AA210" s="43"/>
      <c r="AC210" s="45"/>
      <c r="AF210" s="39">
        <v>45769</v>
      </c>
      <c r="AG210" s="48">
        <v>199000</v>
      </c>
      <c r="AH210" s="48">
        <v>177316.51</v>
      </c>
    </row>
    <row r="211" spans="1:34" ht="19.5" customHeight="1">
      <c r="A211" s="25">
        <f t="shared" si="3"/>
        <v>210</v>
      </c>
      <c r="C211" s="27">
        <v>45740</v>
      </c>
      <c r="E211" s="29">
        <v>1770</v>
      </c>
      <c r="F211" s="30">
        <v>1527586</v>
      </c>
      <c r="G211" s="27">
        <v>45740</v>
      </c>
      <c r="H211" s="32"/>
      <c r="J211" s="34" t="s">
        <v>33</v>
      </c>
      <c r="K211" t="s">
        <v>139</v>
      </c>
      <c r="L211" s="86" t="s">
        <v>141</v>
      </c>
      <c r="M211" s="36" t="s">
        <v>644</v>
      </c>
      <c r="N211" s="37"/>
      <c r="O211" t="s">
        <v>642</v>
      </c>
      <c r="P211" t="s">
        <v>643</v>
      </c>
      <c r="R211" s="38">
        <v>45748</v>
      </c>
      <c r="S211" s="39">
        <v>46173</v>
      </c>
      <c r="T211" s="50" t="s">
        <v>141</v>
      </c>
      <c r="U211" s="47" t="s">
        <v>141</v>
      </c>
      <c r="V211" s="40" t="s">
        <v>167</v>
      </c>
      <c r="W211" s="41" t="s">
        <v>39</v>
      </c>
      <c r="Y211" s="42"/>
      <c r="Z211" t="s">
        <v>40</v>
      </c>
      <c r="AA211" s="43">
        <v>90006758</v>
      </c>
      <c r="AB211" s="44">
        <v>45771</v>
      </c>
      <c r="AC211" s="63">
        <v>60016015</v>
      </c>
      <c r="AF211" s="47">
        <v>45835</v>
      </c>
      <c r="AG211" s="48">
        <v>199000</v>
      </c>
      <c r="AH211" s="48">
        <v>177316.51</v>
      </c>
    </row>
    <row r="212" spans="1:34" ht="19.5" customHeight="1">
      <c r="A212" s="25">
        <f t="shared" si="3"/>
        <v>211</v>
      </c>
      <c r="B212" s="26">
        <v>6167944</v>
      </c>
      <c r="C212" s="27">
        <v>45740</v>
      </c>
      <c r="D212" s="28">
        <v>1714.52</v>
      </c>
      <c r="E212" s="29">
        <v>13327.48</v>
      </c>
      <c r="F212" s="30">
        <v>1528139</v>
      </c>
      <c r="G212" s="27">
        <v>45744</v>
      </c>
      <c r="H212" s="32"/>
      <c r="J212" s="34" t="s">
        <v>33</v>
      </c>
      <c r="K212" t="s">
        <v>34</v>
      </c>
      <c r="L212" s="35">
        <v>332108215</v>
      </c>
      <c r="M212" s="36" t="s">
        <v>645</v>
      </c>
      <c r="N212" s="37"/>
      <c r="O212" t="s">
        <v>646</v>
      </c>
      <c r="P212" t="s">
        <v>647</v>
      </c>
      <c r="R212" s="38">
        <v>45809</v>
      </c>
      <c r="S212" s="39">
        <v>46173</v>
      </c>
      <c r="T212" s="50">
        <v>45809</v>
      </c>
      <c r="U212" s="47">
        <v>45961</v>
      </c>
      <c r="V212" s="40" t="s">
        <v>80</v>
      </c>
      <c r="W212" s="41" t="s">
        <v>39</v>
      </c>
      <c r="Y212" s="42" t="s">
        <v>56</v>
      </c>
      <c r="Z212" t="s">
        <v>40</v>
      </c>
      <c r="AA212" s="43"/>
      <c r="AC212" s="45"/>
      <c r="AF212" s="39">
        <v>45769</v>
      </c>
      <c r="AG212" s="48">
        <v>50500</v>
      </c>
      <c r="AH212" s="48">
        <v>26908.98</v>
      </c>
    </row>
    <row r="213" spans="1:34" ht="19.5" customHeight="1">
      <c r="A213" s="25">
        <f t="shared" si="3"/>
        <v>212</v>
      </c>
      <c r="B213" s="26">
        <v>6167952</v>
      </c>
      <c r="C213" s="27">
        <v>45740</v>
      </c>
      <c r="E213" s="65">
        <v>9410</v>
      </c>
      <c r="F213" s="30">
        <v>1527746</v>
      </c>
      <c r="G213" s="27">
        <v>45741</v>
      </c>
      <c r="H213" s="32"/>
      <c r="J213" s="34" t="s">
        <v>33</v>
      </c>
      <c r="K213" s="66" t="s">
        <v>193</v>
      </c>
      <c r="L213" s="86" t="s">
        <v>141</v>
      </c>
      <c r="M213" s="36" t="s">
        <v>648</v>
      </c>
      <c r="N213" s="37"/>
      <c r="O213" t="s">
        <v>646</v>
      </c>
      <c r="P213" t="s">
        <v>647</v>
      </c>
      <c r="R213" s="38">
        <v>45809</v>
      </c>
      <c r="S213" s="39">
        <v>46173</v>
      </c>
      <c r="T213" s="50" t="s">
        <v>141</v>
      </c>
      <c r="U213" s="47" t="s">
        <v>141</v>
      </c>
      <c r="V213" s="40" t="s">
        <v>80</v>
      </c>
      <c r="W213" s="41" t="s">
        <v>39</v>
      </c>
      <c r="Y213" s="42"/>
      <c r="Z213" t="s">
        <v>40</v>
      </c>
      <c r="AA213" s="62" t="s">
        <v>649</v>
      </c>
      <c r="AB213" s="44">
        <v>45757</v>
      </c>
      <c r="AC213" s="63" t="s">
        <v>650</v>
      </c>
      <c r="AF213" s="47">
        <v>45835</v>
      </c>
      <c r="AG213" s="48">
        <v>50500</v>
      </c>
      <c r="AH213" s="48">
        <v>26908.98</v>
      </c>
    </row>
    <row r="214" spans="1:34" ht="19.5" customHeight="1">
      <c r="A214" s="25">
        <f t="shared" si="3"/>
        <v>213</v>
      </c>
      <c r="B214" s="26">
        <v>6168033</v>
      </c>
      <c r="C214" s="27">
        <v>45740</v>
      </c>
      <c r="E214" s="29">
        <v>172985.35</v>
      </c>
      <c r="F214" s="30">
        <v>1528315</v>
      </c>
      <c r="G214" s="27">
        <v>45744</v>
      </c>
      <c r="H214" s="32"/>
      <c r="J214" s="34" t="s">
        <v>103</v>
      </c>
      <c r="K214" t="s">
        <v>107</v>
      </c>
      <c r="L214" s="35">
        <v>6013123</v>
      </c>
      <c r="M214" s="36" t="s">
        <v>651</v>
      </c>
      <c r="N214" s="37"/>
      <c r="O214" t="s">
        <v>652</v>
      </c>
      <c r="P214" t="s">
        <v>653</v>
      </c>
      <c r="R214" s="38">
        <v>45826</v>
      </c>
      <c r="S214" s="39">
        <v>46190</v>
      </c>
      <c r="T214" s="50">
        <v>45826</v>
      </c>
      <c r="U214" s="47">
        <v>46190</v>
      </c>
      <c r="V214" s="40" t="s">
        <v>64</v>
      </c>
      <c r="W214" s="41" t="s">
        <v>39</v>
      </c>
      <c r="Y214" s="42"/>
      <c r="Z214" t="s">
        <v>40</v>
      </c>
      <c r="AA214" s="62" t="s">
        <v>654</v>
      </c>
      <c r="AB214" s="44">
        <v>45750</v>
      </c>
      <c r="AC214" s="63" t="s">
        <v>655</v>
      </c>
      <c r="AF214" s="47">
        <v>45835</v>
      </c>
      <c r="AG214" s="48">
        <v>218050</v>
      </c>
      <c r="AH214" s="48">
        <v>172985.35</v>
      </c>
    </row>
    <row r="215" spans="1:34" ht="19.5" customHeight="1">
      <c r="A215" s="25">
        <f t="shared" si="3"/>
        <v>214</v>
      </c>
      <c r="B215" s="26">
        <v>6168395</v>
      </c>
      <c r="C215" s="27">
        <v>45741</v>
      </c>
      <c r="D215" s="28">
        <v>15320.8</v>
      </c>
      <c r="E215" s="29">
        <v>119093.17</v>
      </c>
      <c r="F215" s="30">
        <v>1528142</v>
      </c>
      <c r="G215" s="27">
        <v>45747</v>
      </c>
      <c r="H215" s="32"/>
      <c r="J215" s="34" t="s">
        <v>33</v>
      </c>
      <c r="K215" t="s">
        <v>34</v>
      </c>
      <c r="L215" s="35">
        <v>401894886</v>
      </c>
      <c r="M215" s="36" t="s">
        <v>656</v>
      </c>
      <c r="N215" s="37"/>
      <c r="O215" t="s">
        <v>232</v>
      </c>
      <c r="P215" t="s">
        <v>233</v>
      </c>
      <c r="R215" s="38">
        <v>45658</v>
      </c>
      <c r="S215" s="39">
        <v>46022</v>
      </c>
      <c r="T215" s="50">
        <v>45694</v>
      </c>
      <c r="U215" s="47">
        <v>46058</v>
      </c>
      <c r="V215" s="40" t="s">
        <v>128</v>
      </c>
      <c r="W215" s="41" t="s">
        <v>39</v>
      </c>
      <c r="Y215" s="42"/>
      <c r="Z215" t="s">
        <v>81</v>
      </c>
      <c r="AA215" s="43"/>
      <c r="AC215" s="45"/>
      <c r="AF215" s="39">
        <v>45769</v>
      </c>
      <c r="AG215" s="48">
        <v>1059839</v>
      </c>
      <c r="AH215" s="48">
        <v>858441.03</v>
      </c>
    </row>
    <row r="216" spans="1:34" ht="19.5" customHeight="1">
      <c r="A216" s="25">
        <f t="shared" si="3"/>
        <v>215</v>
      </c>
      <c r="B216" s="26">
        <v>6168412</v>
      </c>
      <c r="C216" s="27">
        <v>45741</v>
      </c>
      <c r="E216" s="29">
        <v>7800</v>
      </c>
      <c r="F216" s="30">
        <v>1528140</v>
      </c>
      <c r="G216" s="27">
        <v>45743</v>
      </c>
      <c r="H216" s="32"/>
      <c r="J216" s="34" t="s">
        <v>33</v>
      </c>
      <c r="K216" t="s">
        <v>139</v>
      </c>
      <c r="L216" s="35">
        <v>80005048</v>
      </c>
      <c r="M216" s="36" t="s">
        <v>657</v>
      </c>
      <c r="N216" s="37"/>
      <c r="O216" t="s">
        <v>232</v>
      </c>
      <c r="P216" t="s">
        <v>233</v>
      </c>
      <c r="R216" s="38">
        <v>45658</v>
      </c>
      <c r="S216" s="39">
        <v>46022</v>
      </c>
      <c r="T216" s="50" t="s">
        <v>141</v>
      </c>
      <c r="U216" s="47" t="s">
        <v>141</v>
      </c>
      <c r="V216" s="40" t="s">
        <v>128</v>
      </c>
      <c r="W216" s="41" t="s">
        <v>39</v>
      </c>
      <c r="Y216" s="42" t="s">
        <v>185</v>
      </c>
      <c r="Z216" t="s">
        <v>81</v>
      </c>
      <c r="AA216" s="62">
        <v>90006782</v>
      </c>
      <c r="AB216" s="44">
        <v>45757</v>
      </c>
      <c r="AC216" s="63">
        <v>60016042</v>
      </c>
      <c r="AF216" s="47">
        <v>45835</v>
      </c>
      <c r="AG216" s="48">
        <v>1059839</v>
      </c>
      <c r="AH216" s="48">
        <v>858441.03</v>
      </c>
    </row>
    <row r="217" spans="1:34" ht="19.5" customHeight="1">
      <c r="A217" s="25">
        <f t="shared" si="3"/>
        <v>216</v>
      </c>
      <c r="B217" s="26">
        <v>6168436</v>
      </c>
      <c r="C217" s="27">
        <v>45741</v>
      </c>
      <c r="D217" s="28">
        <v>7844.4</v>
      </c>
      <c r="E217" s="29">
        <v>60976.87</v>
      </c>
      <c r="F217" s="30">
        <v>1528141</v>
      </c>
      <c r="G217" s="27">
        <v>45744</v>
      </c>
      <c r="H217" s="32"/>
      <c r="J217" s="34" t="s">
        <v>33</v>
      </c>
      <c r="K217" t="s">
        <v>34</v>
      </c>
      <c r="L217" s="35">
        <v>461881364</v>
      </c>
      <c r="M217" s="36" t="s">
        <v>658</v>
      </c>
      <c r="N217" s="37"/>
      <c r="O217" t="s">
        <v>659</v>
      </c>
      <c r="P217" t="s">
        <v>660</v>
      </c>
      <c r="R217" s="38">
        <v>45748</v>
      </c>
      <c r="S217" s="39">
        <v>46112</v>
      </c>
      <c r="T217" s="50">
        <v>45790</v>
      </c>
      <c r="U217" s="47">
        <v>46154</v>
      </c>
      <c r="V217" s="40" t="s">
        <v>51</v>
      </c>
      <c r="W217" s="41" t="s">
        <v>39</v>
      </c>
      <c r="Y217" s="42"/>
      <c r="Z217" t="s">
        <v>40</v>
      </c>
      <c r="AA217" s="43"/>
      <c r="AC217" s="45"/>
      <c r="AF217" s="39">
        <v>45769</v>
      </c>
      <c r="AG217" s="48">
        <v>84453</v>
      </c>
      <c r="AH217" s="48">
        <v>61578.54</v>
      </c>
    </row>
    <row r="218" spans="1:34" ht="19.5" customHeight="1">
      <c r="A218" s="25">
        <f t="shared" si="3"/>
        <v>217</v>
      </c>
      <c r="B218" s="26">
        <v>6168614</v>
      </c>
      <c r="C218" s="27">
        <v>45742</v>
      </c>
      <c r="D218" s="28">
        <v>98.59</v>
      </c>
      <c r="E218" s="29">
        <v>740.8</v>
      </c>
      <c r="F218" s="30">
        <v>1528143</v>
      </c>
      <c r="G218" s="31">
        <v>45749</v>
      </c>
      <c r="H218" s="32"/>
      <c r="J218" s="34" t="s">
        <v>33</v>
      </c>
      <c r="K218" t="s">
        <v>34</v>
      </c>
      <c r="L218" s="35">
        <v>222223957</v>
      </c>
      <c r="M218" s="36" t="s">
        <v>661</v>
      </c>
      <c r="N218" s="37"/>
      <c r="O218" t="s">
        <v>662</v>
      </c>
      <c r="P218" t="s">
        <v>663</v>
      </c>
      <c r="R218" s="50">
        <v>45713</v>
      </c>
      <c r="S218" s="47">
        <v>46077</v>
      </c>
      <c r="T218" s="50">
        <v>45799</v>
      </c>
      <c r="U218" s="47">
        <v>46163</v>
      </c>
      <c r="V218" t="s">
        <v>664</v>
      </c>
      <c r="W218" s="41" t="s">
        <v>114</v>
      </c>
      <c r="Y218" s="42"/>
      <c r="Z218" t="s">
        <v>40</v>
      </c>
      <c r="AA218" s="43"/>
      <c r="AC218" s="45"/>
      <c r="AF218" s="39">
        <v>45769</v>
      </c>
      <c r="AG218" s="87">
        <v>119018</v>
      </c>
      <c r="AH218" s="87">
        <v>48973.93</v>
      </c>
    </row>
    <row r="219" spans="1:34" ht="19.5" customHeight="1">
      <c r="A219" s="25">
        <f t="shared" si="3"/>
        <v>218</v>
      </c>
      <c r="B219" s="26">
        <v>6168817</v>
      </c>
      <c r="C219" s="27">
        <v>45742</v>
      </c>
      <c r="D219" s="28">
        <v>559.84</v>
      </c>
      <c r="E219" s="29">
        <v>4351.8</v>
      </c>
      <c r="F219" s="30">
        <v>1528144</v>
      </c>
      <c r="G219" s="27">
        <v>45744</v>
      </c>
      <c r="H219" s="32"/>
      <c r="J219" s="34" t="s">
        <v>33</v>
      </c>
      <c r="K219" t="s">
        <v>34</v>
      </c>
      <c r="L219" s="35">
        <v>481894352</v>
      </c>
      <c r="M219" s="36" t="s">
        <v>665</v>
      </c>
      <c r="N219" s="37"/>
      <c r="O219" t="s">
        <v>666</v>
      </c>
      <c r="P219" t="s">
        <v>667</v>
      </c>
      <c r="R219" s="50">
        <v>45748</v>
      </c>
      <c r="S219" s="47">
        <v>46112</v>
      </c>
      <c r="T219" s="50">
        <v>45748</v>
      </c>
      <c r="U219" s="47">
        <v>46112</v>
      </c>
      <c r="V219" s="40" t="s">
        <v>668</v>
      </c>
      <c r="W219" s="41" t="s">
        <v>114</v>
      </c>
      <c r="Y219" s="42"/>
      <c r="Z219" t="s">
        <v>40</v>
      </c>
      <c r="AA219" s="43"/>
      <c r="AC219" s="45"/>
      <c r="AF219" s="39">
        <v>45769</v>
      </c>
      <c r="AG219" s="48">
        <v>11329</v>
      </c>
      <c r="AH219" s="48">
        <v>4359.26</v>
      </c>
    </row>
    <row r="220" spans="1:34" ht="19.5" customHeight="1">
      <c r="A220" s="25">
        <f t="shared" si="3"/>
        <v>219</v>
      </c>
      <c r="B220" s="26">
        <v>6169009</v>
      </c>
      <c r="C220" s="27">
        <v>45743</v>
      </c>
      <c r="D220" s="28">
        <v>1659.24</v>
      </c>
      <c r="E220" s="29">
        <v>12897.77</v>
      </c>
      <c r="F220" s="30">
        <v>1528359</v>
      </c>
      <c r="G220" s="27">
        <v>45747</v>
      </c>
      <c r="H220" s="32"/>
      <c r="J220" s="34" t="s">
        <v>33</v>
      </c>
      <c r="K220" t="s">
        <v>34</v>
      </c>
      <c r="L220" s="35">
        <v>461911208</v>
      </c>
      <c r="M220" s="36" t="s">
        <v>656</v>
      </c>
      <c r="N220" s="37"/>
      <c r="O220" t="s">
        <v>232</v>
      </c>
      <c r="P220" t="s">
        <v>233</v>
      </c>
      <c r="R220" s="38">
        <v>45658</v>
      </c>
      <c r="S220" s="39">
        <v>46022</v>
      </c>
      <c r="T220" s="50">
        <v>45741</v>
      </c>
      <c r="U220" s="47">
        <v>46107</v>
      </c>
      <c r="V220" s="40" t="s">
        <v>128</v>
      </c>
      <c r="W220" s="41" t="s">
        <v>39</v>
      </c>
      <c r="Y220" s="42"/>
      <c r="Z220" t="s">
        <v>81</v>
      </c>
      <c r="AA220" s="43"/>
      <c r="AC220" s="45"/>
      <c r="AF220" s="39">
        <v>45769</v>
      </c>
      <c r="AG220" s="48">
        <v>1059839</v>
      </c>
      <c r="AH220" s="48">
        <v>858441.03</v>
      </c>
    </row>
    <row r="221" spans="1:34" ht="19.5" customHeight="1">
      <c r="A221" s="25">
        <f t="shared" si="3"/>
        <v>220</v>
      </c>
      <c r="B221" s="26">
        <v>6169088</v>
      </c>
      <c r="C221" s="27">
        <v>45743</v>
      </c>
      <c r="E221" s="29">
        <v>68302.539999999994</v>
      </c>
      <c r="F221" s="30">
        <v>1528314</v>
      </c>
      <c r="G221" s="27">
        <v>45743</v>
      </c>
      <c r="H221" s="32"/>
      <c r="J221" s="34" t="s">
        <v>103</v>
      </c>
      <c r="K221" t="s">
        <v>107</v>
      </c>
      <c r="L221" s="35">
        <v>6016867</v>
      </c>
      <c r="M221" s="36" t="s">
        <v>669</v>
      </c>
      <c r="N221" s="37"/>
      <c r="O221" t="s">
        <v>670</v>
      </c>
      <c r="P221" t="s">
        <v>671</v>
      </c>
      <c r="R221" s="38">
        <v>45722</v>
      </c>
      <c r="S221" s="39">
        <v>46086</v>
      </c>
      <c r="T221" s="50">
        <v>45722</v>
      </c>
      <c r="U221" s="47">
        <v>46086</v>
      </c>
      <c r="V221" s="40" t="s">
        <v>38</v>
      </c>
      <c r="W221" s="41" t="s">
        <v>39</v>
      </c>
      <c r="Y221" s="42"/>
      <c r="Z221" t="s">
        <v>40</v>
      </c>
      <c r="AA221" s="62" t="s">
        <v>672</v>
      </c>
      <c r="AB221" s="44">
        <v>45747</v>
      </c>
      <c r="AC221" s="63" t="s">
        <v>673</v>
      </c>
      <c r="AF221" s="47">
        <v>45835</v>
      </c>
      <c r="AG221" s="48">
        <v>93713</v>
      </c>
      <c r="AH221" s="48">
        <v>68302.539999999994</v>
      </c>
    </row>
    <row r="222" spans="1:34" ht="19.5" customHeight="1">
      <c r="A222" s="25">
        <f t="shared" si="3"/>
        <v>221</v>
      </c>
      <c r="B222" s="26">
        <v>6169133</v>
      </c>
      <c r="C222" s="27">
        <v>45743</v>
      </c>
      <c r="D222" s="28">
        <v>861.3</v>
      </c>
      <c r="E222" s="29">
        <v>6695.14</v>
      </c>
      <c r="F222" s="30">
        <v>1528350</v>
      </c>
      <c r="G222" s="27">
        <v>45744</v>
      </c>
      <c r="H222" s="32"/>
      <c r="J222" s="34" t="s">
        <v>33</v>
      </c>
      <c r="K222" t="s">
        <v>34</v>
      </c>
      <c r="L222" s="35" t="s">
        <v>674</v>
      </c>
      <c r="M222" s="88" t="s">
        <v>675</v>
      </c>
      <c r="N222" s="37"/>
      <c r="O222" t="s">
        <v>350</v>
      </c>
      <c r="P222" t="s">
        <v>351</v>
      </c>
      <c r="R222" s="38">
        <v>45658</v>
      </c>
      <c r="S222" s="39">
        <v>46022</v>
      </c>
      <c r="T222" s="50" t="s">
        <v>141</v>
      </c>
      <c r="U222" s="47" t="s">
        <v>141</v>
      </c>
      <c r="V222" s="40" t="s">
        <v>85</v>
      </c>
      <c r="W222" s="41" t="s">
        <v>39</v>
      </c>
      <c r="Z222" t="s">
        <v>40</v>
      </c>
      <c r="AA222" s="43"/>
      <c r="AC222" s="45"/>
      <c r="AF222" s="47">
        <v>45771</v>
      </c>
      <c r="AG222" s="48">
        <v>620213.43000000005</v>
      </c>
      <c r="AH222" s="48">
        <v>512662.17</v>
      </c>
    </row>
    <row r="223" spans="1:34" ht="19.5" customHeight="1">
      <c r="A223" s="25">
        <f t="shared" si="3"/>
        <v>222</v>
      </c>
      <c r="B223" s="26">
        <v>6169608</v>
      </c>
      <c r="C223" s="27">
        <v>45747</v>
      </c>
      <c r="D223" s="28">
        <v>218.85</v>
      </c>
      <c r="E223" s="29">
        <v>1701.19</v>
      </c>
      <c r="F223" s="30">
        <v>1528646</v>
      </c>
      <c r="G223" s="27">
        <v>45747</v>
      </c>
      <c r="H223" s="32"/>
      <c r="J223" s="34" t="s">
        <v>33</v>
      </c>
      <c r="K223" t="s">
        <v>34</v>
      </c>
      <c r="L223" s="35">
        <v>282229519</v>
      </c>
      <c r="M223" s="88" t="s">
        <v>676</v>
      </c>
      <c r="N223" s="37"/>
      <c r="O223" t="s">
        <v>677</v>
      </c>
      <c r="P223" t="s">
        <v>678</v>
      </c>
      <c r="R223" s="38">
        <v>45710</v>
      </c>
      <c r="S223" s="39">
        <v>46074</v>
      </c>
      <c r="T223" s="38">
        <v>46018</v>
      </c>
      <c r="U223" s="39">
        <v>46382</v>
      </c>
      <c r="V223" s="40" t="s">
        <v>89</v>
      </c>
      <c r="W223" s="41" t="s">
        <v>39</v>
      </c>
      <c r="Z223" t="s">
        <v>40</v>
      </c>
      <c r="AA223" s="43"/>
      <c r="AC223" s="45"/>
      <c r="AF223" s="47">
        <v>45771</v>
      </c>
      <c r="AG223" s="48">
        <v>30924</v>
      </c>
      <c r="AH223" s="48">
        <v>9686.42</v>
      </c>
    </row>
    <row r="224" spans="1:34" ht="19.5" customHeight="1">
      <c r="A224" s="25">
        <f t="shared" si="3"/>
        <v>223</v>
      </c>
      <c r="B224" s="26">
        <v>6169695</v>
      </c>
      <c r="C224" s="27">
        <v>45747</v>
      </c>
      <c r="E224" s="29">
        <v>119428.5</v>
      </c>
      <c r="F224" s="30">
        <v>1528987</v>
      </c>
      <c r="G224" s="27">
        <v>45749</v>
      </c>
      <c r="H224" s="32"/>
      <c r="J224" s="34" t="s">
        <v>159</v>
      </c>
      <c r="K224" t="s">
        <v>160</v>
      </c>
      <c r="L224" s="35" t="s">
        <v>679</v>
      </c>
      <c r="M224" s="36" t="s">
        <v>680</v>
      </c>
      <c r="N224" s="37"/>
      <c r="O224" t="s">
        <v>681</v>
      </c>
      <c r="P224" t="s">
        <v>682</v>
      </c>
      <c r="R224" s="38">
        <v>45745</v>
      </c>
      <c r="S224" s="39">
        <v>46840</v>
      </c>
      <c r="T224" s="50">
        <v>45745</v>
      </c>
      <c r="U224" s="47">
        <v>46840</v>
      </c>
      <c r="V224" s="40" t="s">
        <v>60</v>
      </c>
      <c r="W224" s="41" t="s">
        <v>39</v>
      </c>
      <c r="Y224" s="42"/>
      <c r="Z224" t="s">
        <v>81</v>
      </c>
      <c r="AA224" s="43" t="s">
        <v>683</v>
      </c>
      <c r="AB224" s="44">
        <v>45779</v>
      </c>
      <c r="AC224" s="45"/>
      <c r="AF224" s="39">
        <v>45783</v>
      </c>
      <c r="AG224" s="48">
        <v>131370</v>
      </c>
      <c r="AH224" s="48">
        <v>119428.5</v>
      </c>
    </row>
    <row r="225" spans="1:34" ht="19.5" customHeight="1">
      <c r="A225" s="25">
        <f t="shared" si="3"/>
        <v>224</v>
      </c>
      <c r="B225" s="26">
        <v>6170058</v>
      </c>
      <c r="C225" s="27">
        <v>45748</v>
      </c>
      <c r="D225" s="28">
        <v>9199.99</v>
      </c>
      <c r="E225" s="29">
        <v>71533.600000000006</v>
      </c>
      <c r="F225" s="30">
        <v>1529141</v>
      </c>
      <c r="G225" s="27">
        <v>45755</v>
      </c>
      <c r="H225" s="32"/>
      <c r="J225" s="34" t="s">
        <v>33</v>
      </c>
      <c r="K225" t="s">
        <v>34</v>
      </c>
      <c r="L225" s="35">
        <v>451911977</v>
      </c>
      <c r="M225" s="36" t="s">
        <v>684</v>
      </c>
      <c r="N225" s="37"/>
      <c r="O225" t="s">
        <v>215</v>
      </c>
      <c r="P225" t="s">
        <v>685</v>
      </c>
      <c r="R225" s="38">
        <v>45590</v>
      </c>
      <c r="S225" s="39">
        <v>45954</v>
      </c>
      <c r="T225" s="50">
        <v>45747</v>
      </c>
      <c r="U225" s="47">
        <v>46111</v>
      </c>
      <c r="V225" s="40" t="s">
        <v>85</v>
      </c>
      <c r="W225" s="41" t="s">
        <v>114</v>
      </c>
      <c r="Y225" s="42"/>
      <c r="Z225" t="s">
        <v>40</v>
      </c>
      <c r="AA225" s="43"/>
      <c r="AC225" s="45"/>
      <c r="AF225" s="47">
        <v>45818</v>
      </c>
      <c r="AG225" s="48">
        <v>440369</v>
      </c>
      <c r="AH225" s="48">
        <v>285901.69</v>
      </c>
    </row>
    <row r="226" spans="1:34" ht="19.5" customHeight="1">
      <c r="A226" s="25">
        <f t="shared" si="3"/>
        <v>225</v>
      </c>
      <c r="B226" s="26">
        <v>6170175</v>
      </c>
      <c r="C226" s="27">
        <v>45748</v>
      </c>
      <c r="E226" s="29">
        <f>15879.5+5732.52</f>
        <v>21612.02</v>
      </c>
      <c r="F226" s="30">
        <v>1529055</v>
      </c>
      <c r="G226" s="27">
        <v>45750</v>
      </c>
      <c r="H226" s="32"/>
      <c r="J226" s="34" t="s">
        <v>159</v>
      </c>
      <c r="K226" t="s">
        <v>160</v>
      </c>
      <c r="L226" s="86" t="s">
        <v>686</v>
      </c>
      <c r="M226" s="36" t="s">
        <v>687</v>
      </c>
      <c r="N226" s="37"/>
      <c r="O226" t="s">
        <v>688</v>
      </c>
      <c r="P226" t="s">
        <v>689</v>
      </c>
      <c r="R226" s="50">
        <v>45732</v>
      </c>
      <c r="S226" s="47">
        <v>46096</v>
      </c>
      <c r="T226" s="50">
        <v>45732</v>
      </c>
      <c r="U226" s="47">
        <v>46096</v>
      </c>
      <c r="V226" s="40" t="s">
        <v>690</v>
      </c>
      <c r="W226" s="41" t="s">
        <v>114</v>
      </c>
      <c r="Y226" s="42"/>
      <c r="Z226" t="s">
        <v>40</v>
      </c>
      <c r="AA226" s="43" t="s">
        <v>683</v>
      </c>
      <c r="AB226" s="44">
        <v>45772</v>
      </c>
      <c r="AC226" s="45"/>
      <c r="AF226" s="39">
        <v>45783</v>
      </c>
      <c r="AG226" s="48">
        <v>26323</v>
      </c>
      <c r="AH226" s="48">
        <v>21612.02</v>
      </c>
    </row>
    <row r="227" spans="1:34" ht="19.5" customHeight="1">
      <c r="A227" s="25">
        <f t="shared" si="3"/>
        <v>226</v>
      </c>
      <c r="B227" s="26">
        <v>6170293</v>
      </c>
      <c r="C227" s="27">
        <v>45748</v>
      </c>
      <c r="E227" s="29">
        <v>14097.6</v>
      </c>
      <c r="F227" s="30">
        <v>1529218</v>
      </c>
      <c r="G227" s="27">
        <v>45904</v>
      </c>
      <c r="H227" s="32"/>
      <c r="J227" s="34" t="s">
        <v>384</v>
      </c>
      <c r="K227" t="s">
        <v>139</v>
      </c>
      <c r="L227" s="86">
        <v>80005052</v>
      </c>
      <c r="M227" s="36" t="s">
        <v>691</v>
      </c>
      <c r="N227" s="37"/>
      <c r="O227" t="s">
        <v>692</v>
      </c>
      <c r="P227" t="s">
        <v>693</v>
      </c>
      <c r="R227" s="50" t="s">
        <v>141</v>
      </c>
      <c r="S227" s="47" t="s">
        <v>141</v>
      </c>
      <c r="T227" s="50" t="s">
        <v>141</v>
      </c>
      <c r="U227" s="47" t="s">
        <v>141</v>
      </c>
      <c r="V227" s="40" t="s">
        <v>375</v>
      </c>
      <c r="W227" s="41" t="s">
        <v>114</v>
      </c>
      <c r="Y227" s="42" t="s">
        <v>56</v>
      </c>
      <c r="Z227" t="s">
        <v>694</v>
      </c>
      <c r="AA227" s="43">
        <v>90006899</v>
      </c>
      <c r="AB227" s="44">
        <v>45813</v>
      </c>
      <c r="AC227" s="63">
        <v>60016254</v>
      </c>
      <c r="AF227" s="47">
        <v>45835</v>
      </c>
      <c r="AG227" s="48">
        <v>209062</v>
      </c>
      <c r="AH227" s="48">
        <v>135742.49</v>
      </c>
    </row>
    <row r="228" spans="1:34" ht="19.5" customHeight="1">
      <c r="A228" s="25">
        <f t="shared" si="3"/>
        <v>227</v>
      </c>
      <c r="B228" s="26">
        <v>6170295</v>
      </c>
      <c r="C228" s="27">
        <v>45748</v>
      </c>
      <c r="E228" s="29">
        <v>28000</v>
      </c>
      <c r="F228" s="30">
        <v>1529064</v>
      </c>
      <c r="G228" s="27">
        <v>45750</v>
      </c>
      <c r="H228" s="32"/>
      <c r="J228" s="34" t="s">
        <v>33</v>
      </c>
      <c r="K228" t="s">
        <v>139</v>
      </c>
      <c r="L228" s="86">
        <v>80005051</v>
      </c>
      <c r="M228" s="36" t="s">
        <v>695</v>
      </c>
      <c r="N228" s="37"/>
      <c r="O228" t="s">
        <v>692</v>
      </c>
      <c r="P228" t="s">
        <v>693</v>
      </c>
      <c r="R228" s="50">
        <v>45748</v>
      </c>
      <c r="S228" s="47">
        <v>46112</v>
      </c>
      <c r="T228" s="50">
        <v>45748</v>
      </c>
      <c r="U228" s="47">
        <v>46112</v>
      </c>
      <c r="V228" s="40" t="s">
        <v>375</v>
      </c>
      <c r="W228" s="41" t="s">
        <v>114</v>
      </c>
      <c r="Z228" t="s">
        <v>694</v>
      </c>
      <c r="AA228" s="43" t="s">
        <v>696</v>
      </c>
      <c r="AB228" s="44">
        <v>45762</v>
      </c>
      <c r="AC228" s="45"/>
      <c r="AF228" s="47">
        <v>45798</v>
      </c>
      <c r="AG228" s="48">
        <v>209062</v>
      </c>
      <c r="AH228" s="48">
        <v>135742.49</v>
      </c>
    </row>
    <row r="229" spans="1:34" ht="19.5" customHeight="1">
      <c r="A229" s="25">
        <f t="shared" si="3"/>
        <v>228</v>
      </c>
      <c r="B229" s="26">
        <v>6170296</v>
      </c>
      <c r="C229" s="27">
        <v>45748</v>
      </c>
      <c r="E229" s="29">
        <v>5671.28</v>
      </c>
      <c r="F229" s="30">
        <v>1529164</v>
      </c>
      <c r="G229" s="27">
        <v>45750</v>
      </c>
      <c r="H229" s="32"/>
      <c r="J229" s="34" t="s">
        <v>159</v>
      </c>
      <c r="K229" t="s">
        <v>160</v>
      </c>
      <c r="L229" s="86" t="s">
        <v>697</v>
      </c>
      <c r="M229" s="36" t="s">
        <v>698</v>
      </c>
      <c r="N229" s="37"/>
      <c r="O229" t="s">
        <v>692</v>
      </c>
      <c r="P229" t="s">
        <v>693</v>
      </c>
      <c r="R229" s="50">
        <v>45748</v>
      </c>
      <c r="S229" s="47">
        <v>46112</v>
      </c>
      <c r="T229" s="50">
        <v>45748</v>
      </c>
      <c r="U229" s="47">
        <v>46112</v>
      </c>
      <c r="V229" s="40" t="s">
        <v>375</v>
      </c>
      <c r="W229" s="41" t="s">
        <v>114</v>
      </c>
      <c r="Y229" s="42"/>
      <c r="Z229" t="s">
        <v>694</v>
      </c>
      <c r="AA229" s="62" t="s">
        <v>211</v>
      </c>
      <c r="AB229" s="44">
        <v>45779</v>
      </c>
      <c r="AF229" s="39">
        <v>45783</v>
      </c>
      <c r="AG229" s="48">
        <v>209062</v>
      </c>
      <c r="AH229" s="48">
        <v>135742.49</v>
      </c>
    </row>
    <row r="230" spans="1:34" ht="19.5" customHeight="1">
      <c r="A230" s="25">
        <f t="shared" si="3"/>
        <v>229</v>
      </c>
      <c r="B230" s="26">
        <v>6170396</v>
      </c>
      <c r="C230" s="27">
        <v>45749</v>
      </c>
      <c r="D230" s="28">
        <v>497.65</v>
      </c>
      <c r="E230" s="29">
        <v>3869.42</v>
      </c>
      <c r="F230" s="30">
        <v>1529219</v>
      </c>
      <c r="G230" s="27">
        <v>45757</v>
      </c>
      <c r="H230" s="32"/>
      <c r="J230" s="34" t="s">
        <v>33</v>
      </c>
      <c r="K230" t="s">
        <v>34</v>
      </c>
      <c r="L230" s="35" t="s">
        <v>699</v>
      </c>
      <c r="M230" s="36" t="s">
        <v>700</v>
      </c>
      <c r="N230" s="37"/>
      <c r="O230" t="s">
        <v>692</v>
      </c>
      <c r="P230" t="s">
        <v>693</v>
      </c>
      <c r="R230" s="38">
        <v>45748</v>
      </c>
      <c r="S230" s="39">
        <v>46112</v>
      </c>
      <c r="T230" s="50">
        <v>45981</v>
      </c>
      <c r="U230" s="47">
        <v>46345</v>
      </c>
      <c r="V230" s="40" t="s">
        <v>375</v>
      </c>
      <c r="W230" s="41" t="s">
        <v>114</v>
      </c>
      <c r="Z230" t="s">
        <v>701</v>
      </c>
      <c r="AA230" s="43"/>
      <c r="AC230" s="45"/>
      <c r="AF230" s="47">
        <v>45818</v>
      </c>
      <c r="AG230" s="48">
        <v>209062</v>
      </c>
      <c r="AH230" s="48">
        <v>135742.49</v>
      </c>
    </row>
    <row r="231" spans="1:34" ht="19.5" customHeight="1">
      <c r="A231" s="25">
        <f t="shared" si="3"/>
        <v>230</v>
      </c>
      <c r="B231" s="26">
        <v>6170565</v>
      </c>
      <c r="C231" s="27">
        <v>45749</v>
      </c>
      <c r="D231" s="28">
        <v>5034.13</v>
      </c>
      <c r="E231" s="29">
        <v>39142.370000000003</v>
      </c>
      <c r="F231" s="30">
        <v>1529162</v>
      </c>
      <c r="G231" s="27">
        <v>45756</v>
      </c>
      <c r="H231" s="32"/>
      <c r="J231" s="34" t="s">
        <v>33</v>
      </c>
      <c r="K231" t="s">
        <v>34</v>
      </c>
      <c r="L231" s="35">
        <v>481912133</v>
      </c>
      <c r="M231" s="36" t="s">
        <v>702</v>
      </c>
      <c r="N231" s="37"/>
      <c r="O231" t="s">
        <v>703</v>
      </c>
      <c r="P231" t="s">
        <v>704</v>
      </c>
      <c r="R231" s="38">
        <v>45748</v>
      </c>
      <c r="S231" s="39">
        <v>46112</v>
      </c>
      <c r="T231" s="50">
        <v>45748</v>
      </c>
      <c r="U231" s="47">
        <v>46112</v>
      </c>
      <c r="V231" s="40" t="s">
        <v>51</v>
      </c>
      <c r="W231" s="41" t="s">
        <v>39</v>
      </c>
      <c r="Y231" s="42"/>
      <c r="Z231" t="s">
        <v>40</v>
      </c>
      <c r="AA231" s="43"/>
      <c r="AC231" s="45"/>
      <c r="AF231" s="47">
        <v>45818</v>
      </c>
      <c r="AG231" s="48">
        <v>855784</v>
      </c>
      <c r="AH231" s="48">
        <v>731315.05</v>
      </c>
    </row>
    <row r="232" spans="1:34" ht="19.5" customHeight="1">
      <c r="A232" s="25">
        <f t="shared" si="3"/>
        <v>231</v>
      </c>
      <c r="C232" s="27">
        <v>45749</v>
      </c>
      <c r="E232" s="29">
        <v>1050</v>
      </c>
      <c r="F232" s="30">
        <v>1529061</v>
      </c>
      <c r="G232" s="27">
        <v>45749</v>
      </c>
      <c r="H232" s="32"/>
      <c r="J232" s="34" t="s">
        <v>33</v>
      </c>
      <c r="K232" t="s">
        <v>193</v>
      </c>
      <c r="L232" s="86" t="s">
        <v>141</v>
      </c>
      <c r="M232" s="36" t="s">
        <v>705</v>
      </c>
      <c r="N232" s="37"/>
      <c r="O232" t="s">
        <v>703</v>
      </c>
      <c r="P232" t="s">
        <v>704</v>
      </c>
      <c r="R232" s="38">
        <v>45748</v>
      </c>
      <c r="S232" s="39">
        <v>46112</v>
      </c>
      <c r="T232" s="50" t="s">
        <v>141</v>
      </c>
      <c r="U232" s="47" t="s">
        <v>141</v>
      </c>
      <c r="V232" s="40" t="s">
        <v>51</v>
      </c>
      <c r="W232" s="41" t="s">
        <v>39</v>
      </c>
      <c r="Y232" s="42"/>
      <c r="Z232" t="s">
        <v>40</v>
      </c>
      <c r="AA232" s="43" t="s">
        <v>706</v>
      </c>
      <c r="AB232" s="44">
        <v>45804</v>
      </c>
      <c r="AC232" s="89" t="s">
        <v>707</v>
      </c>
      <c r="AF232" s="47">
        <v>45835</v>
      </c>
      <c r="AG232" s="48">
        <v>855784</v>
      </c>
      <c r="AH232" s="48">
        <v>731315.05</v>
      </c>
    </row>
    <row r="233" spans="1:34" ht="19.5" customHeight="1">
      <c r="A233" s="25">
        <f t="shared" si="3"/>
        <v>232</v>
      </c>
      <c r="C233" s="27">
        <v>45749</v>
      </c>
      <c r="E233" s="29">
        <v>1570</v>
      </c>
      <c r="F233" s="30">
        <v>1529081</v>
      </c>
      <c r="G233" s="27">
        <v>45749</v>
      </c>
      <c r="H233" s="32"/>
      <c r="J233" s="34" t="s">
        <v>33</v>
      </c>
      <c r="K233" t="s">
        <v>139</v>
      </c>
      <c r="L233" s="86" t="s">
        <v>141</v>
      </c>
      <c r="M233" s="36" t="s">
        <v>708</v>
      </c>
      <c r="N233" s="37"/>
      <c r="O233" t="s">
        <v>703</v>
      </c>
      <c r="P233" t="s">
        <v>704</v>
      </c>
      <c r="R233" s="38">
        <v>45748</v>
      </c>
      <c r="S233" s="39">
        <v>46112</v>
      </c>
      <c r="T233" s="50" t="s">
        <v>141</v>
      </c>
      <c r="U233" s="47" t="s">
        <v>141</v>
      </c>
      <c r="V233" s="40" t="s">
        <v>51</v>
      </c>
      <c r="W233" s="41" t="s">
        <v>39</v>
      </c>
      <c r="Y233" s="42"/>
      <c r="Z233" t="s">
        <v>40</v>
      </c>
      <c r="AA233" s="43">
        <v>90006786</v>
      </c>
      <c r="AB233" s="44">
        <v>45771</v>
      </c>
      <c r="AC233" s="63">
        <v>60016065</v>
      </c>
      <c r="AF233" s="47">
        <v>45835</v>
      </c>
      <c r="AG233" s="48">
        <v>855784</v>
      </c>
      <c r="AH233" s="48">
        <v>731315.05</v>
      </c>
    </row>
    <row r="234" spans="1:34" ht="19.5" customHeight="1">
      <c r="A234" s="25">
        <f t="shared" si="3"/>
        <v>233</v>
      </c>
      <c r="B234" s="26">
        <v>6170597</v>
      </c>
      <c r="C234" s="27">
        <v>45749</v>
      </c>
      <c r="D234" s="28">
        <v>8967.41</v>
      </c>
      <c r="E234" s="29">
        <v>69725.23</v>
      </c>
      <c r="F234" s="30">
        <v>1529615</v>
      </c>
      <c r="G234" s="31">
        <v>45754</v>
      </c>
      <c r="H234" s="32"/>
      <c r="J234" s="34" t="s">
        <v>103</v>
      </c>
      <c r="K234" s="40" t="s">
        <v>206</v>
      </c>
      <c r="L234" s="35" t="s">
        <v>709</v>
      </c>
      <c r="M234" s="36" t="s">
        <v>710</v>
      </c>
      <c r="N234" s="37"/>
      <c r="O234" t="s">
        <v>703</v>
      </c>
      <c r="P234" t="s">
        <v>704</v>
      </c>
      <c r="R234" s="38">
        <v>45748</v>
      </c>
      <c r="S234" s="39">
        <v>46112</v>
      </c>
      <c r="T234" s="38">
        <v>45748</v>
      </c>
      <c r="U234" s="39">
        <v>46112</v>
      </c>
      <c r="V234" t="s">
        <v>51</v>
      </c>
      <c r="W234" s="41" t="s">
        <v>39</v>
      </c>
      <c r="Y234" s="42"/>
      <c r="Z234" t="s">
        <v>40</v>
      </c>
      <c r="AA234" s="62" t="s">
        <v>711</v>
      </c>
      <c r="AB234" s="44">
        <v>45756</v>
      </c>
      <c r="AF234" s="47">
        <v>45797</v>
      </c>
      <c r="AG234" s="90">
        <v>855784</v>
      </c>
      <c r="AH234" s="90">
        <v>731315.05</v>
      </c>
    </row>
    <row r="235" spans="1:34" ht="19.5" customHeight="1">
      <c r="A235" s="25">
        <f t="shared" si="3"/>
        <v>234</v>
      </c>
      <c r="B235" s="26">
        <v>6170675</v>
      </c>
      <c r="C235" s="27">
        <v>45749</v>
      </c>
      <c r="E235" s="29">
        <v>242413.8</v>
      </c>
      <c r="F235" s="30">
        <v>1529632</v>
      </c>
      <c r="G235" s="27">
        <v>45758</v>
      </c>
      <c r="H235" s="32"/>
      <c r="J235" s="34" t="s">
        <v>103</v>
      </c>
      <c r="K235" t="s">
        <v>107</v>
      </c>
      <c r="L235" s="35">
        <v>6021308</v>
      </c>
      <c r="M235" s="36" t="s">
        <v>712</v>
      </c>
      <c r="N235" s="37"/>
      <c r="O235" t="s">
        <v>703</v>
      </c>
      <c r="P235" t="s">
        <v>704</v>
      </c>
      <c r="R235" s="38">
        <v>45748</v>
      </c>
      <c r="S235" s="39">
        <v>46112</v>
      </c>
      <c r="T235" s="50">
        <v>45748</v>
      </c>
      <c r="U235" s="47">
        <v>46112</v>
      </c>
      <c r="V235" s="40" t="s">
        <v>51</v>
      </c>
      <c r="W235" s="41" t="s">
        <v>39</v>
      </c>
      <c r="Y235" s="42"/>
      <c r="Z235" t="s">
        <v>40</v>
      </c>
      <c r="AA235" s="62" t="s">
        <v>713</v>
      </c>
      <c r="AB235" s="44">
        <v>45761</v>
      </c>
      <c r="AC235" s="45" t="s">
        <v>714</v>
      </c>
      <c r="AE235">
        <v>3164424</v>
      </c>
      <c r="AF235" s="47">
        <v>45835</v>
      </c>
      <c r="AG235" s="48">
        <v>855784</v>
      </c>
      <c r="AH235" s="48">
        <v>731315.05</v>
      </c>
    </row>
    <row r="236" spans="1:34" ht="19.5" customHeight="1">
      <c r="A236" s="25">
        <f t="shared" si="3"/>
        <v>235</v>
      </c>
      <c r="B236" s="26">
        <v>6170744</v>
      </c>
      <c r="C236" s="27">
        <v>45750</v>
      </c>
      <c r="E236" s="29">
        <v>50158.16</v>
      </c>
      <c r="F236" s="30">
        <v>1530068</v>
      </c>
      <c r="G236" s="27">
        <v>45757</v>
      </c>
      <c r="H236" s="32"/>
      <c r="J236" s="34" t="s">
        <v>159</v>
      </c>
      <c r="K236" t="s">
        <v>160</v>
      </c>
      <c r="L236" s="35" t="s">
        <v>715</v>
      </c>
      <c r="M236" s="36" t="s">
        <v>716</v>
      </c>
      <c r="N236" s="37"/>
      <c r="O236" t="s">
        <v>703</v>
      </c>
      <c r="P236" t="s">
        <v>704</v>
      </c>
      <c r="R236" s="38">
        <v>45748</v>
      </c>
      <c r="S236" s="39">
        <v>46112</v>
      </c>
      <c r="T236" s="50">
        <v>45748</v>
      </c>
      <c r="U236" s="47">
        <v>46112</v>
      </c>
      <c r="V236" s="40" t="s">
        <v>717</v>
      </c>
      <c r="W236" s="41" t="s">
        <v>39</v>
      </c>
      <c r="Y236" s="42"/>
      <c r="Z236" t="s">
        <v>40</v>
      </c>
      <c r="AA236" s="43" t="s">
        <v>683</v>
      </c>
      <c r="AB236" s="44">
        <v>45779</v>
      </c>
      <c r="AC236" s="45"/>
      <c r="AF236" s="39">
        <v>45783</v>
      </c>
      <c r="AG236" s="48">
        <v>855784</v>
      </c>
      <c r="AH236" s="48">
        <v>73135.05</v>
      </c>
    </row>
    <row r="237" spans="1:34" ht="19.5" customHeight="1">
      <c r="A237" s="25">
        <f t="shared" si="3"/>
        <v>236</v>
      </c>
      <c r="B237" s="26">
        <v>6170819</v>
      </c>
      <c r="C237" s="27">
        <v>45750</v>
      </c>
      <c r="E237" s="29">
        <v>110442.6</v>
      </c>
      <c r="F237" s="30">
        <v>1529630</v>
      </c>
      <c r="G237" s="27">
        <v>45754</v>
      </c>
      <c r="H237" s="32"/>
      <c r="J237" s="34" t="s">
        <v>103</v>
      </c>
      <c r="K237" t="s">
        <v>107</v>
      </c>
      <c r="L237" s="86" t="s">
        <v>141</v>
      </c>
      <c r="M237" s="36" t="s">
        <v>718</v>
      </c>
      <c r="N237" s="37"/>
      <c r="O237" t="s">
        <v>719</v>
      </c>
      <c r="P237" t="s">
        <v>720</v>
      </c>
      <c r="R237" s="38">
        <v>45561</v>
      </c>
      <c r="S237" s="39">
        <v>45958</v>
      </c>
      <c r="T237" s="50">
        <v>45561</v>
      </c>
      <c r="U237" s="47">
        <v>45925</v>
      </c>
      <c r="V237" s="40" t="s">
        <v>721</v>
      </c>
      <c r="W237" s="41" t="s">
        <v>39</v>
      </c>
      <c r="Y237" s="42"/>
      <c r="Z237" t="s">
        <v>81</v>
      </c>
      <c r="AA237" s="43" t="s">
        <v>722</v>
      </c>
      <c r="AB237" s="44">
        <v>45771</v>
      </c>
      <c r="AC237" s="45" t="s">
        <v>723</v>
      </c>
      <c r="AF237" s="47">
        <v>45835</v>
      </c>
      <c r="AG237" s="48">
        <v>151630</v>
      </c>
      <c r="AH237" s="48">
        <v>117098.49</v>
      </c>
    </row>
    <row r="238" spans="1:34" ht="19.5" customHeight="1">
      <c r="A238" s="25">
        <f t="shared" si="3"/>
        <v>237</v>
      </c>
      <c r="B238" s="26">
        <v>6170887</v>
      </c>
      <c r="C238" s="27">
        <v>45750</v>
      </c>
      <c r="D238" s="28">
        <v>8150.24</v>
      </c>
      <c r="E238" s="29">
        <v>63371.38</v>
      </c>
      <c r="F238" s="30">
        <v>1529582</v>
      </c>
      <c r="G238" s="27">
        <v>45754</v>
      </c>
      <c r="H238" s="32"/>
      <c r="J238" s="34" t="s">
        <v>33</v>
      </c>
      <c r="K238" t="s">
        <v>34</v>
      </c>
      <c r="L238" s="35">
        <v>232231377</v>
      </c>
      <c r="M238" s="36" t="s">
        <v>724</v>
      </c>
      <c r="N238" s="37"/>
      <c r="O238" t="s">
        <v>725</v>
      </c>
      <c r="P238" t="s">
        <v>726</v>
      </c>
      <c r="R238" s="38">
        <v>45748</v>
      </c>
      <c r="S238" s="39">
        <v>46112</v>
      </c>
      <c r="T238" s="50">
        <v>45724</v>
      </c>
      <c r="U238" s="47">
        <v>46088</v>
      </c>
      <c r="V238" s="40" t="s">
        <v>51</v>
      </c>
      <c r="W238" s="41" t="s">
        <v>39</v>
      </c>
      <c r="Y238" s="42"/>
      <c r="Z238" t="s">
        <v>40</v>
      </c>
      <c r="AA238" s="43"/>
      <c r="AC238" s="45"/>
      <c r="AF238" s="47">
        <v>45866</v>
      </c>
      <c r="AG238" s="48">
        <v>378310</v>
      </c>
      <c r="AH238" s="48">
        <v>312901.73</v>
      </c>
    </row>
    <row r="239" spans="1:34" ht="19.5" customHeight="1">
      <c r="A239" s="25">
        <f t="shared" si="3"/>
        <v>238</v>
      </c>
      <c r="B239" s="26">
        <v>6170893</v>
      </c>
      <c r="C239" s="27">
        <v>45750</v>
      </c>
      <c r="D239" s="28">
        <v>18141.7</v>
      </c>
      <c r="E239" s="29">
        <v>141058.97</v>
      </c>
      <c r="F239" s="30">
        <v>1529584</v>
      </c>
      <c r="G239" s="27">
        <v>45757</v>
      </c>
      <c r="H239" s="32"/>
      <c r="J239" s="34" t="s">
        <v>33</v>
      </c>
      <c r="K239" t="s">
        <v>34</v>
      </c>
      <c r="L239" s="35">
        <v>392121608</v>
      </c>
      <c r="M239" s="36" t="s">
        <v>727</v>
      </c>
      <c r="N239" s="37"/>
      <c r="O239" t="s">
        <v>725</v>
      </c>
      <c r="P239" t="s">
        <v>726</v>
      </c>
      <c r="R239" s="38">
        <v>45748</v>
      </c>
      <c r="S239" s="39">
        <v>46112</v>
      </c>
      <c r="T239" s="50">
        <v>45796</v>
      </c>
      <c r="U239" s="47">
        <v>45961</v>
      </c>
      <c r="V239" s="40" t="s">
        <v>51</v>
      </c>
      <c r="W239" s="41" t="s">
        <v>39</v>
      </c>
      <c r="Y239" s="42"/>
      <c r="Z239" t="s">
        <v>40</v>
      </c>
      <c r="AA239" s="43"/>
      <c r="AC239" s="45"/>
      <c r="AF239" s="47">
        <v>45866</v>
      </c>
      <c r="AG239" s="48">
        <v>378310</v>
      </c>
      <c r="AH239" s="48">
        <v>312901.73</v>
      </c>
    </row>
    <row r="240" spans="1:34" ht="19.5" customHeight="1">
      <c r="A240" s="25">
        <f t="shared" si="3"/>
        <v>239</v>
      </c>
      <c r="C240" s="27">
        <v>45750</v>
      </c>
      <c r="D240" s="71"/>
      <c r="E240" s="72">
        <v>7150</v>
      </c>
      <c r="F240" s="30" t="s">
        <v>728</v>
      </c>
      <c r="G240" s="27">
        <v>45750</v>
      </c>
      <c r="H240" s="73" t="s">
        <v>141</v>
      </c>
      <c r="I240" s="74">
        <v>7150</v>
      </c>
      <c r="J240" s="34" t="s">
        <v>33</v>
      </c>
      <c r="K240" t="s">
        <v>193</v>
      </c>
      <c r="L240" s="86" t="s">
        <v>141</v>
      </c>
      <c r="M240" s="36" t="s">
        <v>729</v>
      </c>
      <c r="N240" s="75"/>
      <c r="O240" t="s">
        <v>725</v>
      </c>
      <c r="P240" t="s">
        <v>726</v>
      </c>
      <c r="Q240" t="s">
        <v>730</v>
      </c>
      <c r="R240" s="38">
        <v>45748</v>
      </c>
      <c r="S240" s="39">
        <v>46112</v>
      </c>
      <c r="T240" s="50" t="s">
        <v>141</v>
      </c>
      <c r="U240" s="47" t="s">
        <v>141</v>
      </c>
      <c r="V240" s="40" t="s">
        <v>51</v>
      </c>
      <c r="W240" s="41" t="s">
        <v>39</v>
      </c>
      <c r="Y240" s="42"/>
      <c r="Z240" t="s">
        <v>40</v>
      </c>
      <c r="AA240" s="43" t="s">
        <v>731</v>
      </c>
      <c r="AB240" s="44">
        <v>45972</v>
      </c>
      <c r="AC240" s="63" t="s">
        <v>732</v>
      </c>
      <c r="AD240" s="46">
        <v>45972</v>
      </c>
      <c r="AE240">
        <v>3196637</v>
      </c>
      <c r="AF240" s="47">
        <v>46085</v>
      </c>
      <c r="AG240" s="76">
        <v>378210</v>
      </c>
      <c r="AH240" s="76">
        <v>312901.73</v>
      </c>
    </row>
    <row r="241" spans="1:35" ht="19.5" customHeight="1">
      <c r="A241" s="25">
        <f t="shared" si="3"/>
        <v>240</v>
      </c>
      <c r="B241" s="26">
        <v>6171014</v>
      </c>
      <c r="C241" s="27">
        <v>45750</v>
      </c>
      <c r="D241" s="28">
        <v>8000</v>
      </c>
      <c r="E241" s="65">
        <v>62203.199999999997</v>
      </c>
      <c r="F241" s="30">
        <v>1530298</v>
      </c>
      <c r="G241" s="27">
        <v>45758</v>
      </c>
      <c r="H241" s="32"/>
      <c r="J241" s="34" t="s">
        <v>33</v>
      </c>
      <c r="K241" s="66" t="s">
        <v>733</v>
      </c>
      <c r="L241" s="86" t="s">
        <v>141</v>
      </c>
      <c r="M241" s="36" t="s">
        <v>734</v>
      </c>
      <c r="N241" s="37"/>
      <c r="O241" t="s">
        <v>725</v>
      </c>
      <c r="P241" t="s">
        <v>726</v>
      </c>
      <c r="R241" s="38">
        <v>45748</v>
      </c>
      <c r="S241" s="39">
        <v>46112</v>
      </c>
      <c r="T241" s="50" t="s">
        <v>141</v>
      </c>
      <c r="U241" s="47" t="s">
        <v>141</v>
      </c>
      <c r="V241" s="40" t="s">
        <v>735</v>
      </c>
      <c r="W241" s="41" t="s">
        <v>39</v>
      </c>
      <c r="Y241" s="42"/>
      <c r="Z241" t="s">
        <v>40</v>
      </c>
      <c r="AA241" s="43" t="s">
        <v>736</v>
      </c>
      <c r="AB241" s="44">
        <v>45785</v>
      </c>
      <c r="AE241">
        <v>3173068</v>
      </c>
      <c r="AF241" s="47">
        <v>45911</v>
      </c>
      <c r="AG241" s="48">
        <v>378210</v>
      </c>
      <c r="AH241" s="48">
        <v>312901.73</v>
      </c>
      <c r="AI241" s="61">
        <v>45912</v>
      </c>
    </row>
    <row r="242" spans="1:35" ht="19.5" customHeight="1">
      <c r="A242" s="25">
        <f t="shared" si="3"/>
        <v>241</v>
      </c>
      <c r="B242" s="26">
        <v>6171479</v>
      </c>
      <c r="C242" s="27">
        <v>45754</v>
      </c>
      <c r="D242" s="28">
        <v>8136.18</v>
      </c>
      <c r="E242" s="29">
        <v>63262.05</v>
      </c>
      <c r="F242" s="30">
        <v>1529696</v>
      </c>
      <c r="G242" s="27">
        <v>45757</v>
      </c>
      <c r="H242" s="32"/>
      <c r="J242" s="34" t="s">
        <v>33</v>
      </c>
      <c r="K242" t="s">
        <v>34</v>
      </c>
      <c r="L242" s="35">
        <v>272212882</v>
      </c>
      <c r="M242" s="36" t="s">
        <v>737</v>
      </c>
      <c r="N242" s="37"/>
      <c r="O242" t="s">
        <v>738</v>
      </c>
      <c r="P242" t="s">
        <v>739</v>
      </c>
      <c r="R242" s="38">
        <v>45658</v>
      </c>
      <c r="S242" s="39">
        <v>46022</v>
      </c>
      <c r="T242" s="38">
        <v>45717</v>
      </c>
      <c r="U242" s="39">
        <v>46081</v>
      </c>
      <c r="V242" s="40" t="s">
        <v>55</v>
      </c>
      <c r="W242" s="41" t="s">
        <v>114</v>
      </c>
      <c r="Y242" s="42"/>
      <c r="Z242" t="s">
        <v>40</v>
      </c>
      <c r="AA242" s="43"/>
      <c r="AC242" s="45"/>
      <c r="AF242" s="47">
        <v>45818</v>
      </c>
      <c r="AG242" s="48">
        <v>1151710</v>
      </c>
      <c r="AH242" s="48">
        <v>669254.01</v>
      </c>
    </row>
    <row r="243" spans="1:35" ht="19.5" customHeight="1">
      <c r="A243" s="25">
        <f t="shared" si="3"/>
        <v>242</v>
      </c>
      <c r="B243" s="26">
        <v>6171494</v>
      </c>
      <c r="C243" s="27">
        <v>45754</v>
      </c>
      <c r="D243" s="28">
        <v>3290.76</v>
      </c>
      <c r="E243" s="29">
        <v>25586.98</v>
      </c>
      <c r="F243" s="30">
        <v>1529674</v>
      </c>
      <c r="G243" s="27">
        <v>45757</v>
      </c>
      <c r="H243" s="32"/>
      <c r="J243" s="34" t="s">
        <v>33</v>
      </c>
      <c r="K243" t="s">
        <v>34</v>
      </c>
      <c r="L243" s="35">
        <v>272225991</v>
      </c>
      <c r="M243" s="36" t="s">
        <v>740</v>
      </c>
      <c r="N243" s="37"/>
      <c r="O243" t="s">
        <v>741</v>
      </c>
      <c r="P243" t="s">
        <v>742</v>
      </c>
      <c r="R243" s="38">
        <v>45658</v>
      </c>
      <c r="S243" s="39">
        <v>46022</v>
      </c>
      <c r="T243" s="38">
        <v>45729</v>
      </c>
      <c r="U243" s="39">
        <v>46093</v>
      </c>
      <c r="V243" s="40" t="s">
        <v>89</v>
      </c>
      <c r="W243" s="41" t="s">
        <v>114</v>
      </c>
      <c r="Y243" s="42"/>
      <c r="Z243" t="s">
        <v>743</v>
      </c>
      <c r="AA243" s="43"/>
      <c r="AC243" s="45"/>
      <c r="AF243" s="47">
        <v>45786</v>
      </c>
      <c r="AG243" s="48">
        <v>61310</v>
      </c>
      <c r="AH243" s="48">
        <v>30162.68</v>
      </c>
    </row>
    <row r="244" spans="1:35" ht="19.5" customHeight="1">
      <c r="A244" s="25">
        <f t="shared" si="3"/>
        <v>243</v>
      </c>
      <c r="B244" s="26">
        <v>6171642</v>
      </c>
      <c r="C244" s="27">
        <v>45755</v>
      </c>
      <c r="D244" s="28">
        <v>16252.18</v>
      </c>
      <c r="E244" s="29">
        <v>126367.2</v>
      </c>
      <c r="F244" s="30">
        <v>1529958</v>
      </c>
      <c r="G244" s="27">
        <v>45756</v>
      </c>
      <c r="H244" s="32"/>
      <c r="J244" s="34" t="s">
        <v>33</v>
      </c>
      <c r="K244" t="s">
        <v>34</v>
      </c>
      <c r="L244" s="35">
        <v>401914669</v>
      </c>
      <c r="M244" s="36" t="s">
        <v>744</v>
      </c>
      <c r="N244" s="37"/>
      <c r="O244" t="s">
        <v>745</v>
      </c>
      <c r="P244" t="s">
        <v>746</v>
      </c>
      <c r="R244" s="38">
        <v>45803</v>
      </c>
      <c r="S244" s="39">
        <v>46167</v>
      </c>
      <c r="T244" s="38">
        <v>45833</v>
      </c>
      <c r="U244" s="39">
        <v>46197</v>
      </c>
      <c r="V244" s="40" t="s">
        <v>747</v>
      </c>
      <c r="W244" s="41" t="s">
        <v>39</v>
      </c>
      <c r="Y244" s="42"/>
      <c r="Z244" t="s">
        <v>81</v>
      </c>
      <c r="AA244" s="43"/>
      <c r="AC244" s="45"/>
      <c r="AF244" s="47">
        <v>45849</v>
      </c>
      <c r="AG244" s="48">
        <v>147200</v>
      </c>
      <c r="AH244" s="48">
        <v>127579.53</v>
      </c>
    </row>
    <row r="245" spans="1:35" ht="19.5" customHeight="1">
      <c r="A245" s="25">
        <f t="shared" si="3"/>
        <v>244</v>
      </c>
      <c r="B245" s="26">
        <v>6171660</v>
      </c>
      <c r="C245" s="27">
        <v>45755</v>
      </c>
      <c r="D245" s="28">
        <v>2064.4499999999998</v>
      </c>
      <c r="E245" s="29">
        <v>16051.92</v>
      </c>
      <c r="F245" s="30">
        <v>1530636</v>
      </c>
      <c r="G245" s="27">
        <v>45761</v>
      </c>
      <c r="H245" s="32"/>
      <c r="J245" s="34" t="s">
        <v>33</v>
      </c>
      <c r="K245" t="s">
        <v>34</v>
      </c>
      <c r="L245" s="35">
        <v>421878489</v>
      </c>
      <c r="M245" s="36" t="s">
        <v>748</v>
      </c>
      <c r="N245" s="37"/>
      <c r="O245" t="s">
        <v>749</v>
      </c>
      <c r="P245" t="s">
        <v>750</v>
      </c>
      <c r="R245" s="38">
        <v>45676</v>
      </c>
      <c r="S245" s="39">
        <v>46040</v>
      </c>
      <c r="T245" s="38">
        <v>45676</v>
      </c>
      <c r="U245" s="39">
        <v>46040</v>
      </c>
      <c r="V245" s="40" t="s">
        <v>134</v>
      </c>
      <c r="W245" s="41" t="s">
        <v>39</v>
      </c>
      <c r="Y245" s="42"/>
      <c r="Z245" t="s">
        <v>40</v>
      </c>
      <c r="AA245" s="43"/>
      <c r="AC245" s="45"/>
      <c r="AF245" s="47">
        <v>45818</v>
      </c>
      <c r="AG245" s="48">
        <v>61508</v>
      </c>
      <c r="AH245" s="48">
        <v>16169.19</v>
      </c>
    </row>
    <row r="246" spans="1:35" ht="19.5" customHeight="1">
      <c r="A246" s="25">
        <f t="shared" si="3"/>
        <v>245</v>
      </c>
      <c r="B246" s="26">
        <v>6171784</v>
      </c>
      <c r="C246" s="27">
        <v>45755</v>
      </c>
      <c r="E246" s="29">
        <v>178579.21</v>
      </c>
      <c r="F246" s="30">
        <v>1530137</v>
      </c>
      <c r="G246" s="27">
        <v>45758</v>
      </c>
      <c r="H246" s="32"/>
      <c r="J246" s="34" t="s">
        <v>159</v>
      </c>
      <c r="K246" t="s">
        <v>160</v>
      </c>
      <c r="L246" s="35" t="s">
        <v>751</v>
      </c>
      <c r="M246" s="36" t="s">
        <v>752</v>
      </c>
      <c r="N246" s="37"/>
      <c r="O246" t="s">
        <v>753</v>
      </c>
      <c r="P246" t="s">
        <v>754</v>
      </c>
      <c r="R246" s="38">
        <v>45689</v>
      </c>
      <c r="S246" s="39">
        <v>45808</v>
      </c>
      <c r="T246" s="50">
        <v>45689</v>
      </c>
      <c r="U246" s="47">
        <v>45808</v>
      </c>
      <c r="V246" s="40" t="s">
        <v>521</v>
      </c>
      <c r="W246" s="41" t="s">
        <v>39</v>
      </c>
      <c r="Y246" s="42"/>
      <c r="Z246" t="s">
        <v>40</v>
      </c>
      <c r="AA246" s="43"/>
      <c r="AC246" s="45"/>
      <c r="AF246" s="39">
        <v>45783</v>
      </c>
      <c r="AG246" s="48">
        <v>1326822</v>
      </c>
      <c r="AH246" s="48">
        <v>454933.27</v>
      </c>
    </row>
    <row r="247" spans="1:35" ht="19.5" customHeight="1">
      <c r="A247" s="25">
        <f t="shared" si="3"/>
        <v>246</v>
      </c>
      <c r="B247" s="26">
        <v>6171812</v>
      </c>
      <c r="C247" s="27">
        <v>45755</v>
      </c>
      <c r="E247" s="65">
        <v>30580</v>
      </c>
      <c r="F247" s="30">
        <v>1530212</v>
      </c>
      <c r="G247" s="27">
        <v>45769</v>
      </c>
      <c r="H247" s="32"/>
      <c r="J247" s="34" t="s">
        <v>33</v>
      </c>
      <c r="K247" t="s">
        <v>139</v>
      </c>
      <c r="L247" s="35">
        <v>80005064</v>
      </c>
      <c r="M247" s="36" t="s">
        <v>755</v>
      </c>
      <c r="N247" s="37"/>
      <c r="O247" t="s">
        <v>753</v>
      </c>
      <c r="P247" t="s">
        <v>754</v>
      </c>
      <c r="R247" s="38">
        <v>45689</v>
      </c>
      <c r="S247" s="39">
        <v>45808</v>
      </c>
      <c r="T247" s="50" t="s">
        <v>141</v>
      </c>
      <c r="U247" s="47" t="s">
        <v>141</v>
      </c>
      <c r="V247" s="40" t="s">
        <v>756</v>
      </c>
      <c r="W247" s="41" t="s">
        <v>39</v>
      </c>
      <c r="Y247" s="42"/>
      <c r="Z247" t="s">
        <v>40</v>
      </c>
      <c r="AA247" s="43">
        <v>90006848</v>
      </c>
      <c r="AB247" s="44">
        <v>45797</v>
      </c>
      <c r="AC247" s="63">
        <v>60016161</v>
      </c>
      <c r="AF247" s="47">
        <v>45835</v>
      </c>
      <c r="AG247" s="48">
        <v>1326822</v>
      </c>
      <c r="AH247" s="48">
        <v>454933.27</v>
      </c>
    </row>
    <row r="248" spans="1:35" ht="19.5" customHeight="1">
      <c r="A248" s="25">
        <f t="shared" si="3"/>
        <v>247</v>
      </c>
      <c r="B248" s="26">
        <v>6171819</v>
      </c>
      <c r="C248" s="27">
        <v>45755</v>
      </c>
      <c r="E248" s="65">
        <v>56393</v>
      </c>
      <c r="F248" s="30">
        <v>1530213</v>
      </c>
      <c r="G248" s="27">
        <v>45769</v>
      </c>
      <c r="H248" s="32"/>
      <c r="J248" s="34" t="s">
        <v>33</v>
      </c>
      <c r="K248" t="s">
        <v>139</v>
      </c>
      <c r="L248" s="35">
        <v>80005065</v>
      </c>
      <c r="M248" s="36" t="s">
        <v>755</v>
      </c>
      <c r="N248" s="37"/>
      <c r="O248" t="s">
        <v>753</v>
      </c>
      <c r="P248" t="s">
        <v>754</v>
      </c>
      <c r="R248" s="38">
        <v>45689</v>
      </c>
      <c r="S248" s="39">
        <v>45808</v>
      </c>
      <c r="T248" s="50" t="s">
        <v>141</v>
      </c>
      <c r="U248" s="47" t="s">
        <v>141</v>
      </c>
      <c r="V248" s="40" t="s">
        <v>756</v>
      </c>
      <c r="W248" s="41" t="s">
        <v>39</v>
      </c>
      <c r="Y248" s="42"/>
      <c r="Z248" t="s">
        <v>40</v>
      </c>
      <c r="AA248" s="43">
        <v>90006848</v>
      </c>
      <c r="AB248" s="44">
        <v>45797</v>
      </c>
      <c r="AC248" s="63">
        <v>60016162</v>
      </c>
      <c r="AF248" s="47">
        <v>45835</v>
      </c>
      <c r="AG248" s="48">
        <v>1326822</v>
      </c>
      <c r="AH248" s="48">
        <v>454933.27</v>
      </c>
    </row>
    <row r="249" spans="1:35" ht="19.5" customHeight="1">
      <c r="A249" s="25">
        <f t="shared" si="3"/>
        <v>248</v>
      </c>
      <c r="B249" s="26">
        <v>6171875</v>
      </c>
      <c r="C249" s="27">
        <v>45755</v>
      </c>
      <c r="D249" s="28">
        <v>1133.6500000000001</v>
      </c>
      <c r="E249" s="29">
        <v>8814.58</v>
      </c>
      <c r="F249" s="30">
        <v>1530215</v>
      </c>
      <c r="G249" s="27">
        <v>45757</v>
      </c>
      <c r="H249" s="32"/>
      <c r="J249" s="34" t="s">
        <v>33</v>
      </c>
      <c r="K249" t="s">
        <v>34</v>
      </c>
      <c r="L249" s="35">
        <v>242232552</v>
      </c>
      <c r="M249" s="36" t="s">
        <v>757</v>
      </c>
      <c r="N249" s="37"/>
      <c r="O249" t="s">
        <v>350</v>
      </c>
      <c r="P249" t="s">
        <v>351</v>
      </c>
      <c r="R249" s="38">
        <v>45658</v>
      </c>
      <c r="S249" s="39">
        <v>46022</v>
      </c>
      <c r="T249" s="38">
        <v>45658</v>
      </c>
      <c r="U249" s="39">
        <v>46022</v>
      </c>
      <c r="V249" s="40" t="s">
        <v>85</v>
      </c>
      <c r="W249" s="41" t="s">
        <v>39</v>
      </c>
      <c r="Y249" s="42" t="s">
        <v>56</v>
      </c>
      <c r="Z249" t="s">
        <v>40</v>
      </c>
      <c r="AA249" s="43"/>
      <c r="AC249" s="45"/>
      <c r="AF249" s="47">
        <v>45818</v>
      </c>
      <c r="AG249" s="48">
        <v>620213.43000000005</v>
      </c>
      <c r="AH249" s="48">
        <v>512662.17</v>
      </c>
    </row>
    <row r="250" spans="1:35" ht="19.5" customHeight="1">
      <c r="A250" s="25">
        <f t="shared" si="3"/>
        <v>249</v>
      </c>
      <c r="B250" s="26">
        <v>6171910</v>
      </c>
      <c r="C250" s="27">
        <v>45755</v>
      </c>
      <c r="D250" s="28">
        <v>5959.82</v>
      </c>
      <c r="E250" s="29">
        <v>46339.99</v>
      </c>
      <c r="F250" s="30">
        <v>1530211</v>
      </c>
      <c r="G250" s="27">
        <v>45757</v>
      </c>
      <c r="H250" s="32"/>
      <c r="J250" s="34" t="s">
        <v>33</v>
      </c>
      <c r="K250" t="s">
        <v>34</v>
      </c>
      <c r="L250" s="35" t="s">
        <v>758</v>
      </c>
      <c r="M250" s="36" t="s">
        <v>759</v>
      </c>
      <c r="N250" s="37"/>
      <c r="O250" t="s">
        <v>760</v>
      </c>
      <c r="P250" t="s">
        <v>761</v>
      </c>
      <c r="R250" s="38">
        <v>45748</v>
      </c>
      <c r="S250" s="39">
        <v>46112</v>
      </c>
      <c r="T250" s="38">
        <v>45748</v>
      </c>
      <c r="U250" s="39">
        <v>46112</v>
      </c>
      <c r="V250" s="40" t="s">
        <v>128</v>
      </c>
      <c r="W250" s="41" t="s">
        <v>39</v>
      </c>
      <c r="Y250" s="42"/>
      <c r="Z250" t="s">
        <v>40</v>
      </c>
      <c r="AA250" s="43"/>
      <c r="AC250" s="45"/>
      <c r="AF250" s="47">
        <v>45818</v>
      </c>
      <c r="AG250" s="48">
        <v>321454</v>
      </c>
      <c r="AH250" s="48">
        <v>268483.83</v>
      </c>
    </row>
    <row r="251" spans="1:35" ht="19.5" customHeight="1">
      <c r="A251" s="25">
        <f t="shared" si="3"/>
        <v>250</v>
      </c>
      <c r="B251" s="26">
        <v>6171972</v>
      </c>
      <c r="C251" s="27">
        <v>45756</v>
      </c>
      <c r="D251" s="28">
        <v>1690.26</v>
      </c>
      <c r="E251" s="29">
        <v>13142.45</v>
      </c>
      <c r="F251" s="30">
        <v>1530133</v>
      </c>
      <c r="G251" s="27">
        <v>45758</v>
      </c>
      <c r="H251" s="32"/>
      <c r="J251" s="34" t="s">
        <v>33</v>
      </c>
      <c r="K251" t="s">
        <v>34</v>
      </c>
      <c r="L251" s="35">
        <v>451913241</v>
      </c>
      <c r="M251" s="36" t="s">
        <v>762</v>
      </c>
      <c r="N251" s="37"/>
      <c r="O251" t="s">
        <v>760</v>
      </c>
      <c r="P251" t="s">
        <v>763</v>
      </c>
      <c r="R251" s="38">
        <v>45748</v>
      </c>
      <c r="S251" s="39">
        <v>46112</v>
      </c>
      <c r="T251" s="38">
        <v>45748</v>
      </c>
      <c r="U251" s="39">
        <v>46112</v>
      </c>
      <c r="V251" s="40" t="s">
        <v>128</v>
      </c>
      <c r="W251" s="41" t="s">
        <v>39</v>
      </c>
      <c r="Y251" s="42"/>
      <c r="Z251" t="s">
        <v>40</v>
      </c>
      <c r="AA251" s="43"/>
      <c r="AC251" s="45"/>
      <c r="AF251" s="47">
        <v>45818</v>
      </c>
      <c r="AG251" s="48">
        <v>321454</v>
      </c>
      <c r="AH251" s="48">
        <v>268483.83</v>
      </c>
    </row>
    <row r="252" spans="1:35" ht="19.5" customHeight="1">
      <c r="A252" s="25">
        <f t="shared" si="3"/>
        <v>251</v>
      </c>
      <c r="C252" s="27">
        <v>45756</v>
      </c>
      <c r="E252" s="29">
        <v>4810</v>
      </c>
      <c r="F252" s="30">
        <v>1529972</v>
      </c>
      <c r="G252" s="27">
        <v>45756</v>
      </c>
      <c r="H252" s="32"/>
      <c r="J252" s="34" t="s">
        <v>33</v>
      </c>
      <c r="K252" t="s">
        <v>139</v>
      </c>
      <c r="L252" s="35">
        <v>80005050</v>
      </c>
      <c r="M252" s="36" t="s">
        <v>764</v>
      </c>
      <c r="N252" s="37"/>
      <c r="O252" t="s">
        <v>760</v>
      </c>
      <c r="P252" t="s">
        <v>763</v>
      </c>
      <c r="R252" s="38">
        <v>45748</v>
      </c>
      <c r="S252" s="39">
        <v>46112</v>
      </c>
      <c r="T252" s="50" t="s">
        <v>141</v>
      </c>
      <c r="U252" s="47" t="s">
        <v>141</v>
      </c>
      <c r="V252" s="40" t="s">
        <v>128</v>
      </c>
      <c r="W252" s="41" t="s">
        <v>39</v>
      </c>
      <c r="Y252" s="42"/>
      <c r="Z252" t="s">
        <v>40</v>
      </c>
      <c r="AA252" s="43">
        <v>90006848</v>
      </c>
      <c r="AB252" s="44">
        <v>45797</v>
      </c>
      <c r="AC252" s="63">
        <v>60016160</v>
      </c>
      <c r="AF252" s="47">
        <v>45835</v>
      </c>
      <c r="AG252" s="48">
        <v>321454</v>
      </c>
      <c r="AH252" s="48">
        <v>268483.83</v>
      </c>
    </row>
    <row r="253" spans="1:35" ht="19.5" customHeight="1">
      <c r="A253" s="25">
        <f t="shared" si="3"/>
        <v>252</v>
      </c>
      <c r="B253" s="26">
        <v>6172061</v>
      </c>
      <c r="C253" s="27">
        <v>45756</v>
      </c>
      <c r="E253" s="65">
        <v>39240</v>
      </c>
      <c r="F253" s="30" t="s">
        <v>765</v>
      </c>
      <c r="G253" s="27">
        <v>45772</v>
      </c>
      <c r="H253" s="32"/>
      <c r="I253" s="33">
        <v>39240</v>
      </c>
      <c r="J253" s="34" t="s">
        <v>33</v>
      </c>
      <c r="K253" t="s">
        <v>139</v>
      </c>
      <c r="L253" s="35">
        <v>80005067</v>
      </c>
      <c r="M253" s="36" t="s">
        <v>766</v>
      </c>
      <c r="N253" s="37"/>
      <c r="O253" t="s">
        <v>738</v>
      </c>
      <c r="P253" t="s">
        <v>739</v>
      </c>
      <c r="R253" s="38">
        <v>45658</v>
      </c>
      <c r="S253" s="39">
        <v>46022</v>
      </c>
      <c r="T253" s="50" t="s">
        <v>141</v>
      </c>
      <c r="U253" s="47" t="s">
        <v>141</v>
      </c>
      <c r="V253" s="40" t="s">
        <v>55</v>
      </c>
      <c r="W253" s="41" t="s">
        <v>39</v>
      </c>
      <c r="Y253" s="42"/>
      <c r="Z253" t="s">
        <v>40</v>
      </c>
      <c r="AA253" s="43">
        <v>90006899</v>
      </c>
      <c r="AB253" s="44">
        <v>45813</v>
      </c>
      <c r="AC253" s="63">
        <v>60016255</v>
      </c>
      <c r="AE253">
        <v>3196644</v>
      </c>
      <c r="AF253" s="39">
        <v>46085</v>
      </c>
      <c r="AG253" s="48">
        <v>1151710</v>
      </c>
      <c r="AH253" s="48">
        <v>669254.01</v>
      </c>
    </row>
    <row r="254" spans="1:35" ht="19.5" customHeight="1">
      <c r="A254" s="25">
        <f t="shared" si="3"/>
        <v>253</v>
      </c>
      <c r="B254" s="91">
        <v>6172096</v>
      </c>
      <c r="C254" s="92">
        <v>45756</v>
      </c>
      <c r="F254" s="93">
        <v>1530125</v>
      </c>
      <c r="G254" s="27">
        <v>45757</v>
      </c>
      <c r="H254" s="32"/>
      <c r="J254" s="94" t="s">
        <v>384</v>
      </c>
      <c r="K254" s="95" t="s">
        <v>34</v>
      </c>
      <c r="L254" s="35">
        <v>98932206</v>
      </c>
      <c r="M254" s="96" t="s">
        <v>767</v>
      </c>
      <c r="N254" s="37"/>
      <c r="O254" t="s">
        <v>768</v>
      </c>
      <c r="P254" t="s">
        <v>769</v>
      </c>
      <c r="R254" s="38">
        <v>45748</v>
      </c>
      <c r="S254" s="39">
        <v>46112</v>
      </c>
      <c r="T254" s="50" t="s">
        <v>141</v>
      </c>
      <c r="U254" s="47" t="s">
        <v>141</v>
      </c>
      <c r="V254" s="40" t="s">
        <v>44</v>
      </c>
      <c r="W254" s="41" t="s">
        <v>39</v>
      </c>
      <c r="X254" s="40" t="s">
        <v>770</v>
      </c>
      <c r="Y254" s="42"/>
      <c r="Z254" t="s">
        <v>40</v>
      </c>
      <c r="AA254" s="43"/>
      <c r="AC254" s="45"/>
      <c r="AF254" s="47" t="s">
        <v>771</v>
      </c>
      <c r="AG254" s="48">
        <v>179889</v>
      </c>
      <c r="AH254" s="48">
        <v>132456.35</v>
      </c>
    </row>
    <row r="255" spans="1:35" ht="19.5" customHeight="1">
      <c r="A255" s="25">
        <f t="shared" si="3"/>
        <v>254</v>
      </c>
      <c r="B255" s="26">
        <v>6172260</v>
      </c>
      <c r="C255" s="27">
        <v>45756</v>
      </c>
      <c r="D255" s="28">
        <v>5847.7</v>
      </c>
      <c r="E255" s="29">
        <v>45468.2</v>
      </c>
      <c r="F255" s="30">
        <v>1530131</v>
      </c>
      <c r="G255" s="27">
        <v>45757</v>
      </c>
      <c r="H255" s="32"/>
      <c r="J255" s="34" t="s">
        <v>33</v>
      </c>
      <c r="K255" t="s">
        <v>34</v>
      </c>
      <c r="L255" s="35" t="s">
        <v>772</v>
      </c>
      <c r="M255" s="36" t="s">
        <v>773</v>
      </c>
      <c r="N255" s="37"/>
      <c r="O255" t="s">
        <v>768</v>
      </c>
      <c r="P255" t="s">
        <v>769</v>
      </c>
      <c r="R255" s="38">
        <v>45748</v>
      </c>
      <c r="S255" s="39">
        <v>46112</v>
      </c>
      <c r="T255" s="38">
        <v>45748</v>
      </c>
      <c r="U255" s="39">
        <v>46112</v>
      </c>
      <c r="V255" s="40" t="s">
        <v>44</v>
      </c>
      <c r="W255" s="41" t="s">
        <v>39</v>
      </c>
      <c r="Y255" s="42"/>
      <c r="Z255" t="s">
        <v>40</v>
      </c>
      <c r="AA255" s="43"/>
      <c r="AC255" s="45"/>
      <c r="AF255" s="47">
        <v>45849</v>
      </c>
      <c r="AG255" s="48">
        <v>179889.1</v>
      </c>
      <c r="AH255" s="48">
        <v>132456.35</v>
      </c>
    </row>
    <row r="256" spans="1:35" ht="19.5" customHeight="1">
      <c r="A256" s="25">
        <f t="shared" si="3"/>
        <v>255</v>
      </c>
      <c r="B256" s="26">
        <v>6172310</v>
      </c>
      <c r="C256" s="27">
        <v>45756</v>
      </c>
      <c r="D256" s="28">
        <v>226</v>
      </c>
      <c r="E256" s="29">
        <v>1757.24</v>
      </c>
      <c r="F256" s="30">
        <v>1530126</v>
      </c>
      <c r="G256" s="27">
        <v>45757</v>
      </c>
      <c r="H256" s="32"/>
      <c r="J256" s="34" t="s">
        <v>33</v>
      </c>
      <c r="K256" t="s">
        <v>34</v>
      </c>
      <c r="L256" s="35">
        <v>99009287</v>
      </c>
      <c r="M256" s="36" t="s">
        <v>774</v>
      </c>
      <c r="N256" s="37"/>
      <c r="O256" t="s">
        <v>775</v>
      </c>
      <c r="P256" t="s">
        <v>776</v>
      </c>
      <c r="R256" s="38">
        <v>45760</v>
      </c>
      <c r="S256" s="39">
        <v>46124</v>
      </c>
      <c r="T256" s="50" t="s">
        <v>141</v>
      </c>
      <c r="U256" s="47" t="s">
        <v>141</v>
      </c>
      <c r="V256" s="40" t="s">
        <v>268</v>
      </c>
      <c r="W256" s="41" t="s">
        <v>39</v>
      </c>
      <c r="Y256" s="42"/>
      <c r="Z256" t="s">
        <v>40</v>
      </c>
      <c r="AA256" s="43"/>
      <c r="AC256" s="45"/>
      <c r="AF256" s="47">
        <v>45818</v>
      </c>
      <c r="AG256" s="48">
        <v>2500</v>
      </c>
      <c r="AH256" s="48">
        <v>1935.34</v>
      </c>
    </row>
    <row r="257" spans="1:34" ht="19.5" customHeight="1">
      <c r="A257" s="25">
        <f t="shared" si="3"/>
        <v>256</v>
      </c>
      <c r="B257" s="26">
        <v>6172321</v>
      </c>
      <c r="C257" s="27">
        <v>45756</v>
      </c>
      <c r="E257" s="29">
        <v>10760</v>
      </c>
      <c r="F257" s="30">
        <v>1530862</v>
      </c>
      <c r="G257" s="27">
        <v>45769</v>
      </c>
      <c r="H257" s="32"/>
      <c r="J257" s="34" t="s">
        <v>103</v>
      </c>
      <c r="K257" t="s">
        <v>777</v>
      </c>
      <c r="L257" s="35" t="s">
        <v>778</v>
      </c>
      <c r="M257" s="36" t="s">
        <v>779</v>
      </c>
      <c r="N257" s="37"/>
      <c r="O257" t="s">
        <v>738</v>
      </c>
      <c r="P257" t="s">
        <v>739</v>
      </c>
      <c r="R257" s="38">
        <v>45658</v>
      </c>
      <c r="S257" s="39">
        <v>46022</v>
      </c>
      <c r="T257" s="38">
        <v>45658</v>
      </c>
      <c r="U257" s="39">
        <v>46022</v>
      </c>
      <c r="V257" s="40" t="s">
        <v>55</v>
      </c>
      <c r="W257" s="41" t="s">
        <v>39</v>
      </c>
      <c r="Y257" s="42"/>
      <c r="Z257" t="s">
        <v>40</v>
      </c>
      <c r="AA257" s="43" t="s">
        <v>780</v>
      </c>
      <c r="AB257" s="44">
        <v>45783</v>
      </c>
      <c r="AC257" s="45" t="s">
        <v>780</v>
      </c>
      <c r="AE257">
        <v>3174794</v>
      </c>
      <c r="AF257" s="39">
        <v>45929</v>
      </c>
      <c r="AG257" s="48">
        <v>1151710</v>
      </c>
      <c r="AH257" s="48">
        <v>669254.01</v>
      </c>
    </row>
    <row r="258" spans="1:34" ht="19.5" customHeight="1">
      <c r="A258" s="25">
        <f t="shared" si="3"/>
        <v>257</v>
      </c>
      <c r="B258" s="26">
        <v>6172577</v>
      </c>
      <c r="C258" s="27">
        <v>45757</v>
      </c>
      <c r="D258" s="28">
        <v>626.01</v>
      </c>
      <c r="E258" s="29">
        <v>4867.4799999999996</v>
      </c>
      <c r="F258" s="30">
        <v>1530459</v>
      </c>
      <c r="G258" s="27">
        <v>45758</v>
      </c>
      <c r="H258" s="32"/>
      <c r="J258" s="34" t="s">
        <v>33</v>
      </c>
      <c r="K258" t="s">
        <v>34</v>
      </c>
      <c r="L258" s="35">
        <v>461905143</v>
      </c>
      <c r="M258" s="36" t="s">
        <v>488</v>
      </c>
      <c r="N258" s="37"/>
      <c r="O258" t="s">
        <v>781</v>
      </c>
      <c r="P258" t="s">
        <v>782</v>
      </c>
      <c r="R258" s="38">
        <v>45863</v>
      </c>
      <c r="S258" s="39">
        <v>46387</v>
      </c>
      <c r="T258" s="38">
        <v>46023</v>
      </c>
      <c r="U258" s="39">
        <v>46387</v>
      </c>
      <c r="V258" s="40" t="s">
        <v>89</v>
      </c>
      <c r="W258" s="41" t="s">
        <v>39</v>
      </c>
      <c r="Y258" s="42"/>
      <c r="Z258" t="s">
        <v>40</v>
      </c>
      <c r="AA258" s="43"/>
      <c r="AC258" s="45"/>
      <c r="AF258" s="47">
        <v>45786</v>
      </c>
      <c r="AG258" s="48">
        <v>68288</v>
      </c>
      <c r="AH258" s="48">
        <v>34132.75</v>
      </c>
    </row>
    <row r="259" spans="1:34" ht="19.5" customHeight="1">
      <c r="A259" s="25">
        <f t="shared" si="3"/>
        <v>258</v>
      </c>
      <c r="B259" s="26">
        <v>6172603</v>
      </c>
      <c r="C259" s="27">
        <v>45757</v>
      </c>
      <c r="D259" s="28">
        <v>1420.36</v>
      </c>
      <c r="E259" s="29">
        <v>11043.87</v>
      </c>
      <c r="F259" s="30">
        <v>1530460</v>
      </c>
      <c r="G259" s="27">
        <v>45758</v>
      </c>
      <c r="H259" s="32"/>
      <c r="J259" s="34" t="s">
        <v>33</v>
      </c>
      <c r="K259" t="s">
        <v>34</v>
      </c>
      <c r="L259" s="35">
        <v>262228257</v>
      </c>
      <c r="M259" s="36" t="s">
        <v>783</v>
      </c>
      <c r="N259" s="37"/>
      <c r="O259" t="s">
        <v>784</v>
      </c>
      <c r="P259" t="s">
        <v>785</v>
      </c>
      <c r="R259" s="38">
        <v>45762</v>
      </c>
      <c r="S259" s="39">
        <v>46126</v>
      </c>
      <c r="T259" s="38">
        <v>45843</v>
      </c>
      <c r="U259" s="39">
        <v>46207</v>
      </c>
      <c r="V259" s="40" t="s">
        <v>458</v>
      </c>
      <c r="W259" s="41" t="s">
        <v>39</v>
      </c>
      <c r="Z259" t="s">
        <v>40</v>
      </c>
      <c r="AA259" s="43"/>
      <c r="AC259" s="45"/>
      <c r="AF259" s="47">
        <v>45849</v>
      </c>
      <c r="AG259" s="48">
        <v>40113</v>
      </c>
      <c r="AH259" s="48">
        <v>11149.83</v>
      </c>
    </row>
    <row r="260" spans="1:34" ht="19.5" customHeight="1">
      <c r="A260" s="25">
        <f t="shared" ref="A260:A323" si="4">A259+1</f>
        <v>259</v>
      </c>
      <c r="B260" s="26">
        <v>6173128</v>
      </c>
      <c r="C260" s="27">
        <v>45758</v>
      </c>
      <c r="D260" s="28">
        <v>638.80999999999995</v>
      </c>
      <c r="E260" s="29">
        <v>4967</v>
      </c>
      <c r="F260" s="30">
        <v>1530575</v>
      </c>
      <c r="G260" s="27">
        <v>45763</v>
      </c>
      <c r="H260" s="32"/>
      <c r="J260" s="34" t="s">
        <v>33</v>
      </c>
      <c r="K260" t="s">
        <v>34</v>
      </c>
      <c r="L260" s="35">
        <v>342124385</v>
      </c>
      <c r="M260" s="36" t="s">
        <v>786</v>
      </c>
      <c r="N260" s="37"/>
      <c r="O260" t="s">
        <v>787</v>
      </c>
      <c r="P260" t="s">
        <v>788</v>
      </c>
      <c r="R260" s="38">
        <v>45748</v>
      </c>
      <c r="S260" s="39">
        <v>46112</v>
      </c>
      <c r="T260" s="38">
        <v>45775</v>
      </c>
      <c r="U260" s="39">
        <v>46139</v>
      </c>
      <c r="V260" s="40" t="s">
        <v>38</v>
      </c>
      <c r="W260" s="41" t="s">
        <v>39</v>
      </c>
      <c r="Z260" t="s">
        <v>40</v>
      </c>
      <c r="AA260" s="43"/>
      <c r="AC260" s="45"/>
      <c r="AF260" s="47">
        <v>45818</v>
      </c>
      <c r="AG260" s="48">
        <v>125774</v>
      </c>
      <c r="AH260" s="48">
        <v>6284.66</v>
      </c>
    </row>
    <row r="261" spans="1:34" ht="19.5" customHeight="1">
      <c r="A261" s="25">
        <f t="shared" si="4"/>
        <v>260</v>
      </c>
      <c r="C261" s="27">
        <v>45758</v>
      </c>
      <c r="E261" s="29">
        <v>1270</v>
      </c>
      <c r="F261" s="30">
        <v>1530484</v>
      </c>
      <c r="G261" s="27">
        <v>45758</v>
      </c>
      <c r="H261" s="32"/>
      <c r="J261" s="34" t="s">
        <v>33</v>
      </c>
      <c r="K261" t="s">
        <v>139</v>
      </c>
      <c r="L261" s="86" t="s">
        <v>141</v>
      </c>
      <c r="M261" s="36" t="s">
        <v>789</v>
      </c>
      <c r="N261" s="37"/>
      <c r="O261" t="s">
        <v>787</v>
      </c>
      <c r="P261" t="s">
        <v>788</v>
      </c>
      <c r="R261" s="38">
        <v>45748</v>
      </c>
      <c r="S261" s="39">
        <v>46112</v>
      </c>
      <c r="T261" s="50" t="s">
        <v>141</v>
      </c>
      <c r="U261" s="47" t="s">
        <v>141</v>
      </c>
      <c r="V261" s="40" t="s">
        <v>38</v>
      </c>
      <c r="W261" s="41" t="s">
        <v>39</v>
      </c>
      <c r="Y261" s="42"/>
      <c r="Z261" t="s">
        <v>40</v>
      </c>
      <c r="AA261" s="43">
        <v>90006848</v>
      </c>
      <c r="AB261" s="44">
        <v>45797</v>
      </c>
      <c r="AC261" s="63">
        <v>60016163</v>
      </c>
      <c r="AF261" s="47">
        <v>45835</v>
      </c>
      <c r="AG261" s="48">
        <v>125774</v>
      </c>
      <c r="AH261" s="48">
        <v>6284.66</v>
      </c>
    </row>
    <row r="262" spans="1:34" ht="19.5" customHeight="1">
      <c r="A262" s="25">
        <f t="shared" si="4"/>
        <v>261</v>
      </c>
      <c r="B262" s="26">
        <v>6173676</v>
      </c>
      <c r="C262" s="27">
        <v>45761</v>
      </c>
      <c r="D262" s="28">
        <v>258.79000000000002</v>
      </c>
      <c r="E262" s="29">
        <v>2012.2</v>
      </c>
      <c r="F262" s="30">
        <v>1531069</v>
      </c>
      <c r="G262" s="27">
        <v>45770</v>
      </c>
      <c r="H262" s="32"/>
      <c r="J262" s="34" t="s">
        <v>33</v>
      </c>
      <c r="K262" t="s">
        <v>34</v>
      </c>
      <c r="L262" s="35">
        <v>451914335</v>
      </c>
      <c r="M262" s="36" t="s">
        <v>790</v>
      </c>
      <c r="N262" s="37"/>
      <c r="O262" t="s">
        <v>768</v>
      </c>
      <c r="P262" t="s">
        <v>769</v>
      </c>
      <c r="R262" s="38">
        <v>45748</v>
      </c>
      <c r="S262" s="39">
        <v>46112</v>
      </c>
      <c r="T262" s="38">
        <v>45748</v>
      </c>
      <c r="U262" s="39">
        <v>46112</v>
      </c>
      <c r="V262" s="40" t="s">
        <v>44</v>
      </c>
      <c r="W262" s="41" t="s">
        <v>39</v>
      </c>
      <c r="Z262" t="s">
        <v>40</v>
      </c>
      <c r="AA262" s="43"/>
      <c r="AC262" s="45"/>
      <c r="AF262" s="47">
        <v>45849</v>
      </c>
      <c r="AG262" s="48">
        <v>179889.1</v>
      </c>
      <c r="AH262" s="48">
        <v>132456.35</v>
      </c>
    </row>
    <row r="263" spans="1:34" ht="19.5" customHeight="1">
      <c r="A263" s="25">
        <f t="shared" si="4"/>
        <v>262</v>
      </c>
      <c r="B263" s="26">
        <v>6173819</v>
      </c>
      <c r="C263" s="27">
        <v>45762</v>
      </c>
      <c r="D263" s="28">
        <v>1435.94</v>
      </c>
      <c r="E263" s="29">
        <v>11165.01</v>
      </c>
      <c r="F263" s="30">
        <v>1531096</v>
      </c>
      <c r="G263" s="27">
        <v>45769</v>
      </c>
      <c r="H263" s="32"/>
      <c r="J263" s="34" t="s">
        <v>33</v>
      </c>
      <c r="K263" t="s">
        <v>34</v>
      </c>
      <c r="L263" s="35">
        <v>242232280</v>
      </c>
      <c r="M263" s="36" t="s">
        <v>791</v>
      </c>
      <c r="N263" s="37"/>
      <c r="O263" t="s">
        <v>792</v>
      </c>
      <c r="P263" t="s">
        <v>793</v>
      </c>
      <c r="R263" s="38">
        <v>45775</v>
      </c>
      <c r="S263" s="39">
        <v>46873</v>
      </c>
      <c r="T263" s="38">
        <v>45778</v>
      </c>
      <c r="U263" s="39">
        <v>46691</v>
      </c>
      <c r="V263" s="40" t="s">
        <v>38</v>
      </c>
      <c r="W263" s="41" t="s">
        <v>39</v>
      </c>
      <c r="Z263" t="s">
        <v>81</v>
      </c>
      <c r="AA263" s="43"/>
      <c r="AC263" s="45"/>
      <c r="AF263" s="47">
        <v>45849</v>
      </c>
      <c r="AG263" s="48">
        <v>39900</v>
      </c>
      <c r="AH263" s="48">
        <v>14742.13</v>
      </c>
    </row>
    <row r="264" spans="1:34" ht="19.5" customHeight="1">
      <c r="A264" s="25">
        <f t="shared" si="4"/>
        <v>263</v>
      </c>
      <c r="C264" s="27">
        <v>45762</v>
      </c>
      <c r="E264" s="29">
        <v>3470</v>
      </c>
      <c r="F264" s="30" t="s">
        <v>794</v>
      </c>
      <c r="G264" s="27">
        <v>45762</v>
      </c>
      <c r="H264" s="32"/>
      <c r="I264" s="33">
        <v>3470</v>
      </c>
      <c r="J264" s="34" t="s">
        <v>33</v>
      </c>
      <c r="K264" t="s">
        <v>139</v>
      </c>
      <c r="L264" s="86" t="s">
        <v>141</v>
      </c>
      <c r="M264" s="36" t="s">
        <v>795</v>
      </c>
      <c r="N264" s="37"/>
      <c r="O264" t="s">
        <v>792</v>
      </c>
      <c r="P264" t="s">
        <v>793</v>
      </c>
      <c r="R264" s="38">
        <v>45775</v>
      </c>
      <c r="S264" s="39">
        <v>46873</v>
      </c>
      <c r="T264" s="50" t="s">
        <v>141</v>
      </c>
      <c r="U264" s="47" t="s">
        <v>141</v>
      </c>
      <c r="V264" s="40" t="s">
        <v>38</v>
      </c>
      <c r="W264" s="41" t="s">
        <v>39</v>
      </c>
      <c r="Z264" t="s">
        <v>81</v>
      </c>
      <c r="AA264" s="43">
        <v>90006848</v>
      </c>
      <c r="AB264" s="44">
        <v>45797</v>
      </c>
      <c r="AC264" s="63">
        <v>60016164</v>
      </c>
      <c r="AE264">
        <v>3196629</v>
      </c>
      <c r="AF264" s="39">
        <v>46085</v>
      </c>
      <c r="AG264" s="48">
        <v>39900</v>
      </c>
      <c r="AH264" s="48">
        <v>14742.13</v>
      </c>
    </row>
    <row r="265" spans="1:34" ht="19.5" customHeight="1">
      <c r="A265" s="25">
        <f t="shared" si="4"/>
        <v>264</v>
      </c>
      <c r="B265" s="26">
        <v>6173928</v>
      </c>
      <c r="C265" s="27">
        <v>45762</v>
      </c>
      <c r="D265" s="28">
        <v>39238.129999999997</v>
      </c>
      <c r="E265" s="29">
        <v>305092.15000000002</v>
      </c>
      <c r="F265" s="30">
        <v>1531067</v>
      </c>
      <c r="G265" s="27">
        <v>45770</v>
      </c>
      <c r="H265" s="32"/>
      <c r="J265" s="34" t="s">
        <v>33</v>
      </c>
      <c r="K265" t="s">
        <v>34</v>
      </c>
      <c r="L265" s="35" t="s">
        <v>796</v>
      </c>
      <c r="M265" s="36" t="s">
        <v>797</v>
      </c>
      <c r="N265" s="37"/>
      <c r="O265" t="s">
        <v>798</v>
      </c>
      <c r="P265" t="s">
        <v>799</v>
      </c>
      <c r="R265" s="38">
        <v>45658</v>
      </c>
      <c r="S265" s="39">
        <v>46022</v>
      </c>
      <c r="T265" s="38">
        <v>45753</v>
      </c>
      <c r="U265" s="39">
        <v>45961</v>
      </c>
      <c r="V265" s="40" t="s">
        <v>434</v>
      </c>
      <c r="W265" s="41" t="s">
        <v>39</v>
      </c>
      <c r="Y265" s="42"/>
      <c r="Z265" t="s">
        <v>40</v>
      </c>
      <c r="AA265" s="43"/>
      <c r="AC265" s="45"/>
      <c r="AF265" s="47">
        <v>45818</v>
      </c>
      <c r="AG265" s="48">
        <v>4320100</v>
      </c>
      <c r="AH265" s="48">
        <v>332240.42</v>
      </c>
    </row>
    <row r="266" spans="1:34" ht="19.5" customHeight="1">
      <c r="A266" s="25">
        <f t="shared" si="4"/>
        <v>265</v>
      </c>
      <c r="B266" s="26">
        <v>6174174</v>
      </c>
      <c r="C266" s="27">
        <v>45763</v>
      </c>
      <c r="D266" s="28">
        <v>574.4</v>
      </c>
      <c r="E266" s="29">
        <v>4466.18</v>
      </c>
      <c r="F266" s="30">
        <v>1531095</v>
      </c>
      <c r="G266" s="27">
        <v>45764</v>
      </c>
      <c r="H266" s="32"/>
      <c r="J266" s="34" t="s">
        <v>384</v>
      </c>
      <c r="K266" t="s">
        <v>34</v>
      </c>
      <c r="L266" s="35" t="s">
        <v>800</v>
      </c>
      <c r="M266" s="36" t="s">
        <v>801</v>
      </c>
      <c r="N266" s="37"/>
      <c r="O266" t="s">
        <v>798</v>
      </c>
      <c r="P266" t="s">
        <v>799</v>
      </c>
      <c r="R266" s="38">
        <v>45658</v>
      </c>
      <c r="S266" s="39">
        <v>46022</v>
      </c>
      <c r="T266" s="50" t="s">
        <v>141</v>
      </c>
      <c r="U266" s="47" t="s">
        <v>141</v>
      </c>
      <c r="V266" s="40" t="s">
        <v>434</v>
      </c>
      <c r="W266" s="41" t="s">
        <v>39</v>
      </c>
      <c r="Y266" s="42"/>
      <c r="Z266" t="s">
        <v>40</v>
      </c>
      <c r="AA266" s="43"/>
      <c r="AC266" s="45"/>
      <c r="AF266" s="47">
        <v>45818</v>
      </c>
      <c r="AG266" s="48">
        <v>4320100</v>
      </c>
      <c r="AH266" s="48">
        <v>332240.42</v>
      </c>
    </row>
    <row r="267" spans="1:34" ht="19.5" customHeight="1">
      <c r="A267" s="25">
        <f t="shared" si="4"/>
        <v>266</v>
      </c>
      <c r="C267" s="27">
        <v>45763</v>
      </c>
      <c r="E267" s="29">
        <v>1170</v>
      </c>
      <c r="F267" s="30">
        <v>1531090</v>
      </c>
      <c r="G267" s="27">
        <v>45763</v>
      </c>
      <c r="H267" s="32"/>
      <c r="J267" s="34" t="s">
        <v>33</v>
      </c>
      <c r="K267" t="s">
        <v>139</v>
      </c>
      <c r="L267" s="86" t="s">
        <v>141</v>
      </c>
      <c r="M267" s="36" t="s">
        <v>802</v>
      </c>
      <c r="N267" s="37"/>
      <c r="O267" t="s">
        <v>798</v>
      </c>
      <c r="P267" t="s">
        <v>799</v>
      </c>
      <c r="R267" s="38">
        <v>45658</v>
      </c>
      <c r="S267" s="39">
        <v>46022</v>
      </c>
      <c r="T267" s="50" t="s">
        <v>141</v>
      </c>
      <c r="U267" s="47" t="s">
        <v>141</v>
      </c>
      <c r="V267" s="40" t="s">
        <v>434</v>
      </c>
      <c r="W267" s="41" t="s">
        <v>39</v>
      </c>
      <c r="Y267" s="42"/>
      <c r="Z267" t="s">
        <v>40</v>
      </c>
      <c r="AA267" s="43">
        <v>90006848</v>
      </c>
      <c r="AB267" s="44">
        <v>45797</v>
      </c>
      <c r="AC267" s="63">
        <v>60016165</v>
      </c>
      <c r="AF267" s="47">
        <v>45835</v>
      </c>
      <c r="AG267" s="48">
        <v>4320100</v>
      </c>
      <c r="AH267" s="48">
        <v>332240.42</v>
      </c>
    </row>
    <row r="268" spans="1:34" ht="19.5" customHeight="1">
      <c r="A268" s="25">
        <f t="shared" si="4"/>
        <v>267</v>
      </c>
      <c r="B268" s="26">
        <v>6174586</v>
      </c>
      <c r="C268" s="27">
        <v>45764</v>
      </c>
      <c r="D268" s="28">
        <v>24807.84</v>
      </c>
      <c r="E268" s="29">
        <v>192890.88</v>
      </c>
      <c r="F268" s="30">
        <v>1531686</v>
      </c>
      <c r="G268" s="27">
        <v>45772</v>
      </c>
      <c r="H268" s="32"/>
      <c r="J268" s="34" t="s">
        <v>33</v>
      </c>
      <c r="K268" t="s">
        <v>34</v>
      </c>
      <c r="L268" s="35">
        <v>292229307</v>
      </c>
      <c r="M268" s="88" t="s">
        <v>803</v>
      </c>
      <c r="N268" s="37"/>
      <c r="O268" t="s">
        <v>804</v>
      </c>
      <c r="P268" t="s">
        <v>805</v>
      </c>
      <c r="R268" s="38">
        <v>45802</v>
      </c>
      <c r="S268" s="39">
        <v>46166</v>
      </c>
      <c r="T268" s="38">
        <v>45821</v>
      </c>
      <c r="U268" s="39">
        <v>46185</v>
      </c>
      <c r="V268" s="40" t="s">
        <v>51</v>
      </c>
      <c r="W268" s="41" t="s">
        <v>39</v>
      </c>
      <c r="Y268" s="42"/>
      <c r="Z268" t="s">
        <v>40</v>
      </c>
      <c r="AA268" s="43"/>
      <c r="AC268" s="45"/>
      <c r="AF268" s="47">
        <v>45818</v>
      </c>
      <c r="AG268" s="48">
        <v>246000</v>
      </c>
      <c r="AH268" s="48">
        <v>194741.54</v>
      </c>
    </row>
    <row r="269" spans="1:34" ht="19.5" customHeight="1">
      <c r="A269" s="25">
        <f t="shared" si="4"/>
        <v>268</v>
      </c>
      <c r="B269" s="26">
        <v>6174668</v>
      </c>
      <c r="C269" s="27">
        <v>45764</v>
      </c>
      <c r="D269" s="28">
        <f>13528.75+2362.74</f>
        <v>15891.49</v>
      </c>
      <c r="E269" s="29">
        <v>123562.69</v>
      </c>
      <c r="F269" s="30">
        <v>1531930</v>
      </c>
      <c r="G269" s="27">
        <v>45776</v>
      </c>
      <c r="H269" s="32"/>
      <c r="J269" s="34" t="s">
        <v>33</v>
      </c>
      <c r="K269" t="s">
        <v>34</v>
      </c>
      <c r="L269" s="35" t="s">
        <v>806</v>
      </c>
      <c r="M269" s="36" t="s">
        <v>807</v>
      </c>
      <c r="N269" s="37"/>
      <c r="O269" t="s">
        <v>808</v>
      </c>
      <c r="P269" t="s">
        <v>809</v>
      </c>
      <c r="R269" s="38">
        <v>45578</v>
      </c>
      <c r="S269" s="39">
        <v>46703</v>
      </c>
      <c r="T269" s="38">
        <v>45630</v>
      </c>
      <c r="U269" s="39">
        <v>46672</v>
      </c>
      <c r="V269" s="40" t="s">
        <v>128</v>
      </c>
      <c r="W269" s="41" t="s">
        <v>39</v>
      </c>
      <c r="Y269" s="42"/>
      <c r="Z269" t="s">
        <v>81</v>
      </c>
      <c r="AC269" s="45" t="s">
        <v>810</v>
      </c>
      <c r="AD269" s="46">
        <v>45776</v>
      </c>
      <c r="AE269">
        <v>3159808</v>
      </c>
      <c r="AF269" s="39">
        <v>45792</v>
      </c>
      <c r="AG269" s="48">
        <v>253500</v>
      </c>
      <c r="AH269" s="48">
        <v>136182.32</v>
      </c>
    </row>
    <row r="270" spans="1:34" ht="19.5" customHeight="1">
      <c r="A270" s="25">
        <f t="shared" si="4"/>
        <v>269</v>
      </c>
      <c r="B270" s="26">
        <v>6174729</v>
      </c>
      <c r="C270" s="27">
        <v>45764</v>
      </c>
      <c r="E270" s="29">
        <v>11434.12</v>
      </c>
      <c r="F270" s="30">
        <v>1531816</v>
      </c>
      <c r="G270" s="27">
        <v>45771</v>
      </c>
      <c r="H270" s="32"/>
      <c r="J270" s="34" t="s">
        <v>159</v>
      </c>
      <c r="K270" t="s">
        <v>160</v>
      </c>
      <c r="L270" s="35" t="s">
        <v>811</v>
      </c>
      <c r="M270" s="36" t="s">
        <v>812</v>
      </c>
      <c r="N270" s="37"/>
      <c r="O270" t="s">
        <v>808</v>
      </c>
      <c r="P270" t="s">
        <v>809</v>
      </c>
      <c r="R270" s="38">
        <v>45578</v>
      </c>
      <c r="S270" s="39">
        <v>46703</v>
      </c>
      <c r="T270" s="50" t="s">
        <v>141</v>
      </c>
      <c r="U270" s="47" t="s">
        <v>141</v>
      </c>
      <c r="V270" s="40" t="s">
        <v>128</v>
      </c>
      <c r="W270" s="41" t="s">
        <v>39</v>
      </c>
      <c r="Y270" s="42"/>
      <c r="Z270" t="s">
        <v>81</v>
      </c>
      <c r="AA270" s="43" t="s">
        <v>813</v>
      </c>
      <c r="AB270" s="44">
        <v>45803</v>
      </c>
      <c r="AC270" s="45"/>
      <c r="AG270" s="48">
        <v>253500</v>
      </c>
      <c r="AH270" s="48">
        <v>136182.32</v>
      </c>
    </row>
    <row r="271" spans="1:34" ht="19.5" customHeight="1">
      <c r="A271" s="25">
        <f t="shared" si="4"/>
        <v>270</v>
      </c>
      <c r="B271" s="26">
        <v>6174788</v>
      </c>
      <c r="C271" s="27">
        <v>45764</v>
      </c>
      <c r="E271" s="29">
        <v>1083.93</v>
      </c>
      <c r="F271" s="30">
        <v>1531738</v>
      </c>
      <c r="G271" s="27">
        <v>45771</v>
      </c>
      <c r="H271" s="32"/>
      <c r="J271" s="34" t="s">
        <v>159</v>
      </c>
      <c r="K271" t="s">
        <v>160</v>
      </c>
      <c r="L271" s="35" t="s">
        <v>814</v>
      </c>
      <c r="M271" s="36" t="s">
        <v>815</v>
      </c>
      <c r="N271" s="37"/>
      <c r="O271" t="s">
        <v>816</v>
      </c>
      <c r="P271" t="s">
        <v>817</v>
      </c>
      <c r="R271" s="38">
        <v>45676</v>
      </c>
      <c r="S271" s="39">
        <v>46191</v>
      </c>
      <c r="T271" s="50" t="s">
        <v>141</v>
      </c>
      <c r="U271" s="47" t="s">
        <v>141</v>
      </c>
      <c r="V271" s="40" t="s">
        <v>51</v>
      </c>
      <c r="W271" s="41" t="s">
        <v>39</v>
      </c>
      <c r="Y271" s="42"/>
      <c r="Z271" t="s">
        <v>40</v>
      </c>
      <c r="AA271" s="43" t="s">
        <v>813</v>
      </c>
      <c r="AB271" s="44">
        <v>45803</v>
      </c>
      <c r="AC271" s="45"/>
      <c r="AG271" s="48">
        <v>3387</v>
      </c>
      <c r="AH271" s="48">
        <v>1083.93</v>
      </c>
    </row>
    <row r="272" spans="1:34" ht="19.5" customHeight="1">
      <c r="A272" s="25">
        <f t="shared" si="4"/>
        <v>271</v>
      </c>
      <c r="B272" s="26">
        <v>6174813</v>
      </c>
      <c r="C272" s="27">
        <v>45764</v>
      </c>
      <c r="E272" s="29">
        <v>44627.6</v>
      </c>
      <c r="F272" s="30">
        <v>1531980</v>
      </c>
      <c r="G272" s="27">
        <v>45772</v>
      </c>
      <c r="H272" s="32"/>
      <c r="J272" s="34" t="s">
        <v>159</v>
      </c>
      <c r="K272" t="s">
        <v>160</v>
      </c>
      <c r="L272" s="35" t="s">
        <v>818</v>
      </c>
      <c r="M272" s="36" t="s">
        <v>819</v>
      </c>
      <c r="N272" s="37"/>
      <c r="O272" t="s">
        <v>820</v>
      </c>
      <c r="P272" t="s">
        <v>821</v>
      </c>
      <c r="R272" s="38">
        <v>45778</v>
      </c>
      <c r="S272" s="39">
        <v>46142</v>
      </c>
      <c r="T272" s="38">
        <v>45778</v>
      </c>
      <c r="U272" s="39">
        <v>46142</v>
      </c>
      <c r="V272" s="40" t="s">
        <v>51</v>
      </c>
      <c r="W272" s="41" t="s">
        <v>39</v>
      </c>
      <c r="Y272" s="42"/>
      <c r="Z272" t="s">
        <v>40</v>
      </c>
      <c r="AA272" s="62" t="s">
        <v>813</v>
      </c>
      <c r="AB272" s="44">
        <v>45810</v>
      </c>
      <c r="AG272" s="48">
        <v>294602</v>
      </c>
      <c r="AH272" s="48">
        <v>44627.6</v>
      </c>
    </row>
    <row r="273" spans="1:34" ht="19.5" customHeight="1">
      <c r="A273" s="25">
        <f t="shared" si="4"/>
        <v>272</v>
      </c>
      <c r="B273" s="51">
        <v>6175961</v>
      </c>
      <c r="C273" s="27">
        <v>45771</v>
      </c>
      <c r="D273" s="28">
        <v>24442.3</v>
      </c>
      <c r="E273" s="29">
        <f>D273*7.7754</f>
        <v>190048.65942000001</v>
      </c>
      <c r="F273" s="52">
        <v>1531883</v>
      </c>
      <c r="G273" s="27">
        <v>45772</v>
      </c>
      <c r="H273" s="32"/>
      <c r="J273" s="34" t="s">
        <v>33</v>
      </c>
      <c r="K273" s="53" t="s">
        <v>34</v>
      </c>
      <c r="L273" s="35" t="s">
        <v>822</v>
      </c>
      <c r="M273" s="54" t="s">
        <v>823</v>
      </c>
      <c r="N273" s="37"/>
      <c r="O273" t="s">
        <v>824</v>
      </c>
      <c r="P273" t="s">
        <v>825</v>
      </c>
      <c r="R273" s="38">
        <v>45748</v>
      </c>
      <c r="S273" s="39">
        <v>46112</v>
      </c>
      <c r="T273" s="38">
        <v>45748</v>
      </c>
      <c r="U273" s="39" t="s">
        <v>826</v>
      </c>
      <c r="V273" s="40" t="s">
        <v>827</v>
      </c>
      <c r="W273" s="41" t="s">
        <v>39</v>
      </c>
      <c r="Y273" s="42"/>
      <c r="Z273" t="s">
        <v>81</v>
      </c>
      <c r="AF273" s="47">
        <v>45786</v>
      </c>
      <c r="AG273" s="48">
        <v>919322.55</v>
      </c>
      <c r="AH273" s="48">
        <v>692650.21</v>
      </c>
    </row>
    <row r="274" spans="1:34" ht="19.5" customHeight="1">
      <c r="A274" s="25">
        <f t="shared" si="4"/>
        <v>273</v>
      </c>
      <c r="B274" s="55">
        <v>6175961</v>
      </c>
      <c r="C274" s="27">
        <v>45771</v>
      </c>
      <c r="D274" s="28">
        <f>55301.18-17687.76</f>
        <v>37613.42</v>
      </c>
      <c r="E274" s="29">
        <f>D274*7.7754</f>
        <v>292459.38586799998</v>
      </c>
      <c r="F274" s="56">
        <v>1532196</v>
      </c>
      <c r="G274" s="27">
        <v>45772</v>
      </c>
      <c r="H274" s="32"/>
      <c r="J274" s="34" t="s">
        <v>33</v>
      </c>
      <c r="K274" s="57" t="s">
        <v>34</v>
      </c>
      <c r="L274" s="35" t="s">
        <v>822</v>
      </c>
      <c r="M274" s="58" t="s">
        <v>823</v>
      </c>
      <c r="N274" s="37"/>
      <c r="O274" t="s">
        <v>824</v>
      </c>
      <c r="P274" t="s">
        <v>825</v>
      </c>
      <c r="R274" s="38">
        <v>45748</v>
      </c>
      <c r="S274" s="39">
        <v>46112</v>
      </c>
      <c r="T274" s="38">
        <v>45748</v>
      </c>
      <c r="U274" s="39" t="s">
        <v>826</v>
      </c>
      <c r="V274" s="40" t="s">
        <v>827</v>
      </c>
      <c r="W274" s="41" t="s">
        <v>39</v>
      </c>
      <c r="Y274" s="42"/>
      <c r="Z274" t="s">
        <v>81</v>
      </c>
      <c r="AF274" s="47">
        <v>45866</v>
      </c>
      <c r="AG274" s="48">
        <v>919322.55</v>
      </c>
      <c r="AH274" s="48">
        <v>692650.21</v>
      </c>
    </row>
    <row r="275" spans="1:34" ht="19.5" customHeight="1">
      <c r="A275" s="25">
        <f t="shared" si="4"/>
        <v>274</v>
      </c>
      <c r="B275" s="26">
        <v>6176315</v>
      </c>
      <c r="C275" s="27">
        <v>45772</v>
      </c>
      <c r="E275" s="29">
        <v>90340</v>
      </c>
      <c r="F275" s="30">
        <v>1532771</v>
      </c>
      <c r="G275" s="27">
        <v>45779</v>
      </c>
      <c r="H275" s="32"/>
      <c r="J275" s="34" t="s">
        <v>33</v>
      </c>
      <c r="K275" t="s">
        <v>139</v>
      </c>
      <c r="L275" s="86" t="s">
        <v>141</v>
      </c>
      <c r="M275" s="36" t="s">
        <v>828</v>
      </c>
      <c r="N275" s="37"/>
      <c r="O275" t="s">
        <v>829</v>
      </c>
      <c r="P275" t="s">
        <v>830</v>
      </c>
      <c r="R275" s="38">
        <v>45686</v>
      </c>
      <c r="S275" s="39">
        <v>46050</v>
      </c>
      <c r="T275" s="50" t="s">
        <v>141</v>
      </c>
      <c r="U275" s="47" t="s">
        <v>141</v>
      </c>
      <c r="V275" s="40" t="s">
        <v>831</v>
      </c>
      <c r="W275" s="41" t="s">
        <v>39</v>
      </c>
      <c r="Y275" s="42"/>
      <c r="Z275" t="s">
        <v>40</v>
      </c>
      <c r="AA275" s="97">
        <v>90006868</v>
      </c>
      <c r="AB275" s="44">
        <v>45806</v>
      </c>
      <c r="AC275" s="63">
        <v>60016213</v>
      </c>
      <c r="AF275" s="47">
        <v>45835</v>
      </c>
      <c r="AG275" s="48">
        <v>139112</v>
      </c>
      <c r="AH275" s="48">
        <v>92340</v>
      </c>
    </row>
    <row r="276" spans="1:34" ht="19.5" customHeight="1">
      <c r="A276" s="25">
        <f t="shared" si="4"/>
        <v>275</v>
      </c>
      <c r="B276" s="26">
        <v>6176450</v>
      </c>
      <c r="C276" s="27">
        <v>45772</v>
      </c>
      <c r="D276" s="28">
        <v>1423.1</v>
      </c>
      <c r="E276" s="29">
        <v>11065.17</v>
      </c>
      <c r="F276" s="30">
        <v>1532763</v>
      </c>
      <c r="G276" s="27">
        <v>45776</v>
      </c>
      <c r="H276" s="32"/>
      <c r="J276" s="34" t="s">
        <v>33</v>
      </c>
      <c r="K276" t="s">
        <v>34</v>
      </c>
      <c r="L276" s="35">
        <v>252235675</v>
      </c>
      <c r="M276" s="36" t="s">
        <v>832</v>
      </c>
      <c r="N276" s="37"/>
      <c r="O276" t="s">
        <v>833</v>
      </c>
      <c r="P276" t="s">
        <v>834</v>
      </c>
      <c r="R276" s="38">
        <v>45748</v>
      </c>
      <c r="S276" s="39">
        <v>46112</v>
      </c>
      <c r="T276" s="38"/>
      <c r="U276" s="39"/>
      <c r="V276" s="40" t="s">
        <v>38</v>
      </c>
      <c r="W276" s="41" t="s">
        <v>39</v>
      </c>
      <c r="Y276" s="42"/>
      <c r="Z276" t="s">
        <v>40</v>
      </c>
      <c r="AC276" s="63">
        <v>9999402846</v>
      </c>
      <c r="AD276" s="46">
        <v>45779</v>
      </c>
      <c r="AG276" s="48">
        <v>34949</v>
      </c>
      <c r="AH276" s="48">
        <v>24979.99</v>
      </c>
    </row>
    <row r="277" spans="1:34" ht="19.5" customHeight="1">
      <c r="A277" s="25">
        <f t="shared" si="4"/>
        <v>276</v>
      </c>
      <c r="B277" s="26">
        <v>6176511</v>
      </c>
      <c r="C277" s="27">
        <v>45772</v>
      </c>
      <c r="D277" s="28">
        <v>11850.43</v>
      </c>
      <c r="E277" s="29">
        <v>92141.83</v>
      </c>
      <c r="F277" s="30">
        <v>1532814</v>
      </c>
      <c r="G277" s="27">
        <v>45786</v>
      </c>
      <c r="H277" s="32"/>
      <c r="J277" s="34" t="s">
        <v>33</v>
      </c>
      <c r="K277" t="s">
        <v>34</v>
      </c>
      <c r="L277" s="35">
        <v>471914835</v>
      </c>
      <c r="M277" s="36" t="s">
        <v>835</v>
      </c>
      <c r="N277" s="37"/>
      <c r="O277" t="s">
        <v>836</v>
      </c>
      <c r="P277" t="s">
        <v>837</v>
      </c>
      <c r="R277" s="38">
        <v>45769</v>
      </c>
      <c r="S277" s="39">
        <v>46387</v>
      </c>
      <c r="T277" s="38">
        <v>45769</v>
      </c>
      <c r="U277" s="39">
        <v>46387</v>
      </c>
      <c r="V277" s="40" t="s">
        <v>128</v>
      </c>
      <c r="W277" s="41" t="s">
        <v>39</v>
      </c>
      <c r="Y277" s="42"/>
      <c r="Z277" t="s">
        <v>81</v>
      </c>
      <c r="AA277" s="62" t="s">
        <v>838</v>
      </c>
      <c r="AB277" s="44">
        <v>45786</v>
      </c>
      <c r="AC277" s="63">
        <v>9999402845</v>
      </c>
      <c r="AD277" s="46">
        <v>45779</v>
      </c>
      <c r="AG277" s="48">
        <v>135408</v>
      </c>
      <c r="AH277" s="48">
        <v>93025.88</v>
      </c>
    </row>
    <row r="278" spans="1:34" ht="19.5" customHeight="1">
      <c r="A278" s="25">
        <f t="shared" si="4"/>
        <v>277</v>
      </c>
      <c r="B278" s="26">
        <v>6176922</v>
      </c>
      <c r="C278" s="27">
        <v>45775</v>
      </c>
      <c r="E278" s="29">
        <v>279836.94</v>
      </c>
      <c r="F278" s="30">
        <v>1533477</v>
      </c>
      <c r="G278" s="27">
        <v>45784</v>
      </c>
      <c r="H278" s="32"/>
      <c r="J278" s="34" t="s">
        <v>159</v>
      </c>
      <c r="K278" t="s">
        <v>160</v>
      </c>
      <c r="L278" s="35" t="s">
        <v>839</v>
      </c>
      <c r="M278" s="36" t="s">
        <v>840</v>
      </c>
      <c r="N278" s="37"/>
      <c r="O278" t="s">
        <v>841</v>
      </c>
      <c r="P278" t="s">
        <v>842</v>
      </c>
      <c r="R278" s="38">
        <v>45689</v>
      </c>
      <c r="S278" s="39">
        <v>46022</v>
      </c>
      <c r="T278" s="38">
        <v>45689</v>
      </c>
      <c r="U278" s="39">
        <v>46022</v>
      </c>
      <c r="V278" s="40" t="s">
        <v>521</v>
      </c>
      <c r="W278" s="41" t="s">
        <v>39</v>
      </c>
      <c r="Z278" t="s">
        <v>40</v>
      </c>
      <c r="AG278" s="48">
        <v>1022197</v>
      </c>
      <c r="AH278" s="48">
        <v>552433.18000000005</v>
      </c>
    </row>
    <row r="279" spans="1:34" ht="19.5" customHeight="1">
      <c r="A279" s="25">
        <f t="shared" si="4"/>
        <v>278</v>
      </c>
      <c r="B279" s="26">
        <v>6177005</v>
      </c>
      <c r="C279" s="27">
        <v>45775</v>
      </c>
      <c r="E279" s="29">
        <v>4800</v>
      </c>
      <c r="F279" s="30">
        <v>1533073</v>
      </c>
      <c r="G279" s="27">
        <v>45807</v>
      </c>
      <c r="H279" s="32"/>
      <c r="J279" s="34" t="s">
        <v>843</v>
      </c>
      <c r="K279" t="s">
        <v>139</v>
      </c>
      <c r="L279" s="35">
        <v>80005074</v>
      </c>
      <c r="M279" s="36" t="s">
        <v>844</v>
      </c>
      <c r="N279" s="37"/>
      <c r="O279" t="s">
        <v>845</v>
      </c>
      <c r="P279" t="s">
        <v>846</v>
      </c>
      <c r="R279" s="38">
        <v>45738</v>
      </c>
      <c r="S279" s="39">
        <v>46102</v>
      </c>
      <c r="T279" s="38">
        <v>45738</v>
      </c>
      <c r="U279" s="39">
        <v>46102</v>
      </c>
      <c r="V279" s="40" t="s">
        <v>175</v>
      </c>
      <c r="W279" s="41" t="s">
        <v>39</v>
      </c>
      <c r="Y279" s="42"/>
      <c r="Z279" t="s">
        <v>81</v>
      </c>
      <c r="AA279" s="62" t="s">
        <v>847</v>
      </c>
      <c r="AB279" s="44">
        <v>45784</v>
      </c>
      <c r="AC279" s="63">
        <v>60016112</v>
      </c>
      <c r="AF279" s="47">
        <v>45835</v>
      </c>
      <c r="AG279" s="48">
        <v>19734</v>
      </c>
      <c r="AH279" s="48">
        <v>11800</v>
      </c>
    </row>
    <row r="280" spans="1:34" ht="19.5" customHeight="1">
      <c r="A280" s="25">
        <f t="shared" si="4"/>
        <v>279</v>
      </c>
      <c r="B280" s="26">
        <v>6177112</v>
      </c>
      <c r="C280" s="27">
        <v>45776</v>
      </c>
      <c r="E280" s="65">
        <v>66038</v>
      </c>
      <c r="F280" s="30">
        <v>1534355</v>
      </c>
      <c r="G280" s="27">
        <v>45790</v>
      </c>
      <c r="H280" s="32"/>
      <c r="J280" s="34" t="s">
        <v>33</v>
      </c>
      <c r="K280" t="s">
        <v>139</v>
      </c>
      <c r="L280" s="86" t="s">
        <v>141</v>
      </c>
      <c r="M280" s="36" t="s">
        <v>755</v>
      </c>
      <c r="N280" s="37"/>
      <c r="O280" t="s">
        <v>841</v>
      </c>
      <c r="P280" t="s">
        <v>842</v>
      </c>
      <c r="R280" s="38">
        <v>45689</v>
      </c>
      <c r="S280" s="39">
        <v>46022</v>
      </c>
      <c r="T280" s="50" t="s">
        <v>141</v>
      </c>
      <c r="U280" s="47" t="s">
        <v>141</v>
      </c>
      <c r="V280" s="40" t="s">
        <v>521</v>
      </c>
      <c r="W280" s="41" t="s">
        <v>39</v>
      </c>
      <c r="Y280" s="42"/>
      <c r="Z280" t="s">
        <v>40</v>
      </c>
      <c r="AA280" s="97">
        <v>90006868</v>
      </c>
      <c r="AB280" s="44">
        <v>45806</v>
      </c>
      <c r="AC280" s="63">
        <v>60016215</v>
      </c>
      <c r="AF280" s="47">
        <v>45835</v>
      </c>
      <c r="AG280" s="48">
        <v>1022197</v>
      </c>
      <c r="AH280" s="48">
        <v>552433.18000000005</v>
      </c>
    </row>
    <row r="281" spans="1:34" ht="19.5" customHeight="1">
      <c r="A281" s="25">
        <f t="shared" si="4"/>
        <v>280</v>
      </c>
      <c r="B281" s="26">
        <v>6177469</v>
      </c>
      <c r="C281" s="27">
        <v>45777</v>
      </c>
      <c r="D281" s="28">
        <v>3405.32</v>
      </c>
      <c r="E281" s="29">
        <v>26477.73</v>
      </c>
      <c r="F281" s="30">
        <v>1533091</v>
      </c>
      <c r="G281" s="27">
        <v>45784</v>
      </c>
      <c r="H281" s="32"/>
      <c r="J281" s="34" t="s">
        <v>33</v>
      </c>
      <c r="K281" t="s">
        <v>34</v>
      </c>
      <c r="L281" s="35">
        <v>282209567</v>
      </c>
      <c r="M281" s="36" t="s">
        <v>848</v>
      </c>
      <c r="N281" s="37"/>
      <c r="O281" t="s">
        <v>849</v>
      </c>
      <c r="P281" t="s">
        <v>850</v>
      </c>
      <c r="R281" s="38">
        <v>45748</v>
      </c>
      <c r="S281" s="39">
        <v>46351</v>
      </c>
      <c r="T281" s="38">
        <v>45987</v>
      </c>
      <c r="U281" s="39">
        <v>46351</v>
      </c>
      <c r="V281" s="40" t="s">
        <v>60</v>
      </c>
      <c r="W281" s="41" t="s">
        <v>39</v>
      </c>
      <c r="Y281" s="42"/>
      <c r="Z281" t="s">
        <v>81</v>
      </c>
      <c r="AC281" s="63">
        <v>9999413284</v>
      </c>
      <c r="AD281" s="46">
        <v>45781</v>
      </c>
      <c r="AG281" s="48">
        <v>172307</v>
      </c>
      <c r="AH281" s="48">
        <v>136527.76</v>
      </c>
    </row>
    <row r="282" spans="1:34" ht="19.5" customHeight="1">
      <c r="A282" s="25">
        <f t="shared" si="4"/>
        <v>281</v>
      </c>
      <c r="B282" s="26">
        <v>6177507</v>
      </c>
      <c r="C282" s="27">
        <v>45777</v>
      </c>
      <c r="E282" s="29">
        <v>8420</v>
      </c>
      <c r="F282" s="30">
        <v>1533188</v>
      </c>
      <c r="G282" s="27">
        <v>45785</v>
      </c>
      <c r="H282" s="32"/>
      <c r="J282" s="34" t="s">
        <v>33</v>
      </c>
      <c r="K282" t="s">
        <v>139</v>
      </c>
      <c r="L282" s="86" t="s">
        <v>141</v>
      </c>
      <c r="M282" s="36" t="s">
        <v>851</v>
      </c>
      <c r="N282" s="37"/>
      <c r="O282" t="s">
        <v>852</v>
      </c>
      <c r="P282" t="s">
        <v>853</v>
      </c>
      <c r="R282" s="38">
        <v>45565</v>
      </c>
      <c r="S282" s="39">
        <v>45929</v>
      </c>
      <c r="T282" s="50" t="s">
        <v>141</v>
      </c>
      <c r="U282" s="47" t="s">
        <v>141</v>
      </c>
      <c r="V282" s="40" t="s">
        <v>192</v>
      </c>
      <c r="W282" s="41" t="s">
        <v>39</v>
      </c>
      <c r="Y282" s="42"/>
      <c r="Z282" t="s">
        <v>40</v>
      </c>
      <c r="AA282" s="62">
        <v>90006868</v>
      </c>
      <c r="AB282" s="44">
        <v>45806</v>
      </c>
      <c r="AC282" s="63">
        <v>60016214</v>
      </c>
      <c r="AF282" s="47">
        <v>45835</v>
      </c>
      <c r="AG282" s="48">
        <v>99146</v>
      </c>
      <c r="AH282" s="48">
        <v>87080.93</v>
      </c>
    </row>
    <row r="283" spans="1:34" ht="19.5" customHeight="1">
      <c r="A283" s="25">
        <f t="shared" si="4"/>
        <v>282</v>
      </c>
      <c r="C283" s="27">
        <v>45777</v>
      </c>
      <c r="E283" s="29">
        <v>1970</v>
      </c>
      <c r="F283" s="30" t="s">
        <v>854</v>
      </c>
      <c r="G283" s="27">
        <v>45777</v>
      </c>
      <c r="H283" s="32" t="s">
        <v>141</v>
      </c>
      <c r="I283" s="33">
        <v>1970</v>
      </c>
      <c r="J283" s="34" t="s">
        <v>33</v>
      </c>
      <c r="K283" t="s">
        <v>139</v>
      </c>
      <c r="L283" s="86" t="s">
        <v>141</v>
      </c>
      <c r="M283" s="36" t="s">
        <v>855</v>
      </c>
      <c r="N283" s="37"/>
      <c r="O283" t="s">
        <v>856</v>
      </c>
      <c r="P283" t="s">
        <v>857</v>
      </c>
      <c r="R283" s="38">
        <v>45769</v>
      </c>
      <c r="S283" s="39">
        <v>45768</v>
      </c>
      <c r="T283" s="50" t="s">
        <v>141</v>
      </c>
      <c r="U283" s="47" t="s">
        <v>141</v>
      </c>
      <c r="V283" s="40" t="s">
        <v>51</v>
      </c>
      <c r="W283" s="41" t="s">
        <v>39</v>
      </c>
      <c r="Y283" s="42"/>
      <c r="Z283" t="s">
        <v>40</v>
      </c>
      <c r="AA283" s="43">
        <v>90006848</v>
      </c>
      <c r="AB283" s="44">
        <v>45797</v>
      </c>
      <c r="AC283" s="63">
        <v>60016166</v>
      </c>
      <c r="AE283">
        <v>3195399</v>
      </c>
      <c r="AF283" s="39">
        <v>46079</v>
      </c>
      <c r="AG283" s="48">
        <v>7923</v>
      </c>
      <c r="AH283" s="48">
        <v>1970</v>
      </c>
    </row>
    <row r="284" spans="1:34" ht="19.5" customHeight="1">
      <c r="A284" s="25">
        <f t="shared" si="4"/>
        <v>283</v>
      </c>
      <c r="B284" s="26">
        <v>6177743</v>
      </c>
      <c r="C284" s="27">
        <v>45779</v>
      </c>
      <c r="D284" s="28">
        <v>611.28</v>
      </c>
      <c r="E284" s="29">
        <v>4742.07</v>
      </c>
      <c r="F284" s="30">
        <v>1533186</v>
      </c>
      <c r="G284" s="27">
        <v>45779</v>
      </c>
      <c r="H284" s="32"/>
      <c r="J284" s="34" t="s">
        <v>33</v>
      </c>
      <c r="K284" t="s">
        <v>34</v>
      </c>
      <c r="L284" s="35" t="s">
        <v>858</v>
      </c>
      <c r="M284" s="36" t="s">
        <v>859</v>
      </c>
      <c r="N284" s="37"/>
      <c r="O284" t="s">
        <v>860</v>
      </c>
      <c r="P284" t="s">
        <v>861</v>
      </c>
      <c r="R284" s="38">
        <v>45765</v>
      </c>
      <c r="S284" s="39">
        <v>46129</v>
      </c>
      <c r="T284" s="38">
        <v>45765</v>
      </c>
      <c r="U284" s="39">
        <v>46129</v>
      </c>
      <c r="V284" s="40" t="s">
        <v>38</v>
      </c>
      <c r="W284" s="41" t="s">
        <v>39</v>
      </c>
      <c r="Z284" t="s">
        <v>40</v>
      </c>
      <c r="AC284" s="63" t="s">
        <v>862</v>
      </c>
      <c r="AD284" s="46">
        <v>45786</v>
      </c>
      <c r="AE284">
        <v>3159804</v>
      </c>
      <c r="AF284" s="39">
        <v>45792</v>
      </c>
      <c r="AG284" s="48">
        <v>21597</v>
      </c>
      <c r="AH284" s="48">
        <v>4798.55</v>
      </c>
    </row>
    <row r="285" spans="1:34" ht="19.5" customHeight="1">
      <c r="A285" s="25">
        <f t="shared" si="4"/>
        <v>284</v>
      </c>
      <c r="B285" s="26">
        <v>6177841</v>
      </c>
      <c r="C285" s="27">
        <v>45779</v>
      </c>
      <c r="D285" s="28">
        <v>234.07</v>
      </c>
      <c r="E285" s="29">
        <v>1815.82</v>
      </c>
      <c r="F285" s="30">
        <v>1533336</v>
      </c>
      <c r="G285" s="27">
        <v>45783</v>
      </c>
      <c r="H285" s="32"/>
      <c r="J285" s="34" t="s">
        <v>33</v>
      </c>
      <c r="K285" t="s">
        <v>34</v>
      </c>
      <c r="L285" s="35">
        <v>461916623</v>
      </c>
      <c r="M285" s="36" t="s">
        <v>863</v>
      </c>
      <c r="N285" s="37"/>
      <c r="O285" t="s">
        <v>864</v>
      </c>
      <c r="P285" t="s">
        <v>865</v>
      </c>
      <c r="R285" s="38">
        <v>45773</v>
      </c>
      <c r="S285" s="39">
        <v>46137</v>
      </c>
      <c r="T285" s="50">
        <v>45924</v>
      </c>
      <c r="U285" s="39">
        <v>46288</v>
      </c>
      <c r="V285" s="40" t="s">
        <v>38</v>
      </c>
      <c r="W285" s="41" t="s">
        <v>39</v>
      </c>
      <c r="Y285" s="42" t="s">
        <v>56</v>
      </c>
      <c r="Z285" t="s">
        <v>40</v>
      </c>
      <c r="AC285" s="63">
        <v>9999413326</v>
      </c>
      <c r="AD285" s="46">
        <v>45784</v>
      </c>
      <c r="AG285" s="48">
        <v>5468</v>
      </c>
      <c r="AH285" s="48">
        <v>1837.45</v>
      </c>
    </row>
    <row r="286" spans="1:34" ht="19.5" customHeight="1">
      <c r="A286" s="25">
        <f t="shared" si="4"/>
        <v>285</v>
      </c>
      <c r="C286" s="27">
        <v>45783</v>
      </c>
      <c r="E286" s="29">
        <v>1170</v>
      </c>
      <c r="F286" s="30">
        <v>1533296</v>
      </c>
      <c r="G286" s="27">
        <v>45783</v>
      </c>
      <c r="H286" s="32"/>
      <c r="I286" s="33">
        <v>1170</v>
      </c>
      <c r="J286" s="34" t="s">
        <v>33</v>
      </c>
      <c r="K286" t="s">
        <v>139</v>
      </c>
      <c r="L286" s="86" t="s">
        <v>141</v>
      </c>
      <c r="M286" s="36" t="s">
        <v>866</v>
      </c>
      <c r="N286" s="37"/>
      <c r="O286" t="s">
        <v>867</v>
      </c>
      <c r="P286" t="s">
        <v>868</v>
      </c>
      <c r="R286" s="38">
        <v>45619</v>
      </c>
      <c r="S286" s="39" t="s">
        <v>869</v>
      </c>
      <c r="T286" s="50" t="s">
        <v>141</v>
      </c>
      <c r="U286" s="47" t="s">
        <v>141</v>
      </c>
      <c r="V286" s="40" t="s">
        <v>268</v>
      </c>
      <c r="W286" s="41" t="s">
        <v>39</v>
      </c>
      <c r="Y286" s="42"/>
      <c r="Z286" t="s">
        <v>40</v>
      </c>
      <c r="AA286" s="43">
        <v>90006848</v>
      </c>
      <c r="AB286" s="44">
        <v>45797</v>
      </c>
      <c r="AC286" s="63">
        <v>60016167</v>
      </c>
      <c r="AE286">
        <v>3195401</v>
      </c>
      <c r="AF286" s="39">
        <v>46079</v>
      </c>
      <c r="AG286" s="48">
        <v>44800</v>
      </c>
      <c r="AH286" s="48">
        <v>1170</v>
      </c>
    </row>
    <row r="287" spans="1:34" ht="19.5" customHeight="1">
      <c r="A287" s="25">
        <f t="shared" si="4"/>
        <v>286</v>
      </c>
      <c r="B287" s="26">
        <v>6178641</v>
      </c>
      <c r="C287" s="27">
        <v>45784</v>
      </c>
      <c r="E287" s="65">
        <v>7440</v>
      </c>
      <c r="F287" s="30">
        <v>1533910</v>
      </c>
      <c r="G287" s="27">
        <v>45791</v>
      </c>
      <c r="H287" s="32"/>
      <c r="J287" s="34" t="s">
        <v>33</v>
      </c>
      <c r="K287" s="66" t="s">
        <v>193</v>
      </c>
      <c r="L287" s="86" t="s">
        <v>141</v>
      </c>
      <c r="M287" s="36" t="s">
        <v>870</v>
      </c>
      <c r="N287" s="37"/>
      <c r="O287" t="s">
        <v>871</v>
      </c>
      <c r="P287" t="s">
        <v>872</v>
      </c>
      <c r="R287" s="38">
        <v>45741</v>
      </c>
      <c r="S287" s="39">
        <v>46105</v>
      </c>
      <c r="T287" s="50" t="s">
        <v>141</v>
      </c>
      <c r="U287" s="47" t="s">
        <v>141</v>
      </c>
      <c r="V287" s="40" t="s">
        <v>134</v>
      </c>
      <c r="W287" s="41" t="s">
        <v>39</v>
      </c>
      <c r="Y287" s="42"/>
      <c r="Z287" t="s">
        <v>81</v>
      </c>
      <c r="AA287" s="62" t="s">
        <v>873</v>
      </c>
      <c r="AB287" s="44">
        <v>45800</v>
      </c>
      <c r="AC287" s="63" t="s">
        <v>874</v>
      </c>
      <c r="AD287" s="46">
        <v>45800</v>
      </c>
      <c r="AE287">
        <v>3188178</v>
      </c>
      <c r="AF287" s="47">
        <v>46028</v>
      </c>
      <c r="AG287" s="48">
        <v>90162</v>
      </c>
      <c r="AH287" s="48">
        <v>36323.160000000003</v>
      </c>
    </row>
    <row r="288" spans="1:34" ht="19.5" customHeight="1">
      <c r="A288" s="25">
        <f t="shared" si="4"/>
        <v>287</v>
      </c>
      <c r="B288" s="26">
        <v>6178833</v>
      </c>
      <c r="C288" s="27">
        <v>45784</v>
      </c>
      <c r="D288" s="28">
        <v>1499.25</v>
      </c>
      <c r="E288" s="29">
        <v>11630.59</v>
      </c>
      <c r="F288" s="30">
        <v>1535096</v>
      </c>
      <c r="G288" s="27">
        <v>45793</v>
      </c>
      <c r="H288" s="32"/>
      <c r="J288" s="34" t="s">
        <v>103</v>
      </c>
      <c r="K288" s="40" t="s">
        <v>206</v>
      </c>
      <c r="L288" s="35" t="s">
        <v>875</v>
      </c>
      <c r="M288" s="36" t="s">
        <v>876</v>
      </c>
      <c r="N288" s="37"/>
      <c r="O288" t="s">
        <v>877</v>
      </c>
      <c r="P288" t="s">
        <v>878</v>
      </c>
      <c r="R288" s="38">
        <v>45793</v>
      </c>
      <c r="S288" s="39">
        <v>46157</v>
      </c>
      <c r="T288" s="38">
        <v>45793</v>
      </c>
      <c r="U288" s="39">
        <v>46157</v>
      </c>
      <c r="V288" s="40" t="s">
        <v>479</v>
      </c>
      <c r="W288" s="41" t="s">
        <v>39</v>
      </c>
      <c r="Y288" s="42"/>
      <c r="Z288" t="s">
        <v>81</v>
      </c>
      <c r="AA288" s="62" t="s">
        <v>879</v>
      </c>
      <c r="AB288" s="44">
        <v>45805</v>
      </c>
      <c r="AC288" s="63" t="s">
        <v>880</v>
      </c>
      <c r="AE288">
        <v>3175910</v>
      </c>
      <c r="AF288" s="39">
        <v>45938</v>
      </c>
      <c r="AG288" s="48">
        <v>20900</v>
      </c>
      <c r="AH288" s="48">
        <v>11769.11</v>
      </c>
    </row>
    <row r="289" spans="1:35" ht="19.5" customHeight="1">
      <c r="A289" s="25">
        <f t="shared" si="4"/>
        <v>288</v>
      </c>
      <c r="B289" s="26">
        <v>6178926</v>
      </c>
      <c r="C289" s="27">
        <v>45785</v>
      </c>
      <c r="D289" s="28">
        <f>12357.3+339.9</f>
        <v>12697.199999999999</v>
      </c>
      <c r="E289" s="29">
        <v>98499.8</v>
      </c>
      <c r="F289" s="30">
        <v>1533717</v>
      </c>
      <c r="G289" s="27">
        <v>45786</v>
      </c>
      <c r="H289" s="32"/>
      <c r="J289" s="34" t="s">
        <v>33</v>
      </c>
      <c r="K289" t="s">
        <v>34</v>
      </c>
      <c r="L289" s="35" t="s">
        <v>881</v>
      </c>
      <c r="M289" s="36" t="s">
        <v>882</v>
      </c>
      <c r="N289" s="37"/>
      <c r="O289" t="s">
        <v>883</v>
      </c>
      <c r="P289" t="s">
        <v>884</v>
      </c>
      <c r="R289" s="38">
        <v>45761</v>
      </c>
      <c r="S289" s="39">
        <v>46125</v>
      </c>
      <c r="T289" s="38">
        <v>45748</v>
      </c>
      <c r="U289" s="39">
        <v>46112</v>
      </c>
      <c r="V289" s="40" t="s">
        <v>306</v>
      </c>
      <c r="W289" s="41" t="s">
        <v>39</v>
      </c>
      <c r="Y289" s="42"/>
      <c r="Z289" t="s">
        <v>81</v>
      </c>
      <c r="AC289" s="63" t="s">
        <v>885</v>
      </c>
      <c r="AD289" s="46">
        <v>45786</v>
      </c>
      <c r="AE289">
        <v>3159802</v>
      </c>
      <c r="AF289" s="39">
        <v>46157</v>
      </c>
      <c r="AG289" s="48">
        <v>252224</v>
      </c>
      <c r="AH289" s="48">
        <v>168793.25</v>
      </c>
    </row>
    <row r="290" spans="1:35" ht="19.5" customHeight="1">
      <c r="A290" s="25">
        <f t="shared" si="4"/>
        <v>289</v>
      </c>
      <c r="B290" s="26">
        <v>6178978</v>
      </c>
      <c r="C290" s="27">
        <v>45785</v>
      </c>
      <c r="D290" s="28">
        <v>425.88</v>
      </c>
      <c r="E290" s="29">
        <v>3303.81</v>
      </c>
      <c r="F290" s="30">
        <v>1533718</v>
      </c>
      <c r="G290" s="27">
        <v>45789</v>
      </c>
      <c r="H290" s="32"/>
      <c r="J290" s="34" t="s">
        <v>33</v>
      </c>
      <c r="K290" t="s">
        <v>34</v>
      </c>
      <c r="L290" s="35">
        <v>262225980</v>
      </c>
      <c r="M290" s="36" t="s">
        <v>886</v>
      </c>
      <c r="N290" s="37"/>
      <c r="O290" t="s">
        <v>887</v>
      </c>
      <c r="P290" t="s">
        <v>888</v>
      </c>
      <c r="R290" s="38">
        <v>45741</v>
      </c>
      <c r="S290" s="39">
        <v>46105</v>
      </c>
      <c r="T290" s="38">
        <v>45733</v>
      </c>
      <c r="U290" s="39">
        <v>46097</v>
      </c>
      <c r="V290" s="40" t="s">
        <v>134</v>
      </c>
      <c r="W290" s="41" t="s">
        <v>39</v>
      </c>
      <c r="Y290" s="42"/>
      <c r="Z290" t="s">
        <v>81</v>
      </c>
      <c r="AC290" s="63">
        <v>9999426030</v>
      </c>
      <c r="AD290" s="46">
        <v>45789</v>
      </c>
      <c r="AG290" s="48">
        <v>90162</v>
      </c>
      <c r="AH290" s="48">
        <v>36323.160000000003</v>
      </c>
    </row>
    <row r="291" spans="1:35" ht="19.5" customHeight="1">
      <c r="A291" s="25">
        <f>A290+1</f>
        <v>290</v>
      </c>
      <c r="B291" s="26">
        <v>6179049</v>
      </c>
      <c r="C291" s="27">
        <v>45785</v>
      </c>
      <c r="D291" s="28">
        <v>6560.26</v>
      </c>
      <c r="E291" s="29">
        <v>50891.87</v>
      </c>
      <c r="F291" s="30">
        <v>1533770</v>
      </c>
      <c r="G291" s="27">
        <v>45785</v>
      </c>
      <c r="H291" s="32"/>
      <c r="J291" s="34" t="s">
        <v>33</v>
      </c>
      <c r="K291" t="s">
        <v>34</v>
      </c>
      <c r="L291" s="35">
        <v>411918645</v>
      </c>
      <c r="M291" s="36" t="s">
        <v>889</v>
      </c>
      <c r="N291" s="37"/>
      <c r="O291" t="s">
        <v>883</v>
      </c>
      <c r="P291" t="s">
        <v>884</v>
      </c>
      <c r="R291" s="38">
        <v>45761</v>
      </c>
      <c r="S291" s="39">
        <v>46125</v>
      </c>
      <c r="T291" s="38">
        <v>45793</v>
      </c>
      <c r="U291" s="39">
        <v>46157</v>
      </c>
      <c r="V291" s="40" t="s">
        <v>306</v>
      </c>
      <c r="W291" s="41" t="s">
        <v>39</v>
      </c>
      <c r="Z291" t="s">
        <v>81</v>
      </c>
      <c r="AA291" s="62" t="s">
        <v>260</v>
      </c>
      <c r="AB291" s="44">
        <v>45789</v>
      </c>
      <c r="AC291" s="63">
        <v>9999420889</v>
      </c>
      <c r="AD291" s="46">
        <v>45786</v>
      </c>
      <c r="AG291" s="48">
        <v>252224</v>
      </c>
      <c r="AH291" s="48">
        <v>168793.25</v>
      </c>
    </row>
    <row r="292" spans="1:35" ht="19.5" customHeight="1">
      <c r="A292" s="25">
        <f t="shared" si="4"/>
        <v>291</v>
      </c>
      <c r="B292" s="26">
        <v>6179091</v>
      </c>
      <c r="C292" s="27">
        <v>45785</v>
      </c>
      <c r="D292" s="28">
        <v>3247.88</v>
      </c>
      <c r="E292" s="29">
        <v>25195.75</v>
      </c>
      <c r="F292" s="30">
        <v>1533769</v>
      </c>
      <c r="G292" s="27">
        <v>45790</v>
      </c>
      <c r="H292" s="32"/>
      <c r="J292" s="34" t="s">
        <v>33</v>
      </c>
      <c r="K292" t="s">
        <v>34</v>
      </c>
      <c r="L292" s="35" t="s">
        <v>890</v>
      </c>
      <c r="M292" s="36" t="s">
        <v>891</v>
      </c>
      <c r="N292" s="37"/>
      <c r="O292" t="s">
        <v>892</v>
      </c>
      <c r="P292" t="s">
        <v>893</v>
      </c>
      <c r="R292" s="38">
        <v>45710</v>
      </c>
      <c r="S292" s="39">
        <v>46074</v>
      </c>
      <c r="T292" s="38">
        <v>45710</v>
      </c>
      <c r="U292" s="39">
        <v>46074</v>
      </c>
      <c r="V292" s="40" t="s">
        <v>245</v>
      </c>
      <c r="W292" s="41" t="s">
        <v>39</v>
      </c>
      <c r="Z292" t="s">
        <v>40</v>
      </c>
      <c r="AF292" s="47">
        <v>45849</v>
      </c>
      <c r="AG292" s="48">
        <v>94180</v>
      </c>
      <c r="AH292" s="48">
        <v>34265.86</v>
      </c>
    </row>
    <row r="293" spans="1:35" ht="19.5" customHeight="1">
      <c r="A293" s="25">
        <f t="shared" si="4"/>
        <v>292</v>
      </c>
      <c r="B293" s="26">
        <v>6179152</v>
      </c>
      <c r="C293" s="27">
        <v>45785</v>
      </c>
      <c r="D293" s="28">
        <v>15970.6</v>
      </c>
      <c r="E293" s="29">
        <v>123893.53</v>
      </c>
      <c r="F293" s="30">
        <v>1533953</v>
      </c>
      <c r="G293" s="27">
        <v>45790</v>
      </c>
      <c r="H293" s="32"/>
      <c r="J293" s="34" t="s">
        <v>33</v>
      </c>
      <c r="K293" t="s">
        <v>34</v>
      </c>
      <c r="L293" s="35">
        <v>262233014</v>
      </c>
      <c r="M293" s="36" t="s">
        <v>894</v>
      </c>
      <c r="N293" s="37"/>
      <c r="O293" t="s">
        <v>895</v>
      </c>
      <c r="P293" t="s">
        <v>896</v>
      </c>
      <c r="R293" s="38">
        <v>45778</v>
      </c>
      <c r="S293" s="39">
        <v>46142</v>
      </c>
      <c r="T293" s="38">
        <v>45876</v>
      </c>
      <c r="U293" s="39">
        <v>46240</v>
      </c>
      <c r="V293" s="40" t="s">
        <v>128</v>
      </c>
      <c r="W293" s="41" t="s">
        <v>39</v>
      </c>
      <c r="Y293" s="42"/>
      <c r="Z293" t="s">
        <v>40</v>
      </c>
      <c r="AF293" s="47">
        <v>45849</v>
      </c>
      <c r="AG293" s="48">
        <v>180000</v>
      </c>
      <c r="AH293" s="48">
        <v>125369.21</v>
      </c>
    </row>
    <row r="294" spans="1:35" ht="19.5" customHeight="1">
      <c r="A294" s="25">
        <f t="shared" si="4"/>
        <v>293</v>
      </c>
      <c r="B294" s="26">
        <v>6179188</v>
      </c>
      <c r="C294" s="27">
        <v>45785</v>
      </c>
      <c r="E294" s="29">
        <v>5956</v>
      </c>
      <c r="F294" s="30">
        <v>1534451</v>
      </c>
      <c r="G294" s="27">
        <v>45791</v>
      </c>
      <c r="H294" s="32"/>
      <c r="J294" s="34" t="s">
        <v>159</v>
      </c>
      <c r="K294" t="s">
        <v>160</v>
      </c>
      <c r="M294" s="36" t="s">
        <v>897</v>
      </c>
      <c r="N294" s="37"/>
      <c r="O294" t="s">
        <v>898</v>
      </c>
      <c r="P294" t="s">
        <v>899</v>
      </c>
      <c r="R294" s="38">
        <v>45786</v>
      </c>
      <c r="S294" s="39">
        <v>46515</v>
      </c>
      <c r="T294" s="50" t="s">
        <v>141</v>
      </c>
      <c r="U294" s="47" t="s">
        <v>141</v>
      </c>
      <c r="V294" s="40" t="s">
        <v>827</v>
      </c>
      <c r="W294" s="41" t="s">
        <v>39</v>
      </c>
      <c r="Y294" s="42"/>
      <c r="Z294" t="s">
        <v>81</v>
      </c>
      <c r="AA294" s="62" t="s">
        <v>813</v>
      </c>
      <c r="AB294" s="44">
        <v>45803</v>
      </c>
      <c r="AF294" s="39">
        <v>45863</v>
      </c>
      <c r="AG294" s="48">
        <v>44000</v>
      </c>
      <c r="AH294" s="48">
        <v>34526</v>
      </c>
    </row>
    <row r="295" spans="1:35" ht="19.5" customHeight="1">
      <c r="A295" s="25">
        <f t="shared" si="4"/>
        <v>294</v>
      </c>
      <c r="B295" s="26">
        <v>6179214</v>
      </c>
      <c r="C295" s="27">
        <v>45785</v>
      </c>
      <c r="D295" s="28">
        <v>8572.34</v>
      </c>
      <c r="E295" s="29">
        <v>66500.78</v>
      </c>
      <c r="F295" s="30">
        <v>1534356</v>
      </c>
      <c r="G295" s="27">
        <v>45790</v>
      </c>
      <c r="H295" s="32"/>
      <c r="J295" s="34" t="s">
        <v>33</v>
      </c>
      <c r="K295" t="s">
        <v>34</v>
      </c>
      <c r="L295" s="86">
        <v>242232750</v>
      </c>
      <c r="M295" s="36" t="s">
        <v>900</v>
      </c>
      <c r="N295" s="37"/>
      <c r="P295" s="67" t="s">
        <v>141</v>
      </c>
      <c r="Q295" s="67"/>
      <c r="R295" s="38"/>
      <c r="S295" s="39"/>
      <c r="T295" s="38"/>
      <c r="U295" s="39"/>
      <c r="W295" s="41" t="s">
        <v>39</v>
      </c>
      <c r="AF295" s="47">
        <v>45866</v>
      </c>
      <c r="AG295" s="48"/>
      <c r="AH295" s="48"/>
    </row>
    <row r="296" spans="1:35" ht="19.5" customHeight="1">
      <c r="A296" s="25">
        <f t="shared" si="4"/>
        <v>295</v>
      </c>
      <c r="B296" s="26">
        <v>6179766</v>
      </c>
      <c r="C296" s="27">
        <v>45789</v>
      </c>
      <c r="D296" s="28" t="s">
        <v>141</v>
      </c>
      <c r="E296" s="29">
        <v>2340</v>
      </c>
      <c r="F296" s="30">
        <v>1534325</v>
      </c>
      <c r="G296" s="27">
        <v>45793</v>
      </c>
      <c r="H296" s="28" t="s">
        <v>141</v>
      </c>
      <c r="I296" s="33">
        <v>2340</v>
      </c>
      <c r="J296" s="34" t="s">
        <v>33</v>
      </c>
      <c r="K296" s="66" t="s">
        <v>193</v>
      </c>
      <c r="L296" s="35">
        <v>80005083</v>
      </c>
      <c r="M296" s="36" t="s">
        <v>901</v>
      </c>
      <c r="N296" s="37"/>
      <c r="O296" t="s">
        <v>892</v>
      </c>
      <c r="P296" t="s">
        <v>902</v>
      </c>
      <c r="Q296" t="s">
        <v>903</v>
      </c>
      <c r="R296" s="38">
        <v>45710</v>
      </c>
      <c r="S296" s="39">
        <v>46074</v>
      </c>
      <c r="T296" s="50" t="s">
        <v>141</v>
      </c>
      <c r="U296" s="47" t="s">
        <v>141</v>
      </c>
      <c r="V296" s="40" t="s">
        <v>245</v>
      </c>
      <c r="W296" s="41" t="s">
        <v>39</v>
      </c>
      <c r="Y296" s="42"/>
      <c r="Z296" t="s">
        <v>40</v>
      </c>
      <c r="AA296" s="62" t="s">
        <v>904</v>
      </c>
      <c r="AB296" s="44">
        <v>45818</v>
      </c>
      <c r="AC296" s="63" t="s">
        <v>905</v>
      </c>
      <c r="AD296" s="46">
        <v>45804</v>
      </c>
      <c r="AE296">
        <v>3179289</v>
      </c>
      <c r="AF296" s="39">
        <v>45961</v>
      </c>
      <c r="AG296" s="48">
        <v>94180</v>
      </c>
      <c r="AH296" s="48">
        <v>34265.86</v>
      </c>
    </row>
    <row r="297" spans="1:35" ht="19.5" customHeight="1">
      <c r="A297" s="25">
        <f t="shared" si="4"/>
        <v>296</v>
      </c>
      <c r="C297" s="27">
        <v>45789</v>
      </c>
      <c r="E297" s="29">
        <v>970</v>
      </c>
      <c r="F297" s="30">
        <v>1534105</v>
      </c>
      <c r="G297" s="27">
        <v>45789</v>
      </c>
      <c r="H297" s="32"/>
      <c r="J297" s="34" t="s">
        <v>33</v>
      </c>
      <c r="K297" t="s">
        <v>139</v>
      </c>
      <c r="L297" s="86" t="s">
        <v>141</v>
      </c>
      <c r="M297" s="36" t="s">
        <v>906</v>
      </c>
      <c r="N297" s="37"/>
      <c r="O297" t="s">
        <v>907</v>
      </c>
      <c r="P297" t="s">
        <v>908</v>
      </c>
      <c r="R297" s="38">
        <v>45761</v>
      </c>
      <c r="S297" s="39">
        <v>46125</v>
      </c>
      <c r="T297" s="50" t="s">
        <v>141</v>
      </c>
      <c r="U297" s="47" t="s">
        <v>141</v>
      </c>
      <c r="V297" s="40" t="s">
        <v>909</v>
      </c>
      <c r="W297" s="41" t="s">
        <v>39</v>
      </c>
      <c r="Y297" s="42"/>
      <c r="Z297" t="s">
        <v>40</v>
      </c>
      <c r="AA297" s="43">
        <v>90006848</v>
      </c>
      <c r="AB297" s="44">
        <v>45797</v>
      </c>
      <c r="AC297" s="63">
        <v>60016168</v>
      </c>
      <c r="AF297" s="47">
        <v>45835</v>
      </c>
      <c r="AG297" s="48">
        <v>1417</v>
      </c>
      <c r="AH297" s="48">
        <v>970</v>
      </c>
    </row>
    <row r="298" spans="1:35" ht="19.5" customHeight="1">
      <c r="A298" s="25">
        <f t="shared" si="4"/>
        <v>297</v>
      </c>
      <c r="B298" s="26">
        <v>6179929</v>
      </c>
      <c r="C298" s="27">
        <v>45789</v>
      </c>
      <c r="D298" s="28">
        <v>10020.5</v>
      </c>
      <c r="E298" s="29">
        <v>77735.03</v>
      </c>
      <c r="F298" s="30">
        <v>1534301</v>
      </c>
      <c r="G298" s="27">
        <v>45790</v>
      </c>
      <c r="H298" s="32"/>
      <c r="J298" s="34" t="s">
        <v>33</v>
      </c>
      <c r="K298" t="s">
        <v>34</v>
      </c>
      <c r="L298" s="35">
        <v>292231487</v>
      </c>
      <c r="M298" s="36" t="s">
        <v>910</v>
      </c>
      <c r="N298" s="37"/>
      <c r="O298" t="s">
        <v>852</v>
      </c>
      <c r="P298" t="s">
        <v>853</v>
      </c>
      <c r="R298" s="38">
        <v>45565</v>
      </c>
      <c r="S298" s="39">
        <v>45929</v>
      </c>
      <c r="T298" s="38">
        <v>45764</v>
      </c>
      <c r="U298" s="39">
        <v>46128</v>
      </c>
      <c r="V298" s="40" t="s">
        <v>911</v>
      </c>
      <c r="W298" s="41" t="s">
        <v>39</v>
      </c>
      <c r="Y298" s="42"/>
      <c r="Z298" t="s">
        <v>40</v>
      </c>
      <c r="AF298" s="47">
        <v>45849</v>
      </c>
      <c r="AG298" s="48">
        <v>99146</v>
      </c>
      <c r="AH298" s="48">
        <v>78660.929999999993</v>
      </c>
    </row>
    <row r="299" spans="1:35" ht="19.5" customHeight="1">
      <c r="A299" s="25">
        <f t="shared" si="4"/>
        <v>298</v>
      </c>
      <c r="B299" s="26">
        <v>6180124</v>
      </c>
      <c r="C299" s="27">
        <v>45790</v>
      </c>
      <c r="E299" s="29">
        <v>1467.5</v>
      </c>
      <c r="F299" s="30">
        <v>1535154</v>
      </c>
      <c r="G299" s="27">
        <v>45793</v>
      </c>
      <c r="H299" s="32"/>
      <c r="J299" s="34" t="s">
        <v>159</v>
      </c>
      <c r="K299" t="s">
        <v>160</v>
      </c>
      <c r="L299" s="35" t="s">
        <v>912</v>
      </c>
      <c r="M299" s="36" t="s">
        <v>913</v>
      </c>
      <c r="N299" s="37"/>
      <c r="O299" t="s">
        <v>914</v>
      </c>
      <c r="P299" t="s">
        <v>915</v>
      </c>
      <c r="R299" s="38">
        <v>45733</v>
      </c>
      <c r="S299" s="39">
        <v>46162</v>
      </c>
      <c r="T299" s="50" t="s">
        <v>141</v>
      </c>
      <c r="U299" s="47" t="s">
        <v>141</v>
      </c>
      <c r="V299" s="40" t="s">
        <v>38</v>
      </c>
      <c r="W299" s="41" t="s">
        <v>39</v>
      </c>
      <c r="Y299" s="42"/>
      <c r="Z299" t="s">
        <v>40</v>
      </c>
      <c r="AA299" s="62" t="s">
        <v>813</v>
      </c>
      <c r="AB299" s="44">
        <v>45821</v>
      </c>
      <c r="AF299" s="47">
        <v>45881</v>
      </c>
      <c r="AG299" s="48">
        <v>43118</v>
      </c>
      <c r="AH299" s="48">
        <v>28744.5</v>
      </c>
    </row>
    <row r="300" spans="1:35" ht="19.5" customHeight="1">
      <c r="A300" s="25">
        <f t="shared" si="4"/>
        <v>299</v>
      </c>
      <c r="B300" s="26">
        <v>6180160</v>
      </c>
      <c r="C300" s="27">
        <v>45790</v>
      </c>
      <c r="E300" s="29">
        <v>5940</v>
      </c>
      <c r="F300" s="30">
        <v>1535546</v>
      </c>
      <c r="G300" s="27">
        <v>45797</v>
      </c>
      <c r="H300" s="32"/>
      <c r="J300" s="34" t="s">
        <v>103</v>
      </c>
      <c r="K300" t="s">
        <v>139</v>
      </c>
      <c r="L300" s="35">
        <v>80005079</v>
      </c>
      <c r="M300" s="36" t="s">
        <v>916</v>
      </c>
      <c r="N300" s="37"/>
      <c r="O300" t="s">
        <v>917</v>
      </c>
      <c r="P300" t="s">
        <v>918</v>
      </c>
      <c r="R300" s="38">
        <v>45778</v>
      </c>
      <c r="S300" s="39">
        <v>46142</v>
      </c>
      <c r="T300" s="38">
        <v>45778</v>
      </c>
      <c r="U300" s="39">
        <v>46142</v>
      </c>
      <c r="V300" s="40" t="s">
        <v>375</v>
      </c>
      <c r="W300" s="41" t="s">
        <v>39</v>
      </c>
      <c r="Y300" s="42"/>
      <c r="Z300" t="s">
        <v>40</v>
      </c>
      <c r="AA300" s="62" t="s">
        <v>919</v>
      </c>
      <c r="AB300" s="44">
        <v>45801</v>
      </c>
      <c r="AC300" s="63">
        <v>60016206</v>
      </c>
      <c r="AF300" s="47">
        <v>45835</v>
      </c>
      <c r="AG300" s="48">
        <v>7128</v>
      </c>
      <c r="AH300" s="48">
        <v>5940</v>
      </c>
    </row>
    <row r="301" spans="1:35" ht="19.5" customHeight="1">
      <c r="A301" s="25">
        <f t="shared" si="4"/>
        <v>300</v>
      </c>
      <c r="B301" s="26">
        <v>6180395</v>
      </c>
      <c r="C301" s="27">
        <v>45790</v>
      </c>
      <c r="D301" s="28">
        <v>182.98</v>
      </c>
      <c r="E301" s="29">
        <v>1419.49</v>
      </c>
      <c r="F301" s="30">
        <v>1534430</v>
      </c>
      <c r="G301" s="27">
        <v>45792</v>
      </c>
      <c r="H301" s="32"/>
      <c r="J301" s="34" t="s">
        <v>33</v>
      </c>
      <c r="K301" t="s">
        <v>34</v>
      </c>
      <c r="L301" s="35">
        <v>262227711</v>
      </c>
      <c r="M301" s="36" t="s">
        <v>920</v>
      </c>
      <c r="N301" s="37"/>
      <c r="O301" t="s">
        <v>921</v>
      </c>
      <c r="P301" t="s">
        <v>922</v>
      </c>
      <c r="R301" s="38">
        <v>45839</v>
      </c>
      <c r="S301" s="39">
        <v>46568</v>
      </c>
      <c r="T301" s="38">
        <v>45839</v>
      </c>
      <c r="U301" s="39">
        <v>46568</v>
      </c>
      <c r="V301" s="40" t="s">
        <v>51</v>
      </c>
      <c r="W301" s="41" t="s">
        <v>39</v>
      </c>
      <c r="Z301" t="s">
        <v>40</v>
      </c>
      <c r="AF301" s="47">
        <v>45849</v>
      </c>
      <c r="AG301" s="48">
        <v>12900</v>
      </c>
      <c r="AH301" s="48">
        <v>1436.39</v>
      </c>
    </row>
    <row r="302" spans="1:35" ht="19.5" customHeight="1">
      <c r="A302" s="25">
        <f t="shared" si="4"/>
        <v>301</v>
      </c>
      <c r="B302" s="26">
        <v>6181081</v>
      </c>
      <c r="C302" s="27">
        <v>45792</v>
      </c>
      <c r="E302" s="29">
        <v>647255.09</v>
      </c>
      <c r="F302" s="30">
        <v>1535237</v>
      </c>
      <c r="G302" s="27">
        <v>45797</v>
      </c>
      <c r="H302" s="32"/>
      <c r="J302" s="34" t="s">
        <v>103</v>
      </c>
      <c r="K302" t="s">
        <v>107</v>
      </c>
      <c r="L302" s="86" t="s">
        <v>141</v>
      </c>
      <c r="M302" s="36" t="s">
        <v>923</v>
      </c>
      <c r="N302" s="37"/>
      <c r="O302" t="s">
        <v>924</v>
      </c>
      <c r="P302" t="s">
        <v>925</v>
      </c>
      <c r="R302" s="38">
        <v>45837</v>
      </c>
      <c r="S302" s="39">
        <v>46620</v>
      </c>
      <c r="T302" s="38">
        <v>45837</v>
      </c>
      <c r="U302" s="39">
        <v>46620</v>
      </c>
      <c r="V302" s="40" t="s">
        <v>245</v>
      </c>
      <c r="W302" s="41" t="s">
        <v>39</v>
      </c>
      <c r="Y302" s="42"/>
      <c r="Z302" t="s">
        <v>40</v>
      </c>
      <c r="AA302" s="62" t="s">
        <v>926</v>
      </c>
      <c r="AB302" s="44">
        <v>45799</v>
      </c>
      <c r="AC302" s="63" t="s">
        <v>927</v>
      </c>
      <c r="AF302" s="47">
        <v>45835</v>
      </c>
      <c r="AG302" s="48">
        <v>785700</v>
      </c>
      <c r="AH302" s="48">
        <v>647255.09</v>
      </c>
    </row>
    <row r="303" spans="1:35" ht="19.5" customHeight="1">
      <c r="A303" s="25">
        <f t="shared" si="4"/>
        <v>302</v>
      </c>
      <c r="B303" s="26">
        <v>6181249</v>
      </c>
      <c r="C303" s="27">
        <v>45792</v>
      </c>
      <c r="D303" s="28">
        <v>1055.93</v>
      </c>
      <c r="E303" s="29">
        <v>8191.48</v>
      </c>
      <c r="F303" s="30">
        <v>1535160</v>
      </c>
      <c r="G303" s="27">
        <v>45798</v>
      </c>
      <c r="H303" s="32"/>
      <c r="J303" s="34" t="s">
        <v>33</v>
      </c>
      <c r="K303" t="s">
        <v>34</v>
      </c>
      <c r="L303" s="35">
        <v>491918287</v>
      </c>
      <c r="M303" s="36" t="s">
        <v>928</v>
      </c>
      <c r="N303" s="37"/>
      <c r="O303" s="40" t="s">
        <v>215</v>
      </c>
      <c r="P303" t="s">
        <v>685</v>
      </c>
      <c r="R303" s="38">
        <v>45755</v>
      </c>
      <c r="S303" s="39">
        <v>45590</v>
      </c>
      <c r="T303" s="50">
        <v>45775</v>
      </c>
      <c r="U303" s="47">
        <v>46139</v>
      </c>
      <c r="V303" s="98" t="s">
        <v>85</v>
      </c>
      <c r="W303" s="41" t="s">
        <v>39</v>
      </c>
      <c r="Y303" s="42"/>
      <c r="Z303" t="s">
        <v>40</v>
      </c>
      <c r="AF303" s="47">
        <v>45855</v>
      </c>
      <c r="AG303" s="48">
        <v>440369</v>
      </c>
      <c r="AH303" s="48">
        <v>285901.69</v>
      </c>
    </row>
    <row r="304" spans="1:35" s="112" customFormat="1" ht="19.5" customHeight="1">
      <c r="A304" s="25">
        <f t="shared" si="4"/>
        <v>303</v>
      </c>
      <c r="B304" s="99">
        <v>6181811</v>
      </c>
      <c r="C304" s="100">
        <v>45793</v>
      </c>
      <c r="D304" s="101"/>
      <c r="E304" s="102" t="s">
        <v>141</v>
      </c>
      <c r="F304" s="103" t="s">
        <v>141</v>
      </c>
      <c r="G304" s="104" t="s">
        <v>141</v>
      </c>
      <c r="H304" s="105"/>
      <c r="I304" s="106"/>
      <c r="J304" s="107" t="s">
        <v>929</v>
      </c>
      <c r="K304" s="108" t="s">
        <v>930</v>
      </c>
      <c r="L304" s="109" t="s">
        <v>931</v>
      </c>
      <c r="M304" s="110" t="s">
        <v>932</v>
      </c>
      <c r="N304" s="111"/>
      <c r="O304" s="112" t="s">
        <v>933</v>
      </c>
      <c r="P304" s="112" t="s">
        <v>934</v>
      </c>
      <c r="R304" s="113">
        <v>45867</v>
      </c>
      <c r="S304" s="114">
        <v>46231</v>
      </c>
      <c r="T304" s="113">
        <v>45867</v>
      </c>
      <c r="U304" s="114">
        <v>46231</v>
      </c>
      <c r="V304" s="115" t="s">
        <v>935</v>
      </c>
      <c r="W304" s="116" t="s">
        <v>39</v>
      </c>
      <c r="X304" s="115"/>
      <c r="Y304" s="117"/>
      <c r="Z304" s="112" t="s">
        <v>40</v>
      </c>
      <c r="AA304" s="118"/>
      <c r="AB304" s="119"/>
      <c r="AC304" s="120"/>
      <c r="AD304" s="121"/>
      <c r="AF304" s="122" t="s">
        <v>936</v>
      </c>
      <c r="AG304" s="123">
        <v>672840</v>
      </c>
      <c r="AH304" s="123">
        <v>640800</v>
      </c>
      <c r="AI304" s="124"/>
    </row>
    <row r="305" spans="1:34" ht="19.5" customHeight="1">
      <c r="A305" s="25">
        <f t="shared" si="4"/>
        <v>304</v>
      </c>
      <c r="B305" s="26">
        <v>6182370</v>
      </c>
      <c r="C305" s="27">
        <v>45797</v>
      </c>
      <c r="D305" s="28">
        <v>2236.48</v>
      </c>
      <c r="E305" s="29">
        <v>17349.72</v>
      </c>
      <c r="F305" s="30">
        <v>1536336</v>
      </c>
      <c r="G305" s="27">
        <v>45804</v>
      </c>
      <c r="H305" s="32"/>
      <c r="J305" s="34" t="s">
        <v>103</v>
      </c>
      <c r="K305" s="40" t="s">
        <v>206</v>
      </c>
      <c r="L305" s="35" t="s">
        <v>937</v>
      </c>
      <c r="M305" s="36" t="s">
        <v>938</v>
      </c>
      <c r="N305" s="37"/>
      <c r="O305" t="s">
        <v>939</v>
      </c>
      <c r="P305" t="s">
        <v>940</v>
      </c>
      <c r="R305" s="38">
        <v>45805</v>
      </c>
      <c r="S305" s="39">
        <v>46169</v>
      </c>
      <c r="T305" s="38">
        <v>45805</v>
      </c>
      <c r="U305" s="39">
        <v>46169</v>
      </c>
      <c r="V305" s="40" t="s">
        <v>479</v>
      </c>
      <c r="W305" s="41" t="s">
        <v>39</v>
      </c>
      <c r="Y305" s="42"/>
      <c r="Z305" t="s">
        <v>81</v>
      </c>
      <c r="AA305" s="62" t="s">
        <v>941</v>
      </c>
      <c r="AB305" s="44">
        <v>45807</v>
      </c>
      <c r="AC305" s="63" t="s">
        <v>942</v>
      </c>
      <c r="AF305" s="47">
        <v>45835</v>
      </c>
      <c r="AG305" s="48">
        <v>23045</v>
      </c>
      <c r="AH305" s="48">
        <v>17556.37</v>
      </c>
    </row>
    <row r="306" spans="1:34" ht="19.5" customHeight="1">
      <c r="A306" s="25">
        <f t="shared" si="4"/>
        <v>305</v>
      </c>
      <c r="B306" s="26">
        <v>6182431</v>
      </c>
      <c r="C306" s="27">
        <v>45797</v>
      </c>
      <c r="D306" s="28">
        <v>2700.85</v>
      </c>
      <c r="E306" s="29">
        <v>20952.11</v>
      </c>
      <c r="F306" s="30">
        <v>1536501</v>
      </c>
      <c r="G306" s="27">
        <v>45803</v>
      </c>
      <c r="H306" s="32" t="s">
        <v>943</v>
      </c>
      <c r="J306" s="34" t="s">
        <v>103</v>
      </c>
      <c r="K306" s="40" t="s">
        <v>206</v>
      </c>
      <c r="L306" s="35" t="s">
        <v>944</v>
      </c>
      <c r="M306" s="36" t="s">
        <v>945</v>
      </c>
      <c r="N306" s="37"/>
      <c r="O306" t="s">
        <v>946</v>
      </c>
      <c r="P306" t="s">
        <v>947</v>
      </c>
      <c r="R306" s="38">
        <v>45660</v>
      </c>
      <c r="S306" s="39">
        <v>46778</v>
      </c>
      <c r="T306" s="38">
        <v>45660</v>
      </c>
      <c r="U306" s="39">
        <v>46778</v>
      </c>
      <c r="V306" s="40" t="s">
        <v>948</v>
      </c>
      <c r="W306" s="41" t="s">
        <v>39</v>
      </c>
      <c r="Y306" s="42"/>
      <c r="Z306" t="s">
        <v>81</v>
      </c>
      <c r="AA306" s="62" t="s">
        <v>949</v>
      </c>
      <c r="AB306" s="44">
        <v>45810</v>
      </c>
      <c r="AC306" s="63" t="s">
        <v>950</v>
      </c>
      <c r="AE306">
        <v>3174624</v>
      </c>
      <c r="AF306" s="47">
        <v>45926</v>
      </c>
      <c r="AG306" s="48">
        <v>33300</v>
      </c>
      <c r="AH306" s="48">
        <v>29960.39</v>
      </c>
    </row>
    <row r="307" spans="1:34" ht="19.5" customHeight="1">
      <c r="A307" s="25">
        <f t="shared" si="4"/>
        <v>306</v>
      </c>
      <c r="B307" s="26">
        <v>6183292</v>
      </c>
      <c r="C307" s="27">
        <v>45799</v>
      </c>
      <c r="D307" s="28">
        <v>18654.16</v>
      </c>
      <c r="E307" s="29">
        <v>144711.51</v>
      </c>
      <c r="F307" s="30">
        <v>1536110</v>
      </c>
      <c r="G307" s="27">
        <v>45804</v>
      </c>
      <c r="H307" s="32"/>
      <c r="J307" s="34" t="s">
        <v>33</v>
      </c>
      <c r="K307" t="s">
        <v>34</v>
      </c>
      <c r="L307" s="35">
        <v>352102235</v>
      </c>
      <c r="M307" s="36" t="s">
        <v>951</v>
      </c>
      <c r="N307" s="37"/>
      <c r="O307" t="s">
        <v>952</v>
      </c>
      <c r="P307" t="s">
        <v>953</v>
      </c>
      <c r="R307" s="38">
        <v>45637</v>
      </c>
      <c r="S307" s="39">
        <v>46001</v>
      </c>
      <c r="T307" s="38">
        <v>45839</v>
      </c>
      <c r="U307" s="39">
        <v>46203</v>
      </c>
      <c r="V307" s="40" t="s">
        <v>954</v>
      </c>
      <c r="W307" s="41" t="s">
        <v>39</v>
      </c>
      <c r="Y307" s="42"/>
      <c r="Z307" t="s">
        <v>81</v>
      </c>
      <c r="AF307" s="47">
        <v>45867</v>
      </c>
      <c r="AG307" s="48">
        <v>283082</v>
      </c>
      <c r="AH307" s="48">
        <v>146435.10999999999</v>
      </c>
    </row>
    <row r="308" spans="1:34" ht="19.5" customHeight="1">
      <c r="A308" s="25">
        <f t="shared" si="4"/>
        <v>307</v>
      </c>
      <c r="B308" s="26">
        <v>6183375</v>
      </c>
      <c r="C308" s="27">
        <v>45799</v>
      </c>
      <c r="D308" s="28">
        <v>159.5</v>
      </c>
      <c r="E308" s="29">
        <v>1237.3399999999999</v>
      </c>
      <c r="F308" s="30">
        <v>1536108</v>
      </c>
      <c r="G308" s="27">
        <v>45804</v>
      </c>
      <c r="H308" s="32"/>
      <c r="J308" s="34" t="s">
        <v>33</v>
      </c>
      <c r="K308" t="s">
        <v>34</v>
      </c>
      <c r="L308" s="35">
        <v>252234867</v>
      </c>
      <c r="M308" s="36" t="s">
        <v>955</v>
      </c>
      <c r="N308" s="37"/>
      <c r="O308" t="s">
        <v>956</v>
      </c>
      <c r="P308" t="s">
        <v>957</v>
      </c>
      <c r="R308" s="38">
        <v>45750</v>
      </c>
      <c r="S308" s="39">
        <v>46114</v>
      </c>
      <c r="T308" s="38">
        <v>45750</v>
      </c>
      <c r="U308" s="39">
        <v>46114</v>
      </c>
      <c r="V308" s="40" t="s">
        <v>134</v>
      </c>
      <c r="W308" s="41" t="s">
        <v>39</v>
      </c>
      <c r="Y308" s="42"/>
      <c r="Z308" t="s">
        <v>81</v>
      </c>
      <c r="AF308" s="39">
        <v>45860</v>
      </c>
      <c r="AG308" s="48">
        <v>3520</v>
      </c>
      <c r="AH308" s="48">
        <v>1252.08</v>
      </c>
    </row>
    <row r="309" spans="1:34" ht="19.5" customHeight="1">
      <c r="A309" s="25">
        <f t="shared" si="4"/>
        <v>308</v>
      </c>
      <c r="B309" s="26">
        <v>6183617</v>
      </c>
      <c r="C309" s="27">
        <v>45800</v>
      </c>
      <c r="E309" s="29">
        <v>10275.879999999999</v>
      </c>
      <c r="F309" s="30">
        <v>1536727</v>
      </c>
      <c r="G309" s="27">
        <v>45804</v>
      </c>
      <c r="H309" s="32"/>
      <c r="J309" s="34" t="s">
        <v>103</v>
      </c>
      <c r="K309" t="s">
        <v>398</v>
      </c>
      <c r="L309" s="35" t="s">
        <v>958</v>
      </c>
      <c r="M309" s="36" t="s">
        <v>959</v>
      </c>
      <c r="N309" s="37"/>
      <c r="O309" t="s">
        <v>960</v>
      </c>
      <c r="P309" s="125" t="s">
        <v>961</v>
      </c>
      <c r="Q309" s="125"/>
      <c r="R309" s="38">
        <v>45746</v>
      </c>
      <c r="S309" s="39">
        <v>46110</v>
      </c>
      <c r="T309" s="38">
        <v>45771</v>
      </c>
      <c r="U309" s="39">
        <v>46135</v>
      </c>
      <c r="V309" s="40" t="s">
        <v>962</v>
      </c>
      <c r="W309" s="41" t="s">
        <v>39</v>
      </c>
      <c r="Y309" s="42"/>
      <c r="Z309" t="s">
        <v>40</v>
      </c>
      <c r="AA309" s="62" t="s">
        <v>963</v>
      </c>
      <c r="AB309" s="44">
        <v>45811</v>
      </c>
      <c r="AC309" s="63" t="s">
        <v>963</v>
      </c>
      <c r="AF309" s="47">
        <v>45835</v>
      </c>
      <c r="AG309" s="48">
        <v>19732</v>
      </c>
      <c r="AH309" s="48">
        <v>11755.88</v>
      </c>
    </row>
    <row r="310" spans="1:34" ht="19.5" customHeight="1">
      <c r="A310" s="25">
        <f t="shared" si="4"/>
        <v>309</v>
      </c>
      <c r="B310" s="26">
        <v>6183891</v>
      </c>
      <c r="C310" s="27">
        <v>45800</v>
      </c>
      <c r="E310" s="29">
        <v>66678.240000000005</v>
      </c>
      <c r="F310" s="30">
        <v>1536626</v>
      </c>
      <c r="G310" s="27">
        <v>45804</v>
      </c>
      <c r="H310" s="32"/>
      <c r="J310" s="34" t="s">
        <v>103</v>
      </c>
      <c r="K310" t="s">
        <v>107</v>
      </c>
      <c r="L310" s="86" t="s">
        <v>141</v>
      </c>
      <c r="M310" s="36" t="s">
        <v>964</v>
      </c>
      <c r="N310" s="37"/>
      <c r="O310" t="s">
        <v>965</v>
      </c>
      <c r="P310" t="s">
        <v>966</v>
      </c>
      <c r="R310" s="38">
        <v>45788</v>
      </c>
      <c r="S310" s="39">
        <v>46158</v>
      </c>
      <c r="T310" s="38">
        <v>45794</v>
      </c>
      <c r="U310" s="39">
        <v>46158</v>
      </c>
      <c r="V310" s="40" t="s">
        <v>967</v>
      </c>
      <c r="W310" s="41" t="s">
        <v>39</v>
      </c>
      <c r="Y310" s="42"/>
      <c r="Z310" t="s">
        <v>40</v>
      </c>
      <c r="AA310" s="62" t="s">
        <v>968</v>
      </c>
      <c r="AB310" s="44">
        <v>45806</v>
      </c>
      <c r="AC310" s="63" t="s">
        <v>969</v>
      </c>
      <c r="AF310" s="47">
        <v>45835</v>
      </c>
      <c r="AG310" s="48">
        <v>264461</v>
      </c>
      <c r="AH310" s="48">
        <v>208248.04</v>
      </c>
    </row>
    <row r="311" spans="1:34" ht="19.5" customHeight="1">
      <c r="A311" s="25">
        <f t="shared" si="4"/>
        <v>310</v>
      </c>
      <c r="B311" s="26">
        <v>6184018</v>
      </c>
      <c r="C311" s="27">
        <v>45803</v>
      </c>
      <c r="E311" s="29">
        <v>141569.79999999999</v>
      </c>
      <c r="F311" s="30">
        <v>1536627</v>
      </c>
      <c r="G311" s="27">
        <v>45803</v>
      </c>
      <c r="H311" s="32"/>
      <c r="J311" s="34" t="s">
        <v>103</v>
      </c>
      <c r="K311" t="s">
        <v>107</v>
      </c>
      <c r="L311" s="35">
        <v>6030268</v>
      </c>
      <c r="M311" s="36" t="s">
        <v>970</v>
      </c>
      <c r="N311" s="37"/>
      <c r="O311" t="s">
        <v>965</v>
      </c>
      <c r="P311" t="s">
        <v>966</v>
      </c>
      <c r="R311" s="38">
        <v>45788</v>
      </c>
      <c r="S311" s="39">
        <v>46158</v>
      </c>
      <c r="T311" s="38">
        <v>45788</v>
      </c>
      <c r="U311" s="39">
        <v>46152</v>
      </c>
      <c r="V311" s="40" t="s">
        <v>971</v>
      </c>
      <c r="W311" s="41" t="s">
        <v>39</v>
      </c>
      <c r="Y311" s="42"/>
      <c r="Z311" t="s">
        <v>40</v>
      </c>
      <c r="AA311" s="62" t="s">
        <v>972</v>
      </c>
      <c r="AB311" s="44">
        <v>45806</v>
      </c>
      <c r="AC311" s="63" t="s">
        <v>973</v>
      </c>
      <c r="AF311" s="47">
        <v>45835</v>
      </c>
      <c r="AG311" s="48">
        <v>264461</v>
      </c>
      <c r="AH311" s="48">
        <v>208248.04</v>
      </c>
    </row>
    <row r="312" spans="1:34" ht="19.5" customHeight="1">
      <c r="A312" s="25">
        <f t="shared" si="4"/>
        <v>311</v>
      </c>
      <c r="B312" s="26">
        <v>6184075</v>
      </c>
      <c r="C312" s="27">
        <v>45803</v>
      </c>
      <c r="D312" s="28">
        <v>646.03</v>
      </c>
      <c r="E312" s="29">
        <v>5011.6400000000003</v>
      </c>
      <c r="F312" s="30">
        <v>1537002</v>
      </c>
      <c r="G312" s="27">
        <v>45805</v>
      </c>
      <c r="H312" s="32"/>
      <c r="J312" s="34" t="s">
        <v>33</v>
      </c>
      <c r="K312" t="s">
        <v>34</v>
      </c>
      <c r="L312" s="35">
        <v>272229034</v>
      </c>
      <c r="M312" s="36" t="s">
        <v>974</v>
      </c>
      <c r="N312" s="37"/>
      <c r="O312" t="s">
        <v>975</v>
      </c>
      <c r="P312" t="s">
        <v>976</v>
      </c>
      <c r="R312" s="38">
        <v>45809</v>
      </c>
      <c r="S312" s="39">
        <v>46173</v>
      </c>
      <c r="T312" s="38">
        <v>45713</v>
      </c>
      <c r="U312" s="39">
        <v>46173</v>
      </c>
      <c r="V312" s="40" t="s">
        <v>134</v>
      </c>
      <c r="W312" s="41" t="s">
        <v>39</v>
      </c>
      <c r="Y312" s="42" t="s">
        <v>56</v>
      </c>
      <c r="Z312" t="s">
        <v>81</v>
      </c>
      <c r="AF312" s="39">
        <v>45860</v>
      </c>
      <c r="AG312" s="48">
        <v>5966</v>
      </c>
      <c r="AH312" s="48">
        <v>5071.34</v>
      </c>
    </row>
    <row r="313" spans="1:34" ht="19.5" customHeight="1">
      <c r="A313" s="25">
        <f t="shared" si="4"/>
        <v>312</v>
      </c>
      <c r="B313" s="26">
        <v>6184249</v>
      </c>
      <c r="C313" s="27">
        <v>45803</v>
      </c>
      <c r="E313" s="29">
        <v>48990.2</v>
      </c>
      <c r="F313" s="30">
        <v>1537157</v>
      </c>
      <c r="G313" s="27">
        <v>45806</v>
      </c>
      <c r="H313" s="32"/>
      <c r="J313" s="34" t="s">
        <v>103</v>
      </c>
      <c r="K313" t="s">
        <v>977</v>
      </c>
      <c r="L313" s="126" t="s">
        <v>978</v>
      </c>
      <c r="M313" s="36" t="s">
        <v>979</v>
      </c>
      <c r="N313" s="37"/>
      <c r="O313" t="s">
        <v>980</v>
      </c>
      <c r="P313" t="s">
        <v>981</v>
      </c>
      <c r="R313" s="38">
        <v>45799</v>
      </c>
      <c r="S313" s="39">
        <v>46163</v>
      </c>
      <c r="T313" s="38">
        <v>45798</v>
      </c>
      <c r="U313" s="39">
        <v>46163</v>
      </c>
      <c r="V313" s="40" t="s">
        <v>458</v>
      </c>
      <c r="W313" s="41" t="s">
        <v>39</v>
      </c>
      <c r="Z313" t="s">
        <v>81</v>
      </c>
      <c r="AA313" s="62" t="s">
        <v>982</v>
      </c>
      <c r="AB313" s="44">
        <v>45869</v>
      </c>
      <c r="AC313" s="63" t="s">
        <v>983</v>
      </c>
      <c r="AE313">
        <v>3173298</v>
      </c>
      <c r="AF313" s="47">
        <v>45913</v>
      </c>
      <c r="AG313" s="48">
        <v>67794</v>
      </c>
      <c r="AH313" s="48">
        <v>48990.2</v>
      </c>
    </row>
    <row r="314" spans="1:34" ht="19.5" customHeight="1">
      <c r="A314" s="25">
        <f t="shared" si="4"/>
        <v>313</v>
      </c>
      <c r="B314" s="26">
        <v>6184264</v>
      </c>
      <c r="C314" s="27">
        <v>45803</v>
      </c>
      <c r="E314" s="29">
        <v>22864.22</v>
      </c>
      <c r="F314" s="30">
        <v>1537156</v>
      </c>
      <c r="G314" s="27">
        <v>45806</v>
      </c>
      <c r="H314" s="32"/>
      <c r="J314" s="34" t="s">
        <v>103</v>
      </c>
      <c r="K314" t="s">
        <v>977</v>
      </c>
      <c r="L314" s="126" t="s">
        <v>978</v>
      </c>
      <c r="M314" s="36" t="s">
        <v>984</v>
      </c>
      <c r="N314" s="37"/>
      <c r="O314" t="s">
        <v>985</v>
      </c>
      <c r="P314" t="s">
        <v>986</v>
      </c>
      <c r="R314" s="38">
        <v>45828</v>
      </c>
      <c r="S314" s="39">
        <v>46192</v>
      </c>
      <c r="T314" s="38">
        <v>45827</v>
      </c>
      <c r="U314" s="39">
        <v>46192</v>
      </c>
      <c r="V314" s="40" t="s">
        <v>458</v>
      </c>
      <c r="W314" s="41" t="s">
        <v>39</v>
      </c>
      <c r="Z314" t="s">
        <v>81</v>
      </c>
      <c r="AA314" s="62" t="s">
        <v>987</v>
      </c>
      <c r="AB314" s="44">
        <v>45869</v>
      </c>
      <c r="AC314" s="63" t="s">
        <v>988</v>
      </c>
      <c r="AE314">
        <v>3173296</v>
      </c>
      <c r="AF314" s="47">
        <v>45913</v>
      </c>
      <c r="AG314" s="48">
        <v>31654</v>
      </c>
      <c r="AH314" s="48">
        <v>22864.22</v>
      </c>
    </row>
    <row r="315" spans="1:34" ht="19.5" customHeight="1">
      <c r="A315" s="25">
        <f t="shared" si="4"/>
        <v>314</v>
      </c>
      <c r="B315" s="26">
        <v>6184288</v>
      </c>
      <c r="C315" s="27">
        <v>45803</v>
      </c>
      <c r="D315" s="28">
        <v>304.64</v>
      </c>
      <c r="E315" s="29">
        <v>2363.2800000000002</v>
      </c>
      <c r="F315" s="30">
        <v>1537001</v>
      </c>
      <c r="G315" s="31">
        <v>45807</v>
      </c>
      <c r="H315" s="32"/>
      <c r="J315" s="34" t="s">
        <v>33</v>
      </c>
      <c r="K315" t="s">
        <v>34</v>
      </c>
      <c r="L315" s="35">
        <v>322118723</v>
      </c>
      <c r="M315" s="36" t="s">
        <v>989</v>
      </c>
      <c r="N315" s="37"/>
      <c r="O315" t="s">
        <v>990</v>
      </c>
      <c r="P315" t="s">
        <v>991</v>
      </c>
      <c r="R315" s="50">
        <v>45802</v>
      </c>
      <c r="S315" s="47">
        <v>46166</v>
      </c>
      <c r="T315" s="50">
        <v>45802</v>
      </c>
      <c r="U315" s="47">
        <v>46166</v>
      </c>
      <c r="V315" t="s">
        <v>64</v>
      </c>
      <c r="W315" s="41" t="s">
        <v>39</v>
      </c>
      <c r="X315" s="40" t="s">
        <v>992</v>
      </c>
      <c r="Y315" s="42"/>
      <c r="Z315" t="s">
        <v>40</v>
      </c>
      <c r="AF315" s="47">
        <v>45855</v>
      </c>
      <c r="AG315" s="87">
        <v>195000</v>
      </c>
      <c r="AH315" s="87">
        <v>135381.72</v>
      </c>
    </row>
    <row r="316" spans="1:34" ht="19.5" customHeight="1">
      <c r="A316" s="25">
        <f t="shared" si="4"/>
        <v>315</v>
      </c>
      <c r="B316" s="26">
        <v>6184868</v>
      </c>
      <c r="C316" s="27">
        <v>45804</v>
      </c>
      <c r="D316" s="28">
        <v>4663.79</v>
      </c>
      <c r="E316" s="29">
        <v>36179.82</v>
      </c>
      <c r="F316" s="30">
        <v>1537107</v>
      </c>
      <c r="G316" s="27">
        <v>45805</v>
      </c>
      <c r="H316" s="32"/>
      <c r="J316" s="34" t="s">
        <v>33</v>
      </c>
      <c r="K316" t="s">
        <v>34</v>
      </c>
      <c r="L316" s="35">
        <v>212239310</v>
      </c>
      <c r="M316" s="36" t="s">
        <v>993</v>
      </c>
      <c r="N316" s="37"/>
      <c r="O316" t="s">
        <v>994</v>
      </c>
      <c r="P316" t="s">
        <v>995</v>
      </c>
      <c r="R316" s="38">
        <v>45778</v>
      </c>
      <c r="S316" s="39">
        <v>46142</v>
      </c>
      <c r="T316" s="38">
        <v>45778</v>
      </c>
      <c r="U316" s="39">
        <v>45808</v>
      </c>
      <c r="V316" s="40" t="s">
        <v>38</v>
      </c>
      <c r="W316" s="41" t="s">
        <v>39</v>
      </c>
      <c r="Z316" t="s">
        <v>40</v>
      </c>
      <c r="AF316" s="47">
        <v>45855</v>
      </c>
      <c r="AG316" s="48">
        <v>5924668.9000000004</v>
      </c>
      <c r="AH316" s="48">
        <v>4959112.4400000004</v>
      </c>
    </row>
    <row r="317" spans="1:34" ht="19.5" customHeight="1">
      <c r="A317" s="25">
        <f t="shared" si="4"/>
        <v>316</v>
      </c>
      <c r="B317" s="26">
        <v>6184975</v>
      </c>
      <c r="C317" s="27">
        <v>45805</v>
      </c>
      <c r="D317" s="28">
        <v>55888.12</v>
      </c>
      <c r="E317" s="29">
        <v>433557.68</v>
      </c>
      <c r="F317" s="30">
        <v>1537440</v>
      </c>
      <c r="G317" s="27">
        <v>45807</v>
      </c>
      <c r="H317" s="32"/>
      <c r="J317" s="34" t="s">
        <v>33</v>
      </c>
      <c r="K317" t="s">
        <v>34</v>
      </c>
      <c r="L317" s="35">
        <v>252240725</v>
      </c>
      <c r="M317" s="36" t="s">
        <v>993</v>
      </c>
      <c r="N317" s="37"/>
      <c r="O317" t="s">
        <v>994</v>
      </c>
      <c r="P317" t="s">
        <v>995</v>
      </c>
      <c r="R317" s="38">
        <v>45778</v>
      </c>
      <c r="S317" s="39">
        <v>46142</v>
      </c>
      <c r="T317" s="38">
        <v>45809</v>
      </c>
      <c r="U317" s="39">
        <v>46142</v>
      </c>
      <c r="V317" s="40" t="s">
        <v>38</v>
      </c>
      <c r="W317" s="41" t="s">
        <v>39</v>
      </c>
      <c r="Z317" t="s">
        <v>40</v>
      </c>
      <c r="AF317" s="47">
        <v>45855</v>
      </c>
      <c r="AG317" s="48">
        <v>5924668.9000000004</v>
      </c>
      <c r="AH317" s="48">
        <v>4959112.4400000004</v>
      </c>
    </row>
    <row r="318" spans="1:34" ht="19.5" customHeight="1">
      <c r="A318" s="25">
        <f t="shared" si="4"/>
        <v>317</v>
      </c>
      <c r="B318" s="26">
        <v>6185110</v>
      </c>
      <c r="C318" s="27">
        <v>45805</v>
      </c>
      <c r="D318" s="28">
        <v>28098.92</v>
      </c>
      <c r="E318" s="29">
        <v>217980.18</v>
      </c>
      <c r="F318" s="30">
        <v>1537494</v>
      </c>
      <c r="G318" s="27">
        <v>45807</v>
      </c>
      <c r="H318" s="32"/>
      <c r="J318" s="34" t="s">
        <v>33</v>
      </c>
      <c r="K318" t="s">
        <v>34</v>
      </c>
      <c r="L318" s="35">
        <v>292231243</v>
      </c>
      <c r="M318" s="36" t="s">
        <v>996</v>
      </c>
      <c r="N318" s="37"/>
      <c r="O318" t="s">
        <v>997</v>
      </c>
      <c r="P318" t="s">
        <v>998</v>
      </c>
      <c r="R318" s="38">
        <v>45839</v>
      </c>
      <c r="S318" s="39">
        <v>46203</v>
      </c>
      <c r="T318" s="38">
        <v>45839</v>
      </c>
      <c r="U318" s="39">
        <v>46203</v>
      </c>
      <c r="V318" s="40" t="s">
        <v>954</v>
      </c>
      <c r="W318" s="41" t="s">
        <v>39</v>
      </c>
      <c r="Y318" s="42"/>
      <c r="Z318" t="s">
        <v>81</v>
      </c>
      <c r="AF318" s="47">
        <v>45881</v>
      </c>
      <c r="AG318" s="48">
        <v>318000</v>
      </c>
      <c r="AH318" s="48">
        <v>231756.52</v>
      </c>
    </row>
    <row r="319" spans="1:34" ht="19.5" customHeight="1">
      <c r="A319" s="25">
        <f t="shared" si="4"/>
        <v>318</v>
      </c>
      <c r="B319" s="26">
        <v>6185121</v>
      </c>
      <c r="C319" s="27">
        <v>45805</v>
      </c>
      <c r="E319" s="127">
        <v>10480</v>
      </c>
      <c r="F319" s="30" t="s">
        <v>999</v>
      </c>
      <c r="G319" s="27">
        <v>45806</v>
      </c>
      <c r="H319" s="32"/>
      <c r="I319" s="33">
        <v>10480</v>
      </c>
      <c r="J319" s="34" t="s">
        <v>33</v>
      </c>
      <c r="K319" t="s">
        <v>139</v>
      </c>
      <c r="L319" s="86" t="s">
        <v>141</v>
      </c>
      <c r="M319" s="36" t="s">
        <v>1000</v>
      </c>
      <c r="N319" s="37"/>
      <c r="O319" t="s">
        <v>997</v>
      </c>
      <c r="P319" t="s">
        <v>998</v>
      </c>
      <c r="R319" s="38">
        <v>45839</v>
      </c>
      <c r="S319" s="39">
        <v>46203</v>
      </c>
      <c r="T319" s="50" t="s">
        <v>141</v>
      </c>
      <c r="U319" s="47" t="s">
        <v>141</v>
      </c>
      <c r="V319" s="40" t="s">
        <v>954</v>
      </c>
      <c r="W319" s="41" t="s">
        <v>39</v>
      </c>
      <c r="Y319" s="42" t="s">
        <v>185</v>
      </c>
      <c r="Z319" t="s">
        <v>81</v>
      </c>
      <c r="AA319" s="62">
        <v>90006914</v>
      </c>
      <c r="AB319" s="44">
        <v>45828</v>
      </c>
      <c r="AC319" s="63">
        <v>60016304</v>
      </c>
      <c r="AE319" s="128">
        <v>3196647</v>
      </c>
      <c r="AF319" s="39">
        <v>46085</v>
      </c>
      <c r="AG319" s="48">
        <v>318000</v>
      </c>
      <c r="AH319" s="48">
        <v>231756.52</v>
      </c>
    </row>
    <row r="320" spans="1:34" ht="19.5" customHeight="1">
      <c r="A320" s="25">
        <f t="shared" si="4"/>
        <v>319</v>
      </c>
      <c r="B320" s="26">
        <v>6185474</v>
      </c>
      <c r="C320" s="27">
        <v>45806</v>
      </c>
      <c r="D320" s="28">
        <v>224.1</v>
      </c>
      <c r="E320" s="29">
        <v>1738.48</v>
      </c>
      <c r="F320" s="30">
        <v>1537381</v>
      </c>
      <c r="G320" s="27">
        <v>45806</v>
      </c>
      <c r="H320" s="32"/>
      <c r="J320" s="34" t="s">
        <v>33</v>
      </c>
      <c r="K320" t="s">
        <v>34</v>
      </c>
      <c r="L320" s="35">
        <v>302138149</v>
      </c>
      <c r="M320" s="36" t="s">
        <v>1001</v>
      </c>
      <c r="N320" s="37" t="s">
        <v>1002</v>
      </c>
      <c r="O320" t="s">
        <v>1003</v>
      </c>
      <c r="P320" t="s">
        <v>1004</v>
      </c>
      <c r="R320" s="38">
        <v>45839</v>
      </c>
      <c r="S320" s="39">
        <v>46203</v>
      </c>
      <c r="T320" s="38">
        <v>45839</v>
      </c>
      <c r="U320" s="39">
        <v>46203</v>
      </c>
      <c r="V320" s="40" t="s">
        <v>128</v>
      </c>
      <c r="W320" s="41" t="s">
        <v>39</v>
      </c>
      <c r="Y320" s="42"/>
      <c r="Z320" t="s">
        <v>40</v>
      </c>
      <c r="AF320" s="47">
        <v>45855</v>
      </c>
      <c r="AG320" s="48">
        <v>48254</v>
      </c>
      <c r="AH320" s="48">
        <v>1759.19</v>
      </c>
    </row>
    <row r="321" spans="1:34" ht="19.5" customHeight="1">
      <c r="A321" s="25">
        <f t="shared" si="4"/>
        <v>320</v>
      </c>
      <c r="B321" s="26">
        <v>6185665</v>
      </c>
      <c r="C321" s="27">
        <v>45807</v>
      </c>
      <c r="D321" s="28">
        <v>139.56</v>
      </c>
      <c r="E321" s="29">
        <v>1082.6500000000001</v>
      </c>
      <c r="F321" s="30">
        <v>1537495</v>
      </c>
      <c r="G321" s="27">
        <v>45807</v>
      </c>
      <c r="H321" s="32"/>
      <c r="J321" s="34" t="s">
        <v>33</v>
      </c>
      <c r="K321" t="s">
        <v>34</v>
      </c>
      <c r="L321" s="35">
        <v>292233641</v>
      </c>
      <c r="M321" s="36" t="s">
        <v>1005</v>
      </c>
      <c r="N321" s="37"/>
      <c r="O321" t="s">
        <v>1006</v>
      </c>
      <c r="P321" t="s">
        <v>1007</v>
      </c>
      <c r="R321" s="38">
        <v>45658</v>
      </c>
      <c r="S321" s="39">
        <v>46022</v>
      </c>
      <c r="T321" s="38">
        <v>45781</v>
      </c>
      <c r="U321" s="39">
        <v>46145</v>
      </c>
      <c r="V321" s="40" t="s">
        <v>38</v>
      </c>
      <c r="W321" s="41" t="s">
        <v>39</v>
      </c>
      <c r="Z321" t="s">
        <v>81</v>
      </c>
      <c r="AF321" s="47">
        <v>45867</v>
      </c>
      <c r="AG321" s="48">
        <v>299873</v>
      </c>
      <c r="AH321" s="48">
        <v>15150.02</v>
      </c>
    </row>
    <row r="322" spans="1:34" ht="19.5" customHeight="1">
      <c r="A322" s="25">
        <f t="shared" si="4"/>
        <v>321</v>
      </c>
      <c r="B322" s="26">
        <v>6185781</v>
      </c>
      <c r="C322" s="27">
        <v>45807</v>
      </c>
      <c r="E322" s="29">
        <v>70000</v>
      </c>
      <c r="F322" s="30">
        <v>1538313</v>
      </c>
      <c r="G322" s="27">
        <v>45818</v>
      </c>
      <c r="H322" s="32"/>
      <c r="J322" s="34" t="s">
        <v>843</v>
      </c>
      <c r="K322" t="s">
        <v>1008</v>
      </c>
      <c r="L322" s="35" t="s">
        <v>1009</v>
      </c>
      <c r="M322" s="36" t="s">
        <v>1010</v>
      </c>
      <c r="N322" s="37"/>
      <c r="O322" t="s">
        <v>1011</v>
      </c>
      <c r="P322" t="s">
        <v>1012</v>
      </c>
      <c r="R322" s="38">
        <v>45614</v>
      </c>
      <c r="S322" s="39">
        <v>45978</v>
      </c>
      <c r="T322" s="38">
        <v>45614</v>
      </c>
      <c r="U322" s="39">
        <v>45978</v>
      </c>
      <c r="V322" s="40" t="s">
        <v>1013</v>
      </c>
      <c r="W322" s="41" t="s">
        <v>39</v>
      </c>
      <c r="X322" s="40" t="s">
        <v>1011</v>
      </c>
      <c r="Y322" s="42"/>
      <c r="Z322" t="s">
        <v>81</v>
      </c>
      <c r="AC322" s="63" t="s">
        <v>1014</v>
      </c>
      <c r="AD322" s="46">
        <v>45980</v>
      </c>
      <c r="AE322">
        <v>3183329</v>
      </c>
      <c r="AF322" s="39">
        <v>45989</v>
      </c>
      <c r="AG322" s="129" t="s">
        <v>141</v>
      </c>
      <c r="AH322" s="129" t="s">
        <v>141</v>
      </c>
    </row>
    <row r="323" spans="1:34" ht="19.5" customHeight="1">
      <c r="A323" s="25">
        <f t="shared" si="4"/>
        <v>322</v>
      </c>
      <c r="B323" s="26">
        <v>6186534</v>
      </c>
      <c r="C323" s="27">
        <v>45811</v>
      </c>
      <c r="D323" s="28">
        <v>825.96</v>
      </c>
      <c r="E323" s="29">
        <v>6472.22</v>
      </c>
      <c r="F323" s="30">
        <v>1538009</v>
      </c>
      <c r="G323" s="27">
        <v>45812</v>
      </c>
      <c r="H323" s="32"/>
      <c r="J323" s="34" t="s">
        <v>103</v>
      </c>
      <c r="K323" s="40" t="s">
        <v>206</v>
      </c>
      <c r="L323" s="35" t="s">
        <v>1015</v>
      </c>
      <c r="M323" s="36" t="s">
        <v>1016</v>
      </c>
      <c r="N323" s="37"/>
      <c r="O323" t="s">
        <v>1017</v>
      </c>
      <c r="P323" t="s">
        <v>1018</v>
      </c>
      <c r="R323" s="38">
        <v>45785</v>
      </c>
      <c r="S323" s="39">
        <v>46540</v>
      </c>
      <c r="T323" s="38">
        <v>45785</v>
      </c>
      <c r="U323" s="39">
        <v>46540</v>
      </c>
      <c r="V323" s="40" t="s">
        <v>128</v>
      </c>
      <c r="W323" s="41" t="s">
        <v>39</v>
      </c>
      <c r="Y323" s="42"/>
      <c r="Z323" t="s">
        <v>81</v>
      </c>
      <c r="AA323" s="62" t="s">
        <v>1019</v>
      </c>
      <c r="AB323" s="44">
        <v>45821</v>
      </c>
      <c r="AC323" s="63" t="s">
        <v>1020</v>
      </c>
      <c r="AF323" s="47">
        <v>45835</v>
      </c>
      <c r="AG323" s="48">
        <v>81676</v>
      </c>
      <c r="AH323" s="48">
        <v>6483.79</v>
      </c>
    </row>
    <row r="324" spans="1:34" ht="19.5" customHeight="1">
      <c r="A324" s="25">
        <f t="shared" ref="A324:A387" si="5">A323+1</f>
        <v>323</v>
      </c>
      <c r="B324" s="26">
        <v>6186915</v>
      </c>
      <c r="C324" s="27">
        <v>45812</v>
      </c>
      <c r="D324" s="28">
        <v>4921.5</v>
      </c>
      <c r="E324" s="29">
        <v>38564.870000000003</v>
      </c>
      <c r="F324" s="30">
        <v>1538072</v>
      </c>
      <c r="G324" s="27">
        <v>45812</v>
      </c>
      <c r="H324" s="32"/>
      <c r="J324" s="34" t="s">
        <v>103</v>
      </c>
      <c r="K324" s="40" t="s">
        <v>206</v>
      </c>
      <c r="L324" s="35" t="s">
        <v>1021</v>
      </c>
      <c r="M324" s="36" t="s">
        <v>1022</v>
      </c>
      <c r="N324" s="37"/>
      <c r="O324" t="s">
        <v>1023</v>
      </c>
      <c r="P324" t="s">
        <v>1024</v>
      </c>
      <c r="R324" s="38">
        <v>45821</v>
      </c>
      <c r="S324" s="39">
        <v>46185</v>
      </c>
      <c r="T324" s="38">
        <v>45821</v>
      </c>
      <c r="U324" s="39">
        <v>46185</v>
      </c>
      <c r="V324" s="40" t="s">
        <v>1025</v>
      </c>
      <c r="W324" s="41" t="s">
        <v>39</v>
      </c>
      <c r="Y324" s="42"/>
      <c r="Z324" t="s">
        <v>81</v>
      </c>
      <c r="AA324" s="62" t="s">
        <v>1026</v>
      </c>
      <c r="AB324" s="44">
        <v>45818</v>
      </c>
      <c r="AC324" s="63" t="s">
        <v>1027</v>
      </c>
      <c r="AE324">
        <v>3174653</v>
      </c>
      <c r="AF324" s="47">
        <v>45926</v>
      </c>
      <c r="AG324" s="48">
        <v>49990</v>
      </c>
      <c r="AH324" s="48">
        <v>38633.78</v>
      </c>
    </row>
    <row r="325" spans="1:34" ht="19.5" customHeight="1">
      <c r="A325" s="25">
        <f t="shared" si="5"/>
        <v>324</v>
      </c>
      <c r="B325" s="26">
        <v>6186971</v>
      </c>
      <c r="C325" s="27">
        <v>45812</v>
      </c>
      <c r="E325" s="29">
        <v>111468.91</v>
      </c>
      <c r="F325" s="30">
        <v>1539207</v>
      </c>
      <c r="G325" s="27">
        <v>45821</v>
      </c>
      <c r="H325" s="32"/>
      <c r="J325" s="34" t="s">
        <v>103</v>
      </c>
      <c r="K325" t="s">
        <v>107</v>
      </c>
      <c r="L325" s="86" t="s">
        <v>141</v>
      </c>
      <c r="M325" s="36" t="s">
        <v>1028</v>
      </c>
      <c r="N325" s="37"/>
      <c r="O325" t="s">
        <v>1029</v>
      </c>
      <c r="P325" t="s">
        <v>1030</v>
      </c>
      <c r="R325" s="38">
        <v>45793</v>
      </c>
      <c r="S325" s="39">
        <v>46157</v>
      </c>
      <c r="T325" s="38">
        <v>45722</v>
      </c>
      <c r="U325" s="39">
        <v>46157</v>
      </c>
      <c r="V325" s="40" t="s">
        <v>690</v>
      </c>
      <c r="W325" s="41" t="s">
        <v>39</v>
      </c>
      <c r="Y325" s="42"/>
      <c r="Z325" t="s">
        <v>40</v>
      </c>
      <c r="AA325" s="62" t="s">
        <v>1031</v>
      </c>
      <c r="AB325" s="44">
        <v>45831</v>
      </c>
      <c r="AC325" s="63" t="s">
        <v>1032</v>
      </c>
      <c r="AE325">
        <v>3175285</v>
      </c>
      <c r="AF325" s="39">
        <v>45930</v>
      </c>
      <c r="AG325" s="48">
        <v>119990</v>
      </c>
      <c r="AH325" s="48">
        <v>111468.91</v>
      </c>
    </row>
    <row r="326" spans="1:34" ht="19.5" customHeight="1">
      <c r="A326" s="25">
        <f t="shared" si="5"/>
        <v>325</v>
      </c>
      <c r="B326" s="26">
        <v>6186990</v>
      </c>
      <c r="C326" s="27">
        <v>45812</v>
      </c>
      <c r="D326" s="28">
        <v>28843.200000000001</v>
      </c>
      <c r="E326" s="29">
        <v>226015.32</v>
      </c>
      <c r="F326" s="30">
        <v>1538431</v>
      </c>
      <c r="G326" s="27">
        <v>45817</v>
      </c>
      <c r="H326" s="32"/>
      <c r="J326" s="34" t="s">
        <v>384</v>
      </c>
      <c r="K326" t="s">
        <v>34</v>
      </c>
      <c r="L326" s="35">
        <v>99333046</v>
      </c>
      <c r="M326" s="36" t="s">
        <v>1033</v>
      </c>
      <c r="N326" s="37"/>
      <c r="O326" t="s">
        <v>1034</v>
      </c>
      <c r="P326" t="s">
        <v>1035</v>
      </c>
      <c r="R326" s="38">
        <v>45809</v>
      </c>
      <c r="S326" s="39">
        <v>46203</v>
      </c>
      <c r="T326" s="38">
        <v>45857</v>
      </c>
      <c r="U326" s="39">
        <v>46221</v>
      </c>
      <c r="V326" s="40" t="s">
        <v>51</v>
      </c>
      <c r="W326" s="41" t="s">
        <v>39</v>
      </c>
      <c r="Y326" s="42"/>
      <c r="Z326" t="s">
        <v>40</v>
      </c>
      <c r="AF326" s="47">
        <v>45867</v>
      </c>
      <c r="AG326" s="48">
        <v>500000</v>
      </c>
      <c r="AH326" s="48">
        <v>305752.48</v>
      </c>
    </row>
    <row r="327" spans="1:34" ht="19.5" customHeight="1">
      <c r="A327" s="25">
        <f t="shared" si="5"/>
        <v>326</v>
      </c>
      <c r="B327" s="26">
        <v>6187208</v>
      </c>
      <c r="C327" s="27">
        <v>45813</v>
      </c>
      <c r="D327" s="28">
        <v>1242</v>
      </c>
      <c r="E327" s="29">
        <v>9732.31</v>
      </c>
      <c r="F327" s="30">
        <v>1538263</v>
      </c>
      <c r="G327" s="27">
        <v>45814</v>
      </c>
      <c r="H327" s="32"/>
      <c r="J327" s="34" t="s">
        <v>384</v>
      </c>
      <c r="K327" t="s">
        <v>34</v>
      </c>
      <c r="L327" s="35">
        <v>252236379</v>
      </c>
      <c r="M327" s="36" t="s">
        <v>1036</v>
      </c>
      <c r="N327" s="37"/>
      <c r="O327" t="s">
        <v>1037</v>
      </c>
      <c r="P327" t="s">
        <v>1038</v>
      </c>
      <c r="R327" s="38">
        <v>45849</v>
      </c>
      <c r="S327" s="39">
        <v>46213</v>
      </c>
      <c r="T327" s="38">
        <v>45849</v>
      </c>
      <c r="U327" s="39">
        <v>46213</v>
      </c>
      <c r="V327" s="40" t="s">
        <v>245</v>
      </c>
      <c r="W327" s="41" t="s">
        <v>39</v>
      </c>
      <c r="Y327" s="42"/>
      <c r="Z327" t="s">
        <v>81</v>
      </c>
      <c r="AF327" s="47">
        <v>45855</v>
      </c>
      <c r="AG327" s="48">
        <v>12187</v>
      </c>
      <c r="AH327" s="48">
        <v>9749.7000000000007</v>
      </c>
    </row>
    <row r="328" spans="1:34" ht="19.5" customHeight="1">
      <c r="A328" s="25">
        <f t="shared" si="5"/>
        <v>327</v>
      </c>
      <c r="B328" s="26">
        <v>6187276</v>
      </c>
      <c r="C328" s="27">
        <v>45813</v>
      </c>
      <c r="E328" s="29">
        <v>871.52</v>
      </c>
      <c r="F328" s="30">
        <v>1538642</v>
      </c>
      <c r="G328" s="27">
        <v>45818</v>
      </c>
      <c r="H328" s="32"/>
      <c r="J328" s="34" t="s">
        <v>159</v>
      </c>
      <c r="K328" t="s">
        <v>160</v>
      </c>
      <c r="L328" s="35" t="s">
        <v>1039</v>
      </c>
      <c r="M328" s="36" t="s">
        <v>1040</v>
      </c>
      <c r="N328" s="37"/>
      <c r="O328" t="s">
        <v>1041</v>
      </c>
      <c r="P328" t="s">
        <v>1042</v>
      </c>
      <c r="R328" s="38">
        <v>45809</v>
      </c>
      <c r="S328" s="39">
        <v>46660</v>
      </c>
      <c r="T328" s="50" t="s">
        <v>141</v>
      </c>
      <c r="U328" s="47" t="s">
        <v>141</v>
      </c>
      <c r="V328" s="40" t="s">
        <v>44</v>
      </c>
      <c r="W328" s="41" t="s">
        <v>39</v>
      </c>
      <c r="Y328" s="42"/>
      <c r="Z328" t="s">
        <v>40</v>
      </c>
      <c r="AA328" s="62" t="s">
        <v>813</v>
      </c>
      <c r="AB328" s="44">
        <v>45845</v>
      </c>
      <c r="AE328">
        <v>3173482</v>
      </c>
      <c r="AF328" s="47">
        <v>45916</v>
      </c>
      <c r="AG328" s="48">
        <v>107506</v>
      </c>
      <c r="AH328" s="48">
        <v>40871.519999999997</v>
      </c>
    </row>
    <row r="329" spans="1:34" ht="19.5" customHeight="1">
      <c r="A329" s="25">
        <f t="shared" si="5"/>
        <v>328</v>
      </c>
      <c r="B329" s="26">
        <v>6187688</v>
      </c>
      <c r="C329" s="27">
        <v>45814</v>
      </c>
      <c r="D329" s="28">
        <v>872.3</v>
      </c>
      <c r="E329" s="29">
        <v>6835.34</v>
      </c>
      <c r="F329" s="30">
        <v>1538525</v>
      </c>
      <c r="G329" s="27">
        <v>45819</v>
      </c>
      <c r="H329" s="32"/>
      <c r="J329" s="34" t="s">
        <v>33</v>
      </c>
      <c r="K329" t="s">
        <v>34</v>
      </c>
      <c r="L329" s="35">
        <v>252200929</v>
      </c>
      <c r="M329" s="36" t="s">
        <v>1043</v>
      </c>
      <c r="N329" s="37"/>
      <c r="O329" t="s">
        <v>1044</v>
      </c>
      <c r="P329" t="s">
        <v>1045</v>
      </c>
      <c r="R329" s="38">
        <v>45827</v>
      </c>
      <c r="S329" s="39">
        <v>46351</v>
      </c>
      <c r="T329" s="38">
        <v>45893</v>
      </c>
      <c r="U329" s="39">
        <v>46351</v>
      </c>
      <c r="V329" s="40" t="s">
        <v>954</v>
      </c>
      <c r="W329" s="41" t="s">
        <v>39</v>
      </c>
      <c r="Y329" s="42" t="s">
        <v>56</v>
      </c>
      <c r="Z329" t="s">
        <v>81</v>
      </c>
      <c r="AF329" s="47">
        <v>45867</v>
      </c>
      <c r="AG329" s="48">
        <v>27860</v>
      </c>
      <c r="AH329" s="48">
        <v>6847.56</v>
      </c>
    </row>
    <row r="330" spans="1:34" ht="19.5" customHeight="1">
      <c r="A330" s="25">
        <f t="shared" si="5"/>
        <v>329</v>
      </c>
      <c r="B330" s="26">
        <v>6187827</v>
      </c>
      <c r="C330" s="27">
        <v>45817</v>
      </c>
      <c r="D330" s="28">
        <v>4703.6000000000004</v>
      </c>
      <c r="E330" s="29">
        <v>36857.410000000003</v>
      </c>
      <c r="F330" s="30">
        <v>1538554</v>
      </c>
      <c r="G330" s="27">
        <v>45818</v>
      </c>
      <c r="H330" s="32"/>
      <c r="J330" s="34" t="s">
        <v>33</v>
      </c>
      <c r="K330" t="s">
        <v>34</v>
      </c>
      <c r="L330" s="35">
        <v>202239028</v>
      </c>
      <c r="M330" s="36" t="s">
        <v>1046</v>
      </c>
      <c r="N330" s="37"/>
      <c r="O330" t="s">
        <v>1047</v>
      </c>
      <c r="P330" t="s">
        <v>1048</v>
      </c>
      <c r="R330" s="38">
        <v>45823</v>
      </c>
      <c r="S330" s="39">
        <v>46187</v>
      </c>
      <c r="T330" s="38">
        <v>45931</v>
      </c>
      <c r="U330" s="39">
        <v>46295</v>
      </c>
      <c r="V330" s="40" t="s">
        <v>55</v>
      </c>
      <c r="W330" s="41" t="s">
        <v>39</v>
      </c>
      <c r="Y330" s="42"/>
      <c r="Z330" t="s">
        <v>40</v>
      </c>
      <c r="AE330">
        <v>3175920</v>
      </c>
      <c r="AF330" s="39">
        <v>45938</v>
      </c>
      <c r="AG330" s="48">
        <v>142320</v>
      </c>
      <c r="AH330" s="48">
        <v>128078.17</v>
      </c>
    </row>
    <row r="331" spans="1:34" ht="19.5" customHeight="1">
      <c r="A331" s="25">
        <f t="shared" si="5"/>
        <v>330</v>
      </c>
      <c r="B331" s="26">
        <v>6187888</v>
      </c>
      <c r="C331" s="27">
        <v>45817</v>
      </c>
      <c r="D331" s="28">
        <v>11612.1</v>
      </c>
      <c r="E331" s="29">
        <v>90992.42</v>
      </c>
      <c r="F331" s="30">
        <v>1538555</v>
      </c>
      <c r="G331" s="27">
        <v>45819</v>
      </c>
      <c r="H331" s="32"/>
      <c r="J331" s="34" t="s">
        <v>33</v>
      </c>
      <c r="K331" t="s">
        <v>34</v>
      </c>
      <c r="L331" s="35">
        <v>202239027</v>
      </c>
      <c r="M331" s="36" t="s">
        <v>1049</v>
      </c>
      <c r="N331" s="37"/>
      <c r="O331" t="s">
        <v>1047</v>
      </c>
      <c r="P331" t="s">
        <v>1048</v>
      </c>
      <c r="R331" s="38">
        <v>45823</v>
      </c>
      <c r="S331" s="39">
        <v>46187</v>
      </c>
      <c r="T331" s="38">
        <v>45775</v>
      </c>
      <c r="U331" s="39">
        <v>46187</v>
      </c>
      <c r="V331" s="40" t="s">
        <v>55</v>
      </c>
      <c r="W331" s="41" t="s">
        <v>39</v>
      </c>
      <c r="Y331" s="42"/>
      <c r="Z331" t="s">
        <v>40</v>
      </c>
      <c r="AE331">
        <v>3175922</v>
      </c>
      <c r="AF331" s="39">
        <v>45938</v>
      </c>
      <c r="AG331" s="48">
        <v>142320</v>
      </c>
      <c r="AH331" s="48">
        <v>128078.17</v>
      </c>
    </row>
    <row r="332" spans="1:34" ht="19.5" customHeight="1">
      <c r="A332" s="25">
        <f t="shared" si="5"/>
        <v>331</v>
      </c>
      <c r="B332" s="26">
        <v>6188386</v>
      </c>
      <c r="C332" s="27">
        <v>45818</v>
      </c>
      <c r="D332" s="28">
        <v>5780.64</v>
      </c>
      <c r="E332" s="29">
        <v>45297.1</v>
      </c>
      <c r="F332" s="30">
        <v>1538751</v>
      </c>
      <c r="G332" s="27">
        <v>45820</v>
      </c>
      <c r="H332" s="32"/>
      <c r="J332" s="34" t="s">
        <v>33</v>
      </c>
      <c r="K332" t="s">
        <v>34</v>
      </c>
      <c r="L332" s="35">
        <v>382144260</v>
      </c>
      <c r="M332" s="36" t="s">
        <v>1050</v>
      </c>
      <c r="N332" s="37"/>
      <c r="O332" t="s">
        <v>1051</v>
      </c>
      <c r="P332" t="s">
        <v>1052</v>
      </c>
      <c r="R332" s="38">
        <v>45827</v>
      </c>
      <c r="S332" s="39">
        <v>46922</v>
      </c>
      <c r="T332" s="38">
        <v>45827</v>
      </c>
      <c r="U332" s="39">
        <v>46922</v>
      </c>
      <c r="V332" s="40" t="s">
        <v>60</v>
      </c>
      <c r="W332" s="41" t="s">
        <v>39</v>
      </c>
      <c r="Y332" s="42" t="s">
        <v>56</v>
      </c>
      <c r="Z332" t="s">
        <v>40</v>
      </c>
      <c r="AF332" s="39">
        <v>45860</v>
      </c>
      <c r="AG332" s="48">
        <v>58680</v>
      </c>
      <c r="AH332" s="48">
        <v>45378.02</v>
      </c>
    </row>
    <row r="333" spans="1:34" ht="19.5" customHeight="1">
      <c r="A333" s="25">
        <f t="shared" si="5"/>
        <v>332</v>
      </c>
      <c r="B333" s="26">
        <v>6188486</v>
      </c>
      <c r="C333" s="27">
        <v>45818</v>
      </c>
      <c r="D333" s="28">
        <v>207.35</v>
      </c>
      <c r="E333" s="29">
        <v>1624.79</v>
      </c>
      <c r="F333" s="30">
        <v>1538752</v>
      </c>
      <c r="G333" s="27">
        <v>45820</v>
      </c>
      <c r="H333" s="32"/>
      <c r="J333" s="34" t="s">
        <v>33</v>
      </c>
      <c r="K333" t="s">
        <v>34</v>
      </c>
      <c r="L333" s="35">
        <v>272236413</v>
      </c>
      <c r="M333" s="36" t="s">
        <v>1053</v>
      </c>
      <c r="N333" s="37"/>
      <c r="O333" t="s">
        <v>1054</v>
      </c>
      <c r="P333" t="s">
        <v>1055</v>
      </c>
      <c r="R333" s="38">
        <v>45921</v>
      </c>
      <c r="S333" s="39">
        <v>46285</v>
      </c>
      <c r="T333" s="38">
        <v>45921</v>
      </c>
      <c r="U333" s="39">
        <v>46285</v>
      </c>
      <c r="V333" s="40" t="s">
        <v>1056</v>
      </c>
      <c r="W333" s="41" t="s">
        <v>39</v>
      </c>
      <c r="Y333" s="42" t="s">
        <v>56</v>
      </c>
      <c r="Z333" t="s">
        <v>40</v>
      </c>
      <c r="AF333" s="39">
        <v>45860</v>
      </c>
      <c r="AG333" s="48">
        <v>3500</v>
      </c>
      <c r="AH333" s="48">
        <v>1627.69</v>
      </c>
    </row>
    <row r="334" spans="1:34" ht="19.5" customHeight="1">
      <c r="A334" s="25">
        <f t="shared" si="5"/>
        <v>333</v>
      </c>
      <c r="B334" s="26">
        <v>6188554</v>
      </c>
      <c r="C334" s="27">
        <v>45818</v>
      </c>
      <c r="D334" s="28">
        <v>5754.38</v>
      </c>
      <c r="E334" s="29">
        <v>45091.32</v>
      </c>
      <c r="F334" s="30">
        <v>1538753</v>
      </c>
      <c r="G334" s="27">
        <v>45819</v>
      </c>
      <c r="H334" s="32"/>
      <c r="J334" s="34" t="s">
        <v>33</v>
      </c>
      <c r="K334" t="s">
        <v>34</v>
      </c>
      <c r="L334" s="35">
        <v>302126095</v>
      </c>
      <c r="M334" s="36" t="s">
        <v>1057</v>
      </c>
      <c r="N334" s="37"/>
      <c r="O334" t="s">
        <v>1058</v>
      </c>
      <c r="P334" t="s">
        <v>1059</v>
      </c>
      <c r="R334" s="38">
        <v>45760</v>
      </c>
      <c r="S334" s="39">
        <v>46855</v>
      </c>
      <c r="T334" s="38">
        <v>45760</v>
      </c>
      <c r="U334" s="39">
        <v>46855</v>
      </c>
      <c r="V334" s="40" t="s">
        <v>276</v>
      </c>
      <c r="W334" s="41" t="s">
        <v>39</v>
      </c>
      <c r="Y334" s="42" t="s">
        <v>56</v>
      </c>
      <c r="Z334" t="s">
        <v>40</v>
      </c>
      <c r="AF334" s="39">
        <v>45860</v>
      </c>
      <c r="AG334" s="48">
        <v>53200</v>
      </c>
      <c r="AH334" s="48">
        <v>45171.88</v>
      </c>
    </row>
    <row r="335" spans="1:34" ht="19.5" customHeight="1">
      <c r="A335" s="25">
        <f t="shared" si="5"/>
        <v>334</v>
      </c>
      <c r="B335" s="26">
        <v>6188650</v>
      </c>
      <c r="C335" s="27">
        <v>45819</v>
      </c>
      <c r="D335" s="28">
        <v>13403</v>
      </c>
      <c r="E335" s="29">
        <v>105025.91</v>
      </c>
      <c r="F335" s="30">
        <v>1539211</v>
      </c>
      <c r="G335" s="27">
        <v>45821</v>
      </c>
      <c r="H335" s="32"/>
      <c r="J335" s="34" t="s">
        <v>103</v>
      </c>
      <c r="K335" t="s">
        <v>777</v>
      </c>
      <c r="L335" s="35" t="s">
        <v>1060</v>
      </c>
      <c r="M335" s="36" t="s">
        <v>1061</v>
      </c>
      <c r="N335" s="37"/>
      <c r="O335" t="s">
        <v>1062</v>
      </c>
      <c r="P335" t="s">
        <v>1063</v>
      </c>
      <c r="R335" s="38">
        <v>45809</v>
      </c>
      <c r="S335" s="39">
        <v>46173</v>
      </c>
      <c r="T335" s="38">
        <v>45809</v>
      </c>
      <c r="U335" s="39">
        <v>46173</v>
      </c>
      <c r="V335" s="40" t="s">
        <v>85</v>
      </c>
      <c r="W335" s="41" t="s">
        <v>39</v>
      </c>
      <c r="Y335" s="42"/>
      <c r="Z335" t="s">
        <v>40</v>
      </c>
      <c r="AA335" s="62" t="s">
        <v>1064</v>
      </c>
      <c r="AB335" s="44">
        <v>45847</v>
      </c>
      <c r="AC335" s="63" t="s">
        <v>1064</v>
      </c>
      <c r="AE335">
        <v>3176210</v>
      </c>
      <c r="AF335" s="39">
        <v>45940</v>
      </c>
      <c r="AG335" s="48">
        <v>123914</v>
      </c>
      <c r="AH335" s="48">
        <v>105213.55</v>
      </c>
    </row>
    <row r="336" spans="1:34" ht="19.5" customHeight="1">
      <c r="A336" s="25">
        <f t="shared" si="5"/>
        <v>335</v>
      </c>
      <c r="B336" s="26">
        <v>6188774</v>
      </c>
      <c r="C336" s="27">
        <v>45819</v>
      </c>
      <c r="E336" s="29">
        <v>14701.78</v>
      </c>
      <c r="F336" s="30">
        <v>1540120</v>
      </c>
      <c r="G336" s="27">
        <v>45826</v>
      </c>
      <c r="H336" s="32"/>
      <c r="J336" s="34" t="s">
        <v>159</v>
      </c>
      <c r="K336" t="s">
        <v>160</v>
      </c>
      <c r="L336" s="35" t="s">
        <v>1065</v>
      </c>
      <c r="M336" s="36" t="s">
        <v>1066</v>
      </c>
      <c r="N336" s="37"/>
      <c r="O336" t="s">
        <v>1067</v>
      </c>
      <c r="P336" t="s">
        <v>1068</v>
      </c>
      <c r="R336" s="38">
        <v>45739</v>
      </c>
      <c r="S336" s="39">
        <v>46103</v>
      </c>
      <c r="T336" s="50" t="s">
        <v>141</v>
      </c>
      <c r="U336" s="47" t="s">
        <v>141</v>
      </c>
      <c r="V336" s="40" t="s">
        <v>458</v>
      </c>
      <c r="W336" s="41" t="s">
        <v>39</v>
      </c>
      <c r="Y336" s="42"/>
      <c r="Z336" t="s">
        <v>40</v>
      </c>
      <c r="AF336" s="47">
        <v>45867</v>
      </c>
      <c r="AG336" s="48">
        <v>26976</v>
      </c>
      <c r="AH336" s="48">
        <v>14701.78</v>
      </c>
    </row>
    <row r="337" spans="1:34" ht="19.5" customHeight="1">
      <c r="A337" s="25">
        <f t="shared" si="5"/>
        <v>336</v>
      </c>
      <c r="B337" s="26">
        <v>6190109</v>
      </c>
      <c r="C337" s="27">
        <v>45824</v>
      </c>
      <c r="D337" s="28">
        <v>8180</v>
      </c>
      <c r="E337" s="29">
        <v>64088.480000000003</v>
      </c>
      <c r="F337" s="30">
        <v>1540737</v>
      </c>
      <c r="G337" s="27">
        <v>45832</v>
      </c>
      <c r="H337" s="32"/>
      <c r="J337" s="34" t="s">
        <v>33</v>
      </c>
      <c r="K337" t="s">
        <v>733</v>
      </c>
      <c r="L337" s="35" t="s">
        <v>1069</v>
      </c>
      <c r="M337" s="36" t="s">
        <v>1070</v>
      </c>
      <c r="N337" s="37"/>
      <c r="O337" s="98" t="s">
        <v>141</v>
      </c>
      <c r="P337" t="s">
        <v>141</v>
      </c>
      <c r="R337" s="50" t="s">
        <v>141</v>
      </c>
      <c r="S337" s="47" t="s">
        <v>141</v>
      </c>
      <c r="T337" s="50" t="s">
        <v>141</v>
      </c>
      <c r="U337" s="47" t="s">
        <v>141</v>
      </c>
      <c r="V337" s="98" t="s">
        <v>141</v>
      </c>
      <c r="W337" s="41" t="s">
        <v>39</v>
      </c>
      <c r="Y337" s="42"/>
      <c r="Z337" t="s">
        <v>40</v>
      </c>
      <c r="AA337" s="62" t="s">
        <v>1071</v>
      </c>
      <c r="AB337" s="44">
        <v>45847</v>
      </c>
      <c r="AC337" s="63" t="s">
        <v>1072</v>
      </c>
      <c r="AE337">
        <v>3174626</v>
      </c>
      <c r="AF337" s="47">
        <v>45926</v>
      </c>
      <c r="AG337" s="130" t="s">
        <v>141</v>
      </c>
      <c r="AH337" s="130" t="s">
        <v>141</v>
      </c>
    </row>
    <row r="338" spans="1:34" ht="19.5" customHeight="1">
      <c r="A338" s="25">
        <f t="shared" si="5"/>
        <v>337</v>
      </c>
      <c r="B338" s="26">
        <v>6190230</v>
      </c>
      <c r="C338" s="27">
        <v>45824</v>
      </c>
      <c r="E338" s="29">
        <v>2360</v>
      </c>
      <c r="F338" s="30">
        <v>1540345</v>
      </c>
      <c r="G338" s="27">
        <v>45826</v>
      </c>
      <c r="H338" s="32"/>
      <c r="J338" s="34" t="s">
        <v>103</v>
      </c>
      <c r="K338" t="s">
        <v>212</v>
      </c>
      <c r="L338" s="35" t="s">
        <v>1073</v>
      </c>
      <c r="M338" s="36" t="s">
        <v>1074</v>
      </c>
      <c r="N338" s="37"/>
      <c r="O338" t="s">
        <v>1075</v>
      </c>
      <c r="P338" t="s">
        <v>1076</v>
      </c>
      <c r="R338" s="38">
        <v>45839</v>
      </c>
      <c r="S338" s="39">
        <v>46568</v>
      </c>
      <c r="T338" s="38">
        <v>45839</v>
      </c>
      <c r="U338" s="39">
        <v>46568</v>
      </c>
      <c r="V338" s="40" t="s">
        <v>128</v>
      </c>
      <c r="W338" s="41" t="s">
        <v>39</v>
      </c>
      <c r="Y338" s="42"/>
      <c r="Z338" t="s">
        <v>40</v>
      </c>
      <c r="AA338" s="62" t="s">
        <v>171</v>
      </c>
      <c r="AB338" s="44">
        <v>45911</v>
      </c>
      <c r="AC338" s="63" t="s">
        <v>1077</v>
      </c>
      <c r="AE338">
        <v>3190084</v>
      </c>
      <c r="AF338" s="47">
        <v>46042</v>
      </c>
      <c r="AG338" s="48">
        <v>24154</v>
      </c>
      <c r="AH338" s="48">
        <v>3341.25</v>
      </c>
    </row>
    <row r="339" spans="1:34" ht="19.5" customHeight="1">
      <c r="A339" s="25">
        <f t="shared" si="5"/>
        <v>338</v>
      </c>
      <c r="B339" s="26">
        <v>6190253</v>
      </c>
      <c r="C339" s="27">
        <v>45826</v>
      </c>
      <c r="E339" s="29">
        <v>9120</v>
      </c>
      <c r="F339" s="30" t="s">
        <v>1078</v>
      </c>
      <c r="G339" s="27">
        <v>45831</v>
      </c>
      <c r="H339" s="32"/>
      <c r="I339" s="33">
        <v>9120</v>
      </c>
      <c r="J339" s="34" t="s">
        <v>103</v>
      </c>
      <c r="K339" t="s">
        <v>139</v>
      </c>
      <c r="L339" s="35" t="s">
        <v>141</v>
      </c>
      <c r="M339" s="36" t="s">
        <v>1079</v>
      </c>
      <c r="N339" s="37"/>
      <c r="O339" t="s">
        <v>1080</v>
      </c>
      <c r="P339" t="s">
        <v>1081</v>
      </c>
      <c r="R339" s="38">
        <v>45854</v>
      </c>
      <c r="S339" s="39">
        <v>46218</v>
      </c>
      <c r="T339" s="38">
        <v>45854</v>
      </c>
      <c r="U339" s="39">
        <v>46218</v>
      </c>
      <c r="V339" s="40" t="s">
        <v>590</v>
      </c>
      <c r="W339" s="41" t="s">
        <v>39</v>
      </c>
      <c r="Y339" s="42"/>
      <c r="Z339" t="s">
        <v>40</v>
      </c>
      <c r="AA339" s="43" t="s">
        <v>1082</v>
      </c>
      <c r="AB339" s="44">
        <v>45838</v>
      </c>
      <c r="AC339" s="63">
        <v>60016326</v>
      </c>
      <c r="AE339">
        <v>3196672</v>
      </c>
      <c r="AF339" s="39">
        <v>46086</v>
      </c>
      <c r="AG339" s="48">
        <v>30800</v>
      </c>
      <c r="AH339" s="48">
        <v>9120</v>
      </c>
    </row>
    <row r="340" spans="1:34" ht="19.5" customHeight="1">
      <c r="A340" s="25">
        <f t="shared" si="5"/>
        <v>339</v>
      </c>
      <c r="B340" s="26">
        <v>6191205</v>
      </c>
      <c r="C340" s="27">
        <v>45827</v>
      </c>
      <c r="E340" s="29">
        <v>32843.629999999997</v>
      </c>
      <c r="F340" s="30">
        <v>1541133</v>
      </c>
      <c r="G340" s="27">
        <v>45832</v>
      </c>
      <c r="H340" s="32"/>
      <c r="J340" s="34" t="s">
        <v>159</v>
      </c>
      <c r="K340" t="s">
        <v>160</v>
      </c>
      <c r="L340" s="35" t="s">
        <v>1083</v>
      </c>
      <c r="M340" s="36" t="s">
        <v>1084</v>
      </c>
      <c r="N340" s="37"/>
      <c r="O340" t="s">
        <v>1085</v>
      </c>
      <c r="P340" t="s">
        <v>1086</v>
      </c>
      <c r="R340" s="38">
        <v>45809</v>
      </c>
      <c r="S340" s="39">
        <v>46022</v>
      </c>
      <c r="T340" s="50" t="s">
        <v>141</v>
      </c>
      <c r="U340" s="47" t="s">
        <v>141</v>
      </c>
      <c r="V340" s="40" t="s">
        <v>521</v>
      </c>
      <c r="W340" s="41" t="s">
        <v>39</v>
      </c>
      <c r="Z340" t="s">
        <v>40</v>
      </c>
      <c r="AF340" s="47">
        <v>45867</v>
      </c>
      <c r="AG340" s="48">
        <v>849191</v>
      </c>
      <c r="AH340" s="48">
        <v>186232.55</v>
      </c>
    </row>
    <row r="341" spans="1:34" ht="19.5" customHeight="1">
      <c r="A341" s="25">
        <f t="shared" si="5"/>
        <v>340</v>
      </c>
      <c r="B341" s="26">
        <v>6191230</v>
      </c>
      <c r="C341" s="27">
        <v>45827</v>
      </c>
      <c r="E341" s="29">
        <v>139394.82999999999</v>
      </c>
      <c r="F341" s="30">
        <v>1541138</v>
      </c>
      <c r="G341" s="27">
        <v>45832</v>
      </c>
      <c r="H341" s="32"/>
      <c r="J341" s="34" t="s">
        <v>159</v>
      </c>
      <c r="K341" t="s">
        <v>160</v>
      </c>
      <c r="L341" s="35" t="s">
        <v>1083</v>
      </c>
      <c r="M341" s="36" t="s">
        <v>1087</v>
      </c>
      <c r="N341" s="37"/>
      <c r="O341" t="s">
        <v>1085</v>
      </c>
      <c r="P341" t="s">
        <v>1086</v>
      </c>
      <c r="R341" s="38">
        <v>45809</v>
      </c>
      <c r="S341" s="39">
        <v>46022</v>
      </c>
      <c r="T341" s="50" t="s">
        <v>141</v>
      </c>
      <c r="U341" s="47" t="s">
        <v>141</v>
      </c>
      <c r="V341" s="40" t="s">
        <v>521</v>
      </c>
      <c r="W341" s="41" t="s">
        <v>39</v>
      </c>
      <c r="Z341" t="s">
        <v>40</v>
      </c>
      <c r="AF341" s="47">
        <v>45867</v>
      </c>
      <c r="AG341" s="48">
        <v>849191</v>
      </c>
      <c r="AH341" s="48">
        <v>186232.56</v>
      </c>
    </row>
    <row r="342" spans="1:34" ht="19.5" customHeight="1">
      <c r="A342" s="25">
        <f t="shared" si="5"/>
        <v>341</v>
      </c>
      <c r="B342" s="26">
        <v>6191744</v>
      </c>
      <c r="C342" s="27">
        <v>45828</v>
      </c>
      <c r="D342" s="28">
        <v>223.3</v>
      </c>
      <c r="E342" s="29">
        <v>1749.78</v>
      </c>
      <c r="F342" s="30">
        <v>1540651</v>
      </c>
      <c r="G342" s="27">
        <v>45831</v>
      </c>
      <c r="H342" s="32"/>
      <c r="J342" s="34" t="s">
        <v>33</v>
      </c>
      <c r="K342" t="s">
        <v>34</v>
      </c>
      <c r="L342" s="35">
        <v>252239295</v>
      </c>
      <c r="M342" s="36" t="s">
        <v>1088</v>
      </c>
      <c r="N342" s="37"/>
      <c r="O342" t="s">
        <v>1089</v>
      </c>
      <c r="P342" t="s">
        <v>1090</v>
      </c>
      <c r="R342" s="38">
        <v>45849</v>
      </c>
      <c r="S342" s="39">
        <v>46213</v>
      </c>
      <c r="T342" s="38">
        <v>45849</v>
      </c>
      <c r="U342" s="39">
        <v>46213</v>
      </c>
      <c r="V342" s="40" t="s">
        <v>954</v>
      </c>
      <c r="W342" s="41" t="s">
        <v>39</v>
      </c>
      <c r="Y342" s="42" t="s">
        <v>56</v>
      </c>
      <c r="Z342" t="s">
        <v>81</v>
      </c>
      <c r="AE342">
        <v>3173414</v>
      </c>
      <c r="AF342" s="47">
        <v>45915</v>
      </c>
      <c r="AG342" s="48">
        <v>6630</v>
      </c>
      <c r="AH342" s="48">
        <v>1752.91</v>
      </c>
    </row>
    <row r="343" spans="1:34" ht="19.5" customHeight="1">
      <c r="A343" s="25">
        <f t="shared" si="5"/>
        <v>342</v>
      </c>
      <c r="B343" s="26">
        <v>6191769</v>
      </c>
      <c r="C343" s="27">
        <v>45828</v>
      </c>
      <c r="D343" s="28">
        <v>928.79</v>
      </c>
      <c r="E343" s="29">
        <v>7278</v>
      </c>
      <c r="F343" s="30">
        <v>1540789</v>
      </c>
      <c r="G343" s="27">
        <v>45832</v>
      </c>
      <c r="H343" s="32"/>
      <c r="J343" s="34" t="s">
        <v>33</v>
      </c>
      <c r="K343" t="s">
        <v>34</v>
      </c>
      <c r="L343" s="35">
        <v>322148378</v>
      </c>
      <c r="M343" s="36" t="s">
        <v>1091</v>
      </c>
      <c r="N343" s="37"/>
      <c r="O343" t="s">
        <v>232</v>
      </c>
      <c r="P343" t="s">
        <v>233</v>
      </c>
      <c r="R343" s="38">
        <v>45658</v>
      </c>
      <c r="S343" s="39">
        <v>46022</v>
      </c>
      <c r="T343" s="50">
        <v>45827</v>
      </c>
      <c r="U343" s="47">
        <v>46191</v>
      </c>
      <c r="V343" s="40" t="s">
        <v>128</v>
      </c>
      <c r="W343" s="41" t="s">
        <v>39</v>
      </c>
      <c r="Y343" s="42"/>
      <c r="Z343" t="s">
        <v>81</v>
      </c>
      <c r="AF343" s="47">
        <v>45867</v>
      </c>
      <c r="AG343" s="48">
        <v>1059839</v>
      </c>
      <c r="AH343" s="48">
        <v>858441.03</v>
      </c>
    </row>
    <row r="344" spans="1:34" ht="19.5" customHeight="1">
      <c r="A344" s="25">
        <f t="shared" si="5"/>
        <v>343</v>
      </c>
      <c r="B344" s="26">
        <v>6191832</v>
      </c>
      <c r="C344" s="27">
        <v>45828</v>
      </c>
      <c r="D344" s="28">
        <v>1788.92</v>
      </c>
      <c r="E344" s="29">
        <v>14017.98</v>
      </c>
      <c r="F344" s="30">
        <v>1540669</v>
      </c>
      <c r="G344" s="27">
        <v>45831</v>
      </c>
      <c r="H344" s="32"/>
      <c r="J344" s="34" t="s">
        <v>33</v>
      </c>
      <c r="K344" t="s">
        <v>34</v>
      </c>
      <c r="L344" s="35">
        <v>431918760</v>
      </c>
      <c r="M344" s="36" t="s">
        <v>1092</v>
      </c>
      <c r="N344" s="37"/>
      <c r="O344" t="s">
        <v>1093</v>
      </c>
      <c r="P344" t="s">
        <v>1094</v>
      </c>
      <c r="R344" s="38">
        <v>45828</v>
      </c>
      <c r="S344" s="39">
        <v>46923</v>
      </c>
      <c r="T344" s="38">
        <v>45828</v>
      </c>
      <c r="U344" s="39">
        <v>46923</v>
      </c>
      <c r="V344" s="40" t="s">
        <v>80</v>
      </c>
      <c r="W344" s="41" t="s">
        <v>39</v>
      </c>
      <c r="Y344" s="42"/>
      <c r="Z344" t="s">
        <v>81</v>
      </c>
      <c r="AE344">
        <v>3173421</v>
      </c>
      <c r="AF344" s="47">
        <v>45915</v>
      </c>
      <c r="AG344" s="48">
        <v>33081</v>
      </c>
      <c r="AH344" s="48">
        <v>14043.02</v>
      </c>
    </row>
    <row r="345" spans="1:34" ht="19.5" customHeight="1">
      <c r="A345" s="25">
        <f t="shared" si="5"/>
        <v>344</v>
      </c>
      <c r="B345" s="26">
        <v>6191852</v>
      </c>
      <c r="C345" s="27">
        <v>45828</v>
      </c>
      <c r="E345" s="29">
        <v>375507.14</v>
      </c>
      <c r="F345" s="30">
        <v>1541490</v>
      </c>
      <c r="G345" s="27">
        <v>45835</v>
      </c>
      <c r="H345" s="32"/>
      <c r="J345" s="34" t="s">
        <v>159</v>
      </c>
      <c r="K345" t="s">
        <v>160</v>
      </c>
      <c r="L345" s="35" t="s">
        <v>1095</v>
      </c>
      <c r="M345" s="36" t="s">
        <v>1096</v>
      </c>
      <c r="N345" s="37"/>
      <c r="O345" t="s">
        <v>1085</v>
      </c>
      <c r="P345" t="s">
        <v>1097</v>
      </c>
      <c r="R345" s="38">
        <v>45809</v>
      </c>
      <c r="S345" s="39" t="s">
        <v>567</v>
      </c>
      <c r="T345" s="38">
        <v>45809</v>
      </c>
      <c r="U345" s="39">
        <v>46022</v>
      </c>
      <c r="V345" s="40" t="s">
        <v>521</v>
      </c>
      <c r="W345" s="41" t="s">
        <v>39</v>
      </c>
      <c r="Y345" s="42"/>
      <c r="Z345" t="s">
        <v>40</v>
      </c>
      <c r="AF345" s="47">
        <v>45867</v>
      </c>
      <c r="AG345" s="48">
        <v>898716</v>
      </c>
      <c r="AH345" s="48">
        <v>375507.14</v>
      </c>
    </row>
    <row r="346" spans="1:34" ht="19.5" customHeight="1">
      <c r="A346" s="25">
        <f t="shared" si="5"/>
        <v>345</v>
      </c>
      <c r="B346" s="26">
        <v>6192167</v>
      </c>
      <c r="C346" s="27">
        <v>45831</v>
      </c>
      <c r="E346" s="29">
        <v>57592.42</v>
      </c>
      <c r="F346" s="30">
        <v>1541556</v>
      </c>
      <c r="G346" s="27">
        <v>45834</v>
      </c>
      <c r="H346" s="32"/>
      <c r="J346" s="34" t="s">
        <v>103</v>
      </c>
      <c r="K346" t="s">
        <v>107</v>
      </c>
      <c r="L346" s="35" t="s">
        <v>1098</v>
      </c>
      <c r="M346" s="36" t="s">
        <v>1099</v>
      </c>
      <c r="N346" s="37"/>
      <c r="O346" t="s">
        <v>1100</v>
      </c>
      <c r="P346" t="s">
        <v>1101</v>
      </c>
      <c r="R346" s="38">
        <v>45814</v>
      </c>
      <c r="S346" s="39">
        <v>46178</v>
      </c>
      <c r="T346" s="38">
        <v>45814</v>
      </c>
      <c r="U346" s="39">
        <v>46178</v>
      </c>
      <c r="V346" s="40" t="s">
        <v>128</v>
      </c>
      <c r="W346" s="41" t="s">
        <v>39</v>
      </c>
      <c r="Y346" s="42"/>
      <c r="Z346" t="s">
        <v>81</v>
      </c>
      <c r="AA346" s="62" t="s">
        <v>1102</v>
      </c>
      <c r="AB346" s="44">
        <v>45835</v>
      </c>
      <c r="AC346" s="63" t="s">
        <v>1103</v>
      </c>
      <c r="AE346">
        <v>3175292</v>
      </c>
      <c r="AF346" s="39">
        <v>45930</v>
      </c>
      <c r="AG346" s="48">
        <v>67000</v>
      </c>
      <c r="AH346" s="48">
        <v>57592.42</v>
      </c>
    </row>
    <row r="347" spans="1:34" ht="19.5" customHeight="1">
      <c r="A347" s="25">
        <f t="shared" si="5"/>
        <v>346</v>
      </c>
      <c r="B347" s="26">
        <v>6192592</v>
      </c>
      <c r="C347" s="27">
        <v>45832</v>
      </c>
      <c r="D347" s="70">
        <v>38088.06</v>
      </c>
      <c r="E347" s="29">
        <v>309160.44</v>
      </c>
      <c r="F347" s="30">
        <v>1541318</v>
      </c>
      <c r="G347" s="27">
        <v>45834</v>
      </c>
      <c r="H347" s="32"/>
      <c r="J347" s="34" t="s">
        <v>33</v>
      </c>
      <c r="K347" t="s">
        <v>34</v>
      </c>
      <c r="L347" s="35" t="s">
        <v>1104</v>
      </c>
      <c r="M347" s="36" t="s">
        <v>1105</v>
      </c>
      <c r="N347" s="37"/>
      <c r="O347" t="s">
        <v>1106</v>
      </c>
      <c r="P347" t="s">
        <v>1107</v>
      </c>
      <c r="R347" s="38">
        <v>45658</v>
      </c>
      <c r="S347" s="39">
        <v>46022</v>
      </c>
      <c r="T347" s="50" t="s">
        <v>141</v>
      </c>
      <c r="U347" s="47" t="s">
        <v>141</v>
      </c>
      <c r="V347" s="40" t="s">
        <v>80</v>
      </c>
      <c r="W347" s="41" t="s">
        <v>39</v>
      </c>
      <c r="Y347" s="42"/>
      <c r="Z347" t="s">
        <v>81</v>
      </c>
      <c r="AF347" s="47">
        <v>45867</v>
      </c>
      <c r="AG347" s="48">
        <v>2832803</v>
      </c>
      <c r="AH347" s="48">
        <v>2103908.63</v>
      </c>
    </row>
    <row r="348" spans="1:34" ht="19.5" customHeight="1">
      <c r="A348" s="25">
        <f t="shared" si="5"/>
        <v>347</v>
      </c>
      <c r="B348" s="26">
        <v>6192687</v>
      </c>
      <c r="C348" s="27">
        <v>45832</v>
      </c>
      <c r="D348" s="28">
        <v>23632.02</v>
      </c>
      <c r="E348" s="29">
        <v>185180.51</v>
      </c>
      <c r="F348" s="30">
        <v>1541308</v>
      </c>
      <c r="G348" s="27">
        <v>45833</v>
      </c>
      <c r="H348" s="32"/>
      <c r="J348" s="34" t="s">
        <v>384</v>
      </c>
      <c r="K348" t="s">
        <v>34</v>
      </c>
      <c r="L348" s="35">
        <v>4770925322</v>
      </c>
      <c r="M348" s="36" t="s">
        <v>1108</v>
      </c>
      <c r="N348" s="37"/>
      <c r="O348" t="s">
        <v>1106</v>
      </c>
      <c r="P348" t="s">
        <v>1107</v>
      </c>
      <c r="R348" s="38">
        <v>45658</v>
      </c>
      <c r="S348" s="39">
        <v>46022</v>
      </c>
      <c r="T348" s="50" t="s">
        <v>141</v>
      </c>
      <c r="U348" s="47" t="s">
        <v>141</v>
      </c>
      <c r="V348" s="40" t="s">
        <v>80</v>
      </c>
      <c r="W348" s="41" t="s">
        <v>39</v>
      </c>
      <c r="Y348" s="42"/>
      <c r="Z348" t="s">
        <v>81</v>
      </c>
      <c r="AA348" s="62" t="s">
        <v>1109</v>
      </c>
      <c r="AB348" s="44">
        <v>45835</v>
      </c>
      <c r="AF348" s="47">
        <v>45867</v>
      </c>
      <c r="AG348" s="48">
        <v>2832803</v>
      </c>
      <c r="AH348" s="48">
        <v>2103908.63</v>
      </c>
    </row>
    <row r="349" spans="1:34" ht="19.5" customHeight="1">
      <c r="A349" s="25">
        <f t="shared" si="5"/>
        <v>348</v>
      </c>
      <c r="B349" s="26">
        <v>6192707</v>
      </c>
      <c r="C349" s="27">
        <v>45832</v>
      </c>
      <c r="D349" s="28">
        <v>27666</v>
      </c>
      <c r="E349" s="29">
        <v>216790.78</v>
      </c>
      <c r="F349" s="30">
        <v>1541361</v>
      </c>
      <c r="G349" s="27">
        <v>45833</v>
      </c>
      <c r="H349" s="32"/>
      <c r="J349" s="34" t="s">
        <v>384</v>
      </c>
      <c r="K349" t="s">
        <v>34</v>
      </c>
      <c r="L349" s="35" t="s">
        <v>1110</v>
      </c>
      <c r="M349" s="36" t="s">
        <v>1111</v>
      </c>
      <c r="N349" s="37"/>
      <c r="O349" t="s">
        <v>1106</v>
      </c>
      <c r="P349" t="s">
        <v>1107</v>
      </c>
      <c r="R349" s="38">
        <v>45658</v>
      </c>
      <c r="S349" s="39">
        <v>46022</v>
      </c>
      <c r="T349" s="50" t="s">
        <v>141</v>
      </c>
      <c r="U349" s="47" t="s">
        <v>141</v>
      </c>
      <c r="V349" s="40" t="s">
        <v>80</v>
      </c>
      <c r="W349" s="41" t="s">
        <v>39</v>
      </c>
      <c r="Y349" s="42"/>
      <c r="Z349" t="s">
        <v>81</v>
      </c>
      <c r="AA349" s="62" t="s">
        <v>1109</v>
      </c>
      <c r="AB349" s="44">
        <v>45835</v>
      </c>
      <c r="AF349" s="47">
        <v>45867</v>
      </c>
      <c r="AG349" s="48">
        <v>2832803</v>
      </c>
      <c r="AH349" s="48">
        <v>2103908.63</v>
      </c>
    </row>
    <row r="350" spans="1:34" ht="19.5" customHeight="1">
      <c r="A350" s="25">
        <f t="shared" si="5"/>
        <v>349</v>
      </c>
      <c r="C350" s="27">
        <v>45833</v>
      </c>
      <c r="D350" s="28">
        <v>1000</v>
      </c>
      <c r="E350" s="29">
        <v>7836</v>
      </c>
      <c r="F350" s="30">
        <v>1541363</v>
      </c>
      <c r="G350" s="27">
        <v>45833</v>
      </c>
      <c r="H350" s="32"/>
      <c r="J350" s="34" t="s">
        <v>259</v>
      </c>
      <c r="K350" t="s">
        <v>733</v>
      </c>
      <c r="L350" s="86" t="s">
        <v>141</v>
      </c>
      <c r="M350" s="36" t="s">
        <v>1112</v>
      </c>
      <c r="N350" s="37"/>
      <c r="P350" s="67" t="s">
        <v>141</v>
      </c>
      <c r="Q350" s="67"/>
      <c r="R350" s="38"/>
      <c r="S350" s="39"/>
      <c r="T350" s="38"/>
      <c r="U350" s="39"/>
      <c r="W350" s="41" t="s">
        <v>39</v>
      </c>
      <c r="AA350" s="62" t="s">
        <v>1113</v>
      </c>
      <c r="AB350" s="44">
        <v>45854</v>
      </c>
      <c r="AF350" s="47">
        <v>45856</v>
      </c>
      <c r="AG350" s="48"/>
      <c r="AH350" s="48"/>
    </row>
    <row r="351" spans="1:34" ht="19.5" customHeight="1">
      <c r="A351" s="25">
        <f t="shared" si="5"/>
        <v>350</v>
      </c>
      <c r="C351" s="27">
        <v>45833</v>
      </c>
      <c r="E351" s="29">
        <v>3360</v>
      </c>
      <c r="F351" s="30">
        <v>1541375</v>
      </c>
      <c r="G351" s="27">
        <v>45833</v>
      </c>
      <c r="H351" s="32"/>
      <c r="J351" s="34" t="s">
        <v>259</v>
      </c>
      <c r="K351" t="s">
        <v>193</v>
      </c>
      <c r="L351" s="86" t="s">
        <v>141</v>
      </c>
      <c r="M351" s="36" t="s">
        <v>1114</v>
      </c>
      <c r="N351" s="37"/>
      <c r="P351" s="67" t="s">
        <v>141</v>
      </c>
      <c r="Q351" s="67"/>
      <c r="R351" s="38"/>
      <c r="S351" s="39"/>
      <c r="T351" s="38"/>
      <c r="U351" s="39"/>
      <c r="W351" s="41" t="s">
        <v>39</v>
      </c>
      <c r="AA351" s="62" t="s">
        <v>1115</v>
      </c>
      <c r="AB351" s="44">
        <v>45853</v>
      </c>
      <c r="AC351" s="63" t="s">
        <v>1116</v>
      </c>
      <c r="AE351">
        <v>3174697</v>
      </c>
      <c r="AF351" s="47">
        <v>45926</v>
      </c>
      <c r="AG351" s="48"/>
      <c r="AH351" s="48"/>
    </row>
    <row r="352" spans="1:34" ht="19.5" customHeight="1">
      <c r="A352" s="25">
        <f t="shared" si="5"/>
        <v>351</v>
      </c>
      <c r="B352" s="26">
        <v>6192958</v>
      </c>
      <c r="C352" s="27">
        <v>45833</v>
      </c>
      <c r="E352" s="127">
        <v>19740</v>
      </c>
      <c r="F352" s="30">
        <v>1541488</v>
      </c>
      <c r="G352" s="27">
        <v>45835</v>
      </c>
      <c r="H352" s="32"/>
      <c r="J352" s="34" t="s">
        <v>259</v>
      </c>
      <c r="K352" t="s">
        <v>139</v>
      </c>
      <c r="L352" s="86" t="s">
        <v>141</v>
      </c>
      <c r="M352" s="36" t="s">
        <v>1117</v>
      </c>
      <c r="N352" s="37"/>
      <c r="O352" t="s">
        <v>205</v>
      </c>
      <c r="P352" s="67" t="s">
        <v>1118</v>
      </c>
      <c r="Q352" s="67"/>
      <c r="R352" s="38"/>
      <c r="S352" s="39"/>
      <c r="T352" s="38"/>
      <c r="U352" s="39"/>
      <c r="W352" s="41" t="s">
        <v>39</v>
      </c>
      <c r="AA352" s="62">
        <v>90006943</v>
      </c>
      <c r="AB352" s="44">
        <v>45852</v>
      </c>
      <c r="AC352" s="63">
        <v>60016364</v>
      </c>
      <c r="AG352" s="48"/>
      <c r="AH352" s="48"/>
    </row>
    <row r="353" spans="1:35" ht="19.5" customHeight="1">
      <c r="A353" s="25">
        <f t="shared" si="5"/>
        <v>352</v>
      </c>
      <c r="B353" s="26">
        <v>6192972</v>
      </c>
      <c r="C353" s="27">
        <v>45833</v>
      </c>
      <c r="D353" s="28">
        <v>124921.62</v>
      </c>
      <c r="E353" s="29">
        <v>978885.81</v>
      </c>
      <c r="F353" s="30">
        <v>1541633</v>
      </c>
      <c r="G353" s="27">
        <v>45835</v>
      </c>
      <c r="H353" s="32"/>
      <c r="J353" s="34" t="s">
        <v>33</v>
      </c>
      <c r="K353" t="s">
        <v>34</v>
      </c>
      <c r="L353" s="35">
        <v>491940603</v>
      </c>
      <c r="M353" s="36" t="s">
        <v>1119</v>
      </c>
      <c r="N353" s="37"/>
      <c r="O353" t="s">
        <v>1106</v>
      </c>
      <c r="P353" t="s">
        <v>1107</v>
      </c>
      <c r="R353" s="38">
        <v>45658</v>
      </c>
      <c r="S353" s="39">
        <v>46022</v>
      </c>
      <c r="T353" s="50" t="s">
        <v>141</v>
      </c>
      <c r="U353" s="47" t="s">
        <v>141</v>
      </c>
      <c r="V353" s="40" t="s">
        <v>80</v>
      </c>
      <c r="W353" s="41" t="s">
        <v>39</v>
      </c>
      <c r="Y353" s="42"/>
      <c r="Z353" t="s">
        <v>81</v>
      </c>
      <c r="AF353" s="47">
        <v>45867</v>
      </c>
      <c r="AG353" s="48">
        <v>2832803</v>
      </c>
      <c r="AH353" s="48">
        <v>2103908.63</v>
      </c>
    </row>
    <row r="354" spans="1:35" ht="19.5" customHeight="1">
      <c r="A354" s="25">
        <f t="shared" si="5"/>
        <v>353</v>
      </c>
      <c r="B354" s="26">
        <v>6192998</v>
      </c>
      <c r="C354" s="27">
        <v>45833</v>
      </c>
      <c r="E354" s="29">
        <v>1522.34</v>
      </c>
      <c r="F354" s="30">
        <v>1541734</v>
      </c>
      <c r="G354" s="27">
        <v>45838</v>
      </c>
      <c r="H354" s="32"/>
      <c r="J354" s="34" t="s">
        <v>159</v>
      </c>
      <c r="K354" t="s">
        <v>398</v>
      </c>
      <c r="L354" s="35" t="s">
        <v>1120</v>
      </c>
      <c r="M354" s="36" t="s">
        <v>1121</v>
      </c>
      <c r="N354" s="37"/>
      <c r="O354" t="s">
        <v>1122</v>
      </c>
      <c r="P354" t="s">
        <v>1123</v>
      </c>
      <c r="R354" s="38">
        <v>45855</v>
      </c>
      <c r="S354" s="39">
        <v>46219</v>
      </c>
      <c r="T354" s="38">
        <v>45878</v>
      </c>
      <c r="U354" s="39">
        <v>46242</v>
      </c>
      <c r="V354" s="40" t="s">
        <v>521</v>
      </c>
      <c r="W354" s="41" t="s">
        <v>39</v>
      </c>
      <c r="Y354" s="42"/>
      <c r="Z354" t="s">
        <v>40</v>
      </c>
      <c r="AA354" s="62" t="s">
        <v>1124</v>
      </c>
      <c r="AB354" s="44">
        <v>45842</v>
      </c>
      <c r="AC354" s="63" t="s">
        <v>1124</v>
      </c>
      <c r="AE354">
        <v>3173290</v>
      </c>
      <c r="AF354" s="47">
        <v>45913</v>
      </c>
      <c r="AG354" s="48">
        <v>109867</v>
      </c>
      <c r="AH354" s="48">
        <v>60743.25</v>
      </c>
    </row>
    <row r="355" spans="1:35" ht="19.5" customHeight="1">
      <c r="A355" s="25">
        <f t="shared" si="5"/>
        <v>354</v>
      </c>
      <c r="B355" s="26">
        <v>6193139</v>
      </c>
      <c r="C355" s="27">
        <v>45834</v>
      </c>
      <c r="D355" s="28">
        <v>2135.3000000000002</v>
      </c>
      <c r="E355" s="29">
        <v>16732.21</v>
      </c>
      <c r="F355" s="30">
        <v>1541559</v>
      </c>
      <c r="G355" s="27">
        <v>45838</v>
      </c>
      <c r="H355" s="32"/>
      <c r="J355" s="34" t="s">
        <v>33</v>
      </c>
      <c r="K355" t="s">
        <v>34</v>
      </c>
      <c r="L355" s="35">
        <v>411931252</v>
      </c>
      <c r="M355" s="36" t="s">
        <v>1125</v>
      </c>
      <c r="N355" s="37"/>
      <c r="O355" t="s">
        <v>1126</v>
      </c>
      <c r="P355" t="s">
        <v>1127</v>
      </c>
      <c r="R355" s="38">
        <v>45839</v>
      </c>
      <c r="S355" s="39">
        <v>46203</v>
      </c>
      <c r="T355" s="38">
        <v>45839</v>
      </c>
      <c r="U355" s="39">
        <v>46203</v>
      </c>
      <c r="V355" s="40" t="s">
        <v>38</v>
      </c>
      <c r="W355" s="41" t="s">
        <v>39</v>
      </c>
      <c r="Z355" t="s">
        <v>40</v>
      </c>
      <c r="AF355" s="47">
        <v>45867</v>
      </c>
      <c r="AG355" s="48">
        <v>130364</v>
      </c>
      <c r="AH355" s="48">
        <v>103014.79</v>
      </c>
    </row>
    <row r="356" spans="1:35" ht="19.5" customHeight="1">
      <c r="A356" s="25">
        <f t="shared" si="5"/>
        <v>355</v>
      </c>
      <c r="B356" s="26">
        <v>6193153</v>
      </c>
      <c r="C356" s="27">
        <v>45834</v>
      </c>
      <c r="D356" s="28">
        <v>7092.18</v>
      </c>
      <c r="E356" s="29">
        <v>55574.32</v>
      </c>
      <c r="F356" s="30">
        <v>1541744</v>
      </c>
      <c r="G356" s="27">
        <v>45840</v>
      </c>
      <c r="H356" s="32"/>
      <c r="J356" s="34" t="s">
        <v>33</v>
      </c>
      <c r="K356" t="s">
        <v>34</v>
      </c>
      <c r="L356" s="35">
        <v>342146994</v>
      </c>
      <c r="M356" s="36" t="s">
        <v>1128</v>
      </c>
      <c r="N356" s="37"/>
      <c r="O356" t="s">
        <v>1126</v>
      </c>
      <c r="P356" t="s">
        <v>1127</v>
      </c>
      <c r="R356" s="38">
        <v>45839</v>
      </c>
      <c r="S356" s="39">
        <v>46203</v>
      </c>
      <c r="T356" s="38">
        <v>45839</v>
      </c>
      <c r="U356" s="39">
        <v>46203</v>
      </c>
      <c r="V356" s="40" t="s">
        <v>38</v>
      </c>
      <c r="W356" s="41" t="s">
        <v>39</v>
      </c>
      <c r="Z356" t="s">
        <v>40</v>
      </c>
      <c r="AF356" s="47">
        <v>45867</v>
      </c>
      <c r="AG356" s="48">
        <v>130364</v>
      </c>
      <c r="AH356" s="48">
        <v>103014.79</v>
      </c>
    </row>
    <row r="357" spans="1:35" ht="19.5" customHeight="1">
      <c r="A357" s="25">
        <f t="shared" si="5"/>
        <v>356</v>
      </c>
      <c r="B357" s="26">
        <v>6193193</v>
      </c>
      <c r="C357" s="27">
        <v>45834</v>
      </c>
      <c r="D357" s="28">
        <v>323.77999999999997</v>
      </c>
      <c r="E357" s="29">
        <v>2537.14</v>
      </c>
      <c r="F357" s="30">
        <v>1541560</v>
      </c>
      <c r="G357" s="27">
        <v>45838</v>
      </c>
      <c r="H357" s="32"/>
      <c r="J357" s="34" t="s">
        <v>33</v>
      </c>
      <c r="K357" t="s">
        <v>34</v>
      </c>
      <c r="L357" s="35">
        <v>332151697</v>
      </c>
      <c r="M357" s="36" t="s">
        <v>1128</v>
      </c>
      <c r="N357" s="37"/>
      <c r="O357" t="s">
        <v>1126</v>
      </c>
      <c r="P357" t="s">
        <v>1127</v>
      </c>
      <c r="R357" s="38">
        <v>45839</v>
      </c>
      <c r="S357" s="39">
        <v>46203</v>
      </c>
      <c r="T357" s="38">
        <v>45839</v>
      </c>
      <c r="U357" s="39">
        <v>46203</v>
      </c>
      <c r="V357" s="40" t="s">
        <v>38</v>
      </c>
      <c r="W357" s="41" t="s">
        <v>39</v>
      </c>
      <c r="Z357" t="s">
        <v>40</v>
      </c>
      <c r="AF357" s="47">
        <v>45867</v>
      </c>
      <c r="AG357" s="48">
        <v>130364</v>
      </c>
      <c r="AH357" s="48">
        <v>103014.79</v>
      </c>
    </row>
    <row r="358" spans="1:35" ht="19.5" customHeight="1">
      <c r="A358" s="25">
        <f t="shared" si="5"/>
        <v>357</v>
      </c>
      <c r="B358" s="26">
        <v>6193273</v>
      </c>
      <c r="C358" s="27">
        <v>45834</v>
      </c>
      <c r="D358" s="28">
        <v>15275</v>
      </c>
      <c r="E358" s="29">
        <v>119694.9</v>
      </c>
      <c r="F358" s="30">
        <v>1541976</v>
      </c>
      <c r="G358" s="27">
        <v>45840</v>
      </c>
      <c r="H358" s="32"/>
      <c r="J358" s="34" t="s">
        <v>33</v>
      </c>
      <c r="K358" t="s">
        <v>733</v>
      </c>
      <c r="M358" s="36" t="s">
        <v>1129</v>
      </c>
      <c r="N358" s="37"/>
      <c r="O358" t="s">
        <v>1106</v>
      </c>
      <c r="P358" t="s">
        <v>1107</v>
      </c>
      <c r="R358" s="38">
        <v>45658</v>
      </c>
      <c r="S358" s="39">
        <v>46022</v>
      </c>
      <c r="T358" s="50" t="s">
        <v>141</v>
      </c>
      <c r="U358" s="47" t="s">
        <v>141</v>
      </c>
      <c r="V358" s="40" t="s">
        <v>80</v>
      </c>
      <c r="W358" s="41" t="s">
        <v>39</v>
      </c>
      <c r="Y358" s="42"/>
      <c r="Z358" t="s">
        <v>40</v>
      </c>
      <c r="AA358" s="62" t="s">
        <v>1130</v>
      </c>
      <c r="AB358" s="44">
        <v>45869</v>
      </c>
      <c r="AC358" s="63" t="s">
        <v>1131</v>
      </c>
      <c r="AE358">
        <v>3173168</v>
      </c>
      <c r="AF358" s="47">
        <v>45911</v>
      </c>
      <c r="AG358" s="48">
        <v>2832803</v>
      </c>
      <c r="AH358" s="48">
        <v>2103908.63</v>
      </c>
      <c r="AI358" s="61">
        <v>45912</v>
      </c>
    </row>
    <row r="359" spans="1:35" ht="19.5" customHeight="1">
      <c r="A359" s="25">
        <f t="shared" si="5"/>
        <v>358</v>
      </c>
      <c r="C359" s="27">
        <v>45834</v>
      </c>
      <c r="E359" s="29">
        <v>3170</v>
      </c>
      <c r="F359" s="30" t="s">
        <v>1132</v>
      </c>
      <c r="G359" s="27">
        <v>45834</v>
      </c>
      <c r="H359" s="32"/>
      <c r="I359" s="33">
        <v>3170</v>
      </c>
      <c r="J359" s="34" t="s">
        <v>33</v>
      </c>
      <c r="K359" t="s">
        <v>139</v>
      </c>
      <c r="L359" s="35">
        <v>80005102</v>
      </c>
      <c r="M359" s="36" t="s">
        <v>1133</v>
      </c>
      <c r="N359" s="37"/>
      <c r="O359" t="s">
        <v>1126</v>
      </c>
      <c r="P359" t="s">
        <v>1127</v>
      </c>
      <c r="R359" s="38">
        <v>45839</v>
      </c>
      <c r="S359" s="39">
        <v>46203</v>
      </c>
      <c r="T359" s="38">
        <v>45839</v>
      </c>
      <c r="U359" s="39">
        <v>46203</v>
      </c>
      <c r="V359" s="40" t="s">
        <v>38</v>
      </c>
      <c r="W359" s="41" t="s">
        <v>39</v>
      </c>
      <c r="Y359" s="42"/>
      <c r="Z359" t="s">
        <v>40</v>
      </c>
      <c r="AA359" s="62">
        <v>90006943</v>
      </c>
      <c r="AB359" s="44">
        <v>45852</v>
      </c>
      <c r="AC359" s="63">
        <v>60016364</v>
      </c>
      <c r="AE359">
        <v>3196630</v>
      </c>
      <c r="AF359" s="39">
        <v>46085</v>
      </c>
      <c r="AG359" s="48">
        <v>130364</v>
      </c>
      <c r="AH359" s="48">
        <v>103014.79</v>
      </c>
    </row>
    <row r="360" spans="1:35" ht="19.5" customHeight="1">
      <c r="A360" s="25">
        <f t="shared" si="5"/>
        <v>359</v>
      </c>
      <c r="B360" s="26">
        <v>6194136</v>
      </c>
      <c r="C360" s="27">
        <v>45838</v>
      </c>
      <c r="E360" s="29">
        <v>1470</v>
      </c>
      <c r="F360" s="30" t="s">
        <v>1134</v>
      </c>
      <c r="G360" s="27">
        <v>45840</v>
      </c>
      <c r="H360" s="32"/>
      <c r="I360" s="33">
        <v>1470</v>
      </c>
      <c r="J360" s="34" t="s">
        <v>33</v>
      </c>
      <c r="K360" t="s">
        <v>139</v>
      </c>
      <c r="L360" s="35" t="s">
        <v>1135</v>
      </c>
      <c r="M360" s="36" t="s">
        <v>1136</v>
      </c>
      <c r="N360" s="37"/>
      <c r="O360" t="s">
        <v>1137</v>
      </c>
      <c r="P360" t="s">
        <v>1138</v>
      </c>
      <c r="R360" s="38">
        <v>45839</v>
      </c>
      <c r="S360" s="39">
        <v>46203</v>
      </c>
      <c r="T360" s="38" t="s">
        <v>141</v>
      </c>
      <c r="U360" s="39" t="s">
        <v>141</v>
      </c>
      <c r="V360" s="40" t="s">
        <v>80</v>
      </c>
      <c r="W360" s="41" t="s">
        <v>114</v>
      </c>
      <c r="Y360" s="42" t="s">
        <v>185</v>
      </c>
      <c r="Z360" t="s">
        <v>81</v>
      </c>
      <c r="AA360" s="62">
        <v>90006943</v>
      </c>
      <c r="AB360" s="44">
        <v>45852</v>
      </c>
      <c r="AC360" s="63">
        <v>60016364</v>
      </c>
      <c r="AE360">
        <v>3196679</v>
      </c>
      <c r="AF360" s="39">
        <v>46086</v>
      </c>
      <c r="AG360" s="48">
        <v>2696300</v>
      </c>
      <c r="AH360" s="48">
        <v>2283295.67</v>
      </c>
    </row>
    <row r="361" spans="1:35" ht="19.5" customHeight="1">
      <c r="A361" s="25">
        <f t="shared" si="5"/>
        <v>360</v>
      </c>
      <c r="B361" s="26">
        <v>6194398</v>
      </c>
      <c r="C361" s="27">
        <v>45840</v>
      </c>
      <c r="D361" s="28">
        <v>24495.23</v>
      </c>
      <c r="E361" s="29">
        <v>192282.66</v>
      </c>
      <c r="F361" s="30">
        <v>1542270</v>
      </c>
      <c r="G361" s="27">
        <v>45845</v>
      </c>
      <c r="H361" s="32"/>
      <c r="J361" s="34" t="s">
        <v>33</v>
      </c>
      <c r="K361" t="s">
        <v>34</v>
      </c>
      <c r="L361" s="35">
        <v>392149163</v>
      </c>
      <c r="M361" s="36" t="s">
        <v>1139</v>
      </c>
      <c r="N361" s="37"/>
      <c r="O361" t="s">
        <v>1137</v>
      </c>
      <c r="P361" t="s">
        <v>1140</v>
      </c>
      <c r="R361" s="38">
        <v>45839</v>
      </c>
      <c r="S361" s="39">
        <v>46203</v>
      </c>
      <c r="T361" s="38">
        <v>45839</v>
      </c>
      <c r="U361" s="39">
        <v>46203</v>
      </c>
      <c r="V361" s="40" t="s">
        <v>80</v>
      </c>
      <c r="W361" s="41" t="s">
        <v>39</v>
      </c>
      <c r="Y361" s="42"/>
      <c r="Z361" t="s">
        <v>81</v>
      </c>
      <c r="AF361" s="47">
        <v>45867</v>
      </c>
      <c r="AG361" s="48">
        <v>2696300</v>
      </c>
      <c r="AH361" s="48">
        <v>2283295.67</v>
      </c>
    </row>
    <row r="362" spans="1:35" ht="19.5" customHeight="1">
      <c r="A362" s="25">
        <f t="shared" si="5"/>
        <v>361</v>
      </c>
      <c r="B362" s="26">
        <v>6194715</v>
      </c>
      <c r="C362" s="27">
        <v>45841</v>
      </c>
      <c r="D362" s="28">
        <v>609</v>
      </c>
      <c r="E362" s="29">
        <v>4780.55</v>
      </c>
      <c r="F362" s="30">
        <v>1542816</v>
      </c>
      <c r="G362" s="27">
        <v>45845</v>
      </c>
      <c r="H362" s="32"/>
      <c r="J362" s="34" t="s">
        <v>103</v>
      </c>
      <c r="K362" t="s">
        <v>206</v>
      </c>
      <c r="L362" s="35" t="s">
        <v>1141</v>
      </c>
      <c r="M362" s="36" t="s">
        <v>1142</v>
      </c>
      <c r="N362" s="37"/>
      <c r="O362" t="s">
        <v>1143</v>
      </c>
      <c r="P362" t="s">
        <v>1144</v>
      </c>
      <c r="R362" s="38">
        <v>45520</v>
      </c>
      <c r="S362" s="39">
        <v>45884</v>
      </c>
      <c r="T362" s="38">
        <v>45520</v>
      </c>
      <c r="U362" s="39">
        <v>45884</v>
      </c>
      <c r="V362" s="40" t="s">
        <v>1145</v>
      </c>
      <c r="W362" s="41" t="s">
        <v>39</v>
      </c>
      <c r="X362" s="40" t="s">
        <v>1146</v>
      </c>
      <c r="Y362" s="42"/>
      <c r="Z362" t="s">
        <v>81</v>
      </c>
      <c r="AA362" s="62" t="s">
        <v>1147</v>
      </c>
      <c r="AB362" s="44">
        <v>45848</v>
      </c>
      <c r="AC362" s="63" t="s">
        <v>1148</v>
      </c>
      <c r="AE362">
        <v>3174648</v>
      </c>
      <c r="AF362" s="47">
        <v>45926</v>
      </c>
      <c r="AG362" s="48">
        <v>5300</v>
      </c>
      <c r="AH362" s="48">
        <v>4474.5</v>
      </c>
    </row>
    <row r="363" spans="1:35" ht="19.5" customHeight="1">
      <c r="A363" s="25">
        <f t="shared" si="5"/>
        <v>362</v>
      </c>
      <c r="B363" s="26">
        <v>6194860</v>
      </c>
      <c r="C363" s="27">
        <v>45841</v>
      </c>
      <c r="E363" s="29">
        <v>20619.63</v>
      </c>
      <c r="F363" s="30">
        <v>1542775</v>
      </c>
      <c r="G363" s="27">
        <v>45845</v>
      </c>
      <c r="H363" s="32"/>
      <c r="J363" s="34" t="s">
        <v>159</v>
      </c>
      <c r="K363" t="s">
        <v>160</v>
      </c>
      <c r="L363" s="35" t="s">
        <v>1149</v>
      </c>
      <c r="M363" s="36" t="s">
        <v>1150</v>
      </c>
      <c r="N363" s="37"/>
      <c r="O363" t="s">
        <v>1151</v>
      </c>
      <c r="P363" s="131" t="s">
        <v>1152</v>
      </c>
      <c r="Q363" s="131"/>
      <c r="R363" s="38">
        <v>45536</v>
      </c>
      <c r="S363" s="39">
        <v>45900</v>
      </c>
      <c r="T363" s="38">
        <v>45536</v>
      </c>
      <c r="U363" s="39">
        <v>45900</v>
      </c>
      <c r="V363" s="40" t="s">
        <v>44</v>
      </c>
      <c r="W363" s="41" t="s">
        <v>39</v>
      </c>
      <c r="Z363" t="s">
        <v>81</v>
      </c>
      <c r="AA363" s="62" t="s">
        <v>1153</v>
      </c>
      <c r="AB363" s="44">
        <v>45895</v>
      </c>
      <c r="AC363" s="63" t="s">
        <v>1154</v>
      </c>
      <c r="AE363">
        <v>3173480</v>
      </c>
      <c r="AF363" s="47">
        <v>45916</v>
      </c>
      <c r="AG363" s="48">
        <v>43918</v>
      </c>
      <c r="AH363" s="48">
        <v>20619.63</v>
      </c>
    </row>
    <row r="364" spans="1:35" ht="19.5" customHeight="1">
      <c r="A364" s="25">
        <f t="shared" si="5"/>
        <v>363</v>
      </c>
      <c r="B364" s="26">
        <v>6194944</v>
      </c>
      <c r="C364" s="27">
        <v>45841</v>
      </c>
      <c r="E364" s="29">
        <v>1390</v>
      </c>
      <c r="F364" s="30" t="s">
        <v>1155</v>
      </c>
      <c r="G364" s="27">
        <v>45845</v>
      </c>
      <c r="H364" s="28"/>
      <c r="I364" s="29">
        <v>1390</v>
      </c>
      <c r="J364" s="34" t="s">
        <v>33</v>
      </c>
      <c r="K364" t="s">
        <v>139</v>
      </c>
      <c r="L364" s="132">
        <v>80005105</v>
      </c>
      <c r="M364" s="36" t="s">
        <v>1156</v>
      </c>
      <c r="N364" s="133"/>
      <c r="O364" t="s">
        <v>1157</v>
      </c>
      <c r="P364" s="131" t="s">
        <v>1158</v>
      </c>
      <c r="Q364" s="131"/>
      <c r="R364" s="38">
        <v>45855</v>
      </c>
      <c r="S364" s="39">
        <v>46352</v>
      </c>
      <c r="T364" s="50" t="s">
        <v>141</v>
      </c>
      <c r="U364" s="47" t="s">
        <v>141</v>
      </c>
      <c r="V364" s="40" t="s">
        <v>175</v>
      </c>
      <c r="W364" s="41" t="s">
        <v>39</v>
      </c>
      <c r="Y364" s="42"/>
      <c r="Z364" t="s">
        <v>40</v>
      </c>
      <c r="AA364" s="62">
        <v>90007032</v>
      </c>
      <c r="AB364" s="44">
        <v>45880</v>
      </c>
      <c r="AC364" s="63">
        <v>60016513</v>
      </c>
      <c r="AE364">
        <v>3196675</v>
      </c>
      <c r="AF364" s="39">
        <v>46086</v>
      </c>
      <c r="AG364" s="48">
        <v>12984</v>
      </c>
      <c r="AH364" s="48">
        <v>6790</v>
      </c>
    </row>
    <row r="365" spans="1:35" ht="19.5" customHeight="1">
      <c r="A365" s="25">
        <f t="shared" si="5"/>
        <v>364</v>
      </c>
      <c r="B365" s="26">
        <v>6195357</v>
      </c>
      <c r="C365" s="27">
        <v>45842</v>
      </c>
      <c r="D365" s="28">
        <v>907.2</v>
      </c>
      <c r="E365" s="29">
        <v>7121.34</v>
      </c>
      <c r="F365" s="30">
        <v>1542812</v>
      </c>
      <c r="G365" s="27">
        <v>45845</v>
      </c>
      <c r="H365" s="32"/>
      <c r="J365" s="34" t="s">
        <v>33</v>
      </c>
      <c r="K365" t="s">
        <v>34</v>
      </c>
      <c r="L365" s="35" t="s">
        <v>1159</v>
      </c>
      <c r="M365" s="36" t="s">
        <v>1160</v>
      </c>
      <c r="N365" s="37"/>
      <c r="O365" t="s">
        <v>994</v>
      </c>
      <c r="P365" t="s">
        <v>995</v>
      </c>
      <c r="R365" s="38">
        <v>45778</v>
      </c>
      <c r="S365" s="39">
        <v>46142</v>
      </c>
      <c r="T365" s="38">
        <v>45778</v>
      </c>
      <c r="U365" s="39">
        <v>46142</v>
      </c>
      <c r="V365" s="40" t="s">
        <v>38</v>
      </c>
      <c r="W365" s="41" t="s">
        <v>114</v>
      </c>
      <c r="AF365" s="47">
        <v>45867</v>
      </c>
      <c r="AG365" s="48">
        <v>5924668.9000000004</v>
      </c>
      <c r="AH365" s="48">
        <v>4738096.59</v>
      </c>
    </row>
    <row r="366" spans="1:35" ht="19.5" customHeight="1">
      <c r="A366" s="25">
        <f t="shared" si="5"/>
        <v>365</v>
      </c>
      <c r="B366" s="26">
        <v>6195385</v>
      </c>
      <c r="C366" s="27">
        <v>45842</v>
      </c>
      <c r="D366" s="28">
        <v>159.5</v>
      </c>
      <c r="E366" s="29">
        <v>1252.04</v>
      </c>
      <c r="F366" s="30">
        <v>1542694</v>
      </c>
      <c r="G366" s="27">
        <v>45847</v>
      </c>
      <c r="H366" s="32"/>
      <c r="J366" s="34" t="s">
        <v>33</v>
      </c>
      <c r="K366" t="s">
        <v>34</v>
      </c>
      <c r="L366" s="35">
        <v>302147368</v>
      </c>
      <c r="M366" s="36" t="s">
        <v>1161</v>
      </c>
      <c r="N366" s="37" t="s">
        <v>1162</v>
      </c>
      <c r="O366" t="s">
        <v>1163</v>
      </c>
      <c r="P366" t="s">
        <v>1164</v>
      </c>
      <c r="R366" s="38">
        <v>45839</v>
      </c>
      <c r="S366" s="39">
        <v>46203</v>
      </c>
      <c r="T366" s="38">
        <v>45945</v>
      </c>
      <c r="U366" s="39">
        <v>46309</v>
      </c>
      <c r="V366" s="40" t="s">
        <v>590</v>
      </c>
      <c r="W366" s="41" t="s">
        <v>114</v>
      </c>
      <c r="AF366" s="47">
        <v>45867</v>
      </c>
      <c r="AG366" s="48">
        <v>1269511</v>
      </c>
      <c r="AH366" s="48">
        <v>387454.3</v>
      </c>
    </row>
    <row r="367" spans="1:35" ht="19.5" customHeight="1">
      <c r="A367" s="25">
        <f t="shared" si="5"/>
        <v>366</v>
      </c>
      <c r="B367" s="26">
        <v>6195428</v>
      </c>
      <c r="C367" s="27">
        <v>45842</v>
      </c>
      <c r="D367" s="28">
        <v>3253.8</v>
      </c>
      <c r="E367" s="29">
        <v>25541.68</v>
      </c>
      <c r="F367" s="30">
        <v>1542695</v>
      </c>
      <c r="G367" s="27">
        <v>45847</v>
      </c>
      <c r="H367" s="32"/>
      <c r="J367" s="34" t="s">
        <v>33</v>
      </c>
      <c r="K367" t="s">
        <v>34</v>
      </c>
      <c r="L367" s="35">
        <v>342147009</v>
      </c>
      <c r="M367" s="36" t="s">
        <v>1165</v>
      </c>
      <c r="N367" s="37" t="s">
        <v>1166</v>
      </c>
      <c r="O367" t="s">
        <v>1163</v>
      </c>
      <c r="P367" t="s">
        <v>1164</v>
      </c>
      <c r="R367" s="38">
        <v>45839</v>
      </c>
      <c r="S367" s="39">
        <v>46203</v>
      </c>
      <c r="T367" s="38">
        <v>45945</v>
      </c>
      <c r="U367" s="39">
        <v>46309</v>
      </c>
      <c r="V367" s="40" t="s">
        <v>590</v>
      </c>
      <c r="W367" s="41" t="s">
        <v>114</v>
      </c>
      <c r="AF367" s="47">
        <v>45867</v>
      </c>
      <c r="AG367" s="48">
        <v>1269511</v>
      </c>
      <c r="AH367" s="48">
        <v>387454.3</v>
      </c>
    </row>
    <row r="368" spans="1:35" ht="19.5" customHeight="1">
      <c r="A368" s="25">
        <f t="shared" si="5"/>
        <v>367</v>
      </c>
      <c r="B368" s="26">
        <v>6195435</v>
      </c>
      <c r="C368" s="27">
        <v>45842</v>
      </c>
      <c r="D368" s="28">
        <v>10591.24</v>
      </c>
      <c r="E368" s="29">
        <v>83139.12</v>
      </c>
      <c r="F368" s="30">
        <v>1542693</v>
      </c>
      <c r="G368" s="27">
        <v>45847</v>
      </c>
      <c r="H368" s="32"/>
      <c r="J368" s="34" t="s">
        <v>33</v>
      </c>
      <c r="K368" t="s">
        <v>34</v>
      </c>
      <c r="L368" s="35">
        <v>312146345</v>
      </c>
      <c r="M368" s="36" t="s">
        <v>1165</v>
      </c>
      <c r="N368" s="37" t="s">
        <v>1167</v>
      </c>
      <c r="O368" t="s">
        <v>1163</v>
      </c>
      <c r="P368" t="s">
        <v>1164</v>
      </c>
      <c r="R368" s="38">
        <v>45839</v>
      </c>
      <c r="S368" s="39">
        <v>46203</v>
      </c>
      <c r="T368" s="38">
        <v>45945</v>
      </c>
      <c r="U368" s="39">
        <v>46309</v>
      </c>
      <c r="V368" s="40" t="s">
        <v>590</v>
      </c>
      <c r="W368" s="41" t="s">
        <v>114</v>
      </c>
      <c r="AF368" s="47">
        <v>45867</v>
      </c>
      <c r="AG368" s="48">
        <v>1269511</v>
      </c>
      <c r="AH368" s="48">
        <v>387454.3</v>
      </c>
    </row>
    <row r="369" spans="1:34" ht="19.5" customHeight="1">
      <c r="A369" s="25">
        <f t="shared" si="5"/>
        <v>368</v>
      </c>
      <c r="B369" s="26">
        <v>6195488</v>
      </c>
      <c r="C369" s="27">
        <v>45842</v>
      </c>
      <c r="D369" s="28">
        <v>1345.8</v>
      </c>
      <c r="E369" s="29">
        <v>10564.26</v>
      </c>
      <c r="F369" s="30">
        <v>1542692</v>
      </c>
      <c r="G369" s="27">
        <v>45847</v>
      </c>
      <c r="H369" s="32"/>
      <c r="J369" s="34" t="s">
        <v>33</v>
      </c>
      <c r="K369" t="s">
        <v>34</v>
      </c>
      <c r="L369" s="35">
        <v>461934453</v>
      </c>
      <c r="M369" s="36" t="s">
        <v>1161</v>
      </c>
      <c r="N369" s="37" t="s">
        <v>1168</v>
      </c>
      <c r="O369" t="s">
        <v>1163</v>
      </c>
      <c r="P369" t="s">
        <v>1164</v>
      </c>
      <c r="R369" s="38">
        <v>45839</v>
      </c>
      <c r="S369" s="39">
        <v>46203</v>
      </c>
      <c r="T369" s="38">
        <v>45839</v>
      </c>
      <c r="U369" s="39">
        <v>46203</v>
      </c>
      <c r="V369" s="40" t="s">
        <v>590</v>
      </c>
      <c r="W369" s="41" t="s">
        <v>114</v>
      </c>
      <c r="AF369" s="47">
        <v>45867</v>
      </c>
      <c r="AG369" s="48">
        <v>1269511</v>
      </c>
      <c r="AH369" s="48">
        <v>387454.3</v>
      </c>
    </row>
    <row r="370" spans="1:34" ht="19.5" customHeight="1">
      <c r="A370" s="25">
        <f t="shared" si="5"/>
        <v>369</v>
      </c>
      <c r="B370" s="26">
        <v>6195490</v>
      </c>
      <c r="C370" s="27">
        <v>45842</v>
      </c>
      <c r="D370" s="28">
        <v>2201.1</v>
      </c>
      <c r="E370" s="29">
        <v>17278.189999999999</v>
      </c>
      <c r="F370" s="30">
        <v>1542691</v>
      </c>
      <c r="G370" s="27">
        <v>45847</v>
      </c>
      <c r="H370" s="32"/>
      <c r="J370" s="34" t="s">
        <v>33</v>
      </c>
      <c r="K370" t="s">
        <v>34</v>
      </c>
      <c r="L370" s="35">
        <v>461934456</v>
      </c>
      <c r="M370" s="36" t="s">
        <v>1161</v>
      </c>
      <c r="N370" s="37" t="s">
        <v>1169</v>
      </c>
      <c r="O370" t="s">
        <v>1163</v>
      </c>
      <c r="P370" t="s">
        <v>1164</v>
      </c>
      <c r="R370" s="38">
        <v>45839</v>
      </c>
      <c r="S370" s="39">
        <v>46203</v>
      </c>
      <c r="T370" s="38">
        <v>45839</v>
      </c>
      <c r="U370" s="39">
        <v>46203</v>
      </c>
      <c r="V370" s="40" t="s">
        <v>590</v>
      </c>
      <c r="W370" s="41" t="s">
        <v>114</v>
      </c>
      <c r="AF370" s="47">
        <v>45867</v>
      </c>
      <c r="AG370" s="48">
        <v>1269511</v>
      </c>
      <c r="AH370" s="48">
        <v>387454.3</v>
      </c>
    </row>
    <row r="371" spans="1:34" ht="19.5" customHeight="1">
      <c r="A371" s="25">
        <f t="shared" si="5"/>
        <v>370</v>
      </c>
      <c r="B371" s="26">
        <v>6195823</v>
      </c>
      <c r="C371" s="27">
        <v>45845</v>
      </c>
      <c r="D371" s="28">
        <v>2185</v>
      </c>
      <c r="E371" s="29">
        <v>17151.810000000001</v>
      </c>
      <c r="F371" s="30">
        <v>1544612</v>
      </c>
      <c r="G371" s="27">
        <v>45853</v>
      </c>
      <c r="H371" s="32"/>
      <c r="J371" s="34" t="s">
        <v>384</v>
      </c>
      <c r="K371" t="s">
        <v>34</v>
      </c>
      <c r="L371" s="35">
        <v>99507121</v>
      </c>
      <c r="M371" s="36" t="s">
        <v>1170</v>
      </c>
      <c r="N371" s="37" t="s">
        <v>1002</v>
      </c>
      <c r="O371" t="s">
        <v>1171</v>
      </c>
      <c r="P371" t="s">
        <v>1172</v>
      </c>
      <c r="R371" s="38">
        <v>45839</v>
      </c>
      <c r="S371" s="39">
        <v>46203</v>
      </c>
      <c r="T371" s="38">
        <v>45865</v>
      </c>
      <c r="U371" s="39">
        <v>46229</v>
      </c>
      <c r="V371" s="40" t="s">
        <v>590</v>
      </c>
      <c r="W371" s="41" t="s">
        <v>39</v>
      </c>
      <c r="Y371" s="42"/>
      <c r="Z371" t="s">
        <v>40</v>
      </c>
      <c r="AF371" s="47">
        <v>45867</v>
      </c>
      <c r="AG371" s="48">
        <v>198926.1</v>
      </c>
      <c r="AH371" s="48">
        <v>95259.75</v>
      </c>
    </row>
    <row r="372" spans="1:34" ht="19.5" customHeight="1">
      <c r="A372" s="25">
        <f t="shared" si="5"/>
        <v>371</v>
      </c>
      <c r="B372" s="26">
        <v>6195831</v>
      </c>
      <c r="C372" s="27">
        <v>45845</v>
      </c>
      <c r="D372" s="28">
        <v>9950</v>
      </c>
      <c r="E372" s="29">
        <v>78105.509999999995</v>
      </c>
      <c r="F372" s="30">
        <v>1545725</v>
      </c>
      <c r="G372" s="27">
        <v>45845</v>
      </c>
      <c r="H372" s="32"/>
      <c r="J372" s="34" t="s">
        <v>384</v>
      </c>
      <c r="K372" t="s">
        <v>34</v>
      </c>
      <c r="L372" s="35">
        <v>99502603</v>
      </c>
      <c r="M372" s="36" t="s">
        <v>1173</v>
      </c>
      <c r="N372" s="37" t="s">
        <v>1169</v>
      </c>
      <c r="O372" t="s">
        <v>1171</v>
      </c>
      <c r="P372" t="s">
        <v>1172</v>
      </c>
      <c r="R372" s="38">
        <v>45870</v>
      </c>
      <c r="S372" s="39">
        <v>46203</v>
      </c>
      <c r="T372" s="38">
        <v>45866</v>
      </c>
      <c r="U372" s="39">
        <v>46230</v>
      </c>
      <c r="V372" s="40" t="s">
        <v>590</v>
      </c>
      <c r="W372" s="41" t="s">
        <v>39</v>
      </c>
      <c r="Y372" s="42"/>
      <c r="Z372" t="s">
        <v>40</v>
      </c>
      <c r="AE372">
        <v>3173423</v>
      </c>
      <c r="AF372" s="47">
        <v>45915</v>
      </c>
      <c r="AG372" s="48">
        <v>198926.1</v>
      </c>
      <c r="AH372" s="48">
        <v>95259.75</v>
      </c>
    </row>
    <row r="373" spans="1:34" ht="19.5" customHeight="1">
      <c r="A373" s="25">
        <f t="shared" si="5"/>
        <v>372</v>
      </c>
      <c r="B373" s="26">
        <v>6195888</v>
      </c>
      <c r="C373" s="27">
        <v>45845</v>
      </c>
      <c r="D373" s="28">
        <v>732.29</v>
      </c>
      <c r="E373" s="29">
        <v>5748.33</v>
      </c>
      <c r="F373" s="30">
        <v>1543764</v>
      </c>
      <c r="G373" s="27">
        <v>45848</v>
      </c>
      <c r="H373" s="32"/>
      <c r="J373" s="34" t="s">
        <v>33</v>
      </c>
      <c r="K373" t="s">
        <v>34</v>
      </c>
      <c r="L373" s="35">
        <v>481916002</v>
      </c>
      <c r="M373" s="36" t="s">
        <v>1174</v>
      </c>
      <c r="N373" s="37"/>
      <c r="O373" t="s">
        <v>1175</v>
      </c>
      <c r="P373" t="s">
        <v>1176</v>
      </c>
      <c r="R373" s="38">
        <v>45861</v>
      </c>
      <c r="S373" s="39">
        <v>46225</v>
      </c>
      <c r="T373" s="38">
        <v>45913</v>
      </c>
      <c r="U373" s="39">
        <v>46277</v>
      </c>
      <c r="V373" s="40" t="s">
        <v>80</v>
      </c>
      <c r="W373" s="41" t="s">
        <v>39</v>
      </c>
      <c r="Y373" s="42"/>
      <c r="Z373" t="s">
        <v>40</v>
      </c>
      <c r="AE373">
        <v>3173312</v>
      </c>
      <c r="AF373" s="47">
        <v>45913</v>
      </c>
      <c r="AG373" s="48">
        <v>350696</v>
      </c>
      <c r="AH373" s="48">
        <v>196587.3</v>
      </c>
    </row>
    <row r="374" spans="1:34" ht="19.5" customHeight="1">
      <c r="A374" s="25">
        <f t="shared" si="5"/>
        <v>373</v>
      </c>
      <c r="B374" s="26">
        <v>6195913</v>
      </c>
      <c r="C374" s="27">
        <v>45845</v>
      </c>
      <c r="D374" s="28">
        <v>595</v>
      </c>
      <c r="E374" s="29">
        <v>4670.63</v>
      </c>
      <c r="F374" s="30">
        <v>1543617</v>
      </c>
      <c r="G374" s="27">
        <v>45847</v>
      </c>
      <c r="H374" s="32"/>
      <c r="J374" s="34" t="s">
        <v>33</v>
      </c>
      <c r="K374" t="s">
        <v>1177</v>
      </c>
      <c r="L374" s="86" t="s">
        <v>141</v>
      </c>
      <c r="M374" s="36" t="s">
        <v>1178</v>
      </c>
      <c r="N374" s="37"/>
      <c r="O374" t="s">
        <v>1175</v>
      </c>
      <c r="P374" t="s">
        <v>1176</v>
      </c>
      <c r="R374" s="38">
        <v>45861</v>
      </c>
      <c r="S374" s="39">
        <v>46225</v>
      </c>
      <c r="T374" s="50" t="s">
        <v>141</v>
      </c>
      <c r="U374" s="47" t="s">
        <v>141</v>
      </c>
      <c r="V374" s="40" t="s">
        <v>80</v>
      </c>
      <c r="W374" s="41" t="s">
        <v>39</v>
      </c>
      <c r="Y374" s="42"/>
      <c r="Z374" t="s">
        <v>40</v>
      </c>
      <c r="AA374" s="62" t="s">
        <v>1179</v>
      </c>
      <c r="AB374" s="44">
        <v>45859</v>
      </c>
      <c r="AC374" s="63">
        <v>240735953</v>
      </c>
      <c r="AD374" s="46">
        <v>45859</v>
      </c>
      <c r="AE374">
        <v>3176918</v>
      </c>
      <c r="AF374" s="47">
        <v>45945</v>
      </c>
      <c r="AG374" s="48">
        <v>350696</v>
      </c>
      <c r="AH374" s="48">
        <v>196587.3</v>
      </c>
    </row>
    <row r="375" spans="1:34" ht="19.5" customHeight="1">
      <c r="A375" s="25">
        <f t="shared" si="5"/>
        <v>374</v>
      </c>
      <c r="B375" s="26">
        <v>6196036</v>
      </c>
      <c r="C375" s="27">
        <v>45846</v>
      </c>
      <c r="D375" s="28">
        <v>39774.67</v>
      </c>
      <c r="E375" s="29">
        <v>312223.2</v>
      </c>
      <c r="F375" s="30">
        <v>1543766</v>
      </c>
      <c r="G375" s="27">
        <v>45849</v>
      </c>
      <c r="H375" s="32"/>
      <c r="J375" s="34" t="s">
        <v>33</v>
      </c>
      <c r="K375" t="s">
        <v>34</v>
      </c>
      <c r="L375" s="35">
        <v>451912451</v>
      </c>
      <c r="M375" s="36" t="s">
        <v>1180</v>
      </c>
      <c r="N375" s="37"/>
      <c r="O375" t="s">
        <v>1181</v>
      </c>
      <c r="P375" t="s">
        <v>1182</v>
      </c>
      <c r="R375" s="38">
        <v>45847</v>
      </c>
      <c r="S375" s="39">
        <v>46942</v>
      </c>
      <c r="T375" s="38">
        <v>45847</v>
      </c>
      <c r="U375" s="39">
        <v>46942</v>
      </c>
      <c r="V375" s="40" t="s">
        <v>38</v>
      </c>
      <c r="W375" s="41" t="s">
        <v>39</v>
      </c>
      <c r="Y375" s="42"/>
      <c r="Z375" t="s">
        <v>40</v>
      </c>
      <c r="AF375" s="47">
        <v>45867</v>
      </c>
      <c r="AG375" s="48">
        <v>2832665.7</v>
      </c>
      <c r="AH375" s="48">
        <v>2181211.7599999998</v>
      </c>
    </row>
    <row r="376" spans="1:34" ht="19.5" customHeight="1">
      <c r="A376" s="25">
        <f t="shared" si="5"/>
        <v>375</v>
      </c>
      <c r="B376" s="26">
        <v>6196076</v>
      </c>
      <c r="C376" s="27">
        <v>45846</v>
      </c>
      <c r="E376" s="134">
        <v>24024</v>
      </c>
      <c r="F376" s="30" t="s">
        <v>1183</v>
      </c>
      <c r="G376" s="27">
        <v>45846</v>
      </c>
      <c r="H376" s="32"/>
      <c r="I376" s="33">
        <v>24024</v>
      </c>
      <c r="J376" s="34" t="s">
        <v>33</v>
      </c>
      <c r="K376" t="s">
        <v>139</v>
      </c>
      <c r="L376" s="35">
        <v>80005113</v>
      </c>
      <c r="M376" s="36" t="s">
        <v>1184</v>
      </c>
      <c r="N376" s="37" t="s">
        <v>1185</v>
      </c>
      <c r="O376" t="s">
        <v>1163</v>
      </c>
      <c r="P376" t="s">
        <v>1164</v>
      </c>
      <c r="R376" s="38">
        <v>45839</v>
      </c>
      <c r="S376" s="39">
        <v>46203</v>
      </c>
      <c r="T376" s="50" t="s">
        <v>141</v>
      </c>
      <c r="U376" s="47" t="s">
        <v>141</v>
      </c>
      <c r="V376" s="40" t="s">
        <v>590</v>
      </c>
      <c r="W376" s="41" t="s">
        <v>39</v>
      </c>
      <c r="Y376" s="42"/>
      <c r="Z376" t="s">
        <v>40</v>
      </c>
      <c r="AA376" s="62">
        <v>90007049</v>
      </c>
      <c r="AB376" s="44">
        <v>45888</v>
      </c>
      <c r="AC376" s="63">
        <v>60016545</v>
      </c>
      <c r="AE376">
        <v>3196680</v>
      </c>
      <c r="AF376" s="39">
        <v>46086</v>
      </c>
      <c r="AG376" s="48">
        <v>1269511</v>
      </c>
      <c r="AH376" s="48">
        <v>387454.3</v>
      </c>
    </row>
    <row r="377" spans="1:34" ht="19.5" customHeight="1">
      <c r="A377" s="25">
        <f t="shared" si="5"/>
        <v>376</v>
      </c>
      <c r="B377" s="26">
        <v>6196327</v>
      </c>
      <c r="C377" s="27">
        <v>45846</v>
      </c>
      <c r="E377" s="29">
        <v>70992</v>
      </c>
      <c r="F377" s="30">
        <v>1544006</v>
      </c>
      <c r="G377" s="27">
        <v>45849</v>
      </c>
      <c r="H377" s="32"/>
      <c r="J377" s="34" t="s">
        <v>99</v>
      </c>
      <c r="K377" t="s">
        <v>1186</v>
      </c>
      <c r="L377" s="35" t="s">
        <v>1187</v>
      </c>
      <c r="M377" s="36" t="s">
        <v>1188</v>
      </c>
      <c r="N377" s="37"/>
      <c r="O377" t="s">
        <v>1181</v>
      </c>
      <c r="P377" t="s">
        <v>1182</v>
      </c>
      <c r="R377" s="38">
        <v>45847</v>
      </c>
      <c r="S377" s="39">
        <v>46942</v>
      </c>
      <c r="T377" s="38">
        <v>45847</v>
      </c>
      <c r="U377" s="39">
        <v>46942</v>
      </c>
      <c r="V377" s="40" t="s">
        <v>38</v>
      </c>
      <c r="W377" s="41" t="s">
        <v>39</v>
      </c>
      <c r="Y377" s="42"/>
      <c r="Z377" t="s">
        <v>40</v>
      </c>
      <c r="AA377" s="62" t="s">
        <v>1189</v>
      </c>
      <c r="AB377" s="44">
        <v>45862</v>
      </c>
      <c r="AF377" s="47">
        <v>45876</v>
      </c>
      <c r="AG377" s="48">
        <v>2832665.7</v>
      </c>
      <c r="AH377" s="48">
        <v>2181211.7599999998</v>
      </c>
    </row>
    <row r="378" spans="1:34" ht="19.5" customHeight="1">
      <c r="A378" s="25">
        <f t="shared" si="5"/>
        <v>377</v>
      </c>
      <c r="B378" s="26">
        <v>6196388</v>
      </c>
      <c r="C378" s="27">
        <v>45846</v>
      </c>
      <c r="E378" s="29">
        <v>63081.22</v>
      </c>
      <c r="F378" s="30">
        <v>1543451</v>
      </c>
      <c r="G378" s="27">
        <v>45847</v>
      </c>
      <c r="H378" s="28"/>
      <c r="I378" s="29">
        <v>63081.22</v>
      </c>
      <c r="J378" s="34" t="s">
        <v>103</v>
      </c>
      <c r="K378" t="s">
        <v>1190</v>
      </c>
      <c r="L378" s="35" t="s">
        <v>1191</v>
      </c>
      <c r="M378" s="36" t="s">
        <v>1192</v>
      </c>
      <c r="N378" s="37"/>
      <c r="O378" t="s">
        <v>1181</v>
      </c>
      <c r="P378" t="s">
        <v>1182</v>
      </c>
      <c r="R378" s="38">
        <v>45847</v>
      </c>
      <c r="S378" s="39">
        <v>46942</v>
      </c>
      <c r="T378" s="38">
        <v>45846</v>
      </c>
      <c r="U378" s="39">
        <v>46942</v>
      </c>
      <c r="V378" s="40" t="s">
        <v>38</v>
      </c>
      <c r="W378" s="41" t="s">
        <v>39</v>
      </c>
      <c r="Y378" s="42"/>
      <c r="Z378" t="s">
        <v>81</v>
      </c>
      <c r="AA378" s="62" t="s">
        <v>1193</v>
      </c>
      <c r="AB378" s="44">
        <v>45848</v>
      </c>
      <c r="AE378">
        <v>3191940</v>
      </c>
      <c r="AF378" s="39">
        <v>46052</v>
      </c>
      <c r="AG378" s="48">
        <v>2832665.7</v>
      </c>
      <c r="AH378" s="48">
        <v>2181211.7599999998</v>
      </c>
    </row>
    <row r="379" spans="1:34" ht="19.5" customHeight="1">
      <c r="A379" s="25">
        <f t="shared" si="5"/>
        <v>378</v>
      </c>
      <c r="B379" s="26">
        <v>6196402</v>
      </c>
      <c r="C379" s="27">
        <v>45846</v>
      </c>
      <c r="E379" s="29">
        <v>3764.86</v>
      </c>
      <c r="F379" s="30">
        <v>1543919</v>
      </c>
      <c r="G379" s="27">
        <v>45852</v>
      </c>
      <c r="H379" s="32"/>
      <c r="J379" s="34" t="s">
        <v>159</v>
      </c>
      <c r="K379" t="s">
        <v>160</v>
      </c>
      <c r="L379" s="35" t="s">
        <v>1194</v>
      </c>
      <c r="M379" s="36" t="s">
        <v>1195</v>
      </c>
      <c r="N379" s="37"/>
      <c r="O379" t="s">
        <v>1196</v>
      </c>
      <c r="P379" t="s">
        <v>1197</v>
      </c>
      <c r="R379" s="38">
        <v>45879</v>
      </c>
      <c r="S379" s="39">
        <v>46387</v>
      </c>
      <c r="T379" s="50" t="s">
        <v>141</v>
      </c>
      <c r="U379" s="47" t="s">
        <v>141</v>
      </c>
      <c r="V379" s="40" t="s">
        <v>128</v>
      </c>
      <c r="W379" s="41" t="s">
        <v>39</v>
      </c>
      <c r="Y379" s="42"/>
      <c r="Z379" t="s">
        <v>40</v>
      </c>
      <c r="AF379" s="47">
        <v>45867</v>
      </c>
      <c r="AG379" s="48">
        <v>8338</v>
      </c>
      <c r="AH379" s="48">
        <v>3764.86</v>
      </c>
    </row>
    <row r="380" spans="1:34" ht="19.5" customHeight="1">
      <c r="A380" s="25">
        <f t="shared" si="5"/>
        <v>379</v>
      </c>
      <c r="B380" s="26">
        <v>6196434</v>
      </c>
      <c r="C380" s="27">
        <v>45846</v>
      </c>
      <c r="D380" s="70">
        <v>195.18</v>
      </c>
      <c r="E380" s="29">
        <v>1541.78</v>
      </c>
      <c r="F380" s="30">
        <v>1543473</v>
      </c>
      <c r="G380" s="27">
        <v>45848</v>
      </c>
      <c r="H380" s="32"/>
      <c r="J380" s="34" t="s">
        <v>33</v>
      </c>
      <c r="K380" t="s">
        <v>34</v>
      </c>
      <c r="L380" s="35">
        <v>332155809</v>
      </c>
      <c r="M380" s="36" t="s">
        <v>1198</v>
      </c>
      <c r="N380" s="37"/>
      <c r="O380" t="s">
        <v>1199</v>
      </c>
      <c r="P380" t="s">
        <v>1200</v>
      </c>
      <c r="R380" s="38">
        <v>45671</v>
      </c>
      <c r="S380" s="39">
        <v>46053</v>
      </c>
      <c r="T380" s="38">
        <v>45876</v>
      </c>
      <c r="U380" s="39">
        <v>46053</v>
      </c>
      <c r="V380" s="40" t="s">
        <v>167</v>
      </c>
      <c r="W380" s="41" t="s">
        <v>39</v>
      </c>
      <c r="Y380" s="42"/>
      <c r="Z380" t="s">
        <v>40</v>
      </c>
      <c r="AA380" s="62" t="s">
        <v>1201</v>
      </c>
      <c r="AB380" s="44">
        <v>45852</v>
      </c>
      <c r="AF380" s="47">
        <v>45867</v>
      </c>
      <c r="AG380" s="48">
        <v>11235</v>
      </c>
      <c r="AH380" s="48">
        <v>2171.7800000000002</v>
      </c>
    </row>
    <row r="381" spans="1:34" ht="19.5" customHeight="1" thickBot="1">
      <c r="A381" s="25">
        <f t="shared" si="5"/>
        <v>380</v>
      </c>
      <c r="B381" s="26">
        <v>6196619</v>
      </c>
      <c r="C381" s="27">
        <v>45847</v>
      </c>
      <c r="E381" s="29">
        <v>1539.06</v>
      </c>
      <c r="F381" s="30">
        <v>1543904</v>
      </c>
      <c r="G381" s="27">
        <v>45852</v>
      </c>
      <c r="H381" s="32"/>
      <c r="J381" s="34" t="s">
        <v>159</v>
      </c>
      <c r="K381" t="s">
        <v>398</v>
      </c>
      <c r="L381" s="35" t="s">
        <v>1202</v>
      </c>
      <c r="M381" s="36" t="s">
        <v>1203</v>
      </c>
      <c r="N381" s="37"/>
      <c r="O381" t="s">
        <v>1204</v>
      </c>
      <c r="P381" t="s">
        <v>1205</v>
      </c>
      <c r="R381" s="38">
        <v>45722</v>
      </c>
      <c r="S381" s="39">
        <v>46078</v>
      </c>
      <c r="T381" s="38">
        <v>45722</v>
      </c>
      <c r="U381" s="39">
        <v>46078</v>
      </c>
      <c r="V381" s="40" t="s">
        <v>1206</v>
      </c>
      <c r="W381" s="41" t="s">
        <v>114</v>
      </c>
      <c r="Y381" s="42" t="s">
        <v>56</v>
      </c>
      <c r="AA381" s="62" t="s">
        <v>1207</v>
      </c>
      <c r="AB381" s="44">
        <v>45859</v>
      </c>
      <c r="AC381" s="63" t="s">
        <v>1207</v>
      </c>
      <c r="AF381" s="47">
        <v>45867</v>
      </c>
      <c r="AG381" s="48"/>
      <c r="AH381" s="48"/>
    </row>
    <row r="382" spans="1:34" ht="19.5" customHeight="1">
      <c r="A382" s="25">
        <f t="shared" si="5"/>
        <v>381</v>
      </c>
      <c r="B382" s="135">
        <v>6196642</v>
      </c>
      <c r="C382" s="136">
        <v>45847</v>
      </c>
      <c r="D382" s="137">
        <v>1076.8</v>
      </c>
      <c r="E382" s="138">
        <v>8452.66</v>
      </c>
      <c r="F382" s="139">
        <v>1544590</v>
      </c>
      <c r="G382" s="136">
        <v>45852</v>
      </c>
      <c r="H382" s="137">
        <v>1076.8</v>
      </c>
      <c r="I382" s="138">
        <v>8452.66</v>
      </c>
      <c r="J382" s="140" t="s">
        <v>103</v>
      </c>
      <c r="K382" s="141" t="s">
        <v>206</v>
      </c>
      <c r="L382" s="142" t="s">
        <v>1208</v>
      </c>
      <c r="M382" s="143" t="s">
        <v>1209</v>
      </c>
      <c r="N382" s="144" t="s">
        <v>1210</v>
      </c>
      <c r="O382" s="141" t="s">
        <v>1211</v>
      </c>
      <c r="P382" s="141" t="s">
        <v>1212</v>
      </c>
      <c r="Q382" s="141"/>
      <c r="R382" s="145">
        <v>45787</v>
      </c>
      <c r="S382" s="146">
        <v>46151</v>
      </c>
      <c r="T382" s="145">
        <v>45787</v>
      </c>
      <c r="U382" s="146">
        <v>46151</v>
      </c>
      <c r="V382" s="147"/>
      <c r="W382" s="148" t="s">
        <v>39</v>
      </c>
      <c r="X382" s="147"/>
      <c r="Y382" s="149"/>
      <c r="Z382" s="141" t="s">
        <v>40</v>
      </c>
      <c r="AA382" s="150" t="s">
        <v>1213</v>
      </c>
      <c r="AB382" s="151">
        <v>45861</v>
      </c>
      <c r="AC382" s="152" t="s">
        <v>1214</v>
      </c>
      <c r="AD382" s="153"/>
      <c r="AE382" s="141">
        <v>3180211</v>
      </c>
      <c r="AF382" s="154">
        <v>45967</v>
      </c>
      <c r="AG382" s="48">
        <v>11834</v>
      </c>
      <c r="AH382" s="48">
        <v>8452.8799999999992</v>
      </c>
    </row>
    <row r="383" spans="1:34" ht="19.5" customHeight="1" thickBot="1">
      <c r="A383" s="25">
        <f t="shared" si="5"/>
        <v>382</v>
      </c>
      <c r="B383" s="155">
        <v>6198351</v>
      </c>
      <c r="C383" s="156">
        <v>45853</v>
      </c>
      <c r="D383" s="157">
        <v>33.799999999999997</v>
      </c>
      <c r="E383" s="158">
        <v>351.67</v>
      </c>
      <c r="F383" s="159">
        <v>1544590</v>
      </c>
      <c r="G383" s="156">
        <v>45859</v>
      </c>
      <c r="H383" s="157">
        <v>33.799999999999997</v>
      </c>
      <c r="I383" s="158">
        <v>351.67</v>
      </c>
      <c r="J383" s="160" t="s">
        <v>103</v>
      </c>
      <c r="K383" s="161" t="s">
        <v>206</v>
      </c>
      <c r="L383" s="162" t="s">
        <v>1215</v>
      </c>
      <c r="M383" s="163" t="s">
        <v>1216</v>
      </c>
      <c r="N383" s="164"/>
      <c r="O383" s="161" t="s">
        <v>1211</v>
      </c>
      <c r="P383" s="161" t="s">
        <v>1212</v>
      </c>
      <c r="Q383" s="161"/>
      <c r="R383" s="165">
        <v>45787</v>
      </c>
      <c r="S383" s="166">
        <v>46151</v>
      </c>
      <c r="T383" s="165">
        <v>45787</v>
      </c>
      <c r="U383" s="166">
        <v>46151</v>
      </c>
      <c r="V383" s="167" t="s">
        <v>51</v>
      </c>
      <c r="W383" s="168" t="s">
        <v>39</v>
      </c>
      <c r="X383" s="167" t="s">
        <v>1217</v>
      </c>
      <c r="Y383" s="169"/>
      <c r="Z383" s="161" t="s">
        <v>40</v>
      </c>
      <c r="AA383" s="170" t="s">
        <v>1213</v>
      </c>
      <c r="AB383" s="171">
        <v>45861</v>
      </c>
      <c r="AC383" s="172" t="s">
        <v>1214</v>
      </c>
      <c r="AD383" s="173"/>
      <c r="AE383" s="161">
        <v>3180211</v>
      </c>
      <c r="AF383" s="174">
        <v>45967</v>
      </c>
      <c r="AG383" s="48">
        <v>11834</v>
      </c>
      <c r="AH383" s="48">
        <v>8804.56</v>
      </c>
    </row>
    <row r="384" spans="1:34" ht="19.5" customHeight="1">
      <c r="A384" s="25">
        <f t="shared" si="5"/>
        <v>383</v>
      </c>
      <c r="B384" s="26">
        <v>6196665</v>
      </c>
      <c r="C384" s="27">
        <v>45847</v>
      </c>
      <c r="E384" s="29">
        <v>2016</v>
      </c>
      <c r="F384" s="30" t="s">
        <v>1218</v>
      </c>
      <c r="G384" s="27">
        <v>45852</v>
      </c>
      <c r="H384" s="32"/>
      <c r="I384" s="33">
        <v>2016</v>
      </c>
      <c r="J384" s="34" t="s">
        <v>103</v>
      </c>
      <c r="K384" t="s">
        <v>293</v>
      </c>
      <c r="L384" s="86" t="s">
        <v>141</v>
      </c>
      <c r="M384" s="36" t="s">
        <v>1219</v>
      </c>
      <c r="N384" s="37" t="s">
        <v>1220</v>
      </c>
      <c r="O384" t="s">
        <v>1221</v>
      </c>
      <c r="P384" t="s">
        <v>1222</v>
      </c>
      <c r="R384" s="38">
        <v>45804</v>
      </c>
      <c r="S384" s="39">
        <v>46168</v>
      </c>
      <c r="T384" s="38">
        <v>45804</v>
      </c>
      <c r="U384" s="39">
        <v>46168</v>
      </c>
      <c r="V384" s="40" t="s">
        <v>1223</v>
      </c>
      <c r="W384" s="41" t="s">
        <v>39</v>
      </c>
      <c r="Y384" s="42"/>
      <c r="Z384" t="s">
        <v>81</v>
      </c>
      <c r="AA384" s="62" t="s">
        <v>1224</v>
      </c>
      <c r="AB384" s="44">
        <v>45855</v>
      </c>
      <c r="AC384" s="63" t="s">
        <v>1225</v>
      </c>
      <c r="AE384">
        <v>3196632</v>
      </c>
      <c r="AF384" s="39">
        <v>46085</v>
      </c>
      <c r="AG384" s="175">
        <v>2765</v>
      </c>
      <c r="AH384" s="48">
        <v>2016</v>
      </c>
    </row>
    <row r="385" spans="1:35" ht="19.5" customHeight="1">
      <c r="A385" s="25">
        <f t="shared" si="5"/>
        <v>384</v>
      </c>
      <c r="B385" s="26">
        <v>6196854</v>
      </c>
      <c r="C385" s="27">
        <v>45848</v>
      </c>
      <c r="E385" s="29">
        <v>41239.26</v>
      </c>
      <c r="F385" s="30">
        <v>1544462</v>
      </c>
      <c r="G385" s="27">
        <v>45852</v>
      </c>
      <c r="H385" s="32"/>
      <c r="I385" s="29">
        <v>41239.26</v>
      </c>
      <c r="J385" s="34" t="s">
        <v>159</v>
      </c>
      <c r="K385" t="s">
        <v>160</v>
      </c>
      <c r="L385" s="35" t="s">
        <v>1149</v>
      </c>
      <c r="M385" s="36" t="s">
        <v>1226</v>
      </c>
      <c r="N385" s="37"/>
      <c r="O385" t="s">
        <v>1227</v>
      </c>
      <c r="P385" t="s">
        <v>1228</v>
      </c>
      <c r="R385" s="38">
        <v>45839</v>
      </c>
      <c r="S385" s="39">
        <v>46203</v>
      </c>
      <c r="T385" s="50" t="s">
        <v>141</v>
      </c>
      <c r="U385" s="47" t="s">
        <v>141</v>
      </c>
      <c r="V385" s="40" t="s">
        <v>306</v>
      </c>
      <c r="W385" s="41" t="s">
        <v>39</v>
      </c>
      <c r="X385" s="40" t="s">
        <v>1229</v>
      </c>
      <c r="Z385" t="s">
        <v>40</v>
      </c>
      <c r="AA385" s="62" t="s">
        <v>1230</v>
      </c>
      <c r="AB385" s="44" t="s">
        <v>1231</v>
      </c>
      <c r="AC385" s="63" t="s">
        <v>1232</v>
      </c>
      <c r="AD385" s="46">
        <v>45941</v>
      </c>
      <c r="AE385">
        <v>3178088</v>
      </c>
      <c r="AF385" s="47">
        <v>45953</v>
      </c>
      <c r="AG385" s="48">
        <v>919568</v>
      </c>
      <c r="AH385" s="48">
        <v>110638.15</v>
      </c>
    </row>
    <row r="386" spans="1:35" ht="19.5" customHeight="1">
      <c r="A386" s="25">
        <f t="shared" si="5"/>
        <v>385</v>
      </c>
      <c r="B386" s="26">
        <v>6196979</v>
      </c>
      <c r="C386" s="27">
        <v>45848</v>
      </c>
      <c r="E386" s="29">
        <v>3540</v>
      </c>
      <c r="F386" s="30" t="s">
        <v>1233</v>
      </c>
      <c r="G386" s="27">
        <v>45848</v>
      </c>
      <c r="H386" s="32"/>
      <c r="I386" s="33">
        <v>3540</v>
      </c>
      <c r="J386" s="34" t="s">
        <v>33</v>
      </c>
      <c r="K386" t="s">
        <v>139</v>
      </c>
      <c r="L386" s="86" t="s">
        <v>141</v>
      </c>
      <c r="M386" s="36" t="s">
        <v>1234</v>
      </c>
      <c r="N386" s="37"/>
      <c r="O386" t="s">
        <v>1235</v>
      </c>
      <c r="P386" t="s">
        <v>1236</v>
      </c>
      <c r="R386" s="38">
        <v>45627</v>
      </c>
      <c r="S386" s="39">
        <v>45991</v>
      </c>
      <c r="T386" s="50" t="s">
        <v>141</v>
      </c>
      <c r="U386" s="47" t="s">
        <v>141</v>
      </c>
      <c r="V386" s="40" t="s">
        <v>245</v>
      </c>
      <c r="W386" s="41" t="s">
        <v>39</v>
      </c>
      <c r="Y386" s="42"/>
      <c r="Z386" t="s">
        <v>40</v>
      </c>
      <c r="AA386" s="62">
        <v>90007032</v>
      </c>
      <c r="AB386" s="44">
        <v>45880</v>
      </c>
      <c r="AC386" s="63">
        <v>60016512</v>
      </c>
      <c r="AE386">
        <v>3196678</v>
      </c>
      <c r="AF386" s="39">
        <v>46086</v>
      </c>
      <c r="AG386" s="48">
        <v>23554</v>
      </c>
      <c r="AH386" s="48">
        <v>3540</v>
      </c>
    </row>
    <row r="387" spans="1:35" ht="19.5" customHeight="1">
      <c r="A387" s="25">
        <f t="shared" si="5"/>
        <v>386</v>
      </c>
      <c r="B387" s="26">
        <v>6197065</v>
      </c>
      <c r="C387" s="27">
        <v>45848</v>
      </c>
      <c r="E387" s="29">
        <v>7560</v>
      </c>
      <c r="F387" s="30">
        <v>1543991</v>
      </c>
      <c r="G387" s="27">
        <v>45849</v>
      </c>
      <c r="H387" s="32"/>
      <c r="J387" s="34" t="s">
        <v>33</v>
      </c>
      <c r="K387" t="s">
        <v>139</v>
      </c>
      <c r="L387" s="35">
        <v>80005107</v>
      </c>
      <c r="M387" s="36" t="s">
        <v>1237</v>
      </c>
      <c r="N387" s="37" t="s">
        <v>1238</v>
      </c>
      <c r="O387" t="s">
        <v>1239</v>
      </c>
      <c r="P387" t="s">
        <v>1240</v>
      </c>
      <c r="R387" s="38">
        <v>45787</v>
      </c>
      <c r="S387" s="39">
        <v>46714</v>
      </c>
      <c r="T387" s="50" t="s">
        <v>141</v>
      </c>
      <c r="U387" s="47" t="s">
        <v>141</v>
      </c>
      <c r="V387" s="40" t="s">
        <v>375</v>
      </c>
      <c r="W387" s="41" t="s">
        <v>39</v>
      </c>
      <c r="Y387" s="42"/>
      <c r="Z387" t="s">
        <v>40</v>
      </c>
      <c r="AA387" s="62">
        <v>90007032</v>
      </c>
      <c r="AB387" s="44">
        <v>45880</v>
      </c>
      <c r="AC387" s="63">
        <v>60016511</v>
      </c>
      <c r="AG387" s="48">
        <v>14502</v>
      </c>
      <c r="AH387" s="48">
        <v>7560</v>
      </c>
    </row>
    <row r="388" spans="1:35" ht="19.5" customHeight="1">
      <c r="A388" s="25">
        <f t="shared" ref="A388:A451" si="6">A387+1</f>
        <v>387</v>
      </c>
      <c r="B388" s="26">
        <v>6197196</v>
      </c>
      <c r="C388" s="27">
        <v>45848</v>
      </c>
      <c r="E388" s="29">
        <v>13994.08</v>
      </c>
      <c r="F388" s="30">
        <v>1544206</v>
      </c>
      <c r="G388" s="27">
        <v>45852</v>
      </c>
      <c r="H388" s="32"/>
      <c r="J388" s="34" t="s">
        <v>159</v>
      </c>
      <c r="K388" t="s">
        <v>160</v>
      </c>
      <c r="L388" s="35" t="s">
        <v>1241</v>
      </c>
      <c r="M388" s="36" t="s">
        <v>1242</v>
      </c>
      <c r="N388" s="37"/>
      <c r="O388" t="s">
        <v>1085</v>
      </c>
      <c r="P388" t="s">
        <v>1097</v>
      </c>
      <c r="R388" s="38">
        <v>45809</v>
      </c>
      <c r="S388" s="39">
        <v>46022</v>
      </c>
      <c r="T388" s="50" t="s">
        <v>141</v>
      </c>
      <c r="U388" s="47" t="s">
        <v>141</v>
      </c>
      <c r="V388" s="40" t="s">
        <v>521</v>
      </c>
      <c r="W388" s="41" t="s">
        <v>39</v>
      </c>
      <c r="Y388" s="42"/>
      <c r="Z388" t="s">
        <v>40</v>
      </c>
      <c r="AF388" s="47">
        <v>45867</v>
      </c>
      <c r="AG388" s="48">
        <v>849191</v>
      </c>
      <c r="AH388" s="48">
        <v>186232.55</v>
      </c>
    </row>
    <row r="389" spans="1:35" ht="19.5" customHeight="1">
      <c r="A389" s="25">
        <f t="shared" si="6"/>
        <v>388</v>
      </c>
      <c r="B389" s="26">
        <v>6197362</v>
      </c>
      <c r="C389" s="27">
        <v>45849</v>
      </c>
      <c r="E389" s="29">
        <v>7540</v>
      </c>
      <c r="F389" s="30" t="s">
        <v>1243</v>
      </c>
      <c r="G389" s="27">
        <v>45853</v>
      </c>
      <c r="H389" s="32" t="s">
        <v>141</v>
      </c>
      <c r="I389" s="33">
        <v>7540</v>
      </c>
      <c r="J389" s="34" t="s">
        <v>33</v>
      </c>
      <c r="K389" t="s">
        <v>139</v>
      </c>
      <c r="L389" s="35">
        <v>80005110</v>
      </c>
      <c r="M389" s="36" t="s">
        <v>1244</v>
      </c>
      <c r="N389" s="37"/>
      <c r="O389" t="s">
        <v>1227</v>
      </c>
      <c r="P389" t="s">
        <v>1228</v>
      </c>
      <c r="R389" s="38">
        <v>45839</v>
      </c>
      <c r="S389" s="39">
        <v>46203</v>
      </c>
      <c r="T389" s="50" t="s">
        <v>141</v>
      </c>
      <c r="U389" s="47" t="s">
        <v>141</v>
      </c>
      <c r="V389" s="40" t="s">
        <v>306</v>
      </c>
      <c r="W389" s="41" t="s">
        <v>39</v>
      </c>
      <c r="X389" s="40" t="s">
        <v>1229</v>
      </c>
      <c r="Y389" s="42"/>
      <c r="Z389" t="s">
        <v>40</v>
      </c>
      <c r="AA389" s="62">
        <v>90007031</v>
      </c>
      <c r="AB389" s="44">
        <v>45880</v>
      </c>
      <c r="AC389" s="63">
        <v>60016509</v>
      </c>
      <c r="AE389">
        <v>3196682</v>
      </c>
      <c r="AF389" s="39">
        <v>31107</v>
      </c>
      <c r="AG389" s="48">
        <v>919568</v>
      </c>
      <c r="AH389" s="48">
        <v>110638.15</v>
      </c>
    </row>
    <row r="390" spans="1:35" ht="19.5" customHeight="1">
      <c r="A390" s="25">
        <f t="shared" si="6"/>
        <v>389</v>
      </c>
      <c r="B390" s="26">
        <v>6197478</v>
      </c>
      <c r="C390" s="27">
        <v>45849</v>
      </c>
      <c r="E390" s="65">
        <v>1320000</v>
      </c>
      <c r="F390" s="30">
        <v>1547466</v>
      </c>
      <c r="G390" s="27">
        <v>45868</v>
      </c>
      <c r="H390" s="32"/>
      <c r="J390" s="34" t="s">
        <v>103</v>
      </c>
      <c r="K390" t="s">
        <v>1245</v>
      </c>
      <c r="L390" s="35" t="s">
        <v>1246</v>
      </c>
      <c r="M390" s="36" t="s">
        <v>1247</v>
      </c>
      <c r="N390" s="37"/>
      <c r="O390" t="s">
        <v>1181</v>
      </c>
      <c r="P390" t="s">
        <v>1182</v>
      </c>
      <c r="R390" s="38">
        <v>45847</v>
      </c>
      <c r="S390" s="39">
        <v>46942</v>
      </c>
      <c r="T390" s="38">
        <v>45847</v>
      </c>
      <c r="U390" s="39">
        <v>46942</v>
      </c>
      <c r="V390" s="40" t="s">
        <v>38</v>
      </c>
      <c r="W390" s="41" t="s">
        <v>39</v>
      </c>
      <c r="Y390" s="42"/>
      <c r="Z390" t="s">
        <v>40</v>
      </c>
      <c r="AA390" s="62" t="s">
        <v>1248</v>
      </c>
      <c r="AB390" s="44">
        <v>45869</v>
      </c>
      <c r="AE390">
        <v>3176681</v>
      </c>
      <c r="AF390" s="47">
        <v>45943</v>
      </c>
      <c r="AG390" s="48">
        <v>2832665.7</v>
      </c>
      <c r="AH390" s="48">
        <v>2181211.7599999998</v>
      </c>
    </row>
    <row r="391" spans="1:35" ht="19.5" customHeight="1">
      <c r="A391" s="25">
        <f t="shared" si="6"/>
        <v>390</v>
      </c>
      <c r="B391" s="26">
        <v>6197511</v>
      </c>
      <c r="C391" s="27">
        <v>45849</v>
      </c>
      <c r="D391" s="28">
        <v>11340</v>
      </c>
      <c r="E391" s="29">
        <v>89016.73</v>
      </c>
      <c r="F391" s="30">
        <v>1546197</v>
      </c>
      <c r="G391" s="27">
        <v>45860</v>
      </c>
      <c r="H391" s="32"/>
      <c r="J391" s="34" t="s">
        <v>384</v>
      </c>
      <c r="K391" t="s">
        <v>34</v>
      </c>
      <c r="L391" s="35">
        <v>99544688</v>
      </c>
      <c r="M391" s="36" t="s">
        <v>1249</v>
      </c>
      <c r="N391" s="37" t="s">
        <v>1002</v>
      </c>
      <c r="O391" t="s">
        <v>1250</v>
      </c>
      <c r="P391" t="s">
        <v>1251</v>
      </c>
      <c r="R391" s="38">
        <v>45868</v>
      </c>
      <c r="S391" s="39">
        <v>46232</v>
      </c>
      <c r="T391" s="38">
        <v>45855</v>
      </c>
      <c r="U391" s="39">
        <v>46219</v>
      </c>
      <c r="V391" s="40" t="s">
        <v>60</v>
      </c>
      <c r="W391" s="41" t="s">
        <v>39</v>
      </c>
      <c r="Z391" t="s">
        <v>40</v>
      </c>
      <c r="AE391">
        <v>3173422</v>
      </c>
      <c r="AF391" s="47">
        <v>45915</v>
      </c>
      <c r="AG391" s="48">
        <v>94773</v>
      </c>
      <c r="AH391" s="48">
        <v>89019</v>
      </c>
    </row>
    <row r="392" spans="1:35" ht="19.5" customHeight="1">
      <c r="A392" s="25">
        <f t="shared" si="6"/>
        <v>391</v>
      </c>
      <c r="B392" s="26">
        <v>6197554</v>
      </c>
      <c r="C392" s="27">
        <v>45849</v>
      </c>
      <c r="E392" s="29">
        <v>1525.12</v>
      </c>
      <c r="F392" s="30">
        <v>1545079</v>
      </c>
      <c r="G392" s="27">
        <v>45854</v>
      </c>
      <c r="H392" s="32"/>
      <c r="J392" s="34" t="s">
        <v>159</v>
      </c>
      <c r="K392" t="s">
        <v>398</v>
      </c>
      <c r="L392" s="35" t="s">
        <v>1202</v>
      </c>
      <c r="M392" s="36" t="s">
        <v>1252</v>
      </c>
      <c r="N392" s="37"/>
      <c r="O392" t="s">
        <v>1204</v>
      </c>
      <c r="P392" t="s">
        <v>1205</v>
      </c>
      <c r="R392" s="38">
        <v>45722</v>
      </c>
      <c r="S392" s="39">
        <v>46078</v>
      </c>
      <c r="T392" s="38">
        <v>45722</v>
      </c>
      <c r="U392" s="39">
        <v>46078</v>
      </c>
      <c r="V392" s="40" t="s">
        <v>1206</v>
      </c>
      <c r="W392" s="41" t="s">
        <v>114</v>
      </c>
      <c r="Y392" s="42"/>
      <c r="Z392" t="s">
        <v>40</v>
      </c>
      <c r="AA392" s="62" t="s">
        <v>1253</v>
      </c>
      <c r="AB392" s="44">
        <v>45863</v>
      </c>
      <c r="AC392" s="63" t="s">
        <v>1253</v>
      </c>
      <c r="AE392">
        <v>3173310</v>
      </c>
      <c r="AF392" s="47">
        <v>45913</v>
      </c>
      <c r="AG392" s="48"/>
      <c r="AH392" s="48"/>
    </row>
    <row r="393" spans="1:35" ht="19.5" customHeight="1">
      <c r="A393" s="25">
        <f t="shared" si="6"/>
        <v>392</v>
      </c>
      <c r="B393" s="26">
        <v>6197555</v>
      </c>
      <c r="C393" s="27">
        <v>45849</v>
      </c>
      <c r="D393" s="28">
        <v>845.36</v>
      </c>
      <c r="E393" s="29">
        <v>6635.91</v>
      </c>
      <c r="F393" s="30">
        <v>1544466</v>
      </c>
      <c r="G393" s="27">
        <v>45852</v>
      </c>
      <c r="H393" s="32"/>
      <c r="J393" s="34" t="s">
        <v>33</v>
      </c>
      <c r="K393" t="s">
        <v>34</v>
      </c>
      <c r="L393" s="35">
        <v>302126643</v>
      </c>
      <c r="M393" s="36" t="s">
        <v>1254</v>
      </c>
      <c r="N393" s="37" t="s">
        <v>1002</v>
      </c>
      <c r="O393" t="s">
        <v>1255</v>
      </c>
      <c r="P393" t="s">
        <v>1256</v>
      </c>
      <c r="R393" s="38">
        <v>45860</v>
      </c>
      <c r="S393" s="39">
        <v>46224</v>
      </c>
      <c r="T393" s="38">
        <v>45860</v>
      </c>
      <c r="U393" s="39">
        <v>46224</v>
      </c>
      <c r="V393" s="40" t="s">
        <v>38</v>
      </c>
      <c r="W393" s="98" t="s">
        <v>39</v>
      </c>
      <c r="Y393" s="42"/>
      <c r="Z393" t="s">
        <v>40</v>
      </c>
      <c r="AE393">
        <v>3173424</v>
      </c>
      <c r="AF393" s="47">
        <v>45915</v>
      </c>
      <c r="AG393" s="48">
        <v>15058</v>
      </c>
      <c r="AH393" s="48">
        <v>6636.08</v>
      </c>
    </row>
    <row r="394" spans="1:35" ht="19.5" customHeight="1">
      <c r="A394" s="25">
        <f t="shared" si="6"/>
        <v>393</v>
      </c>
      <c r="B394" s="26">
        <v>6197859</v>
      </c>
      <c r="C394" s="27">
        <v>45852</v>
      </c>
      <c r="E394" s="29">
        <v>14928.3</v>
      </c>
      <c r="F394" s="30" t="s">
        <v>1257</v>
      </c>
      <c r="G394" s="27">
        <v>45855</v>
      </c>
      <c r="H394" s="32"/>
      <c r="I394" s="33">
        <v>14928.3</v>
      </c>
      <c r="J394" s="34" t="s">
        <v>33</v>
      </c>
      <c r="K394" t="s">
        <v>139</v>
      </c>
      <c r="L394" s="35">
        <v>80005109</v>
      </c>
      <c r="M394" s="36" t="s">
        <v>1258</v>
      </c>
      <c r="N394" s="37" t="s">
        <v>1259</v>
      </c>
      <c r="O394" t="s">
        <v>1260</v>
      </c>
      <c r="P394" t="s">
        <v>1261</v>
      </c>
      <c r="R394" s="38">
        <v>45845</v>
      </c>
      <c r="S394" s="39">
        <v>46209</v>
      </c>
      <c r="T394" s="50" t="s">
        <v>141</v>
      </c>
      <c r="U394" s="47" t="s">
        <v>141</v>
      </c>
      <c r="V394" s="40" t="s">
        <v>375</v>
      </c>
      <c r="W394" s="41" t="s">
        <v>39</v>
      </c>
      <c r="Y394" s="42"/>
      <c r="Z394" t="s">
        <v>40</v>
      </c>
      <c r="AA394" s="62">
        <v>90007031</v>
      </c>
      <c r="AB394" s="44">
        <v>45880</v>
      </c>
      <c r="AC394" s="63">
        <v>60016510</v>
      </c>
      <c r="AE394">
        <v>3196712</v>
      </c>
      <c r="AF394" s="39">
        <v>46086</v>
      </c>
      <c r="AG394" s="48">
        <v>18875</v>
      </c>
      <c r="AH394" s="48">
        <v>15410.45</v>
      </c>
    </row>
    <row r="395" spans="1:35" ht="19.5" customHeight="1">
      <c r="A395" s="25">
        <f t="shared" si="6"/>
        <v>394</v>
      </c>
      <c r="B395" s="26">
        <v>6198253</v>
      </c>
      <c r="C395" s="27">
        <v>45853</v>
      </c>
      <c r="E395" s="29">
        <v>1500</v>
      </c>
      <c r="F395" s="30">
        <v>1546244</v>
      </c>
      <c r="G395" s="27">
        <v>45860</v>
      </c>
      <c r="H395" s="32"/>
      <c r="I395" s="33">
        <v>1500</v>
      </c>
      <c r="J395" s="34" t="s">
        <v>103</v>
      </c>
      <c r="K395" t="s">
        <v>139</v>
      </c>
      <c r="L395" s="35">
        <v>80005114</v>
      </c>
      <c r="M395" s="36" t="s">
        <v>1262</v>
      </c>
      <c r="N395" s="37"/>
      <c r="O395" t="s">
        <v>1263</v>
      </c>
      <c r="P395" t="s">
        <v>1264</v>
      </c>
      <c r="R395" s="38">
        <v>45931</v>
      </c>
      <c r="S395" s="39">
        <v>47026</v>
      </c>
      <c r="T395" s="38">
        <v>45931</v>
      </c>
      <c r="U395" s="39">
        <v>47026</v>
      </c>
      <c r="V395" s="40" t="s">
        <v>245</v>
      </c>
      <c r="W395" s="41" t="s">
        <v>39</v>
      </c>
      <c r="Y395" s="42"/>
      <c r="Z395" t="s">
        <v>40</v>
      </c>
      <c r="AA395" s="62" t="s">
        <v>1265</v>
      </c>
      <c r="AB395" s="44">
        <v>45863</v>
      </c>
      <c r="AC395" s="63">
        <v>60016436</v>
      </c>
      <c r="AE395">
        <v>3181639</v>
      </c>
      <c r="AF395" s="47">
        <v>45980</v>
      </c>
      <c r="AG395" s="48">
        <v>108795</v>
      </c>
      <c r="AH395" s="48">
        <v>2470</v>
      </c>
    </row>
    <row r="396" spans="1:35" ht="19.5" customHeight="1">
      <c r="A396" s="25">
        <f t="shared" si="6"/>
        <v>395</v>
      </c>
      <c r="B396" s="26">
        <v>6198383</v>
      </c>
      <c r="C396" s="27">
        <v>45853</v>
      </c>
      <c r="E396" s="29">
        <v>970</v>
      </c>
      <c r="F396" s="30">
        <v>1544780</v>
      </c>
      <c r="G396" s="27">
        <v>45856</v>
      </c>
      <c r="H396" s="32"/>
      <c r="J396" s="34" t="s">
        <v>33</v>
      </c>
      <c r="K396" t="s">
        <v>139</v>
      </c>
      <c r="L396" s="35">
        <v>80005115</v>
      </c>
      <c r="M396" s="36" t="s">
        <v>1266</v>
      </c>
      <c r="N396" s="37"/>
      <c r="O396" t="s">
        <v>1263</v>
      </c>
      <c r="P396" t="s">
        <v>1264</v>
      </c>
      <c r="R396" s="38">
        <v>45931</v>
      </c>
      <c r="S396" s="39">
        <v>47026</v>
      </c>
      <c r="T396" s="50" t="s">
        <v>141</v>
      </c>
      <c r="U396" s="47" t="s">
        <v>141</v>
      </c>
      <c r="V396" s="40" t="s">
        <v>245</v>
      </c>
      <c r="W396" s="41" t="s">
        <v>39</v>
      </c>
      <c r="Y396" s="42"/>
      <c r="Z396" t="s">
        <v>40</v>
      </c>
      <c r="AA396" s="62">
        <v>90007032</v>
      </c>
      <c r="AB396" s="44">
        <v>45880</v>
      </c>
      <c r="AC396" s="63">
        <v>60016514</v>
      </c>
      <c r="AG396" s="48">
        <v>108795</v>
      </c>
      <c r="AH396" s="48">
        <v>2470</v>
      </c>
    </row>
    <row r="397" spans="1:35" ht="19.5" customHeight="1">
      <c r="A397" s="25">
        <f t="shared" si="6"/>
        <v>396</v>
      </c>
      <c r="B397" s="26">
        <v>6198407</v>
      </c>
      <c r="C397" s="27">
        <v>45853</v>
      </c>
      <c r="D397" s="28">
        <v>3678.08</v>
      </c>
      <c r="E397" s="29">
        <v>28872.19</v>
      </c>
      <c r="F397" s="30">
        <v>1545092</v>
      </c>
      <c r="G397" s="27">
        <v>45856</v>
      </c>
      <c r="H397" s="32"/>
      <c r="J397" s="34" t="s">
        <v>33</v>
      </c>
      <c r="K397" t="s">
        <v>34</v>
      </c>
      <c r="L397" s="35">
        <v>302149135</v>
      </c>
      <c r="M397" s="36" t="s">
        <v>1267</v>
      </c>
      <c r="N397" s="37"/>
      <c r="O397" t="s">
        <v>1268</v>
      </c>
      <c r="P397" t="s">
        <v>1269</v>
      </c>
      <c r="R397" s="38">
        <v>45930</v>
      </c>
      <c r="S397" s="39">
        <v>46294</v>
      </c>
      <c r="T397" s="38">
        <v>45930</v>
      </c>
      <c r="U397" s="39">
        <v>46294</v>
      </c>
      <c r="V397" s="40" t="s">
        <v>245</v>
      </c>
      <c r="W397" s="41" t="s">
        <v>39</v>
      </c>
      <c r="Y397" s="42"/>
      <c r="Z397" t="s">
        <v>40</v>
      </c>
      <c r="AE397">
        <v>3174961</v>
      </c>
      <c r="AF397" s="39">
        <v>45930</v>
      </c>
      <c r="AG397" s="48">
        <v>36395</v>
      </c>
      <c r="AH397" s="48">
        <v>28872.93</v>
      </c>
    </row>
    <row r="398" spans="1:35" ht="19.5" customHeight="1">
      <c r="A398" s="25">
        <f t="shared" si="6"/>
        <v>397</v>
      </c>
      <c r="B398" s="26">
        <v>6198416</v>
      </c>
      <c r="C398" s="27">
        <v>45853</v>
      </c>
      <c r="D398" s="28">
        <v>312.88</v>
      </c>
      <c r="E398" s="29">
        <v>2456.0500000000002</v>
      </c>
      <c r="F398" s="30">
        <v>1545765</v>
      </c>
      <c r="G398" s="27">
        <v>45856</v>
      </c>
      <c r="H398" s="32"/>
      <c r="J398" s="34" t="s">
        <v>33</v>
      </c>
      <c r="K398" t="s">
        <v>34</v>
      </c>
      <c r="L398" s="35">
        <v>421926665</v>
      </c>
      <c r="M398" s="36" t="s">
        <v>1270</v>
      </c>
      <c r="N398" s="37"/>
      <c r="O398" t="s">
        <v>1271</v>
      </c>
      <c r="P398" t="s">
        <v>1272</v>
      </c>
      <c r="R398" s="38">
        <v>45976</v>
      </c>
      <c r="S398" s="39">
        <v>46705</v>
      </c>
      <c r="T398" s="38">
        <v>45976</v>
      </c>
      <c r="U398" s="39">
        <v>46691</v>
      </c>
      <c r="V398" s="40" t="s">
        <v>51</v>
      </c>
      <c r="W398" s="41" t="s">
        <v>39</v>
      </c>
      <c r="Z398" t="s">
        <v>40</v>
      </c>
      <c r="AE398">
        <v>3173235</v>
      </c>
      <c r="AF398" s="47">
        <v>45912</v>
      </c>
      <c r="AG398" s="48">
        <v>12006</v>
      </c>
      <c r="AH398" s="48">
        <v>2456.11</v>
      </c>
      <c r="AI398" s="61">
        <v>45912</v>
      </c>
    </row>
    <row r="399" spans="1:35" ht="19.5" customHeight="1">
      <c r="A399" s="25">
        <f t="shared" si="6"/>
        <v>398</v>
      </c>
      <c r="B399" s="26">
        <v>6198419</v>
      </c>
      <c r="C399" s="27">
        <v>45853</v>
      </c>
      <c r="D399" s="28">
        <v>1079.5</v>
      </c>
      <c r="E399" s="29">
        <v>8473.86</v>
      </c>
      <c r="F399" s="30">
        <v>1545777</v>
      </c>
      <c r="G399" s="27">
        <v>45856</v>
      </c>
      <c r="H399" s="32"/>
      <c r="J399" s="34" t="s">
        <v>33</v>
      </c>
      <c r="K399" t="s">
        <v>34</v>
      </c>
      <c r="L399" s="35">
        <v>471929963</v>
      </c>
      <c r="M399" s="36" t="s">
        <v>1270</v>
      </c>
      <c r="N399" s="37"/>
      <c r="O399" t="s">
        <v>1273</v>
      </c>
      <c r="P399" t="s">
        <v>1274</v>
      </c>
      <c r="R399" s="38">
        <v>45910</v>
      </c>
      <c r="S399" s="39">
        <v>46639</v>
      </c>
      <c r="T399" s="38">
        <v>45910</v>
      </c>
      <c r="U399" s="39">
        <v>46639</v>
      </c>
      <c r="V399" s="40" t="s">
        <v>51</v>
      </c>
      <c r="W399" s="41" t="s">
        <v>39</v>
      </c>
      <c r="Z399" t="s">
        <v>40</v>
      </c>
      <c r="AE399">
        <v>3173246</v>
      </c>
      <c r="AF399" s="47">
        <v>45912</v>
      </c>
      <c r="AG399" s="48">
        <v>13660</v>
      </c>
      <c r="AH399" s="48">
        <v>8474.08</v>
      </c>
      <c r="AI399" s="61">
        <v>45912</v>
      </c>
    </row>
    <row r="400" spans="1:35" ht="19.5" customHeight="1">
      <c r="A400" s="25">
        <f t="shared" si="6"/>
        <v>399</v>
      </c>
      <c r="B400" s="26">
        <v>6198545</v>
      </c>
      <c r="C400" s="27">
        <v>45854</v>
      </c>
      <c r="D400" s="28">
        <v>40071.589999999997</v>
      </c>
      <c r="E400" s="29">
        <v>314553.96999999997</v>
      </c>
      <c r="F400" s="30">
        <v>1545764</v>
      </c>
      <c r="G400" s="27">
        <v>45856</v>
      </c>
      <c r="H400" s="32"/>
      <c r="J400" s="34" t="s">
        <v>33</v>
      </c>
      <c r="K400" t="s">
        <v>34</v>
      </c>
      <c r="L400" s="35">
        <v>352140417</v>
      </c>
      <c r="M400" s="36" t="s">
        <v>1275</v>
      </c>
      <c r="N400" s="37"/>
      <c r="O400" t="s">
        <v>1276</v>
      </c>
      <c r="P400" t="s">
        <v>1277</v>
      </c>
      <c r="R400" s="38">
        <v>45809</v>
      </c>
      <c r="S400" s="39">
        <v>46904</v>
      </c>
      <c r="T400" s="38">
        <v>45809</v>
      </c>
      <c r="U400" s="39">
        <v>46904</v>
      </c>
      <c r="V400" s="40" t="s">
        <v>1278</v>
      </c>
      <c r="W400" s="41" t="s">
        <v>39</v>
      </c>
      <c r="Y400" s="42"/>
      <c r="Z400" t="s">
        <v>81</v>
      </c>
      <c r="AE400">
        <v>3173266</v>
      </c>
      <c r="AF400" s="47">
        <v>45912</v>
      </c>
      <c r="AG400" s="48">
        <v>1901858</v>
      </c>
      <c r="AH400" s="48">
        <v>1481601.98</v>
      </c>
      <c r="AI400" s="61">
        <v>45912</v>
      </c>
    </row>
    <row r="401" spans="1:36" ht="19.5" customHeight="1" thickBot="1">
      <c r="A401" s="25">
        <f t="shared" si="6"/>
        <v>400</v>
      </c>
      <c r="B401" s="26">
        <v>6198579</v>
      </c>
      <c r="C401" s="27">
        <v>45854</v>
      </c>
      <c r="E401" s="29">
        <v>6266.62</v>
      </c>
      <c r="F401" s="30">
        <v>1546265</v>
      </c>
      <c r="G401" s="27">
        <v>45860</v>
      </c>
      <c r="H401" s="32"/>
      <c r="J401" s="34" t="s">
        <v>99</v>
      </c>
      <c r="K401" t="s">
        <v>1190</v>
      </c>
      <c r="L401" s="35" t="s">
        <v>1279</v>
      </c>
      <c r="M401" s="36" t="s">
        <v>1280</v>
      </c>
      <c r="N401" s="37"/>
      <c r="O401" t="s">
        <v>1281</v>
      </c>
      <c r="P401" t="s">
        <v>1282</v>
      </c>
      <c r="R401" s="38">
        <v>45911</v>
      </c>
      <c r="S401" s="39">
        <v>46275</v>
      </c>
      <c r="T401" s="38">
        <v>45910</v>
      </c>
      <c r="U401" s="39">
        <v>46275</v>
      </c>
      <c r="V401" s="40" t="s">
        <v>51</v>
      </c>
      <c r="W401" s="41" t="s">
        <v>39</v>
      </c>
      <c r="Z401" t="s">
        <v>40</v>
      </c>
      <c r="AA401" s="62" t="s">
        <v>1283</v>
      </c>
      <c r="AB401" s="44">
        <v>45862</v>
      </c>
      <c r="AE401">
        <v>3175282</v>
      </c>
      <c r="AF401" s="39">
        <v>45930</v>
      </c>
      <c r="AG401" s="48">
        <v>6880</v>
      </c>
      <c r="AH401" s="48">
        <v>6266.62</v>
      </c>
    </row>
    <row r="402" spans="1:36" ht="19.5" customHeight="1">
      <c r="A402" s="143">
        <f t="shared" si="6"/>
        <v>401</v>
      </c>
      <c r="B402" s="135">
        <v>6198628</v>
      </c>
      <c r="C402" s="136">
        <v>45854</v>
      </c>
      <c r="D402" s="176">
        <v>27385.47</v>
      </c>
      <c r="E402" s="177">
        <v>214970.46</v>
      </c>
      <c r="F402" s="139" t="s">
        <v>1284</v>
      </c>
      <c r="G402" s="136">
        <v>45859</v>
      </c>
      <c r="H402" s="178">
        <f>27385.47/3</f>
        <v>9128.49</v>
      </c>
      <c r="I402" s="179"/>
      <c r="J402" s="140" t="s">
        <v>103</v>
      </c>
      <c r="K402" s="141" t="s">
        <v>104</v>
      </c>
      <c r="L402" s="142" t="s">
        <v>1285</v>
      </c>
      <c r="M402" s="143" t="s">
        <v>1286</v>
      </c>
      <c r="N402" s="144"/>
      <c r="O402" s="141" t="s">
        <v>1287</v>
      </c>
      <c r="P402" s="141" t="s">
        <v>1288</v>
      </c>
      <c r="Q402" s="141"/>
      <c r="R402" s="145">
        <v>45915</v>
      </c>
      <c r="S402" s="146">
        <v>47010</v>
      </c>
      <c r="T402" s="180" t="s">
        <v>141</v>
      </c>
      <c r="U402" s="154" t="s">
        <v>141</v>
      </c>
      <c r="V402" s="147" t="s">
        <v>51</v>
      </c>
      <c r="W402" s="148" t="s">
        <v>39</v>
      </c>
      <c r="X402" s="181" t="s">
        <v>1289</v>
      </c>
      <c r="Y402" s="149"/>
      <c r="Z402" s="141" t="s">
        <v>40</v>
      </c>
      <c r="AA402" s="150">
        <v>2025505464</v>
      </c>
      <c r="AB402" s="151">
        <v>45930</v>
      </c>
      <c r="AC402" s="152">
        <v>2025505464</v>
      </c>
      <c r="AD402" s="153">
        <v>45916</v>
      </c>
      <c r="AE402" s="141">
        <v>3209378</v>
      </c>
      <c r="AF402" s="146">
        <v>46181</v>
      </c>
      <c r="AG402" s="48">
        <v>223910</v>
      </c>
      <c r="AH402" s="48">
        <v>214976.02</v>
      </c>
      <c r="AJ402" s="182" t="s">
        <v>1290</v>
      </c>
    </row>
    <row r="403" spans="1:36" ht="19.5" customHeight="1">
      <c r="A403" s="36"/>
      <c r="B403" s="26">
        <v>6198628</v>
      </c>
      <c r="F403" s="30" t="s">
        <v>1284</v>
      </c>
      <c r="G403" s="27">
        <v>45859</v>
      </c>
      <c r="H403" s="32">
        <f>27385.47/3</f>
        <v>9128.49</v>
      </c>
      <c r="J403" s="34" t="s">
        <v>103</v>
      </c>
      <c r="K403" t="s">
        <v>104</v>
      </c>
      <c r="M403" s="36" t="s">
        <v>1286</v>
      </c>
      <c r="N403" s="37"/>
      <c r="R403" s="38"/>
      <c r="S403" s="39"/>
      <c r="T403" s="50"/>
      <c r="U403" s="47"/>
      <c r="W403" s="41" t="s">
        <v>39</v>
      </c>
      <c r="X403" s="183" t="s">
        <v>1291</v>
      </c>
      <c r="Y403" s="42"/>
      <c r="AG403" s="48"/>
      <c r="AH403" s="48"/>
      <c r="AJ403" s="182" t="s">
        <v>1292</v>
      </c>
    </row>
    <row r="404" spans="1:36" ht="19.5" customHeight="1" thickBot="1">
      <c r="A404" s="163"/>
      <c r="B404" s="155">
        <v>6198628</v>
      </c>
      <c r="C404" s="156"/>
      <c r="D404" s="157"/>
      <c r="E404" s="158"/>
      <c r="F404" s="159" t="s">
        <v>1284</v>
      </c>
      <c r="G404" s="156">
        <v>45859</v>
      </c>
      <c r="H404" s="184">
        <f>27385.47/3</f>
        <v>9128.49</v>
      </c>
      <c r="I404" s="185"/>
      <c r="J404" s="160" t="s">
        <v>103</v>
      </c>
      <c r="K404" s="161" t="s">
        <v>104</v>
      </c>
      <c r="L404" s="162"/>
      <c r="M404" s="163" t="s">
        <v>1286</v>
      </c>
      <c r="N404" s="164"/>
      <c r="O404" s="161"/>
      <c r="P404" s="161"/>
      <c r="Q404" s="161"/>
      <c r="R404" s="165"/>
      <c r="S404" s="166"/>
      <c r="T404" s="165"/>
      <c r="U404" s="166"/>
      <c r="V404" s="167"/>
      <c r="W404" s="168" t="s">
        <v>39</v>
      </c>
      <c r="X404" s="186" t="s">
        <v>1293</v>
      </c>
      <c r="Y404" s="169"/>
      <c r="Z404" s="161"/>
      <c r="AA404" s="170"/>
      <c r="AB404" s="171"/>
      <c r="AC404" s="172"/>
      <c r="AD404" s="173"/>
      <c r="AE404" s="161"/>
      <c r="AF404" s="166"/>
      <c r="AG404" s="48"/>
      <c r="AH404" s="48"/>
      <c r="AJ404" s="182" t="s">
        <v>1294</v>
      </c>
    </row>
    <row r="405" spans="1:36" ht="19.5" customHeight="1">
      <c r="A405" s="25">
        <f>A402+1</f>
        <v>402</v>
      </c>
      <c r="B405" s="26">
        <v>6198724</v>
      </c>
      <c r="C405" s="27">
        <v>45854</v>
      </c>
      <c r="D405" s="28">
        <v>313.42</v>
      </c>
      <c r="E405" s="29">
        <v>2460.2800000000002</v>
      </c>
      <c r="F405" s="30">
        <v>1545329</v>
      </c>
      <c r="G405" s="27">
        <v>45862</v>
      </c>
      <c r="H405" s="32"/>
      <c r="J405" s="34" t="s">
        <v>33</v>
      </c>
      <c r="K405" t="s">
        <v>34</v>
      </c>
      <c r="L405" s="35">
        <v>461915822</v>
      </c>
      <c r="M405" s="36" t="s">
        <v>1295</v>
      </c>
      <c r="N405" s="37"/>
      <c r="O405" t="s">
        <v>1296</v>
      </c>
      <c r="P405" t="s">
        <v>1297</v>
      </c>
      <c r="R405" s="38">
        <v>45839</v>
      </c>
      <c r="S405" s="39">
        <v>46203</v>
      </c>
      <c r="T405" s="38">
        <v>45839</v>
      </c>
      <c r="U405" s="39">
        <v>46203</v>
      </c>
      <c r="V405" s="40" t="s">
        <v>434</v>
      </c>
      <c r="W405" s="41" t="s">
        <v>39</v>
      </c>
      <c r="Y405" s="42"/>
      <c r="Z405" t="s">
        <v>40</v>
      </c>
      <c r="AE405">
        <v>3173215</v>
      </c>
      <c r="AF405" s="47">
        <v>45912</v>
      </c>
      <c r="AG405" s="48">
        <v>232047</v>
      </c>
      <c r="AH405" s="48">
        <v>28811.7</v>
      </c>
      <c r="AI405" s="61">
        <v>45912</v>
      </c>
    </row>
    <row r="406" spans="1:36" ht="19.5" customHeight="1">
      <c r="A406" s="25">
        <f t="shared" si="6"/>
        <v>403</v>
      </c>
      <c r="B406" s="26">
        <v>6198822</v>
      </c>
      <c r="C406" s="27">
        <v>45854</v>
      </c>
      <c r="E406" s="29">
        <v>2570</v>
      </c>
      <c r="F406" s="30" t="s">
        <v>1298</v>
      </c>
      <c r="G406" s="27">
        <v>45861</v>
      </c>
      <c r="H406" s="32"/>
      <c r="I406" s="33">
        <v>2570</v>
      </c>
      <c r="J406" s="34" t="s">
        <v>33</v>
      </c>
      <c r="K406" t="s">
        <v>139</v>
      </c>
      <c r="L406" s="86" t="s">
        <v>141</v>
      </c>
      <c r="M406" s="36" t="s">
        <v>1299</v>
      </c>
      <c r="N406" s="37"/>
      <c r="O406" t="s">
        <v>1300</v>
      </c>
      <c r="P406" t="s">
        <v>1301</v>
      </c>
      <c r="R406" s="38">
        <v>45826</v>
      </c>
      <c r="S406" s="39">
        <v>46190</v>
      </c>
      <c r="T406" s="50" t="s">
        <v>141</v>
      </c>
      <c r="U406" s="47" t="s">
        <v>141</v>
      </c>
      <c r="V406" s="40" t="s">
        <v>590</v>
      </c>
      <c r="W406" s="41" t="s">
        <v>39</v>
      </c>
      <c r="Y406" s="42"/>
      <c r="Z406" t="s">
        <v>40</v>
      </c>
      <c r="AA406" s="43">
        <v>90007146</v>
      </c>
      <c r="AB406" s="44">
        <v>45925</v>
      </c>
      <c r="AC406" s="63">
        <v>60016705</v>
      </c>
      <c r="AD406" s="46">
        <v>45925</v>
      </c>
      <c r="AE406">
        <v>3196690</v>
      </c>
      <c r="AF406" s="39">
        <v>46086</v>
      </c>
      <c r="AG406" s="48">
        <v>49800</v>
      </c>
      <c r="AH406" s="48">
        <v>2570</v>
      </c>
    </row>
    <row r="407" spans="1:36" ht="19.5" customHeight="1">
      <c r="A407" s="25">
        <f t="shared" si="6"/>
        <v>404</v>
      </c>
      <c r="B407" s="26">
        <v>6198897</v>
      </c>
      <c r="C407" s="27">
        <v>45855</v>
      </c>
      <c r="E407" s="29">
        <v>2198.64</v>
      </c>
      <c r="F407" s="30">
        <v>1545629</v>
      </c>
      <c r="G407" s="27">
        <v>45859</v>
      </c>
      <c r="H407" s="32"/>
      <c r="J407" s="34" t="s">
        <v>159</v>
      </c>
      <c r="K407" t="s">
        <v>398</v>
      </c>
      <c r="L407" s="35" t="s">
        <v>1302</v>
      </c>
      <c r="M407" s="36" t="s">
        <v>1303</v>
      </c>
      <c r="N407" s="37"/>
      <c r="O407" t="s">
        <v>1304</v>
      </c>
      <c r="P407" t="s">
        <v>1305</v>
      </c>
      <c r="R407" s="38">
        <v>45763</v>
      </c>
      <c r="S407" s="39">
        <v>46127</v>
      </c>
      <c r="T407" s="38">
        <v>46077</v>
      </c>
      <c r="U407" s="39">
        <v>46441</v>
      </c>
      <c r="V407" s="40" t="s">
        <v>1306</v>
      </c>
      <c r="W407" s="41" t="s">
        <v>39</v>
      </c>
      <c r="Y407" s="42"/>
      <c r="Z407" t="s">
        <v>40</v>
      </c>
      <c r="AA407" s="62" t="s">
        <v>1307</v>
      </c>
      <c r="AB407" s="44">
        <v>45866</v>
      </c>
      <c r="AC407" s="63" t="s">
        <v>1307</v>
      </c>
      <c r="AE407">
        <v>3173311</v>
      </c>
      <c r="AF407" s="47">
        <v>45913</v>
      </c>
      <c r="AG407" s="48">
        <v>225300</v>
      </c>
      <c r="AH407" s="48">
        <v>71775.78</v>
      </c>
    </row>
    <row r="408" spans="1:36" ht="19.5" customHeight="1">
      <c r="A408" s="25">
        <f t="shared" si="6"/>
        <v>405</v>
      </c>
      <c r="B408" s="26">
        <v>6198917</v>
      </c>
      <c r="C408" s="27">
        <v>45855</v>
      </c>
      <c r="E408" s="29">
        <v>1554</v>
      </c>
      <c r="F408" s="30">
        <v>1545490</v>
      </c>
      <c r="G408" s="27">
        <v>45859</v>
      </c>
      <c r="H408" s="32"/>
      <c r="J408" s="34" t="s">
        <v>103</v>
      </c>
      <c r="K408" t="s">
        <v>1308</v>
      </c>
      <c r="L408" s="35" t="s">
        <v>1309</v>
      </c>
      <c r="M408" s="36" t="s">
        <v>1310</v>
      </c>
      <c r="N408" s="37"/>
      <c r="O408" t="s">
        <v>1304</v>
      </c>
      <c r="P408" t="s">
        <v>1305</v>
      </c>
      <c r="R408" s="38">
        <v>45793</v>
      </c>
      <c r="S408" s="39">
        <v>46127</v>
      </c>
      <c r="T408" s="38">
        <v>45940</v>
      </c>
      <c r="U408" s="39">
        <v>46304</v>
      </c>
      <c r="V408" s="40" t="s">
        <v>1306</v>
      </c>
      <c r="W408" s="41" t="s">
        <v>39</v>
      </c>
      <c r="Y408" s="42"/>
      <c r="Z408" t="s">
        <v>40</v>
      </c>
      <c r="AE408">
        <v>3173412</v>
      </c>
      <c r="AF408" s="47">
        <v>45915</v>
      </c>
      <c r="AG408" s="48">
        <v>225300</v>
      </c>
      <c r="AH408" s="48">
        <v>71775.78</v>
      </c>
    </row>
    <row r="409" spans="1:36" ht="19.5" customHeight="1">
      <c r="A409" s="25">
        <f t="shared" si="6"/>
        <v>406</v>
      </c>
      <c r="B409" s="26">
        <v>6199000</v>
      </c>
      <c r="C409" s="27">
        <v>45855</v>
      </c>
      <c r="D409" s="28">
        <v>13180.64</v>
      </c>
      <c r="E409" s="29">
        <v>103465.39</v>
      </c>
      <c r="F409" s="30">
        <v>1545574</v>
      </c>
      <c r="G409" s="27">
        <v>45856</v>
      </c>
      <c r="H409" s="32"/>
      <c r="J409" s="34" t="s">
        <v>33</v>
      </c>
      <c r="K409" t="s">
        <v>34</v>
      </c>
      <c r="L409" s="35">
        <v>431919921</v>
      </c>
      <c r="M409" s="36" t="s">
        <v>1311</v>
      </c>
      <c r="N409" s="37" t="s">
        <v>1002</v>
      </c>
      <c r="O409" t="s">
        <v>1312</v>
      </c>
      <c r="P409" t="s">
        <v>1313</v>
      </c>
      <c r="R409" s="38">
        <v>45809</v>
      </c>
      <c r="S409" s="39">
        <v>46173</v>
      </c>
      <c r="T409" s="38">
        <v>45809</v>
      </c>
      <c r="U409" s="39">
        <v>46173</v>
      </c>
      <c r="V409" s="40" t="s">
        <v>590</v>
      </c>
      <c r="W409" s="41" t="s">
        <v>39</v>
      </c>
      <c r="Y409" s="42"/>
      <c r="Z409" t="s">
        <v>81</v>
      </c>
      <c r="AE409">
        <v>3175019</v>
      </c>
      <c r="AF409" s="39">
        <v>45930</v>
      </c>
      <c r="AG409" s="48">
        <v>121783</v>
      </c>
      <c r="AH409" s="48">
        <v>103467.95</v>
      </c>
    </row>
    <row r="410" spans="1:36" ht="19.5" customHeight="1">
      <c r="A410" s="25">
        <f t="shared" si="6"/>
        <v>407</v>
      </c>
      <c r="B410" s="26">
        <v>6199119</v>
      </c>
      <c r="C410" s="27">
        <v>45855</v>
      </c>
      <c r="E410" s="29">
        <v>1114.4100000000001</v>
      </c>
      <c r="F410" s="30">
        <v>1545993</v>
      </c>
      <c r="G410" s="27">
        <v>45861</v>
      </c>
      <c r="H410" s="32"/>
      <c r="J410" s="34" t="s">
        <v>159</v>
      </c>
      <c r="K410" t="s">
        <v>160</v>
      </c>
      <c r="L410" s="35" t="s">
        <v>1314</v>
      </c>
      <c r="M410" s="36" t="s">
        <v>1315</v>
      </c>
      <c r="N410" s="37" t="s">
        <v>1316</v>
      </c>
      <c r="O410" t="s">
        <v>1317</v>
      </c>
      <c r="P410" t="s">
        <v>1318</v>
      </c>
      <c r="R410" s="38">
        <v>45886</v>
      </c>
      <c r="S410" s="39">
        <v>46250</v>
      </c>
      <c r="T410" s="50" t="s">
        <v>141</v>
      </c>
      <c r="U410" s="47" t="s">
        <v>141</v>
      </c>
      <c r="V410" s="40" t="s">
        <v>51</v>
      </c>
      <c r="W410" s="41" t="s">
        <v>39</v>
      </c>
      <c r="Y410" s="42"/>
      <c r="Z410" t="s">
        <v>40</v>
      </c>
      <c r="AB410" s="44">
        <v>45862</v>
      </c>
      <c r="AC410" s="63" t="s">
        <v>1319</v>
      </c>
      <c r="AE410">
        <v>3173481</v>
      </c>
      <c r="AF410" s="47">
        <v>45916</v>
      </c>
      <c r="AG410" s="48">
        <v>41077</v>
      </c>
      <c r="AH410" s="48">
        <v>31414.41</v>
      </c>
    </row>
    <row r="411" spans="1:36" ht="19.5" customHeight="1">
      <c r="A411" s="25">
        <f t="shared" si="6"/>
        <v>408</v>
      </c>
      <c r="B411" s="26">
        <v>6199185</v>
      </c>
      <c r="C411" s="27">
        <v>45855</v>
      </c>
      <c r="D411" s="28" t="s">
        <v>141</v>
      </c>
      <c r="E411" s="29">
        <v>1500</v>
      </c>
      <c r="F411" s="30">
        <v>1545577</v>
      </c>
      <c r="G411" s="27">
        <v>45856</v>
      </c>
      <c r="H411" s="28" t="s">
        <v>141</v>
      </c>
      <c r="I411" s="33">
        <v>1500</v>
      </c>
      <c r="J411" s="34" t="s">
        <v>33</v>
      </c>
      <c r="K411" t="s">
        <v>193</v>
      </c>
      <c r="L411" s="86" t="s">
        <v>141</v>
      </c>
      <c r="M411" s="36" t="s">
        <v>1320</v>
      </c>
      <c r="N411" s="37" t="s">
        <v>1321</v>
      </c>
      <c r="O411" t="s">
        <v>1317</v>
      </c>
      <c r="P411" t="s">
        <v>1318</v>
      </c>
      <c r="Q411" t="s">
        <v>1322</v>
      </c>
      <c r="R411" s="38">
        <v>45886</v>
      </c>
      <c r="S411" s="39">
        <v>46250</v>
      </c>
      <c r="T411" s="50" t="s">
        <v>141</v>
      </c>
      <c r="U411" s="47" t="s">
        <v>141</v>
      </c>
      <c r="V411" s="40" t="s">
        <v>51</v>
      </c>
      <c r="W411" s="41" t="s">
        <v>39</v>
      </c>
      <c r="Y411" s="42"/>
      <c r="Z411" t="s">
        <v>40</v>
      </c>
      <c r="AA411" s="62" t="s">
        <v>1323</v>
      </c>
      <c r="AB411" s="44">
        <v>45877</v>
      </c>
      <c r="AC411" s="63" t="s">
        <v>1324</v>
      </c>
      <c r="AD411" s="46">
        <v>45869</v>
      </c>
      <c r="AE411">
        <v>3179277</v>
      </c>
      <c r="AF411" s="39">
        <v>45961</v>
      </c>
      <c r="AG411" s="48">
        <v>41077</v>
      </c>
      <c r="AH411" s="48">
        <v>31414.41</v>
      </c>
    </row>
    <row r="412" spans="1:36" ht="19.5" customHeight="1">
      <c r="A412" s="25">
        <f t="shared" si="6"/>
        <v>409</v>
      </c>
      <c r="B412" s="26">
        <v>6199408</v>
      </c>
      <c r="C412" s="27">
        <v>45856</v>
      </c>
      <c r="D412" s="187">
        <v>1487.64</v>
      </c>
      <c r="E412" s="127">
        <v>11677.68</v>
      </c>
      <c r="F412" s="30">
        <v>1545854</v>
      </c>
      <c r="G412" s="27">
        <v>45859</v>
      </c>
      <c r="H412" s="188"/>
      <c r="I412" s="189"/>
      <c r="J412" s="34" t="s">
        <v>33</v>
      </c>
      <c r="K412" t="s">
        <v>34</v>
      </c>
      <c r="L412" s="35">
        <v>342152216</v>
      </c>
      <c r="M412" s="36" t="s">
        <v>1325</v>
      </c>
      <c r="N412" s="190" t="s">
        <v>1002</v>
      </c>
      <c r="O412" t="s">
        <v>1326</v>
      </c>
      <c r="P412" t="s">
        <v>1327</v>
      </c>
      <c r="R412" s="38">
        <v>45877</v>
      </c>
      <c r="S412" s="39">
        <v>46241</v>
      </c>
      <c r="T412" s="38">
        <v>46242</v>
      </c>
      <c r="U412" s="39">
        <v>46606</v>
      </c>
      <c r="V412" s="40" t="s">
        <v>954</v>
      </c>
      <c r="W412" s="41" t="s">
        <v>39</v>
      </c>
      <c r="Y412" s="42"/>
      <c r="Z412" t="s">
        <v>81</v>
      </c>
      <c r="AE412">
        <v>3173351</v>
      </c>
      <c r="AF412" s="47">
        <v>45915</v>
      </c>
      <c r="AG412" s="48">
        <v>37480</v>
      </c>
      <c r="AH412" s="48">
        <v>11678.03</v>
      </c>
    </row>
    <row r="413" spans="1:36" ht="19.5" customHeight="1">
      <c r="A413" s="25">
        <f t="shared" si="6"/>
        <v>410</v>
      </c>
      <c r="B413" s="26">
        <v>6199471</v>
      </c>
      <c r="C413" s="27">
        <v>45856</v>
      </c>
      <c r="D413" s="28">
        <v>2446.8000000000002</v>
      </c>
      <c r="E413" s="29">
        <v>19206.900000000001</v>
      </c>
      <c r="F413" s="30">
        <v>1546594</v>
      </c>
      <c r="G413" s="27">
        <v>45862</v>
      </c>
      <c r="H413" s="28">
        <v>2446.8000000000002</v>
      </c>
      <c r="I413" s="29">
        <v>19206.900000000001</v>
      </c>
      <c r="J413" s="34" t="s">
        <v>103</v>
      </c>
      <c r="K413" t="s">
        <v>206</v>
      </c>
      <c r="L413" s="35" t="s">
        <v>1328</v>
      </c>
      <c r="M413" s="36" t="s">
        <v>1329</v>
      </c>
      <c r="N413" s="37" t="s">
        <v>1330</v>
      </c>
      <c r="O413" t="s">
        <v>1331</v>
      </c>
      <c r="P413" t="s">
        <v>1332</v>
      </c>
      <c r="R413" s="38">
        <v>45872</v>
      </c>
      <c r="S413" s="39">
        <v>46236</v>
      </c>
      <c r="T413" s="38">
        <v>45872</v>
      </c>
      <c r="U413" s="39">
        <v>46236</v>
      </c>
      <c r="V413" s="40" t="s">
        <v>1333</v>
      </c>
      <c r="W413" s="41" t="s">
        <v>39</v>
      </c>
      <c r="Y413" s="42"/>
      <c r="Z413" t="s">
        <v>40</v>
      </c>
      <c r="AA413" s="62" t="s">
        <v>1334</v>
      </c>
      <c r="AB413" s="44">
        <v>45868</v>
      </c>
      <c r="AC413" s="63" t="s">
        <v>1335</v>
      </c>
      <c r="AE413">
        <v>3180178</v>
      </c>
      <c r="AF413" s="47">
        <v>45967</v>
      </c>
      <c r="AG413" s="48">
        <v>27882</v>
      </c>
      <c r="AH413" s="48">
        <v>19207.38</v>
      </c>
    </row>
    <row r="414" spans="1:36" ht="19.5" customHeight="1">
      <c r="A414" s="25">
        <f t="shared" si="6"/>
        <v>411</v>
      </c>
      <c r="B414" s="26">
        <v>6199774</v>
      </c>
      <c r="C414" s="27">
        <v>45856</v>
      </c>
      <c r="D414" s="28" t="s">
        <v>141</v>
      </c>
      <c r="E414" s="29">
        <v>302376</v>
      </c>
      <c r="F414" s="30" t="s">
        <v>1336</v>
      </c>
      <c r="G414" s="27">
        <v>45863</v>
      </c>
      <c r="H414" s="32" t="s">
        <v>141</v>
      </c>
      <c r="I414" s="33">
        <v>302376</v>
      </c>
      <c r="J414" s="34" t="s">
        <v>1337</v>
      </c>
      <c r="K414" t="s">
        <v>1338</v>
      </c>
      <c r="L414" s="35" t="s">
        <v>1339</v>
      </c>
      <c r="M414" s="36" t="s">
        <v>1340</v>
      </c>
      <c r="N414" s="37" t="s">
        <v>1341</v>
      </c>
      <c r="O414" t="s">
        <v>1276</v>
      </c>
      <c r="P414" t="s">
        <v>1342</v>
      </c>
      <c r="R414" s="38">
        <v>45809</v>
      </c>
      <c r="S414" s="39">
        <v>46904</v>
      </c>
      <c r="T414" s="38">
        <v>45809</v>
      </c>
      <c r="U414" s="39">
        <v>46904</v>
      </c>
      <c r="V414" s="40" t="s">
        <v>1278</v>
      </c>
      <c r="W414" s="41" t="s">
        <v>114</v>
      </c>
      <c r="Y414" s="42"/>
      <c r="Z414" t="s">
        <v>81</v>
      </c>
      <c r="AA414" s="62" t="s">
        <v>1343</v>
      </c>
      <c r="AB414" s="44">
        <v>45973</v>
      </c>
      <c r="AC414" s="63" t="s">
        <v>1344</v>
      </c>
      <c r="AD414" s="46">
        <v>45901</v>
      </c>
      <c r="AE414">
        <v>3181149</v>
      </c>
      <c r="AF414" s="47">
        <v>45975</v>
      </c>
      <c r="AG414" s="48">
        <v>1901858</v>
      </c>
      <c r="AH414" s="48">
        <v>1481601.98</v>
      </c>
    </row>
    <row r="415" spans="1:36" ht="19.5" customHeight="1">
      <c r="A415" s="25">
        <f t="shared" si="6"/>
        <v>412</v>
      </c>
      <c r="B415" s="26">
        <v>6199775</v>
      </c>
      <c r="C415" s="27">
        <v>45856</v>
      </c>
      <c r="D415" s="187">
        <v>1241</v>
      </c>
      <c r="E415" s="127">
        <v>9741.6</v>
      </c>
      <c r="F415" s="30">
        <v>1545847</v>
      </c>
      <c r="G415" s="27">
        <v>45859</v>
      </c>
      <c r="H415" s="188"/>
      <c r="I415" s="189"/>
      <c r="J415" s="34" t="s">
        <v>33</v>
      </c>
      <c r="K415" t="s">
        <v>34</v>
      </c>
      <c r="L415" s="35">
        <v>451931581</v>
      </c>
      <c r="M415" s="36" t="s">
        <v>1345</v>
      </c>
      <c r="N415" s="190" t="s">
        <v>1346</v>
      </c>
      <c r="O415" t="s">
        <v>1347</v>
      </c>
      <c r="P415" t="s">
        <v>1348</v>
      </c>
      <c r="R415" s="38">
        <v>45885</v>
      </c>
      <c r="S415" s="39">
        <v>46614</v>
      </c>
      <c r="T415" s="38">
        <v>45885</v>
      </c>
      <c r="U415" s="39">
        <v>46614</v>
      </c>
      <c r="V415" s="40" t="s">
        <v>175</v>
      </c>
      <c r="W415" s="41" t="s">
        <v>39</v>
      </c>
      <c r="Y415" s="42" t="s">
        <v>56</v>
      </c>
      <c r="Z415" t="s">
        <v>81</v>
      </c>
      <c r="AB415" s="44">
        <v>45864</v>
      </c>
      <c r="AE415">
        <v>3173388</v>
      </c>
      <c r="AF415" s="47">
        <v>45915</v>
      </c>
      <c r="AG415" s="48">
        <v>10257</v>
      </c>
      <c r="AH415" s="48">
        <v>9741.85</v>
      </c>
    </row>
    <row r="416" spans="1:36" ht="19.5" customHeight="1">
      <c r="A416" s="25">
        <f t="shared" si="6"/>
        <v>413</v>
      </c>
      <c r="B416" s="26">
        <v>6199886</v>
      </c>
      <c r="C416" s="27">
        <v>45859</v>
      </c>
      <c r="D416" s="71"/>
      <c r="E416" s="72">
        <v>16814.240000000002</v>
      </c>
      <c r="F416" s="30">
        <v>1546485</v>
      </c>
      <c r="G416" s="27">
        <v>45861</v>
      </c>
      <c r="H416" s="73"/>
      <c r="I416" s="74">
        <v>16814.240000000002</v>
      </c>
      <c r="J416" s="34" t="s">
        <v>159</v>
      </c>
      <c r="K416" s="66" t="s">
        <v>398</v>
      </c>
      <c r="L416" s="86" t="s">
        <v>1349</v>
      </c>
      <c r="M416" s="36" t="s">
        <v>1350</v>
      </c>
      <c r="N416" s="75" t="s">
        <v>141</v>
      </c>
      <c r="O416" t="s">
        <v>205</v>
      </c>
      <c r="P416" s="67" t="s">
        <v>1351</v>
      </c>
      <c r="Q416" s="67"/>
      <c r="R416" s="38"/>
      <c r="S416" s="39"/>
      <c r="T416" s="38"/>
      <c r="U416" s="39"/>
      <c r="W416" s="41" t="s">
        <v>39</v>
      </c>
      <c r="AA416" s="62" t="s">
        <v>1352</v>
      </c>
      <c r="AB416" s="44">
        <v>45884</v>
      </c>
      <c r="AC416" s="63" t="s">
        <v>1352</v>
      </c>
      <c r="AD416" s="46">
        <v>45884</v>
      </c>
      <c r="AE416">
        <v>3170171</v>
      </c>
      <c r="AF416" s="47">
        <v>45884</v>
      </c>
      <c r="AG416" s="76"/>
      <c r="AH416" s="76"/>
    </row>
    <row r="417" spans="1:35" ht="19.5" customHeight="1">
      <c r="A417" s="25">
        <f t="shared" si="6"/>
        <v>414</v>
      </c>
      <c r="B417" s="26">
        <v>6200013</v>
      </c>
      <c r="C417" s="27">
        <v>45859</v>
      </c>
      <c r="D417" s="70">
        <v>1570</v>
      </c>
      <c r="E417" s="29">
        <f>1570*7.85</f>
        <v>12324.5</v>
      </c>
      <c r="F417" s="30" t="s">
        <v>1353</v>
      </c>
      <c r="G417" s="27">
        <v>45860</v>
      </c>
      <c r="H417" s="32">
        <v>1570</v>
      </c>
      <c r="I417" s="29">
        <f>1570*7.85</f>
        <v>12324.5</v>
      </c>
      <c r="J417" s="34" t="s">
        <v>33</v>
      </c>
      <c r="K417" s="66" t="s">
        <v>733</v>
      </c>
      <c r="L417" s="86" t="s">
        <v>141</v>
      </c>
      <c r="M417" s="36" t="s">
        <v>1354</v>
      </c>
      <c r="N417" s="37" t="s">
        <v>1238</v>
      </c>
      <c r="O417" t="s">
        <v>1355</v>
      </c>
      <c r="P417" t="s">
        <v>1356</v>
      </c>
      <c r="R417" s="38">
        <v>45839</v>
      </c>
      <c r="S417" s="39">
        <v>46203</v>
      </c>
      <c r="T417" s="50" t="s">
        <v>141</v>
      </c>
      <c r="U417" s="47" t="s">
        <v>141</v>
      </c>
      <c r="V417" s="40" t="s">
        <v>954</v>
      </c>
      <c r="W417" s="41" t="s">
        <v>39</v>
      </c>
      <c r="Y417" s="42"/>
      <c r="Z417" t="s">
        <v>81</v>
      </c>
      <c r="AA417" s="62" t="s">
        <v>1357</v>
      </c>
      <c r="AB417" s="44">
        <v>45896</v>
      </c>
      <c r="AC417" s="63" t="s">
        <v>1358</v>
      </c>
      <c r="AE417">
        <v>3197173</v>
      </c>
      <c r="AF417" s="39">
        <v>46090</v>
      </c>
      <c r="AG417" s="48">
        <v>220500</v>
      </c>
      <c r="AH417" s="48">
        <v>20970</v>
      </c>
    </row>
    <row r="418" spans="1:35" ht="19.5" customHeight="1">
      <c r="A418" s="25">
        <f t="shared" si="6"/>
        <v>415</v>
      </c>
      <c r="B418" s="26">
        <v>6200128</v>
      </c>
      <c r="C418" s="27">
        <v>45859</v>
      </c>
      <c r="D418" s="28">
        <v>2116.2399999999998</v>
      </c>
      <c r="E418" s="29">
        <v>16612.060000000001</v>
      </c>
      <c r="F418" s="30">
        <v>1546587</v>
      </c>
      <c r="G418" s="27">
        <v>45861</v>
      </c>
      <c r="H418" s="28">
        <v>2116.2399999999998</v>
      </c>
      <c r="I418" s="29">
        <v>16612.060000000001</v>
      </c>
      <c r="J418" s="34" t="s">
        <v>103</v>
      </c>
      <c r="K418" t="s">
        <v>206</v>
      </c>
      <c r="L418" s="35" t="s">
        <v>1359</v>
      </c>
      <c r="M418" s="36" t="s">
        <v>1360</v>
      </c>
      <c r="N418" s="37" t="s">
        <v>1330</v>
      </c>
      <c r="O418" t="s">
        <v>1361</v>
      </c>
      <c r="P418" t="s">
        <v>1362</v>
      </c>
      <c r="R418" s="38">
        <v>45864</v>
      </c>
      <c r="S418" s="39">
        <v>46228</v>
      </c>
      <c r="T418" s="38">
        <v>45864</v>
      </c>
      <c r="U418" s="39">
        <v>46228</v>
      </c>
      <c r="V418" s="40" t="s">
        <v>1333</v>
      </c>
      <c r="W418" s="41" t="s">
        <v>39</v>
      </c>
      <c r="Y418" s="42"/>
      <c r="Z418" t="s">
        <v>81</v>
      </c>
      <c r="AA418" s="62" t="s">
        <v>1363</v>
      </c>
      <c r="AB418" s="44">
        <v>45896</v>
      </c>
      <c r="AC418" s="63" t="s">
        <v>1364</v>
      </c>
      <c r="AE418">
        <v>3180202</v>
      </c>
      <c r="AF418" s="47">
        <v>45967</v>
      </c>
      <c r="AG418" s="48">
        <v>23300</v>
      </c>
      <c r="AH418" s="48">
        <v>16612.48</v>
      </c>
    </row>
    <row r="419" spans="1:35" ht="19.5" customHeight="1">
      <c r="A419" s="25">
        <f t="shared" si="6"/>
        <v>416</v>
      </c>
      <c r="B419" s="26">
        <v>6200207</v>
      </c>
      <c r="C419" s="27">
        <v>45859</v>
      </c>
      <c r="D419" s="28">
        <v>23918.400000000001</v>
      </c>
      <c r="E419" s="29">
        <v>187754.66</v>
      </c>
      <c r="F419" s="30">
        <v>1546250</v>
      </c>
      <c r="G419" s="27">
        <v>45862</v>
      </c>
      <c r="H419" s="32"/>
      <c r="J419" s="34" t="s">
        <v>33</v>
      </c>
      <c r="K419" t="s">
        <v>34</v>
      </c>
      <c r="L419" s="35">
        <v>491922022</v>
      </c>
      <c r="M419" s="36" t="s">
        <v>1365</v>
      </c>
      <c r="N419" s="37" t="s">
        <v>1168</v>
      </c>
      <c r="O419" t="s">
        <v>1366</v>
      </c>
      <c r="P419" t="s">
        <v>1367</v>
      </c>
      <c r="R419" s="38">
        <v>45839</v>
      </c>
      <c r="S419" s="39">
        <v>46203</v>
      </c>
      <c r="T419" s="38">
        <v>45914</v>
      </c>
      <c r="U419" s="39">
        <v>46369</v>
      </c>
      <c r="V419" s="40" t="s">
        <v>954</v>
      </c>
      <c r="W419" s="41" t="s">
        <v>39</v>
      </c>
      <c r="Y419" s="42"/>
      <c r="Z419" t="s">
        <v>81</v>
      </c>
      <c r="AE419">
        <v>3173271</v>
      </c>
      <c r="AF419" s="47">
        <v>45912</v>
      </c>
      <c r="AG419" s="48">
        <v>793890</v>
      </c>
      <c r="AH419" s="48">
        <v>494518.56</v>
      </c>
      <c r="AI419" s="61">
        <v>45912</v>
      </c>
    </row>
    <row r="420" spans="1:35" ht="19.5" customHeight="1">
      <c r="A420" s="25">
        <f t="shared" si="6"/>
        <v>417</v>
      </c>
      <c r="B420" s="26">
        <v>6200210</v>
      </c>
      <c r="C420" s="27">
        <v>45859</v>
      </c>
      <c r="D420" s="28">
        <v>12322.2</v>
      </c>
      <c r="E420" s="29">
        <v>96726.81</v>
      </c>
      <c r="F420" s="30">
        <v>1546251</v>
      </c>
      <c r="G420" s="27">
        <v>45862</v>
      </c>
      <c r="H420" s="32"/>
      <c r="J420" s="34" t="s">
        <v>33</v>
      </c>
      <c r="K420" t="s">
        <v>34</v>
      </c>
      <c r="L420" s="35">
        <v>332142823</v>
      </c>
      <c r="M420" s="36" t="s">
        <v>1368</v>
      </c>
      <c r="N420" s="37" t="s">
        <v>1169</v>
      </c>
      <c r="O420" t="s">
        <v>1366</v>
      </c>
      <c r="P420" t="s">
        <v>1367</v>
      </c>
      <c r="R420" s="38">
        <v>45839</v>
      </c>
      <c r="S420" s="39">
        <v>46203</v>
      </c>
      <c r="T420" s="38">
        <v>46196</v>
      </c>
      <c r="U420" s="39">
        <v>46560</v>
      </c>
      <c r="V420" s="40" t="s">
        <v>954</v>
      </c>
      <c r="W420" s="41" t="s">
        <v>39</v>
      </c>
      <c r="Y420" s="42"/>
      <c r="Z420" t="s">
        <v>81</v>
      </c>
      <c r="AE420">
        <v>3173273</v>
      </c>
      <c r="AF420" s="47">
        <v>45913</v>
      </c>
      <c r="AG420" s="48">
        <v>793890</v>
      </c>
      <c r="AH420" s="48">
        <v>494518.56</v>
      </c>
    </row>
    <row r="421" spans="1:35" ht="19.5" customHeight="1">
      <c r="A421" s="25">
        <f t="shared" si="6"/>
        <v>418</v>
      </c>
      <c r="B421" s="26">
        <v>6200350</v>
      </c>
      <c r="C421" s="27">
        <v>45860</v>
      </c>
      <c r="D421" s="28">
        <v>61.42</v>
      </c>
      <c r="E421" s="29">
        <v>482.13</v>
      </c>
      <c r="F421" s="30">
        <v>1546252</v>
      </c>
      <c r="G421" s="27">
        <v>45863</v>
      </c>
      <c r="H421" s="32"/>
      <c r="J421" s="34" t="s">
        <v>33</v>
      </c>
      <c r="K421" t="s">
        <v>34</v>
      </c>
      <c r="L421" s="35">
        <v>382142029</v>
      </c>
      <c r="M421" s="36" t="s">
        <v>1369</v>
      </c>
      <c r="N421" s="37" t="s">
        <v>1002</v>
      </c>
      <c r="O421" t="s">
        <v>1260</v>
      </c>
      <c r="P421" t="s">
        <v>1261</v>
      </c>
      <c r="R421" s="38">
        <v>45845</v>
      </c>
      <c r="S421" s="39">
        <v>46209</v>
      </c>
      <c r="T421" s="38">
        <v>45845</v>
      </c>
      <c r="U421" s="39">
        <v>46209</v>
      </c>
      <c r="V421" s="40" t="s">
        <v>375</v>
      </c>
      <c r="W421" s="41" t="s">
        <v>39</v>
      </c>
      <c r="Y421" s="42" t="s">
        <v>56</v>
      </c>
      <c r="Z421" t="s">
        <v>40</v>
      </c>
      <c r="AE421">
        <v>3173280</v>
      </c>
      <c r="AF421" s="47">
        <v>45913</v>
      </c>
      <c r="AG421" s="48">
        <v>18875</v>
      </c>
      <c r="AH421" s="48">
        <v>15410.45</v>
      </c>
    </row>
    <row r="422" spans="1:35" ht="19.5" customHeight="1">
      <c r="A422" s="25">
        <f t="shared" si="6"/>
        <v>419</v>
      </c>
      <c r="B422" s="26">
        <v>6200402</v>
      </c>
      <c r="C422" s="27">
        <v>45860</v>
      </c>
      <c r="D422" s="28">
        <v>4900.6400000000003</v>
      </c>
      <c r="E422" s="29">
        <v>38469.040000000001</v>
      </c>
      <c r="F422" s="30">
        <v>1546584</v>
      </c>
      <c r="G422" s="27">
        <v>45863</v>
      </c>
      <c r="H422" s="32"/>
      <c r="J422" s="34" t="s">
        <v>33</v>
      </c>
      <c r="K422" t="s">
        <v>34</v>
      </c>
      <c r="L422" s="35">
        <v>232254493</v>
      </c>
      <c r="M422" s="36" t="s">
        <v>1370</v>
      </c>
      <c r="N422" s="37" t="s">
        <v>141</v>
      </c>
      <c r="P422" s="67" t="s">
        <v>141</v>
      </c>
      <c r="Q422" s="67"/>
      <c r="R422" s="38"/>
      <c r="S422" s="39"/>
      <c r="T422" s="38"/>
      <c r="U422" s="39"/>
      <c r="W422" s="41" t="s">
        <v>39</v>
      </c>
      <c r="AE422">
        <v>3175656</v>
      </c>
      <c r="AF422" s="39">
        <v>45933</v>
      </c>
      <c r="AG422" s="48"/>
      <c r="AH422" s="48"/>
    </row>
    <row r="423" spans="1:35" ht="19.5" customHeight="1">
      <c r="A423" s="25">
        <f t="shared" si="6"/>
        <v>420</v>
      </c>
      <c r="B423" s="26">
        <v>6200598</v>
      </c>
      <c r="C423" s="27">
        <v>45860</v>
      </c>
      <c r="D423" s="28">
        <v>474.54</v>
      </c>
      <c r="E423" s="29">
        <v>3725.04</v>
      </c>
      <c r="F423" s="30">
        <v>1546577</v>
      </c>
      <c r="G423" s="27">
        <v>45863</v>
      </c>
      <c r="H423" s="32"/>
      <c r="J423" s="34" t="s">
        <v>33</v>
      </c>
      <c r="K423" t="s">
        <v>34</v>
      </c>
      <c r="L423" s="35">
        <v>392129445</v>
      </c>
      <c r="M423" s="36" t="s">
        <v>1371</v>
      </c>
      <c r="N423" s="37" t="s">
        <v>1002</v>
      </c>
      <c r="O423" t="s">
        <v>1372</v>
      </c>
      <c r="P423" t="s">
        <v>1373</v>
      </c>
      <c r="R423" s="38">
        <v>45778</v>
      </c>
      <c r="S423" s="39">
        <v>46326</v>
      </c>
      <c r="T423" s="38">
        <v>46025</v>
      </c>
      <c r="U423" s="39">
        <v>46389</v>
      </c>
      <c r="V423" s="40" t="s">
        <v>1374</v>
      </c>
      <c r="W423" s="41" t="s">
        <v>39</v>
      </c>
      <c r="Y423" s="42"/>
      <c r="Z423" t="s">
        <v>81</v>
      </c>
      <c r="AE423">
        <v>3175034</v>
      </c>
      <c r="AF423" s="39">
        <v>45930</v>
      </c>
      <c r="AG423" s="48">
        <v>64143</v>
      </c>
      <c r="AH423" s="48">
        <v>29779.35</v>
      </c>
    </row>
    <row r="424" spans="1:35" ht="19.5" customHeight="1">
      <c r="A424" s="25">
        <f t="shared" si="6"/>
        <v>421</v>
      </c>
      <c r="B424" s="26">
        <v>6200609</v>
      </c>
      <c r="C424" s="27">
        <v>45860</v>
      </c>
      <c r="D424" s="28">
        <v>3319</v>
      </c>
      <c r="E424" s="29">
        <v>26053.46</v>
      </c>
      <c r="F424" s="30">
        <v>1546579</v>
      </c>
      <c r="G424" s="27">
        <v>45863</v>
      </c>
      <c r="H424" s="32"/>
      <c r="J424" s="34" t="s">
        <v>33</v>
      </c>
      <c r="K424" t="s">
        <v>34</v>
      </c>
      <c r="L424" s="35">
        <v>441945158</v>
      </c>
      <c r="M424" s="36" t="s">
        <v>1375</v>
      </c>
      <c r="N424" s="37" t="s">
        <v>1169</v>
      </c>
      <c r="O424" t="s">
        <v>1372</v>
      </c>
      <c r="P424" t="s">
        <v>1373</v>
      </c>
      <c r="R424" s="38">
        <v>45778</v>
      </c>
      <c r="S424" s="39">
        <v>46326</v>
      </c>
      <c r="T424" s="38">
        <v>46025</v>
      </c>
      <c r="U424" s="39">
        <v>46389</v>
      </c>
      <c r="V424" s="40" t="s">
        <v>1374</v>
      </c>
      <c r="W424" s="41" t="s">
        <v>39</v>
      </c>
      <c r="Y424" s="42"/>
      <c r="Z424" t="s">
        <v>81</v>
      </c>
      <c r="AE424">
        <v>3175044</v>
      </c>
      <c r="AF424" s="39">
        <v>45930</v>
      </c>
      <c r="AG424" s="48">
        <v>64143</v>
      </c>
      <c r="AH424" s="48">
        <v>29779.35</v>
      </c>
    </row>
    <row r="425" spans="1:35" ht="19.5" customHeight="1">
      <c r="A425" s="25">
        <f t="shared" si="6"/>
        <v>422</v>
      </c>
      <c r="B425" s="26">
        <v>6200638</v>
      </c>
      <c r="C425" s="27">
        <v>45860</v>
      </c>
      <c r="D425" s="28">
        <v>1357.5</v>
      </c>
      <c r="E425" s="29">
        <v>10656.1</v>
      </c>
      <c r="F425" s="30">
        <v>1546581</v>
      </c>
      <c r="G425" s="27">
        <v>45862</v>
      </c>
      <c r="H425" s="32"/>
      <c r="J425" s="34" t="s">
        <v>33</v>
      </c>
      <c r="K425" t="s">
        <v>34</v>
      </c>
      <c r="L425" s="35">
        <v>272237708</v>
      </c>
      <c r="M425" s="36" t="s">
        <v>1376</v>
      </c>
      <c r="N425" s="37" t="s">
        <v>1377</v>
      </c>
      <c r="O425" t="s">
        <v>1378</v>
      </c>
      <c r="P425" t="s">
        <v>1379</v>
      </c>
      <c r="R425" s="38">
        <v>45839</v>
      </c>
      <c r="S425" s="39">
        <v>46203</v>
      </c>
      <c r="T425" s="38">
        <v>45942</v>
      </c>
      <c r="U425" s="39">
        <v>46112</v>
      </c>
      <c r="V425" s="40" t="s">
        <v>64</v>
      </c>
      <c r="W425" s="41" t="s">
        <v>39</v>
      </c>
      <c r="Y425" s="42"/>
      <c r="Z425" t="s">
        <v>81</v>
      </c>
      <c r="AE425">
        <v>3173285</v>
      </c>
      <c r="AF425" s="47">
        <v>45913</v>
      </c>
      <c r="AG425" s="48">
        <v>858486.6</v>
      </c>
      <c r="AH425" s="48">
        <v>770723.01</v>
      </c>
    </row>
    <row r="426" spans="1:35" ht="19.5" customHeight="1">
      <c r="A426" s="25">
        <f t="shared" si="6"/>
        <v>423</v>
      </c>
      <c r="B426" s="26">
        <v>6200714</v>
      </c>
      <c r="C426" s="27">
        <v>45860</v>
      </c>
      <c r="E426" s="29">
        <v>91290</v>
      </c>
      <c r="F426" s="30">
        <v>1548055</v>
      </c>
      <c r="G426" s="27">
        <v>45870</v>
      </c>
      <c r="H426" s="32"/>
      <c r="J426" s="34" t="s">
        <v>33</v>
      </c>
      <c r="K426" t="s">
        <v>139</v>
      </c>
      <c r="L426" s="86">
        <v>80004920</v>
      </c>
      <c r="M426" s="36" t="s">
        <v>1380</v>
      </c>
      <c r="N426" s="37" t="s">
        <v>141</v>
      </c>
      <c r="O426" t="s">
        <v>205</v>
      </c>
      <c r="P426" s="67" t="s">
        <v>1381</v>
      </c>
      <c r="Q426" s="67"/>
      <c r="R426" s="38"/>
      <c r="S426" s="39"/>
      <c r="T426" s="38"/>
      <c r="U426" s="39"/>
      <c r="W426" s="41" t="s">
        <v>39</v>
      </c>
      <c r="AA426" s="62">
        <v>90007066</v>
      </c>
      <c r="AB426" s="44">
        <v>45897</v>
      </c>
      <c r="AC426" s="63">
        <v>60016574</v>
      </c>
      <c r="AG426" s="48"/>
      <c r="AH426" s="48"/>
    </row>
    <row r="427" spans="1:35" ht="19.5" customHeight="1">
      <c r="A427" s="25">
        <f t="shared" si="6"/>
        <v>424</v>
      </c>
      <c r="B427" s="26">
        <v>6200851</v>
      </c>
      <c r="C427" s="27">
        <v>45861</v>
      </c>
      <c r="D427" s="28">
        <v>74234</v>
      </c>
      <c r="E427" s="29">
        <v>582722.05000000005</v>
      </c>
      <c r="F427" s="30">
        <v>1546903</v>
      </c>
      <c r="G427" s="27">
        <v>45863</v>
      </c>
      <c r="H427" s="32"/>
      <c r="J427" s="34" t="s">
        <v>33</v>
      </c>
      <c r="K427" t="s">
        <v>34</v>
      </c>
      <c r="L427" s="35">
        <v>242239117</v>
      </c>
      <c r="M427" s="36" t="s">
        <v>1376</v>
      </c>
      <c r="N427" s="37" t="s">
        <v>1346</v>
      </c>
      <c r="O427" t="s">
        <v>1378</v>
      </c>
      <c r="P427" t="s">
        <v>1379</v>
      </c>
      <c r="R427" s="38">
        <v>45839</v>
      </c>
      <c r="S427" s="39">
        <v>46203</v>
      </c>
      <c r="T427" s="38">
        <v>45907</v>
      </c>
      <c r="U427" s="39">
        <v>46271</v>
      </c>
      <c r="V427" s="40" t="s">
        <v>64</v>
      </c>
      <c r="W427" s="41" t="s">
        <v>39</v>
      </c>
      <c r="Y427" s="42"/>
      <c r="Z427" t="s">
        <v>81</v>
      </c>
      <c r="AE427">
        <v>3173281</v>
      </c>
      <c r="AF427" s="47">
        <v>45913</v>
      </c>
      <c r="AG427" s="48">
        <v>858486.6</v>
      </c>
      <c r="AH427" s="48">
        <v>770723.01</v>
      </c>
    </row>
    <row r="428" spans="1:35" ht="19.5" customHeight="1">
      <c r="A428" s="25">
        <f t="shared" si="6"/>
        <v>425</v>
      </c>
      <c r="B428" s="26">
        <v>6200891</v>
      </c>
      <c r="C428" s="27">
        <v>45861</v>
      </c>
      <c r="E428" s="29">
        <v>3940</v>
      </c>
      <c r="F428" s="30">
        <v>1546582</v>
      </c>
      <c r="G428" s="27">
        <v>45866</v>
      </c>
      <c r="H428" s="32"/>
      <c r="J428" s="34" t="s">
        <v>33</v>
      </c>
      <c r="K428" t="s">
        <v>139</v>
      </c>
      <c r="L428" s="86" t="s">
        <v>141</v>
      </c>
      <c r="M428" s="36" t="s">
        <v>1382</v>
      </c>
      <c r="N428" s="37" t="s">
        <v>1383</v>
      </c>
      <c r="O428" t="s">
        <v>1384</v>
      </c>
      <c r="P428" t="s">
        <v>1385</v>
      </c>
      <c r="R428" s="38">
        <v>45869</v>
      </c>
      <c r="S428" s="39">
        <v>46052</v>
      </c>
      <c r="T428" s="50" t="s">
        <v>141</v>
      </c>
      <c r="U428" s="47" t="s">
        <v>141</v>
      </c>
      <c r="V428" s="40" t="s">
        <v>80</v>
      </c>
      <c r="W428" s="41" t="s">
        <v>39</v>
      </c>
      <c r="Y428" s="42"/>
      <c r="Z428" t="s">
        <v>40</v>
      </c>
      <c r="AA428" s="62">
        <v>90007032</v>
      </c>
      <c r="AB428" s="44">
        <v>45880</v>
      </c>
      <c r="AC428" s="63">
        <v>60016515</v>
      </c>
      <c r="AG428" s="48">
        <v>9526</v>
      </c>
      <c r="AH428" s="48">
        <v>3940</v>
      </c>
    </row>
    <row r="429" spans="1:35" ht="19.5" customHeight="1">
      <c r="A429" s="25">
        <f t="shared" si="6"/>
        <v>426</v>
      </c>
      <c r="B429" s="26">
        <v>6201082</v>
      </c>
      <c r="C429" s="27">
        <v>45861</v>
      </c>
      <c r="D429" s="28">
        <v>26241.24</v>
      </c>
      <c r="E429" s="29">
        <v>205988.49</v>
      </c>
      <c r="F429" s="30">
        <v>1546752</v>
      </c>
      <c r="G429" s="27">
        <v>45862</v>
      </c>
      <c r="H429" s="32"/>
      <c r="J429" s="34" t="s">
        <v>33</v>
      </c>
      <c r="K429" t="s">
        <v>34</v>
      </c>
      <c r="L429" s="35">
        <v>212238662</v>
      </c>
      <c r="M429" s="36" t="s">
        <v>1365</v>
      </c>
      <c r="N429" s="37" t="s">
        <v>1346</v>
      </c>
      <c r="O429" t="s">
        <v>1366</v>
      </c>
      <c r="P429" t="s">
        <v>1367</v>
      </c>
      <c r="R429" s="38">
        <v>45839</v>
      </c>
      <c r="S429" s="39">
        <v>46203</v>
      </c>
      <c r="T429" s="38">
        <v>46005</v>
      </c>
      <c r="U429" s="39">
        <v>46369</v>
      </c>
      <c r="V429" s="40" t="s">
        <v>954</v>
      </c>
      <c r="W429" s="41" t="s">
        <v>39</v>
      </c>
      <c r="Y429" s="42"/>
      <c r="Z429" t="s">
        <v>81</v>
      </c>
      <c r="AE429">
        <v>3173270</v>
      </c>
      <c r="AF429" s="47">
        <v>45912</v>
      </c>
      <c r="AG429" s="48">
        <v>793890</v>
      </c>
      <c r="AH429" s="48">
        <v>494518.56</v>
      </c>
      <c r="AI429" s="61">
        <v>45912</v>
      </c>
    </row>
    <row r="430" spans="1:35" ht="19.5" customHeight="1">
      <c r="A430" s="25">
        <f t="shared" si="6"/>
        <v>427</v>
      </c>
      <c r="B430" s="26">
        <v>6201093</v>
      </c>
      <c r="C430" s="27">
        <v>45861</v>
      </c>
      <c r="D430" s="28">
        <v>946.11</v>
      </c>
      <c r="E430" s="29">
        <v>7425.91</v>
      </c>
      <c r="F430" s="30">
        <v>1548043</v>
      </c>
      <c r="G430" s="27">
        <v>45873</v>
      </c>
      <c r="H430" s="32"/>
      <c r="J430" s="34" t="s">
        <v>33</v>
      </c>
      <c r="K430" t="s">
        <v>34</v>
      </c>
      <c r="L430" s="35">
        <v>481953135</v>
      </c>
      <c r="M430" s="36" t="s">
        <v>1386</v>
      </c>
      <c r="N430" s="37" t="s">
        <v>1346</v>
      </c>
      <c r="O430" t="s">
        <v>1366</v>
      </c>
      <c r="P430" t="s">
        <v>1367</v>
      </c>
      <c r="R430" s="38">
        <v>45839</v>
      </c>
      <c r="S430" s="39">
        <v>46203</v>
      </c>
      <c r="T430" s="38">
        <v>46054</v>
      </c>
      <c r="U430" s="39">
        <v>46418</v>
      </c>
      <c r="V430" s="40" t="s">
        <v>954</v>
      </c>
      <c r="W430" s="41" t="s">
        <v>39</v>
      </c>
      <c r="X430" s="40" t="s">
        <v>1387</v>
      </c>
      <c r="Y430" s="42"/>
      <c r="Z430" t="s">
        <v>81</v>
      </c>
      <c r="AE430">
        <v>3173275</v>
      </c>
      <c r="AF430" s="47">
        <v>45913</v>
      </c>
      <c r="AG430" s="48">
        <v>793890</v>
      </c>
      <c r="AH430" s="48">
        <v>494518.56</v>
      </c>
    </row>
    <row r="431" spans="1:35" ht="19.5" customHeight="1">
      <c r="A431" s="25">
        <f t="shared" si="6"/>
        <v>428</v>
      </c>
      <c r="B431" s="26">
        <v>6201566</v>
      </c>
      <c r="C431" s="27">
        <v>45863</v>
      </c>
      <c r="E431" s="29">
        <v>20000</v>
      </c>
      <c r="F431" s="30">
        <v>1548435</v>
      </c>
      <c r="G431" s="27">
        <v>45875</v>
      </c>
      <c r="H431" s="32"/>
      <c r="J431" s="34" t="s">
        <v>1337</v>
      </c>
      <c r="K431" t="s">
        <v>1388</v>
      </c>
      <c r="L431" s="35" t="s">
        <v>1389</v>
      </c>
      <c r="M431" s="36" t="s">
        <v>1390</v>
      </c>
      <c r="N431" s="37" t="s">
        <v>1391</v>
      </c>
      <c r="O431" t="s">
        <v>1392</v>
      </c>
      <c r="P431" t="s">
        <v>1393</v>
      </c>
      <c r="R431" s="38">
        <v>45861</v>
      </c>
      <c r="S431" s="39">
        <v>46225</v>
      </c>
      <c r="T431" s="38">
        <v>45899</v>
      </c>
      <c r="U431" s="39">
        <v>46265</v>
      </c>
      <c r="V431" s="40" t="s">
        <v>690</v>
      </c>
      <c r="W431" s="41" t="s">
        <v>39</v>
      </c>
      <c r="Y431" s="42"/>
      <c r="Z431" t="s">
        <v>81</v>
      </c>
      <c r="AA431" s="62" t="s">
        <v>1394</v>
      </c>
      <c r="AB431" s="44">
        <v>45880</v>
      </c>
      <c r="AC431" s="63" t="s">
        <v>1395</v>
      </c>
      <c r="AE431">
        <v>3191240</v>
      </c>
      <c r="AF431" s="39">
        <v>46050</v>
      </c>
      <c r="AG431" s="48">
        <v>130500</v>
      </c>
      <c r="AH431" s="48">
        <v>98825</v>
      </c>
    </row>
    <row r="432" spans="1:35" ht="19.5" customHeight="1">
      <c r="A432" s="25">
        <f t="shared" si="6"/>
        <v>429</v>
      </c>
      <c r="B432" s="26">
        <v>6201727</v>
      </c>
      <c r="C432" s="27">
        <v>45863</v>
      </c>
      <c r="D432" s="187">
        <v>4866.3599999999997</v>
      </c>
      <c r="E432" s="29">
        <v>37799.61</v>
      </c>
      <c r="F432" s="30">
        <v>1546985</v>
      </c>
      <c r="G432" s="27">
        <v>45868</v>
      </c>
      <c r="H432" s="191">
        <v>4815.3599999999997</v>
      </c>
      <c r="I432" s="33">
        <f>H432*7.85</f>
        <v>37800.575999999994</v>
      </c>
      <c r="J432" s="34" t="s">
        <v>33</v>
      </c>
      <c r="K432" t="s">
        <v>34</v>
      </c>
      <c r="L432" s="35">
        <v>382109452</v>
      </c>
      <c r="M432" s="36" t="s">
        <v>1396</v>
      </c>
      <c r="N432" s="37" t="s">
        <v>1346</v>
      </c>
      <c r="O432" t="s">
        <v>1397</v>
      </c>
      <c r="P432" t="s">
        <v>1398</v>
      </c>
      <c r="R432" s="38">
        <v>45641</v>
      </c>
      <c r="S432" s="39">
        <v>46005</v>
      </c>
      <c r="T432" s="38">
        <v>45891</v>
      </c>
      <c r="U432" s="39">
        <v>46255</v>
      </c>
      <c r="V432" s="40" t="s">
        <v>954</v>
      </c>
      <c r="W432" s="41" t="s">
        <v>39</v>
      </c>
      <c r="Y432" s="42"/>
      <c r="Z432" t="s">
        <v>81</v>
      </c>
      <c r="AA432" s="62" t="s">
        <v>1399</v>
      </c>
      <c r="AB432" s="44">
        <v>45870</v>
      </c>
      <c r="AE432">
        <v>3173279</v>
      </c>
      <c r="AF432" s="47">
        <v>45913</v>
      </c>
      <c r="AG432" s="48">
        <v>89100</v>
      </c>
      <c r="AH432" s="48">
        <v>37800.58</v>
      </c>
    </row>
    <row r="433" spans="1:35" ht="19.5" customHeight="1">
      <c r="A433" s="25">
        <f t="shared" si="6"/>
        <v>430</v>
      </c>
      <c r="B433" s="26">
        <v>6201764</v>
      </c>
      <c r="C433" s="27">
        <v>45863</v>
      </c>
      <c r="D433" s="28">
        <v>5402.76</v>
      </c>
      <c r="E433" s="29">
        <v>42410.59</v>
      </c>
      <c r="F433" s="30">
        <v>1546992</v>
      </c>
      <c r="G433" s="27">
        <v>45863</v>
      </c>
      <c r="H433" s="28">
        <v>5402.76</v>
      </c>
      <c r="I433" s="29">
        <v>42410.59</v>
      </c>
      <c r="J433" s="34" t="s">
        <v>33</v>
      </c>
      <c r="K433" t="s">
        <v>34</v>
      </c>
      <c r="L433" s="35">
        <v>313209878</v>
      </c>
      <c r="M433" s="36" t="s">
        <v>1400</v>
      </c>
      <c r="N433" s="37" t="s">
        <v>1346</v>
      </c>
      <c r="O433" t="s">
        <v>1401</v>
      </c>
      <c r="P433" t="s">
        <v>1398</v>
      </c>
      <c r="R433" s="38">
        <v>45667</v>
      </c>
      <c r="S433" s="39">
        <v>46200</v>
      </c>
      <c r="T433" s="50">
        <v>45931</v>
      </c>
      <c r="U433" s="39">
        <v>46031</v>
      </c>
      <c r="V433" s="40" t="s">
        <v>954</v>
      </c>
      <c r="W433" s="41" t="s">
        <v>39</v>
      </c>
      <c r="Y433" s="42"/>
      <c r="Z433" t="s">
        <v>81</v>
      </c>
      <c r="AE433">
        <v>3173274</v>
      </c>
      <c r="AF433" s="47">
        <v>45913</v>
      </c>
      <c r="AG433" s="48">
        <v>110600</v>
      </c>
      <c r="AH433" s="48">
        <v>4211.67</v>
      </c>
    </row>
    <row r="434" spans="1:35" ht="19.5" customHeight="1">
      <c r="A434" s="25">
        <f t="shared" si="6"/>
        <v>431</v>
      </c>
      <c r="B434" s="26">
        <v>6202225</v>
      </c>
      <c r="C434" s="27">
        <v>45866</v>
      </c>
      <c r="E434" s="29">
        <v>3340</v>
      </c>
      <c r="F434" s="30" t="s">
        <v>1402</v>
      </c>
      <c r="G434" s="27">
        <v>45870</v>
      </c>
      <c r="H434" s="28" t="s">
        <v>141</v>
      </c>
      <c r="I434" s="29">
        <v>3340</v>
      </c>
      <c r="J434" s="34" t="s">
        <v>33</v>
      </c>
      <c r="K434" t="s">
        <v>139</v>
      </c>
      <c r="L434" s="35">
        <v>80005123</v>
      </c>
      <c r="M434" s="36" t="s">
        <v>1403</v>
      </c>
      <c r="N434" s="37" t="s">
        <v>1404</v>
      </c>
      <c r="O434" t="s">
        <v>1405</v>
      </c>
      <c r="P434" t="s">
        <v>1406</v>
      </c>
      <c r="R434" s="38">
        <v>45859</v>
      </c>
      <c r="S434" s="39">
        <v>46223</v>
      </c>
      <c r="T434" s="50" t="s">
        <v>141</v>
      </c>
      <c r="U434" s="47" t="s">
        <v>141</v>
      </c>
      <c r="V434" s="40" t="s">
        <v>128</v>
      </c>
      <c r="W434" s="41" t="s">
        <v>39</v>
      </c>
      <c r="Y434" s="42" t="s">
        <v>185</v>
      </c>
      <c r="Z434" t="s">
        <v>81</v>
      </c>
      <c r="AA434" s="62">
        <v>90007066</v>
      </c>
      <c r="AB434" s="44">
        <v>45897</v>
      </c>
      <c r="AC434" s="63">
        <v>60016574</v>
      </c>
      <c r="AE434">
        <v>3196693</v>
      </c>
      <c r="AF434" s="39">
        <v>46086</v>
      </c>
      <c r="AG434" s="48">
        <v>202456</v>
      </c>
      <c r="AH434" s="48">
        <v>132028.5</v>
      </c>
    </row>
    <row r="435" spans="1:35" ht="19.5" customHeight="1">
      <c r="A435" s="25">
        <f t="shared" si="6"/>
        <v>432</v>
      </c>
      <c r="B435" s="26">
        <v>6202260</v>
      </c>
      <c r="C435" s="27">
        <v>45866</v>
      </c>
      <c r="E435" s="29">
        <v>63825</v>
      </c>
      <c r="F435" s="30">
        <v>1548186</v>
      </c>
      <c r="G435" s="27">
        <v>45873</v>
      </c>
      <c r="H435" s="28"/>
      <c r="I435" s="29">
        <f>62247+1578</f>
        <v>63825</v>
      </c>
      <c r="J435" s="34" t="s">
        <v>159</v>
      </c>
      <c r="K435" t="s">
        <v>176</v>
      </c>
      <c r="L435" s="86" t="s">
        <v>1407</v>
      </c>
      <c r="M435" s="36" t="s">
        <v>1408</v>
      </c>
      <c r="N435" s="37" t="s">
        <v>1409</v>
      </c>
      <c r="O435" t="s">
        <v>1392</v>
      </c>
      <c r="P435" t="s">
        <v>1393</v>
      </c>
      <c r="R435" s="38">
        <v>45861</v>
      </c>
      <c r="S435" s="39">
        <v>46225</v>
      </c>
      <c r="T435" s="38">
        <v>45861</v>
      </c>
      <c r="U435" s="39">
        <v>46225</v>
      </c>
      <c r="V435" s="40" t="s">
        <v>1410</v>
      </c>
      <c r="W435" s="41" t="s">
        <v>39</v>
      </c>
      <c r="Y435" s="42"/>
      <c r="Z435" t="s">
        <v>1411</v>
      </c>
      <c r="AA435" s="62" t="s">
        <v>1412</v>
      </c>
      <c r="AB435" s="44">
        <v>45986</v>
      </c>
      <c r="AC435" s="62" t="s">
        <v>1412</v>
      </c>
      <c r="AD435" s="44">
        <v>45986</v>
      </c>
      <c r="AE435" t="s">
        <v>1413</v>
      </c>
      <c r="AF435" s="39">
        <v>46014</v>
      </c>
      <c r="AG435" s="48">
        <v>130500</v>
      </c>
      <c r="AH435" s="48">
        <v>98825</v>
      </c>
    </row>
    <row r="436" spans="1:35" ht="19.5" customHeight="1">
      <c r="A436" s="25">
        <f t="shared" si="6"/>
        <v>433</v>
      </c>
      <c r="B436" s="26">
        <v>6202666</v>
      </c>
      <c r="C436" s="27">
        <v>45867</v>
      </c>
      <c r="E436" s="29">
        <v>347899.93</v>
      </c>
      <c r="F436" s="30">
        <v>1548265</v>
      </c>
      <c r="G436" s="27">
        <v>45873</v>
      </c>
      <c r="H436" s="28"/>
      <c r="I436" s="29">
        <v>347899.93</v>
      </c>
      <c r="J436" s="34" t="s">
        <v>103</v>
      </c>
      <c r="K436" t="s">
        <v>107</v>
      </c>
      <c r="L436" s="35" t="s">
        <v>1414</v>
      </c>
      <c r="M436" s="36" t="s">
        <v>1415</v>
      </c>
      <c r="N436" s="37" t="s">
        <v>1416</v>
      </c>
      <c r="O436" t="s">
        <v>1417</v>
      </c>
      <c r="P436" t="s">
        <v>1418</v>
      </c>
      <c r="R436" s="38">
        <v>45778</v>
      </c>
      <c r="S436" s="39">
        <v>46142</v>
      </c>
      <c r="T436" s="38">
        <v>46007</v>
      </c>
      <c r="U436" s="39">
        <v>46371</v>
      </c>
      <c r="V436" s="40" t="s">
        <v>64</v>
      </c>
      <c r="W436" s="41" t="s">
        <v>39</v>
      </c>
      <c r="Y436" s="42"/>
      <c r="Z436" t="s">
        <v>40</v>
      </c>
      <c r="AA436" s="62" t="s">
        <v>1419</v>
      </c>
      <c r="AB436" s="44">
        <v>45951</v>
      </c>
      <c r="AC436" s="63" t="s">
        <v>1420</v>
      </c>
      <c r="AD436" s="46">
        <v>45951</v>
      </c>
      <c r="AE436">
        <v>3181356</v>
      </c>
      <c r="AF436" s="39">
        <v>45978</v>
      </c>
      <c r="AG436" s="48">
        <v>2230000</v>
      </c>
      <c r="AH436" s="48">
        <v>1884670.72</v>
      </c>
    </row>
    <row r="437" spans="1:35" ht="19.5" customHeight="1">
      <c r="A437" s="25">
        <f t="shared" si="6"/>
        <v>434</v>
      </c>
      <c r="B437" s="26">
        <v>6203038</v>
      </c>
      <c r="C437" s="27">
        <v>45868</v>
      </c>
      <c r="E437" s="29">
        <v>80541</v>
      </c>
      <c r="F437" s="30">
        <v>1548449</v>
      </c>
      <c r="G437" s="27">
        <v>45875</v>
      </c>
      <c r="H437" s="28"/>
      <c r="I437" s="29">
        <v>80541</v>
      </c>
      <c r="J437" s="34" t="s">
        <v>103</v>
      </c>
      <c r="K437" t="s">
        <v>107</v>
      </c>
      <c r="L437" s="35" t="s">
        <v>1414</v>
      </c>
      <c r="M437" s="36" t="s">
        <v>1421</v>
      </c>
      <c r="N437" s="37" t="s">
        <v>1422</v>
      </c>
      <c r="O437" t="s">
        <v>1417</v>
      </c>
      <c r="P437" t="s">
        <v>1418</v>
      </c>
      <c r="R437" s="38">
        <v>45778</v>
      </c>
      <c r="S437" s="39">
        <v>46142</v>
      </c>
      <c r="T437" s="38">
        <v>46007</v>
      </c>
      <c r="U437" s="39">
        <v>46371</v>
      </c>
      <c r="V437" s="40" t="s">
        <v>1423</v>
      </c>
      <c r="W437" s="41" t="s">
        <v>39</v>
      </c>
      <c r="Y437" s="42"/>
      <c r="Z437" t="s">
        <v>40</v>
      </c>
      <c r="AA437" s="62" t="s">
        <v>1424</v>
      </c>
      <c r="AB437" s="44">
        <v>45953</v>
      </c>
      <c r="AC437" s="63" t="s">
        <v>1425</v>
      </c>
      <c r="AD437" s="46">
        <v>45953</v>
      </c>
      <c r="AE437">
        <v>3181358</v>
      </c>
      <c r="AF437" s="39">
        <v>45978</v>
      </c>
      <c r="AG437" s="48">
        <v>2230000</v>
      </c>
      <c r="AH437" s="48">
        <v>1884670.72</v>
      </c>
    </row>
    <row r="438" spans="1:35" ht="19.5" customHeight="1">
      <c r="A438" s="25">
        <f t="shared" si="6"/>
        <v>435</v>
      </c>
      <c r="B438" s="26">
        <v>6203733</v>
      </c>
      <c r="C438" s="27">
        <v>45870</v>
      </c>
      <c r="D438" s="28">
        <v>394.27</v>
      </c>
      <c r="E438" s="29">
        <v>3094.94</v>
      </c>
      <c r="F438" s="30">
        <v>1548243</v>
      </c>
      <c r="G438" s="27">
        <v>45873</v>
      </c>
      <c r="H438" s="28">
        <v>394.27</v>
      </c>
      <c r="I438" s="29">
        <v>3094.94</v>
      </c>
      <c r="J438" s="34" t="s">
        <v>103</v>
      </c>
      <c r="K438" t="s">
        <v>34</v>
      </c>
      <c r="L438" s="35">
        <v>202233800</v>
      </c>
      <c r="M438" s="36" t="s">
        <v>1426</v>
      </c>
      <c r="N438" s="37" t="s">
        <v>1346</v>
      </c>
      <c r="O438" t="s">
        <v>1427</v>
      </c>
      <c r="P438" t="s">
        <v>1428</v>
      </c>
      <c r="R438" s="38">
        <v>45811</v>
      </c>
      <c r="S438" s="39">
        <v>46326</v>
      </c>
      <c r="T438" s="38">
        <v>45862</v>
      </c>
      <c r="U438" s="39">
        <v>46226</v>
      </c>
      <c r="V438" s="40" t="s">
        <v>954</v>
      </c>
      <c r="W438" s="41" t="s">
        <v>39</v>
      </c>
      <c r="Y438" s="42"/>
      <c r="Z438" t="s">
        <v>81</v>
      </c>
      <c r="AE438">
        <v>3175052</v>
      </c>
      <c r="AF438" s="39">
        <v>45930</v>
      </c>
      <c r="AG438" s="48">
        <v>60038</v>
      </c>
      <c r="AH438" s="48">
        <v>3095.02</v>
      </c>
    </row>
    <row r="439" spans="1:35" ht="19.5" customHeight="1">
      <c r="A439" s="25">
        <f t="shared" si="6"/>
        <v>436</v>
      </c>
      <c r="B439" s="26">
        <v>6203824</v>
      </c>
      <c r="C439" s="27">
        <v>45870</v>
      </c>
      <c r="E439" s="29">
        <v>3870</v>
      </c>
      <c r="F439" s="30">
        <v>1548244</v>
      </c>
      <c r="G439" s="27">
        <v>45875</v>
      </c>
      <c r="H439" s="28"/>
      <c r="I439" s="29">
        <v>3870</v>
      </c>
      <c r="J439" s="34" t="s">
        <v>1429</v>
      </c>
      <c r="K439" t="s">
        <v>139</v>
      </c>
      <c r="L439" s="35" t="s">
        <v>1430</v>
      </c>
      <c r="M439" s="36" t="s">
        <v>1431</v>
      </c>
      <c r="N439" s="37" t="s">
        <v>1383</v>
      </c>
      <c r="O439" t="s">
        <v>1432</v>
      </c>
      <c r="P439" t="s">
        <v>1433</v>
      </c>
      <c r="R439" s="38">
        <v>45851</v>
      </c>
      <c r="S439" s="39">
        <v>46215</v>
      </c>
      <c r="T439" s="50" t="s">
        <v>141</v>
      </c>
      <c r="U439" s="47" t="s">
        <v>141</v>
      </c>
      <c r="V439" s="40" t="s">
        <v>590</v>
      </c>
      <c r="W439" s="41" t="s">
        <v>39</v>
      </c>
      <c r="Y439" s="42"/>
      <c r="Z439" t="s">
        <v>40</v>
      </c>
      <c r="AA439" s="62">
        <v>90007125</v>
      </c>
      <c r="AB439" s="44">
        <v>45911</v>
      </c>
      <c r="AC439" s="63">
        <v>60016644</v>
      </c>
      <c r="AG439" s="48">
        <v>20170</v>
      </c>
      <c r="AH439" s="48">
        <v>3870</v>
      </c>
    </row>
    <row r="440" spans="1:35" ht="19.5" customHeight="1">
      <c r="A440" s="25">
        <f t="shared" si="6"/>
        <v>437</v>
      </c>
      <c r="B440" s="26">
        <v>6204436</v>
      </c>
      <c r="C440" s="27">
        <v>45873</v>
      </c>
      <c r="D440" s="28">
        <v>2923.68</v>
      </c>
      <c r="E440" s="29">
        <v>22950.3</v>
      </c>
      <c r="F440" s="30">
        <v>1548312</v>
      </c>
      <c r="G440" s="27">
        <v>45875</v>
      </c>
      <c r="H440" s="28">
        <v>2923.68</v>
      </c>
      <c r="I440" s="29">
        <v>22950.3</v>
      </c>
      <c r="J440" s="34" t="s">
        <v>33</v>
      </c>
      <c r="K440" t="s">
        <v>34</v>
      </c>
      <c r="L440" s="35">
        <v>222257929</v>
      </c>
      <c r="M440" s="36" t="s">
        <v>1434</v>
      </c>
      <c r="N440" s="192" t="s">
        <v>141</v>
      </c>
      <c r="R440" s="38"/>
      <c r="S440" s="39"/>
      <c r="T440" s="38"/>
      <c r="U440" s="39"/>
      <c r="W440" s="41" t="s">
        <v>39</v>
      </c>
      <c r="AE440">
        <v>3175655</v>
      </c>
      <c r="AF440" s="39">
        <v>45933</v>
      </c>
      <c r="AG440" s="48"/>
      <c r="AH440" s="48"/>
    </row>
    <row r="441" spans="1:35" ht="19.5" customHeight="1">
      <c r="A441" s="25">
        <f t="shared" si="6"/>
        <v>438</v>
      </c>
      <c r="B441" s="26">
        <v>6204896</v>
      </c>
      <c r="C441" s="27">
        <v>45875</v>
      </c>
      <c r="E441" s="127">
        <v>10080</v>
      </c>
      <c r="F441" s="30" t="s">
        <v>1435</v>
      </c>
      <c r="G441" s="27">
        <v>45888</v>
      </c>
      <c r="H441" s="32"/>
      <c r="I441" s="65">
        <v>5520</v>
      </c>
      <c r="J441" s="34" t="s">
        <v>33</v>
      </c>
      <c r="K441" t="s">
        <v>139</v>
      </c>
      <c r="L441" s="35">
        <v>80004900</v>
      </c>
      <c r="M441" s="36" t="s">
        <v>1436</v>
      </c>
      <c r="N441" s="37" t="s">
        <v>1383</v>
      </c>
      <c r="O441" t="s">
        <v>1437</v>
      </c>
      <c r="P441" t="s">
        <v>1438</v>
      </c>
      <c r="R441" s="38">
        <v>45477</v>
      </c>
      <c r="S441" s="39">
        <v>46206</v>
      </c>
      <c r="T441" s="50" t="s">
        <v>141</v>
      </c>
      <c r="U441" s="47" t="s">
        <v>141</v>
      </c>
      <c r="V441" s="40" t="s">
        <v>590</v>
      </c>
      <c r="W441" s="41" t="s">
        <v>39</v>
      </c>
      <c r="X441" s="40" t="s">
        <v>1439</v>
      </c>
      <c r="Y441" s="42"/>
      <c r="Z441" t="s">
        <v>40</v>
      </c>
      <c r="AA441" s="62">
        <v>90007150</v>
      </c>
      <c r="AB441" s="44">
        <v>45930</v>
      </c>
      <c r="AC441" s="63">
        <v>60016715</v>
      </c>
      <c r="AD441" s="46">
        <v>45930</v>
      </c>
      <c r="AE441">
        <v>3197042</v>
      </c>
      <c r="AF441" s="39">
        <v>46087</v>
      </c>
      <c r="AG441" s="48">
        <v>130122</v>
      </c>
      <c r="AH441" s="48">
        <v>10080</v>
      </c>
    </row>
    <row r="442" spans="1:35" s="95" customFormat="1" ht="19.5" customHeight="1">
      <c r="A442" s="193">
        <f t="shared" si="6"/>
        <v>439</v>
      </c>
      <c r="B442" s="91">
        <v>6205000</v>
      </c>
      <c r="C442" s="92">
        <v>45875</v>
      </c>
      <c r="D442" s="194" t="s">
        <v>141</v>
      </c>
      <c r="E442" s="195" t="s">
        <v>141</v>
      </c>
      <c r="F442" s="93">
        <v>1548591</v>
      </c>
      <c r="G442" s="92">
        <v>45880</v>
      </c>
      <c r="H442" s="194" t="s">
        <v>141</v>
      </c>
      <c r="I442" s="195" t="s">
        <v>141</v>
      </c>
      <c r="J442" s="94" t="s">
        <v>33</v>
      </c>
      <c r="K442" s="95" t="s">
        <v>34</v>
      </c>
      <c r="L442" s="196">
        <v>431956123</v>
      </c>
      <c r="M442" s="96" t="s">
        <v>1440</v>
      </c>
      <c r="N442" s="197" t="s">
        <v>1346</v>
      </c>
      <c r="O442" s="95" t="s">
        <v>1441</v>
      </c>
      <c r="P442" s="95" t="s">
        <v>1442</v>
      </c>
      <c r="R442" s="198">
        <v>45914</v>
      </c>
      <c r="S442" s="199">
        <v>47009</v>
      </c>
      <c r="T442" s="198">
        <v>45867</v>
      </c>
      <c r="U442" s="200">
        <v>46691</v>
      </c>
      <c r="V442" s="201" t="s">
        <v>1443</v>
      </c>
      <c r="W442" s="202" t="s">
        <v>39</v>
      </c>
      <c r="X442" s="201" t="s">
        <v>1444</v>
      </c>
      <c r="Y442" s="203" t="s">
        <v>56</v>
      </c>
      <c r="Z442" s="95" t="s">
        <v>40</v>
      </c>
      <c r="AA442" s="204"/>
      <c r="AB442" s="205"/>
      <c r="AC442" s="206"/>
      <c r="AD442" s="207"/>
      <c r="AF442" s="199" t="s">
        <v>1445</v>
      </c>
      <c r="AG442" s="208">
        <v>10500</v>
      </c>
      <c r="AH442" s="208">
        <v>2593.4</v>
      </c>
      <c r="AI442" s="209"/>
    </row>
    <row r="443" spans="1:35" ht="19.5" customHeight="1">
      <c r="A443" s="25">
        <f t="shared" si="6"/>
        <v>440</v>
      </c>
      <c r="B443" s="26">
        <v>6205141</v>
      </c>
      <c r="C443" s="27">
        <v>45876</v>
      </c>
      <c r="D443" s="28">
        <v>826.6</v>
      </c>
      <c r="E443" s="29">
        <v>6488.64</v>
      </c>
      <c r="F443" s="30">
        <v>1548823</v>
      </c>
      <c r="G443" s="27">
        <v>45881</v>
      </c>
      <c r="H443" s="28">
        <v>826.6</v>
      </c>
      <c r="I443" s="29">
        <v>6488.64</v>
      </c>
      <c r="J443" s="34" t="s">
        <v>33</v>
      </c>
      <c r="K443" t="s">
        <v>34</v>
      </c>
      <c r="L443" s="35">
        <v>302163140</v>
      </c>
      <c r="M443" s="36" t="s">
        <v>1446</v>
      </c>
      <c r="N443" s="37" t="s">
        <v>1346</v>
      </c>
      <c r="O443" t="s">
        <v>1447</v>
      </c>
      <c r="P443" t="s">
        <v>1448</v>
      </c>
      <c r="R443" s="38">
        <v>45877</v>
      </c>
      <c r="S443" s="39">
        <v>46241</v>
      </c>
      <c r="T443" s="38">
        <v>45877</v>
      </c>
      <c r="U443" s="39">
        <v>46241</v>
      </c>
      <c r="V443" s="40" t="s">
        <v>590</v>
      </c>
      <c r="W443" s="41" t="s">
        <v>39</v>
      </c>
      <c r="Y443" s="42"/>
      <c r="Z443" t="s">
        <v>40</v>
      </c>
      <c r="AE443">
        <v>3173287</v>
      </c>
      <c r="AF443" s="47">
        <v>45913</v>
      </c>
      <c r="AG443" s="48">
        <v>46000</v>
      </c>
      <c r="AH443" s="48">
        <v>6488.81</v>
      </c>
    </row>
    <row r="444" spans="1:35" ht="19.5" customHeight="1">
      <c r="A444" s="25">
        <f t="shared" si="6"/>
        <v>441</v>
      </c>
      <c r="B444" s="26">
        <v>6205402</v>
      </c>
      <c r="C444" s="27">
        <v>45876</v>
      </c>
      <c r="D444" s="28">
        <v>6899.75</v>
      </c>
      <c r="E444" s="29">
        <v>54161.66</v>
      </c>
      <c r="F444" s="30">
        <v>1548929</v>
      </c>
      <c r="G444" s="27">
        <v>45880</v>
      </c>
      <c r="H444" s="28">
        <v>6899.75</v>
      </c>
      <c r="I444" s="29">
        <v>54161.66</v>
      </c>
      <c r="J444" s="34" t="s">
        <v>33</v>
      </c>
      <c r="K444" t="s">
        <v>34</v>
      </c>
      <c r="L444" s="35">
        <v>481955382</v>
      </c>
      <c r="M444" s="36" t="s">
        <v>993</v>
      </c>
      <c r="N444" s="37" t="s">
        <v>1449</v>
      </c>
      <c r="O444" t="s">
        <v>994</v>
      </c>
      <c r="P444" t="s">
        <v>995</v>
      </c>
      <c r="R444" s="38">
        <v>45778</v>
      </c>
      <c r="S444" s="39">
        <v>46142</v>
      </c>
      <c r="T444" s="38">
        <v>45867</v>
      </c>
      <c r="U444" s="39">
        <v>46231</v>
      </c>
      <c r="V444" s="40" t="s">
        <v>38</v>
      </c>
      <c r="W444" s="41" t="s">
        <v>39</v>
      </c>
      <c r="Z444" t="s">
        <v>81</v>
      </c>
      <c r="AE444">
        <v>3173276</v>
      </c>
      <c r="AF444" s="47">
        <v>45913</v>
      </c>
      <c r="AG444" s="48">
        <v>5924688.9000000004</v>
      </c>
      <c r="AH444" s="48">
        <v>4746772.95</v>
      </c>
    </row>
    <row r="445" spans="1:35" ht="19.5" customHeight="1">
      <c r="A445" s="25">
        <f t="shared" si="6"/>
        <v>442</v>
      </c>
      <c r="C445" s="27">
        <v>45876</v>
      </c>
      <c r="E445" s="29">
        <v>7210</v>
      </c>
      <c r="F445" s="30">
        <v>1548807</v>
      </c>
      <c r="G445" s="27">
        <v>45876</v>
      </c>
      <c r="H445" s="28"/>
      <c r="I445" s="29">
        <v>7210</v>
      </c>
      <c r="J445" s="34" t="s">
        <v>259</v>
      </c>
      <c r="K445" t="s">
        <v>193</v>
      </c>
      <c r="L445" s="86" t="s">
        <v>141</v>
      </c>
      <c r="M445" s="36" t="s">
        <v>1450</v>
      </c>
      <c r="N445" s="192" t="s">
        <v>141</v>
      </c>
      <c r="P445" s="67" t="s">
        <v>141</v>
      </c>
      <c r="Q445" s="67"/>
      <c r="R445" s="38"/>
      <c r="S445" s="39"/>
      <c r="T445" s="38"/>
      <c r="U445" s="39"/>
      <c r="W445" s="41" t="s">
        <v>39</v>
      </c>
      <c r="AA445" s="62" t="s">
        <v>1451</v>
      </c>
      <c r="AB445" s="44">
        <v>45890</v>
      </c>
      <c r="AC445" s="63" t="s">
        <v>1452</v>
      </c>
      <c r="AE445">
        <v>3174695</v>
      </c>
      <c r="AF445" s="47">
        <v>45926</v>
      </c>
      <c r="AG445" s="48"/>
      <c r="AH445" s="48"/>
    </row>
    <row r="446" spans="1:35" ht="19.5" customHeight="1">
      <c r="A446" s="25">
        <f t="shared" si="6"/>
        <v>443</v>
      </c>
      <c r="B446" s="26">
        <v>6205621</v>
      </c>
      <c r="C446" s="27">
        <v>45877</v>
      </c>
      <c r="D446" s="28">
        <v>1717.8</v>
      </c>
      <c r="E446" s="29">
        <v>13484.39</v>
      </c>
      <c r="F446" s="30">
        <v>1548953</v>
      </c>
      <c r="G446" s="27">
        <v>45877</v>
      </c>
      <c r="H446" s="28">
        <v>1717.8</v>
      </c>
      <c r="I446" s="29">
        <v>13484.39</v>
      </c>
      <c r="J446" s="34" t="s">
        <v>33</v>
      </c>
      <c r="K446" t="s">
        <v>34</v>
      </c>
      <c r="L446" s="35">
        <v>242252345</v>
      </c>
      <c r="M446" s="36" t="s">
        <v>1453</v>
      </c>
      <c r="N446" s="37" t="s">
        <v>1346</v>
      </c>
      <c r="O446" t="s">
        <v>1454</v>
      </c>
      <c r="P446" t="s">
        <v>1455</v>
      </c>
      <c r="R446" s="38">
        <v>45940</v>
      </c>
      <c r="S446" s="39">
        <v>46304</v>
      </c>
      <c r="T446" s="38">
        <v>45940</v>
      </c>
      <c r="U446" s="39">
        <v>46304</v>
      </c>
      <c r="V446" s="40" t="s">
        <v>245</v>
      </c>
      <c r="W446" s="41" t="s">
        <v>39</v>
      </c>
      <c r="Y446" s="42"/>
      <c r="Z446" t="s">
        <v>40</v>
      </c>
      <c r="AC446" s="63">
        <v>9999665567</v>
      </c>
      <c r="AD446" s="46">
        <v>45878</v>
      </c>
      <c r="AE446">
        <v>3175057</v>
      </c>
      <c r="AF446" s="39">
        <v>45930</v>
      </c>
      <c r="AG446" s="48">
        <v>19200</v>
      </c>
      <c r="AH446" s="48">
        <v>13484.73</v>
      </c>
    </row>
    <row r="447" spans="1:35" ht="19.5" customHeight="1">
      <c r="A447" s="25">
        <f t="shared" si="6"/>
        <v>444</v>
      </c>
      <c r="B447" s="26">
        <v>6205834</v>
      </c>
      <c r="C447" s="27">
        <v>45877</v>
      </c>
      <c r="E447" s="29">
        <v>258308.96</v>
      </c>
      <c r="F447" s="30">
        <v>1550058</v>
      </c>
      <c r="G447" s="27">
        <v>45883</v>
      </c>
      <c r="H447" s="28"/>
      <c r="I447" s="29">
        <v>258308.96</v>
      </c>
      <c r="J447" s="34" t="s">
        <v>103</v>
      </c>
      <c r="K447" t="s">
        <v>107</v>
      </c>
      <c r="L447" s="35" t="s">
        <v>1456</v>
      </c>
      <c r="M447" s="36" t="s">
        <v>1457</v>
      </c>
      <c r="N447" s="37" t="s">
        <v>1458</v>
      </c>
      <c r="O447" t="s">
        <v>1459</v>
      </c>
      <c r="P447" t="s">
        <v>1460</v>
      </c>
      <c r="R447" s="38">
        <v>45748</v>
      </c>
      <c r="S447" s="39">
        <v>46114</v>
      </c>
      <c r="T447" s="38">
        <v>45748</v>
      </c>
      <c r="U447" s="39">
        <v>46112</v>
      </c>
      <c r="V447" s="40" t="s">
        <v>167</v>
      </c>
      <c r="W447" s="41" t="s">
        <v>39</v>
      </c>
      <c r="Y447" s="42"/>
      <c r="Z447" t="s">
        <v>40</v>
      </c>
      <c r="AA447" s="62" t="s">
        <v>1461</v>
      </c>
      <c r="AB447" s="44">
        <v>45895</v>
      </c>
      <c r="AC447" s="63" t="s">
        <v>1462</v>
      </c>
      <c r="AD447" s="46">
        <v>45895</v>
      </c>
      <c r="AE447">
        <v>3184159</v>
      </c>
      <c r="AF447" s="39">
        <v>45996</v>
      </c>
      <c r="AG447" s="48">
        <v>565772</v>
      </c>
      <c r="AH447" s="48">
        <v>458828.92</v>
      </c>
    </row>
    <row r="448" spans="1:35" ht="19.5" customHeight="1">
      <c r="A448" s="25">
        <f t="shared" si="6"/>
        <v>445</v>
      </c>
      <c r="B448" s="26">
        <v>6205910</v>
      </c>
      <c r="C448" s="27">
        <v>45877</v>
      </c>
      <c r="D448" s="28">
        <v>3810.6</v>
      </c>
      <c r="E448" s="29">
        <v>29912.44</v>
      </c>
      <c r="F448" s="30" t="s">
        <v>1463</v>
      </c>
      <c r="G448" s="27">
        <v>45887</v>
      </c>
      <c r="H448" s="28">
        <v>3810.6</v>
      </c>
      <c r="I448" s="29">
        <v>29912.44</v>
      </c>
      <c r="J448" s="34" t="s">
        <v>103</v>
      </c>
      <c r="K448" t="s">
        <v>206</v>
      </c>
      <c r="L448" s="35" t="s">
        <v>1464</v>
      </c>
      <c r="M448" s="36" t="s">
        <v>1465</v>
      </c>
      <c r="N448" s="37" t="s">
        <v>1466</v>
      </c>
      <c r="O448" t="s">
        <v>1467</v>
      </c>
      <c r="P448" t="s">
        <v>1468</v>
      </c>
      <c r="R448" s="38">
        <v>45937</v>
      </c>
      <c r="S448" s="39">
        <v>47032</v>
      </c>
      <c r="T448" s="38">
        <v>45937</v>
      </c>
      <c r="U448" s="39">
        <v>47032</v>
      </c>
      <c r="V448" s="40" t="s">
        <v>38</v>
      </c>
      <c r="W448" s="41" t="s">
        <v>39</v>
      </c>
      <c r="Y448" s="42"/>
      <c r="Z448" t="s">
        <v>40</v>
      </c>
      <c r="AA448" s="62" t="s">
        <v>1469</v>
      </c>
      <c r="AB448" s="44">
        <v>45891</v>
      </c>
      <c r="AC448" s="63" t="s">
        <v>1470</v>
      </c>
      <c r="AE448">
        <v>3204663</v>
      </c>
      <c r="AF448" s="39">
        <v>46146</v>
      </c>
      <c r="AG448" s="48">
        <v>36915</v>
      </c>
      <c r="AH448" s="48">
        <v>29913.21</v>
      </c>
    </row>
    <row r="449" spans="1:34" ht="19.5" customHeight="1">
      <c r="A449" s="25">
        <f t="shared" si="6"/>
        <v>446</v>
      </c>
      <c r="B449" s="26">
        <v>6205940</v>
      </c>
      <c r="C449" s="27">
        <v>45877</v>
      </c>
      <c r="D449" s="28">
        <v>3815.6</v>
      </c>
      <c r="E449" s="29">
        <v>29951.7</v>
      </c>
      <c r="F449" s="30">
        <v>1549877</v>
      </c>
      <c r="G449" s="27">
        <v>45882</v>
      </c>
      <c r="H449" s="28">
        <v>3815.6</v>
      </c>
      <c r="I449" s="29">
        <v>29951.7</v>
      </c>
      <c r="J449" s="34" t="s">
        <v>103</v>
      </c>
      <c r="K449" t="s">
        <v>206</v>
      </c>
      <c r="L449" s="35" t="s">
        <v>1471</v>
      </c>
      <c r="M449" s="36" t="s">
        <v>1472</v>
      </c>
      <c r="N449" s="37" t="s">
        <v>1330</v>
      </c>
      <c r="O449" t="s">
        <v>1473</v>
      </c>
      <c r="P449" t="s">
        <v>1474</v>
      </c>
      <c r="R449" s="38">
        <v>45838</v>
      </c>
      <c r="S449" s="39">
        <v>46202</v>
      </c>
      <c r="T449" s="38">
        <v>45838</v>
      </c>
      <c r="U449" s="39">
        <v>46202</v>
      </c>
      <c r="V449" s="40" t="s">
        <v>458</v>
      </c>
      <c r="W449" s="41" t="s">
        <v>39</v>
      </c>
      <c r="Y449" s="42"/>
      <c r="Z449" t="s">
        <v>81</v>
      </c>
      <c r="AA449" s="62" t="s">
        <v>1475</v>
      </c>
      <c r="AB449" s="44">
        <v>46127</v>
      </c>
      <c r="AC449" s="63" t="s">
        <v>1476</v>
      </c>
      <c r="AD449" s="46">
        <v>46127</v>
      </c>
      <c r="AG449" s="48">
        <v>38000</v>
      </c>
      <c r="AH449" s="48">
        <v>31692.44</v>
      </c>
    </row>
    <row r="450" spans="1:34" ht="19.5" customHeight="1">
      <c r="A450" s="25">
        <f t="shared" si="6"/>
        <v>447</v>
      </c>
      <c r="B450" s="26">
        <v>6206428</v>
      </c>
      <c r="C450" s="27">
        <v>45880</v>
      </c>
      <c r="D450" s="28">
        <v>580.58000000000004</v>
      </c>
      <c r="E450" s="29">
        <v>4557.4399999999996</v>
      </c>
      <c r="F450" s="30">
        <v>1549513</v>
      </c>
      <c r="G450" s="27">
        <v>45881</v>
      </c>
      <c r="H450" s="28">
        <v>580.58000000000004</v>
      </c>
      <c r="I450" s="29">
        <v>4557.4399999999996</v>
      </c>
      <c r="J450" s="34" t="s">
        <v>33</v>
      </c>
      <c r="K450" t="s">
        <v>34</v>
      </c>
      <c r="L450" s="35">
        <v>362170719</v>
      </c>
      <c r="M450" s="36" t="s">
        <v>1477</v>
      </c>
      <c r="N450" s="37" t="s">
        <v>1478</v>
      </c>
      <c r="O450" t="s">
        <v>232</v>
      </c>
      <c r="P450" t="s">
        <v>233</v>
      </c>
      <c r="R450" s="38">
        <v>45658</v>
      </c>
      <c r="S450" s="39">
        <v>46022</v>
      </c>
      <c r="T450" s="38">
        <v>45877</v>
      </c>
      <c r="U450" s="39">
        <v>46241</v>
      </c>
      <c r="V450" s="40" t="s">
        <v>128</v>
      </c>
      <c r="W450" s="41" t="s">
        <v>114</v>
      </c>
      <c r="Y450" s="42"/>
      <c r="Z450" t="s">
        <v>81</v>
      </c>
      <c r="AE450">
        <v>3173282</v>
      </c>
      <c r="AF450" s="47">
        <v>45913</v>
      </c>
      <c r="AG450" s="48">
        <v>1059839</v>
      </c>
      <c r="AH450" s="48">
        <v>858441.03</v>
      </c>
    </row>
    <row r="451" spans="1:34" ht="19.5" customHeight="1">
      <c r="A451" s="25">
        <f t="shared" si="6"/>
        <v>448</v>
      </c>
      <c r="B451" s="26">
        <v>6206629</v>
      </c>
      <c r="C451" s="27">
        <v>45881</v>
      </c>
      <c r="E451" s="29">
        <v>1740</v>
      </c>
      <c r="F451" s="30">
        <v>1550408</v>
      </c>
      <c r="G451" s="27">
        <v>45887</v>
      </c>
      <c r="H451" s="28"/>
      <c r="I451" s="29">
        <v>1740</v>
      </c>
      <c r="J451" s="34" t="s">
        <v>103</v>
      </c>
      <c r="K451" t="s">
        <v>139</v>
      </c>
      <c r="L451" s="35">
        <v>80005124</v>
      </c>
      <c r="M451" s="36" t="s">
        <v>1479</v>
      </c>
      <c r="N451" s="37" t="s">
        <v>1404</v>
      </c>
      <c r="O451" t="s">
        <v>1473</v>
      </c>
      <c r="P451" t="s">
        <v>1474</v>
      </c>
      <c r="R451" s="38">
        <v>45838</v>
      </c>
      <c r="S451" s="39">
        <v>46202</v>
      </c>
      <c r="T451" s="38">
        <v>45838</v>
      </c>
      <c r="U451" s="39">
        <v>46202</v>
      </c>
      <c r="V451" s="40" t="s">
        <v>458</v>
      </c>
      <c r="W451" s="41" t="s">
        <v>39</v>
      </c>
      <c r="Y451" s="42"/>
      <c r="Z451" t="s">
        <v>81</v>
      </c>
      <c r="AA451" s="62" t="s">
        <v>1480</v>
      </c>
      <c r="AB451" s="44">
        <v>45890</v>
      </c>
      <c r="AC451" s="63">
        <v>60016560</v>
      </c>
      <c r="AE451">
        <v>3175519</v>
      </c>
      <c r="AF451" s="39">
        <v>45932</v>
      </c>
      <c r="AG451" s="48">
        <v>38000</v>
      </c>
      <c r="AH451" s="48">
        <v>31692.44</v>
      </c>
    </row>
    <row r="452" spans="1:34" ht="19.5" customHeight="1">
      <c r="A452" s="25">
        <f t="shared" ref="A452:A515" si="7">A451+1</f>
        <v>449</v>
      </c>
      <c r="C452" s="27">
        <v>45881</v>
      </c>
      <c r="E452" s="29">
        <v>484</v>
      </c>
      <c r="F452" s="30">
        <v>1549587</v>
      </c>
      <c r="G452" s="27">
        <v>45881</v>
      </c>
      <c r="H452" s="28"/>
      <c r="I452" s="29">
        <v>484</v>
      </c>
      <c r="J452" s="34" t="s">
        <v>33</v>
      </c>
      <c r="K452" t="s">
        <v>193</v>
      </c>
      <c r="M452" s="36" t="s">
        <v>1481</v>
      </c>
      <c r="N452" s="37"/>
      <c r="P452" t="s">
        <v>1482</v>
      </c>
      <c r="R452" s="38"/>
      <c r="S452" s="39"/>
      <c r="T452" s="38"/>
      <c r="U452" s="39"/>
      <c r="W452" s="41" t="s">
        <v>39</v>
      </c>
      <c r="AA452" s="62" t="s">
        <v>1483</v>
      </c>
      <c r="AB452" s="44">
        <v>45904</v>
      </c>
      <c r="AC452" s="63" t="s">
        <v>1484</v>
      </c>
      <c r="AD452" s="46">
        <v>45926</v>
      </c>
      <c r="AE452">
        <v>3174698</v>
      </c>
      <c r="AF452" s="47">
        <v>45926</v>
      </c>
      <c r="AG452" s="48"/>
      <c r="AH452" s="48"/>
    </row>
    <row r="453" spans="1:34" ht="19.5" customHeight="1">
      <c r="A453" s="25">
        <f t="shared" si="7"/>
        <v>450</v>
      </c>
      <c r="B453" s="26">
        <v>6207142</v>
      </c>
      <c r="C453" s="27">
        <v>45882</v>
      </c>
      <c r="E453" s="29">
        <v>3996</v>
      </c>
      <c r="F453" s="30">
        <v>1549831</v>
      </c>
      <c r="G453" s="27">
        <v>45882</v>
      </c>
      <c r="H453" s="28"/>
      <c r="I453" s="29">
        <v>3996</v>
      </c>
      <c r="J453" s="34" t="s">
        <v>33</v>
      </c>
      <c r="K453" t="s">
        <v>139</v>
      </c>
      <c r="L453" s="35">
        <v>80005128</v>
      </c>
      <c r="M453" s="36" t="s">
        <v>1485</v>
      </c>
      <c r="N453" s="37" t="s">
        <v>1404</v>
      </c>
      <c r="O453" t="s">
        <v>1447</v>
      </c>
      <c r="P453" t="s">
        <v>1448</v>
      </c>
      <c r="R453" s="38">
        <v>45877</v>
      </c>
      <c r="S453" s="39">
        <v>46241</v>
      </c>
      <c r="T453" s="50" t="s">
        <v>141</v>
      </c>
      <c r="U453" s="47" t="s">
        <v>141</v>
      </c>
      <c r="V453" s="40" t="s">
        <v>962</v>
      </c>
      <c r="W453" s="41" t="s">
        <v>39</v>
      </c>
      <c r="Y453" s="42"/>
      <c r="Z453" t="s">
        <v>40</v>
      </c>
      <c r="AA453" s="62">
        <v>90007125</v>
      </c>
      <c r="AB453" s="44">
        <v>45911</v>
      </c>
      <c r="AC453" s="63">
        <v>60016645</v>
      </c>
      <c r="AG453" s="48">
        <v>46000</v>
      </c>
      <c r="AH453" s="48">
        <v>10484.81</v>
      </c>
    </row>
    <row r="454" spans="1:34" ht="19.5" customHeight="1">
      <c r="A454" s="25">
        <f t="shared" si="7"/>
        <v>451</v>
      </c>
      <c r="B454" s="26">
        <v>6207241</v>
      </c>
      <c r="C454" s="27">
        <v>45882</v>
      </c>
      <c r="D454" s="28">
        <v>3490</v>
      </c>
      <c r="E454" s="29">
        <v>27395.81</v>
      </c>
      <c r="F454" s="30">
        <v>1550050</v>
      </c>
      <c r="G454" s="27">
        <v>45888</v>
      </c>
      <c r="H454" s="28">
        <v>3490</v>
      </c>
      <c r="I454" s="29">
        <v>27395.81</v>
      </c>
      <c r="J454" s="34" t="s">
        <v>33</v>
      </c>
      <c r="K454" t="s">
        <v>733</v>
      </c>
      <c r="M454" s="36" t="s">
        <v>1486</v>
      </c>
      <c r="N454" s="37"/>
      <c r="O454" t="s">
        <v>205</v>
      </c>
      <c r="P454" s="67" t="s">
        <v>1118</v>
      </c>
      <c r="R454" s="38"/>
      <c r="S454" s="39"/>
      <c r="T454" s="38"/>
      <c r="U454" s="39"/>
      <c r="W454" s="41" t="s">
        <v>39</v>
      </c>
      <c r="AA454" s="62" t="s">
        <v>1487</v>
      </c>
      <c r="AB454" s="44">
        <v>45903</v>
      </c>
      <c r="AC454" s="63" t="s">
        <v>1488</v>
      </c>
      <c r="AD454" s="46">
        <v>45903</v>
      </c>
      <c r="AG454" s="48"/>
      <c r="AH454" s="48"/>
    </row>
    <row r="455" spans="1:34" ht="19.5" customHeight="1">
      <c r="A455" s="25">
        <f t="shared" si="7"/>
        <v>452</v>
      </c>
      <c r="B455" s="26">
        <v>6207287</v>
      </c>
      <c r="C455" s="27">
        <v>45882</v>
      </c>
      <c r="E455" s="29">
        <v>14630</v>
      </c>
      <c r="F455" s="30">
        <v>1550049</v>
      </c>
      <c r="G455" s="27">
        <v>45888</v>
      </c>
      <c r="H455" s="28"/>
      <c r="I455" s="29">
        <v>14630</v>
      </c>
      <c r="J455" s="34" t="s">
        <v>33</v>
      </c>
      <c r="K455" t="s">
        <v>193</v>
      </c>
      <c r="M455" s="36" t="s">
        <v>1489</v>
      </c>
      <c r="N455" s="37"/>
      <c r="O455" t="s">
        <v>205</v>
      </c>
      <c r="P455" s="67" t="s">
        <v>1118</v>
      </c>
      <c r="R455" s="38"/>
      <c r="S455" s="39"/>
      <c r="T455" s="38"/>
      <c r="U455" s="39"/>
      <c r="W455" s="41" t="s">
        <v>39</v>
      </c>
      <c r="AA455" s="62" t="s">
        <v>1490</v>
      </c>
      <c r="AB455" s="44">
        <v>45904</v>
      </c>
      <c r="AC455" s="63" t="s">
        <v>1491</v>
      </c>
      <c r="AE455">
        <v>3220121</v>
      </c>
      <c r="AF455" s="39">
        <v>46267</v>
      </c>
      <c r="AG455" s="48"/>
      <c r="AH455" s="48"/>
    </row>
    <row r="456" spans="1:34" ht="19.5" customHeight="1">
      <c r="A456" s="25">
        <f t="shared" si="7"/>
        <v>453</v>
      </c>
      <c r="C456" s="27">
        <v>45882</v>
      </c>
      <c r="D456" s="28">
        <v>790</v>
      </c>
      <c r="E456" s="29">
        <v>6201.34</v>
      </c>
      <c r="F456" s="30">
        <v>1549857</v>
      </c>
      <c r="G456" s="27">
        <v>45882</v>
      </c>
      <c r="H456" s="28">
        <v>790</v>
      </c>
      <c r="I456" s="29">
        <v>6201.34</v>
      </c>
      <c r="J456" s="34" t="s">
        <v>33</v>
      </c>
      <c r="K456" t="s">
        <v>1177</v>
      </c>
      <c r="M456" s="36" t="s">
        <v>1492</v>
      </c>
      <c r="N456" s="37"/>
      <c r="O456" t="s">
        <v>205</v>
      </c>
      <c r="P456" s="67" t="s">
        <v>1118</v>
      </c>
      <c r="R456" s="38"/>
      <c r="S456" s="39"/>
      <c r="T456" s="38"/>
      <c r="U456" s="39"/>
      <c r="W456" s="41" t="s">
        <v>39</v>
      </c>
      <c r="AA456" s="62">
        <v>25113812</v>
      </c>
      <c r="AB456" s="44">
        <v>45889</v>
      </c>
      <c r="AC456" s="63" t="s">
        <v>1493</v>
      </c>
      <c r="AD456" s="44">
        <v>45889</v>
      </c>
      <c r="AE456">
        <v>3183083</v>
      </c>
      <c r="AF456" s="39">
        <v>45989</v>
      </c>
      <c r="AG456" s="48"/>
      <c r="AH456" s="48"/>
    </row>
    <row r="457" spans="1:34" ht="19.5" customHeight="1">
      <c r="A457" s="25">
        <f t="shared" si="7"/>
        <v>454</v>
      </c>
      <c r="C457" s="27">
        <v>45882</v>
      </c>
      <c r="D457" s="28">
        <v>540</v>
      </c>
      <c r="E457" s="29">
        <v>4238.8900000000003</v>
      </c>
      <c r="F457" s="30">
        <v>1549862</v>
      </c>
      <c r="G457" s="27">
        <v>45882</v>
      </c>
      <c r="H457" s="28">
        <v>540</v>
      </c>
      <c r="I457" s="29">
        <v>4238.8900000000003</v>
      </c>
      <c r="J457" s="34" t="s">
        <v>33</v>
      </c>
      <c r="K457" t="s">
        <v>733</v>
      </c>
      <c r="M457" s="36" t="s">
        <v>1494</v>
      </c>
      <c r="N457" s="37"/>
      <c r="R457" s="38"/>
      <c r="S457" s="39"/>
      <c r="T457" s="38"/>
      <c r="U457" s="39"/>
      <c r="W457" s="41" t="s">
        <v>39</v>
      </c>
      <c r="AA457" s="62" t="s">
        <v>1495</v>
      </c>
      <c r="AB457" s="44">
        <v>45903</v>
      </c>
      <c r="AC457" s="63" t="s">
        <v>1496</v>
      </c>
      <c r="AE457">
        <v>3174617</v>
      </c>
      <c r="AF457" s="47">
        <v>45926</v>
      </c>
      <c r="AG457" s="48"/>
      <c r="AH457" s="48"/>
    </row>
    <row r="458" spans="1:34" ht="19.5" customHeight="1">
      <c r="A458" s="25">
        <f t="shared" si="7"/>
        <v>455</v>
      </c>
      <c r="B458" s="26">
        <v>6207400</v>
      </c>
      <c r="C458" s="27">
        <v>45882</v>
      </c>
      <c r="E458" s="29">
        <v>17112.599999999999</v>
      </c>
      <c r="F458" s="30">
        <v>1551025</v>
      </c>
      <c r="G458" s="27">
        <v>45889</v>
      </c>
      <c r="H458" s="28"/>
      <c r="I458" s="29">
        <v>17112.599999999999</v>
      </c>
      <c r="J458" s="34" t="s">
        <v>1429</v>
      </c>
      <c r="K458" t="s">
        <v>293</v>
      </c>
      <c r="L458" s="35" t="s">
        <v>1497</v>
      </c>
      <c r="M458" s="36" t="s">
        <v>1498</v>
      </c>
      <c r="N458" s="37" t="s">
        <v>1499</v>
      </c>
      <c r="O458" t="s">
        <v>1500</v>
      </c>
      <c r="P458" t="s">
        <v>1501</v>
      </c>
      <c r="R458" s="38">
        <v>45872</v>
      </c>
      <c r="S458" s="39">
        <v>46236</v>
      </c>
      <c r="T458" s="38">
        <v>45872</v>
      </c>
      <c r="U458" s="39">
        <v>46236</v>
      </c>
      <c r="V458" s="40" t="s">
        <v>1333</v>
      </c>
      <c r="W458" s="41" t="s">
        <v>39</v>
      </c>
      <c r="Y458" s="42"/>
      <c r="Z458" t="s">
        <v>81</v>
      </c>
      <c r="AA458" s="62" t="s">
        <v>1502</v>
      </c>
      <c r="AB458" s="44">
        <v>45891</v>
      </c>
      <c r="AC458" s="63" t="s">
        <v>1503</v>
      </c>
      <c r="AE458">
        <v>3177463</v>
      </c>
      <c r="AF458" s="47">
        <v>45947</v>
      </c>
      <c r="AG458" s="48">
        <v>23100</v>
      </c>
      <c r="AH458" s="48">
        <v>17112.599999999999</v>
      </c>
    </row>
    <row r="459" spans="1:34" ht="19.5" customHeight="1" thickBot="1">
      <c r="A459" s="25">
        <f t="shared" si="7"/>
        <v>456</v>
      </c>
      <c r="B459" s="26">
        <v>6207653</v>
      </c>
      <c r="C459" s="27">
        <v>45883</v>
      </c>
      <c r="E459" s="29">
        <v>5770</v>
      </c>
      <c r="F459" s="30">
        <v>1550054</v>
      </c>
      <c r="G459" s="27">
        <v>45888</v>
      </c>
      <c r="H459" s="28"/>
      <c r="I459" s="29">
        <v>5770</v>
      </c>
      <c r="J459" s="34" t="s">
        <v>33</v>
      </c>
      <c r="K459" t="s">
        <v>139</v>
      </c>
      <c r="L459" s="35">
        <v>80005139</v>
      </c>
      <c r="M459" s="36" t="s">
        <v>1504</v>
      </c>
      <c r="N459" s="37" t="s">
        <v>1383</v>
      </c>
      <c r="O459" t="s">
        <v>1505</v>
      </c>
      <c r="P459" t="s">
        <v>1506</v>
      </c>
      <c r="R459" s="38">
        <v>45881</v>
      </c>
      <c r="S459" s="39">
        <v>46245</v>
      </c>
      <c r="T459" s="50" t="s">
        <v>141</v>
      </c>
      <c r="U459" s="47" t="s">
        <v>141</v>
      </c>
      <c r="V459" s="40" t="s">
        <v>954</v>
      </c>
      <c r="W459" s="41" t="s">
        <v>39</v>
      </c>
      <c r="Y459" s="42" t="s">
        <v>185</v>
      </c>
      <c r="Z459" t="s">
        <v>81</v>
      </c>
      <c r="AA459" s="62">
        <v>90007125</v>
      </c>
      <c r="AB459" s="44">
        <v>45911</v>
      </c>
      <c r="AC459" s="63">
        <v>60016646</v>
      </c>
      <c r="AG459" s="48">
        <v>559920</v>
      </c>
      <c r="AH459" s="48">
        <v>34610</v>
      </c>
    </row>
    <row r="460" spans="1:34" ht="19.5" customHeight="1">
      <c r="A460" s="25">
        <f t="shared" si="7"/>
        <v>457</v>
      </c>
      <c r="B460" s="135">
        <v>6207985</v>
      </c>
      <c r="C460" s="136">
        <v>45884</v>
      </c>
      <c r="D460" s="176"/>
      <c r="E460" s="177">
        <v>154918.70000000001</v>
      </c>
      <c r="F460" s="139" t="s">
        <v>1507</v>
      </c>
      <c r="G460" s="136">
        <v>45890</v>
      </c>
      <c r="H460" s="176"/>
      <c r="I460" s="177">
        <v>154918.70000000001</v>
      </c>
      <c r="J460" s="140" t="s">
        <v>33</v>
      </c>
      <c r="K460" s="141" t="s">
        <v>139</v>
      </c>
      <c r="L460" s="142">
        <v>80005130</v>
      </c>
      <c r="M460" s="143" t="s">
        <v>1508</v>
      </c>
      <c r="N460" s="144" t="s">
        <v>1509</v>
      </c>
      <c r="O460" s="141" t="s">
        <v>994</v>
      </c>
      <c r="P460" s="141" t="s">
        <v>995</v>
      </c>
      <c r="Q460" s="141" t="s">
        <v>1510</v>
      </c>
      <c r="R460" s="145">
        <v>45778</v>
      </c>
      <c r="S460" s="146">
        <v>46142</v>
      </c>
      <c r="T460" s="180" t="s">
        <v>141</v>
      </c>
      <c r="U460" s="154" t="s">
        <v>141</v>
      </c>
      <c r="V460" s="147" t="s">
        <v>38</v>
      </c>
      <c r="W460" s="148" t="s">
        <v>39</v>
      </c>
      <c r="X460" s="147"/>
      <c r="Y460" s="149"/>
      <c r="Z460" s="141" t="s">
        <v>40</v>
      </c>
      <c r="AA460" s="150">
        <v>90007178</v>
      </c>
      <c r="AB460" s="151">
        <v>45939</v>
      </c>
      <c r="AC460" s="152">
        <v>60016764</v>
      </c>
      <c r="AD460" s="153">
        <v>45939</v>
      </c>
      <c r="AE460" s="141"/>
      <c r="AF460" s="146"/>
      <c r="AG460" s="48">
        <v>5924668.9000000004</v>
      </c>
      <c r="AH460" s="48">
        <v>4775106.6500000004</v>
      </c>
    </row>
    <row r="461" spans="1:34" ht="19.5" customHeight="1" thickBot="1">
      <c r="A461" s="25">
        <f t="shared" si="7"/>
        <v>458</v>
      </c>
      <c r="B461" s="155">
        <v>6207985</v>
      </c>
      <c r="C461" s="156">
        <v>45884</v>
      </c>
      <c r="D461" s="210"/>
      <c r="E461" s="211">
        <f>216368.2-154918.7</f>
        <v>61449.5</v>
      </c>
      <c r="F461" s="159" t="s">
        <v>1507</v>
      </c>
      <c r="G461" s="156">
        <v>45890</v>
      </c>
      <c r="H461" s="210"/>
      <c r="I461" s="211">
        <f>216368.2-154918.7</f>
        <v>61449.5</v>
      </c>
      <c r="J461" s="160" t="s">
        <v>33</v>
      </c>
      <c r="K461" s="161" t="s">
        <v>139</v>
      </c>
      <c r="L461" s="162">
        <v>80005130</v>
      </c>
      <c r="M461" s="163" t="s">
        <v>1508</v>
      </c>
      <c r="N461" s="212" t="s">
        <v>1509</v>
      </c>
      <c r="O461" s="161" t="s">
        <v>994</v>
      </c>
      <c r="P461" s="161" t="s">
        <v>995</v>
      </c>
      <c r="Q461" s="161" t="s">
        <v>1510</v>
      </c>
      <c r="R461" s="165">
        <v>45778</v>
      </c>
      <c r="S461" s="166">
        <v>46142</v>
      </c>
      <c r="T461" s="213" t="s">
        <v>141</v>
      </c>
      <c r="U461" s="174" t="s">
        <v>141</v>
      </c>
      <c r="V461" s="167" t="s">
        <v>38</v>
      </c>
      <c r="W461" s="168" t="s">
        <v>39</v>
      </c>
      <c r="X461" s="167"/>
      <c r="Y461" s="169"/>
      <c r="Z461" s="161" t="s">
        <v>40</v>
      </c>
      <c r="AA461" s="170">
        <v>90007214</v>
      </c>
      <c r="AB461" s="171">
        <v>45961</v>
      </c>
      <c r="AC461" s="172">
        <v>60016834</v>
      </c>
      <c r="AD461" s="173">
        <v>45961</v>
      </c>
      <c r="AE461" s="161">
        <v>3181362</v>
      </c>
      <c r="AF461" s="166">
        <v>45978</v>
      </c>
      <c r="AG461" s="76">
        <v>5924668.9000000004</v>
      </c>
      <c r="AH461" s="76">
        <v>4775106.6500000004</v>
      </c>
    </row>
    <row r="462" spans="1:34" ht="19.5" customHeight="1">
      <c r="A462" s="25">
        <f t="shared" si="7"/>
        <v>459</v>
      </c>
      <c r="B462" s="26">
        <v>6208230</v>
      </c>
      <c r="C462" s="27">
        <v>45884</v>
      </c>
      <c r="D462" s="28">
        <v>10338.5</v>
      </c>
      <c r="E462" s="29">
        <v>81155.289999999994</v>
      </c>
      <c r="F462" s="30">
        <v>1551367</v>
      </c>
      <c r="G462" s="27">
        <v>45891</v>
      </c>
      <c r="H462" s="28">
        <v>10338.5</v>
      </c>
      <c r="I462" s="29">
        <v>81155.289999999994</v>
      </c>
      <c r="J462" s="34" t="s">
        <v>103</v>
      </c>
      <c r="K462" t="s">
        <v>206</v>
      </c>
      <c r="L462" s="35" t="s">
        <v>1511</v>
      </c>
      <c r="M462" s="36" t="s">
        <v>1512</v>
      </c>
      <c r="N462" s="37" t="s">
        <v>1330</v>
      </c>
      <c r="O462" t="s">
        <v>1513</v>
      </c>
      <c r="P462" t="s">
        <v>1514</v>
      </c>
      <c r="R462" s="38">
        <v>45823</v>
      </c>
      <c r="S462" s="39">
        <v>46187</v>
      </c>
      <c r="T462" s="38">
        <v>45885</v>
      </c>
      <c r="U462" s="39">
        <v>46249</v>
      </c>
      <c r="V462" s="40" t="s">
        <v>690</v>
      </c>
      <c r="W462" s="41" t="s">
        <v>39</v>
      </c>
      <c r="Y462" s="42"/>
      <c r="Z462" t="s">
        <v>40</v>
      </c>
      <c r="AA462" s="62" t="s">
        <v>1515</v>
      </c>
      <c r="AB462" s="44">
        <v>45897</v>
      </c>
      <c r="AC462" s="63" t="s">
        <v>1516</v>
      </c>
      <c r="AE462">
        <v>3180195</v>
      </c>
      <c r="AF462" s="47">
        <v>45967</v>
      </c>
      <c r="AG462" s="48">
        <v>920000</v>
      </c>
      <c r="AH462" s="48">
        <v>771136.68</v>
      </c>
    </row>
    <row r="463" spans="1:34" ht="19.5" customHeight="1">
      <c r="A463" s="25">
        <f t="shared" si="7"/>
        <v>460</v>
      </c>
      <c r="B463" s="26">
        <v>6208292</v>
      </c>
      <c r="C463" s="27">
        <v>45884</v>
      </c>
      <c r="E463" s="29">
        <v>22015</v>
      </c>
      <c r="F463" s="30">
        <v>1550399</v>
      </c>
      <c r="G463" s="27">
        <v>45884</v>
      </c>
      <c r="H463" s="28"/>
      <c r="I463" s="29">
        <v>22015</v>
      </c>
      <c r="J463" s="34" t="s">
        <v>33</v>
      </c>
      <c r="K463" t="s">
        <v>139</v>
      </c>
      <c r="L463" s="35">
        <v>80005143</v>
      </c>
      <c r="M463" s="36" t="s">
        <v>1517</v>
      </c>
      <c r="N463" s="37" t="s">
        <v>1518</v>
      </c>
      <c r="O463" t="s">
        <v>1513</v>
      </c>
      <c r="P463" t="s">
        <v>1514</v>
      </c>
      <c r="R463" s="38">
        <v>45823</v>
      </c>
      <c r="S463" s="39">
        <v>46187</v>
      </c>
      <c r="T463" s="50" t="s">
        <v>141</v>
      </c>
      <c r="U463" s="47" t="s">
        <v>141</v>
      </c>
      <c r="V463" s="40" t="s">
        <v>690</v>
      </c>
      <c r="W463" s="41" t="s">
        <v>39</v>
      </c>
      <c r="Y463" s="42"/>
      <c r="Z463" t="s">
        <v>40</v>
      </c>
      <c r="AA463" s="62">
        <v>90007146</v>
      </c>
      <c r="AB463" s="44">
        <v>45925</v>
      </c>
      <c r="AC463" s="63">
        <v>60016706</v>
      </c>
      <c r="AD463" s="46">
        <v>45925</v>
      </c>
      <c r="AG463" s="48">
        <v>920000</v>
      </c>
      <c r="AH463" s="48">
        <v>771136.68</v>
      </c>
    </row>
    <row r="464" spans="1:34" ht="19.5" customHeight="1">
      <c r="A464" s="25">
        <f t="shared" si="7"/>
        <v>461</v>
      </c>
      <c r="B464" s="26">
        <v>6208411</v>
      </c>
      <c r="C464" s="27">
        <v>45887</v>
      </c>
      <c r="D464" s="28">
        <v>793.52</v>
      </c>
      <c r="E464" s="29">
        <v>6228.97</v>
      </c>
      <c r="F464" s="30">
        <v>1550599</v>
      </c>
      <c r="G464" s="27">
        <v>45891</v>
      </c>
      <c r="H464" s="28">
        <v>793.52</v>
      </c>
      <c r="I464" s="29">
        <v>6228.97</v>
      </c>
      <c r="J464" s="34" t="s">
        <v>33</v>
      </c>
      <c r="K464" t="s">
        <v>34</v>
      </c>
      <c r="L464" s="35">
        <v>461963240</v>
      </c>
      <c r="M464" s="36" t="s">
        <v>1519</v>
      </c>
      <c r="N464" s="37" t="s">
        <v>1346</v>
      </c>
      <c r="O464" t="s">
        <v>1520</v>
      </c>
      <c r="P464" t="s">
        <v>1521</v>
      </c>
      <c r="R464" s="38">
        <v>45839</v>
      </c>
      <c r="S464" s="39">
        <v>46203</v>
      </c>
      <c r="T464" s="38">
        <v>45852</v>
      </c>
      <c r="U464" s="39">
        <v>46216</v>
      </c>
      <c r="V464" s="40" t="s">
        <v>38</v>
      </c>
      <c r="W464" s="41" t="s">
        <v>39</v>
      </c>
      <c r="Y464" s="42" t="s">
        <v>56</v>
      </c>
      <c r="Z464" t="s">
        <v>40</v>
      </c>
      <c r="AC464" s="63">
        <v>9999688547</v>
      </c>
      <c r="AE464">
        <v>3176914</v>
      </c>
      <c r="AF464" s="47">
        <v>45945</v>
      </c>
      <c r="AG464" s="48">
        <v>15540</v>
      </c>
      <c r="AH464" s="48">
        <v>8049.13</v>
      </c>
    </row>
    <row r="465" spans="1:34" ht="19.5" customHeight="1">
      <c r="A465" s="25">
        <f t="shared" si="7"/>
        <v>462</v>
      </c>
      <c r="B465" s="26">
        <v>6208629</v>
      </c>
      <c r="C465" s="27">
        <v>45887</v>
      </c>
      <c r="E465" s="29">
        <v>1820</v>
      </c>
      <c r="F465" s="30">
        <v>1550478</v>
      </c>
      <c r="G465" s="27">
        <v>45890</v>
      </c>
      <c r="H465" s="28"/>
      <c r="I465" s="29">
        <v>1820</v>
      </c>
      <c r="J465" s="34" t="s">
        <v>33</v>
      </c>
      <c r="K465" t="s">
        <v>139</v>
      </c>
      <c r="L465" s="35">
        <v>80005142</v>
      </c>
      <c r="M465" s="36" t="s">
        <v>1522</v>
      </c>
      <c r="N465" s="37" t="s">
        <v>1404</v>
      </c>
      <c r="O465" t="s">
        <v>1520</v>
      </c>
      <c r="P465" t="s">
        <v>1521</v>
      </c>
      <c r="R465" s="38">
        <v>45839</v>
      </c>
      <c r="S465" s="39">
        <v>46203</v>
      </c>
      <c r="T465" s="50" t="s">
        <v>141</v>
      </c>
      <c r="U465" s="47" t="s">
        <v>141</v>
      </c>
      <c r="V465" s="40" t="s">
        <v>38</v>
      </c>
      <c r="W465" s="41" t="s">
        <v>39</v>
      </c>
      <c r="Y465" s="42"/>
      <c r="Z465" t="s">
        <v>40</v>
      </c>
      <c r="AA465" s="62">
        <v>90007125</v>
      </c>
      <c r="AB465" s="44">
        <v>45911</v>
      </c>
      <c r="AC465" s="63">
        <v>60016647</v>
      </c>
      <c r="AG465" s="48">
        <v>15540</v>
      </c>
      <c r="AH465" s="48">
        <v>8049.13</v>
      </c>
    </row>
    <row r="466" spans="1:34" ht="19.5" customHeight="1">
      <c r="A466" s="25">
        <f t="shared" si="7"/>
        <v>463</v>
      </c>
      <c r="B466" s="26">
        <v>6208644</v>
      </c>
      <c r="C466" s="27">
        <v>45887</v>
      </c>
      <c r="E466" s="29">
        <v>78865.600000000006</v>
      </c>
      <c r="F466" s="30">
        <v>1551300</v>
      </c>
      <c r="G466" s="27">
        <v>45891</v>
      </c>
      <c r="H466" s="28"/>
      <c r="I466" s="29">
        <v>78865.600000000006</v>
      </c>
      <c r="J466" s="34" t="s">
        <v>159</v>
      </c>
      <c r="K466" t="s">
        <v>160</v>
      </c>
      <c r="L466" s="35" t="s">
        <v>1523</v>
      </c>
      <c r="M466" s="36" t="s">
        <v>1524</v>
      </c>
      <c r="N466" s="37" t="s">
        <v>1525</v>
      </c>
      <c r="O466" t="s">
        <v>1513</v>
      </c>
      <c r="P466" t="s">
        <v>1514</v>
      </c>
      <c r="R466" s="38">
        <v>45823</v>
      </c>
      <c r="S466" s="39">
        <v>46187</v>
      </c>
      <c r="T466" s="50" t="s">
        <v>141</v>
      </c>
      <c r="U466" s="47" t="s">
        <v>141</v>
      </c>
      <c r="V466" s="40" t="s">
        <v>690</v>
      </c>
      <c r="W466" s="41" t="s">
        <v>39</v>
      </c>
      <c r="Y466" s="42"/>
      <c r="Z466" t="s">
        <v>40</v>
      </c>
      <c r="AE466">
        <v>3174518</v>
      </c>
      <c r="AF466" s="47">
        <v>45925</v>
      </c>
      <c r="AG466" s="48">
        <v>920000</v>
      </c>
      <c r="AH466" s="48">
        <v>771136.68</v>
      </c>
    </row>
    <row r="467" spans="1:34" ht="19.5" customHeight="1">
      <c r="A467" s="25">
        <f t="shared" si="7"/>
        <v>464</v>
      </c>
      <c r="B467" s="26">
        <v>6208678</v>
      </c>
      <c r="C467" s="27">
        <v>45887</v>
      </c>
      <c r="D467" s="28">
        <v>31793.19</v>
      </c>
      <c r="E467" s="29">
        <v>249570.18</v>
      </c>
      <c r="F467" s="30">
        <v>1550659</v>
      </c>
      <c r="G467" s="27">
        <v>45890</v>
      </c>
      <c r="H467" s="28">
        <v>31793.19</v>
      </c>
      <c r="I467" s="29">
        <v>249570.18</v>
      </c>
      <c r="J467" s="34" t="s">
        <v>33</v>
      </c>
      <c r="K467" t="s">
        <v>34</v>
      </c>
      <c r="L467" s="35">
        <v>322153295</v>
      </c>
      <c r="M467" s="36" t="s">
        <v>452</v>
      </c>
      <c r="N467" s="37" t="s">
        <v>1346</v>
      </c>
      <c r="O467" t="s">
        <v>1526</v>
      </c>
      <c r="P467" t="s">
        <v>1527</v>
      </c>
      <c r="R467" s="38">
        <v>45931</v>
      </c>
      <c r="S467" s="39">
        <v>46660</v>
      </c>
      <c r="T467" s="38">
        <v>45931</v>
      </c>
      <c r="U467" s="39">
        <v>46660</v>
      </c>
      <c r="V467" s="40" t="s">
        <v>458</v>
      </c>
      <c r="W467" s="41" t="s">
        <v>39</v>
      </c>
      <c r="Y467" s="42" t="s">
        <v>56</v>
      </c>
      <c r="Z467" t="s">
        <v>40</v>
      </c>
      <c r="AC467" s="63">
        <v>9999685914</v>
      </c>
      <c r="AD467" s="46">
        <v>45894</v>
      </c>
      <c r="AE467">
        <v>3180099</v>
      </c>
      <c r="AF467" s="47">
        <v>45967</v>
      </c>
      <c r="AG467" s="48">
        <v>555481</v>
      </c>
      <c r="AH467" s="48">
        <v>467154.36</v>
      </c>
    </row>
    <row r="468" spans="1:34" ht="19.5" customHeight="1">
      <c r="A468" s="25">
        <f t="shared" si="7"/>
        <v>465</v>
      </c>
      <c r="B468" s="26">
        <v>6208701</v>
      </c>
      <c r="C468" s="27">
        <v>45887</v>
      </c>
      <c r="D468" s="28">
        <v>250.28</v>
      </c>
      <c r="E468" s="29">
        <v>1964.65</v>
      </c>
      <c r="F468" s="30">
        <v>1550660</v>
      </c>
      <c r="G468" s="27">
        <v>45888</v>
      </c>
      <c r="H468" s="28">
        <v>250.28</v>
      </c>
      <c r="I468" s="29">
        <v>1964.65</v>
      </c>
      <c r="J468" s="34" t="s">
        <v>33</v>
      </c>
      <c r="K468" t="s">
        <v>34</v>
      </c>
      <c r="L468" s="35">
        <v>322169825</v>
      </c>
      <c r="M468" s="36" t="s">
        <v>189</v>
      </c>
      <c r="N468" s="37" t="s">
        <v>1346</v>
      </c>
      <c r="O468" t="s">
        <v>1528</v>
      </c>
      <c r="P468" t="s">
        <v>1529</v>
      </c>
      <c r="R468" s="38">
        <v>45906</v>
      </c>
      <c r="S468" s="39">
        <v>46270</v>
      </c>
      <c r="T468" s="38">
        <v>45876</v>
      </c>
      <c r="U468" s="39">
        <v>46270</v>
      </c>
      <c r="V468" s="40" t="s">
        <v>458</v>
      </c>
      <c r="W468" s="41" t="s">
        <v>39</v>
      </c>
      <c r="Y468" s="42" t="s">
        <v>56</v>
      </c>
      <c r="Z468" t="s">
        <v>40</v>
      </c>
      <c r="AC468" s="63">
        <v>9999685917</v>
      </c>
      <c r="AD468" s="46">
        <v>45894</v>
      </c>
      <c r="AE468">
        <v>3177950</v>
      </c>
      <c r="AF468" s="47">
        <v>45952</v>
      </c>
      <c r="AG468" s="48">
        <v>16831</v>
      </c>
      <c r="AH468" s="48">
        <v>1964.69</v>
      </c>
    </row>
    <row r="469" spans="1:34" ht="19.5" customHeight="1">
      <c r="A469" s="25">
        <f t="shared" si="7"/>
        <v>466</v>
      </c>
      <c r="B469" s="26">
        <v>6208786</v>
      </c>
      <c r="C469" s="27">
        <v>45888</v>
      </c>
      <c r="D469" s="28">
        <v>1250</v>
      </c>
      <c r="E469" s="29">
        <v>9812.25</v>
      </c>
      <c r="F469" s="30" t="s">
        <v>1530</v>
      </c>
      <c r="G469" s="27">
        <v>45888</v>
      </c>
      <c r="H469" s="28">
        <v>1250</v>
      </c>
      <c r="I469" s="29">
        <v>9812.25</v>
      </c>
      <c r="J469" s="34" t="s">
        <v>33</v>
      </c>
      <c r="K469" t="s">
        <v>733</v>
      </c>
      <c r="L469" s="35" t="s">
        <v>1531</v>
      </c>
      <c r="M469" s="36" t="s">
        <v>1532</v>
      </c>
      <c r="N469" s="37" t="s">
        <v>1533</v>
      </c>
      <c r="O469" t="s">
        <v>1437</v>
      </c>
      <c r="P469" t="s">
        <v>1438</v>
      </c>
      <c r="R469" s="38">
        <v>45477</v>
      </c>
      <c r="S469" s="39">
        <v>46206</v>
      </c>
      <c r="T469" s="50" t="s">
        <v>141</v>
      </c>
      <c r="U469" s="47" t="s">
        <v>141</v>
      </c>
      <c r="V469" s="40" t="s">
        <v>590</v>
      </c>
      <c r="W469" s="41" t="s">
        <v>39</v>
      </c>
      <c r="Y469" s="42"/>
      <c r="Z469" t="s">
        <v>40</v>
      </c>
      <c r="AA469" s="62" t="s">
        <v>1534</v>
      </c>
      <c r="AB469" s="44">
        <v>45912</v>
      </c>
      <c r="AC469" s="63" t="s">
        <v>1535</v>
      </c>
      <c r="AD469" s="46">
        <v>45912</v>
      </c>
      <c r="AE469">
        <v>3201688</v>
      </c>
      <c r="AF469" s="39">
        <v>46125</v>
      </c>
      <c r="AG469" s="48">
        <v>130122</v>
      </c>
      <c r="AH469" s="48">
        <v>10080</v>
      </c>
    </row>
    <row r="470" spans="1:34" ht="19.5" customHeight="1">
      <c r="A470" s="25">
        <f t="shared" si="7"/>
        <v>467</v>
      </c>
      <c r="B470" s="26">
        <v>6208864</v>
      </c>
      <c r="C470" s="27">
        <v>45888</v>
      </c>
      <c r="D470" s="28">
        <v>9825.83</v>
      </c>
      <c r="E470" s="29">
        <v>77130.8</v>
      </c>
      <c r="F470" s="30">
        <v>1551051</v>
      </c>
      <c r="G470" s="27">
        <v>45894</v>
      </c>
      <c r="H470" s="28">
        <v>9825.83</v>
      </c>
      <c r="I470" s="29">
        <v>77130.8</v>
      </c>
      <c r="J470" s="34" t="s">
        <v>33</v>
      </c>
      <c r="K470" t="s">
        <v>34</v>
      </c>
      <c r="L470" s="35">
        <v>441915514</v>
      </c>
      <c r="M470" s="36" t="s">
        <v>1536</v>
      </c>
      <c r="N470" s="37" t="s">
        <v>1346</v>
      </c>
      <c r="O470" t="s">
        <v>1537</v>
      </c>
      <c r="P470" t="s">
        <v>1538</v>
      </c>
      <c r="R470" s="38">
        <v>45886</v>
      </c>
      <c r="S470" s="39">
        <v>46250</v>
      </c>
      <c r="T470" s="38">
        <v>45898</v>
      </c>
      <c r="U470" s="39">
        <v>46293</v>
      </c>
      <c r="V470" s="40" t="s">
        <v>458</v>
      </c>
      <c r="W470" s="41" t="s">
        <v>39</v>
      </c>
      <c r="Y470" s="42"/>
      <c r="Z470" t="s">
        <v>40</v>
      </c>
      <c r="AC470" s="63">
        <v>9999692488</v>
      </c>
      <c r="AD470" s="46">
        <v>45896</v>
      </c>
      <c r="AE470">
        <v>3177952</v>
      </c>
      <c r="AF470" s="47">
        <v>45952</v>
      </c>
      <c r="AG470" s="48">
        <v>149760</v>
      </c>
      <c r="AH470" s="48">
        <v>78882.759999999995</v>
      </c>
    </row>
    <row r="471" spans="1:34" ht="19.5" customHeight="1">
      <c r="A471" s="25">
        <f t="shared" si="7"/>
        <v>468</v>
      </c>
      <c r="B471" s="26">
        <v>6209062</v>
      </c>
      <c r="C471" s="27">
        <v>45888</v>
      </c>
      <c r="D471" s="28">
        <v>10800</v>
      </c>
      <c r="E471" s="29">
        <v>84777.84</v>
      </c>
      <c r="F471" s="30">
        <v>1550857</v>
      </c>
      <c r="G471" s="27">
        <v>45889</v>
      </c>
      <c r="H471" s="28">
        <v>10800</v>
      </c>
      <c r="I471" s="29">
        <v>84777.84</v>
      </c>
      <c r="J471" s="34" t="s">
        <v>384</v>
      </c>
      <c r="K471" s="214" t="s">
        <v>34</v>
      </c>
      <c r="L471" s="35">
        <v>99777353</v>
      </c>
      <c r="M471" s="36" t="s">
        <v>1539</v>
      </c>
      <c r="N471" s="37" t="s">
        <v>1540</v>
      </c>
      <c r="O471" t="s">
        <v>1526</v>
      </c>
      <c r="P471" t="s">
        <v>1527</v>
      </c>
      <c r="R471" s="38">
        <v>45931</v>
      </c>
      <c r="S471" s="39">
        <v>46660</v>
      </c>
      <c r="T471" s="38">
        <v>45931</v>
      </c>
      <c r="U471" s="39">
        <v>46660</v>
      </c>
      <c r="V471" s="40" t="s">
        <v>458</v>
      </c>
      <c r="W471" s="41" t="s">
        <v>39</v>
      </c>
      <c r="Y471" s="42"/>
      <c r="Z471" t="s">
        <v>81</v>
      </c>
      <c r="AC471" s="63">
        <v>6501122673</v>
      </c>
      <c r="AD471" s="46">
        <v>45951</v>
      </c>
      <c r="AE471">
        <v>3180193</v>
      </c>
      <c r="AF471" s="47">
        <v>45967</v>
      </c>
      <c r="AG471" s="48">
        <v>555481</v>
      </c>
      <c r="AH471" s="48">
        <v>467154.36</v>
      </c>
    </row>
    <row r="472" spans="1:34" ht="19.5" customHeight="1">
      <c r="A472" s="25">
        <f t="shared" si="7"/>
        <v>469</v>
      </c>
      <c r="B472" s="26">
        <v>6209085</v>
      </c>
      <c r="C472" s="27">
        <v>45888</v>
      </c>
      <c r="D472" s="28">
        <v>807.48</v>
      </c>
      <c r="E472" s="29">
        <v>6338.56</v>
      </c>
      <c r="F472" s="30">
        <v>1550851</v>
      </c>
      <c r="G472" s="27">
        <v>45890</v>
      </c>
      <c r="H472" s="28">
        <v>807.48</v>
      </c>
      <c r="I472" s="29">
        <v>6338.56</v>
      </c>
      <c r="J472" s="34" t="s">
        <v>33</v>
      </c>
      <c r="K472" t="s">
        <v>34</v>
      </c>
      <c r="L472" s="35">
        <v>232250527</v>
      </c>
      <c r="M472" s="36" t="s">
        <v>1541</v>
      </c>
      <c r="N472" s="37" t="s">
        <v>1346</v>
      </c>
      <c r="O472" t="s">
        <v>1542</v>
      </c>
      <c r="P472" t="s">
        <v>1543</v>
      </c>
      <c r="R472" s="38">
        <v>45941</v>
      </c>
      <c r="S472" s="39">
        <v>46305</v>
      </c>
      <c r="T472" s="38">
        <v>45941</v>
      </c>
      <c r="U472" s="39">
        <v>46305</v>
      </c>
      <c r="V472" s="40" t="s">
        <v>245</v>
      </c>
      <c r="W472" s="41" t="s">
        <v>39</v>
      </c>
      <c r="Y472" s="42" t="s">
        <v>56</v>
      </c>
      <c r="Z472" t="s">
        <v>40</v>
      </c>
      <c r="AC472" s="63">
        <v>9999685915</v>
      </c>
      <c r="AE472">
        <v>3176913</v>
      </c>
      <c r="AF472" s="47">
        <v>45945</v>
      </c>
      <c r="AG472" s="48">
        <v>12945</v>
      </c>
      <c r="AH472" s="48">
        <v>6338.72</v>
      </c>
    </row>
    <row r="473" spans="1:34" ht="19.5" customHeight="1">
      <c r="A473" s="25">
        <f t="shared" si="7"/>
        <v>470</v>
      </c>
      <c r="B473" s="26">
        <v>6209129</v>
      </c>
      <c r="C473" s="27">
        <v>45888</v>
      </c>
      <c r="E473" s="29">
        <v>1620</v>
      </c>
      <c r="F473" s="30" t="s">
        <v>1544</v>
      </c>
      <c r="G473" s="27">
        <v>45895</v>
      </c>
      <c r="H473" s="28"/>
      <c r="I473" s="29">
        <v>1620</v>
      </c>
      <c r="J473" s="34" t="s">
        <v>33</v>
      </c>
      <c r="K473" t="s">
        <v>139</v>
      </c>
      <c r="L473" s="35">
        <v>80005144</v>
      </c>
      <c r="M473" s="36" t="s">
        <v>1545</v>
      </c>
      <c r="N473" s="37" t="s">
        <v>1404</v>
      </c>
      <c r="O473" t="s">
        <v>1546</v>
      </c>
      <c r="P473" t="s">
        <v>1547</v>
      </c>
      <c r="R473" s="38">
        <v>45925</v>
      </c>
      <c r="S473" s="39">
        <v>47020</v>
      </c>
      <c r="T473" s="50" t="s">
        <v>141</v>
      </c>
      <c r="U473" s="47" t="s">
        <v>141</v>
      </c>
      <c r="V473" s="40" t="s">
        <v>38</v>
      </c>
      <c r="W473" s="41" t="s">
        <v>39</v>
      </c>
      <c r="Y473" s="42"/>
      <c r="Z473" t="s">
        <v>40</v>
      </c>
      <c r="AA473" s="62">
        <v>90007125</v>
      </c>
      <c r="AB473" s="44">
        <v>45911</v>
      </c>
      <c r="AC473" s="63">
        <v>60016648</v>
      </c>
      <c r="AE473">
        <v>3196715</v>
      </c>
      <c r="AF473" s="39">
        <v>46086</v>
      </c>
      <c r="AG473" s="48">
        <v>457499</v>
      </c>
      <c r="AH473" s="48">
        <v>168104.29</v>
      </c>
    </row>
    <row r="474" spans="1:34" ht="19.5" customHeight="1">
      <c r="A474" s="25">
        <f t="shared" si="7"/>
        <v>471</v>
      </c>
      <c r="B474" s="26">
        <v>6209217</v>
      </c>
      <c r="C474" s="27">
        <v>45889</v>
      </c>
      <c r="E474" s="29">
        <v>670</v>
      </c>
      <c r="F474" s="30">
        <v>1550861</v>
      </c>
      <c r="G474" s="27">
        <v>45895</v>
      </c>
      <c r="H474" s="28"/>
      <c r="I474" s="29">
        <v>670</v>
      </c>
      <c r="J474" s="34" t="s">
        <v>33</v>
      </c>
      <c r="K474" t="s">
        <v>139</v>
      </c>
      <c r="L474" s="35">
        <v>80005145</v>
      </c>
      <c r="M474" s="36" t="s">
        <v>1548</v>
      </c>
      <c r="N474" s="37" t="s">
        <v>1383</v>
      </c>
      <c r="O474" t="s">
        <v>1549</v>
      </c>
      <c r="P474" t="s">
        <v>1550</v>
      </c>
      <c r="R474" s="38">
        <v>45884</v>
      </c>
      <c r="S474" s="39">
        <v>46248</v>
      </c>
      <c r="T474" s="50" t="s">
        <v>141</v>
      </c>
      <c r="U474" s="47" t="s">
        <v>141</v>
      </c>
      <c r="V474" s="40" t="s">
        <v>60</v>
      </c>
      <c r="W474" s="41" t="s">
        <v>39</v>
      </c>
      <c r="Y474" s="42" t="s">
        <v>185</v>
      </c>
      <c r="Z474" t="s">
        <v>81</v>
      </c>
      <c r="AA474" s="62">
        <v>90007125</v>
      </c>
      <c r="AB474" s="44">
        <v>45911</v>
      </c>
      <c r="AC474" s="63">
        <v>60016649</v>
      </c>
      <c r="AG474" s="48">
        <v>98800</v>
      </c>
      <c r="AH474" s="48">
        <v>30270</v>
      </c>
    </row>
    <row r="475" spans="1:34" ht="19.5" customHeight="1">
      <c r="A475" s="25">
        <f t="shared" si="7"/>
        <v>472</v>
      </c>
      <c r="B475" s="26">
        <v>6209399</v>
      </c>
      <c r="C475" s="27">
        <v>45889</v>
      </c>
      <c r="D475" s="28">
        <v>7209.08</v>
      </c>
      <c r="E475" s="29">
        <v>56589.84</v>
      </c>
      <c r="F475" s="30">
        <v>1551050</v>
      </c>
      <c r="G475" s="27">
        <v>45894</v>
      </c>
      <c r="H475" s="28">
        <v>7209.08</v>
      </c>
      <c r="I475" s="29">
        <v>56589.84</v>
      </c>
      <c r="J475" s="34" t="s">
        <v>33</v>
      </c>
      <c r="K475" t="s">
        <v>34</v>
      </c>
      <c r="L475" s="35">
        <v>362167244</v>
      </c>
      <c r="M475" s="36" t="s">
        <v>495</v>
      </c>
      <c r="N475" s="37" t="s">
        <v>1346</v>
      </c>
      <c r="O475" t="s">
        <v>1551</v>
      </c>
      <c r="P475" t="s">
        <v>1552</v>
      </c>
      <c r="R475" s="38">
        <v>45895</v>
      </c>
      <c r="S475" s="39">
        <v>46990</v>
      </c>
      <c r="T475" s="38">
        <v>45895</v>
      </c>
      <c r="U475" s="39">
        <v>46990</v>
      </c>
      <c r="V475" s="40" t="s">
        <v>80</v>
      </c>
      <c r="W475" s="41" t="s">
        <v>39</v>
      </c>
      <c r="Y475" s="42" t="s">
        <v>56</v>
      </c>
      <c r="Z475" t="s">
        <v>81</v>
      </c>
      <c r="AC475" s="63">
        <v>9999692483</v>
      </c>
      <c r="AD475" s="46">
        <v>45896</v>
      </c>
      <c r="AE475">
        <v>3177949</v>
      </c>
      <c r="AF475" s="47">
        <v>45952</v>
      </c>
      <c r="AG475" s="48">
        <v>71871</v>
      </c>
      <c r="AH475" s="48">
        <v>56591.28</v>
      </c>
    </row>
    <row r="476" spans="1:34" ht="19.5" customHeight="1">
      <c r="A476" s="25">
        <f t="shared" si="7"/>
        <v>473</v>
      </c>
      <c r="B476" s="26">
        <v>6209633</v>
      </c>
      <c r="C476" s="27">
        <v>45890</v>
      </c>
      <c r="D476" s="70"/>
      <c r="E476" s="127">
        <v>19240</v>
      </c>
      <c r="F476" s="30" t="s">
        <v>1553</v>
      </c>
      <c r="G476" s="27">
        <v>45896</v>
      </c>
      <c r="H476" s="28">
        <v>1870</v>
      </c>
      <c r="I476" s="29">
        <f>1870*7.85</f>
        <v>14679.5</v>
      </c>
      <c r="J476" s="34" t="s">
        <v>33</v>
      </c>
      <c r="K476" t="s">
        <v>733</v>
      </c>
      <c r="L476" s="35">
        <v>80005129</v>
      </c>
      <c r="M476" s="36" t="s">
        <v>1554</v>
      </c>
      <c r="N476" s="37" t="s">
        <v>1509</v>
      </c>
      <c r="O476" t="s">
        <v>1163</v>
      </c>
      <c r="P476" t="s">
        <v>1555</v>
      </c>
      <c r="R476" s="38">
        <v>45839</v>
      </c>
      <c r="S476" s="39">
        <v>46203</v>
      </c>
      <c r="T476" s="50" t="s">
        <v>141</v>
      </c>
      <c r="U476" s="47" t="s">
        <v>141</v>
      </c>
      <c r="V476" s="40" t="s">
        <v>590</v>
      </c>
      <c r="W476" s="41" t="s">
        <v>39</v>
      </c>
      <c r="Y476" s="42"/>
      <c r="Z476" t="s">
        <v>40</v>
      </c>
      <c r="AA476" s="62" t="s">
        <v>1556</v>
      </c>
      <c r="AB476" s="44">
        <v>45912</v>
      </c>
      <c r="AC476" s="63" t="s">
        <v>1557</v>
      </c>
      <c r="AE476">
        <v>3203699</v>
      </c>
      <c r="AF476" s="39">
        <v>46139</v>
      </c>
      <c r="AG476" s="48">
        <v>1269511</v>
      </c>
      <c r="AH476" s="48">
        <v>406694.3</v>
      </c>
    </row>
    <row r="477" spans="1:34" ht="19.5" customHeight="1">
      <c r="A477" s="25">
        <f t="shared" si="7"/>
        <v>474</v>
      </c>
      <c r="B477" s="26">
        <v>6209811</v>
      </c>
      <c r="C477" s="27">
        <v>45890</v>
      </c>
      <c r="D477" s="28">
        <v>622.08000000000004</v>
      </c>
      <c r="E477" s="29">
        <v>4883.2</v>
      </c>
      <c r="F477" s="30">
        <v>1551295</v>
      </c>
      <c r="G477" s="27">
        <v>45891</v>
      </c>
      <c r="H477" s="28">
        <v>622.08000000000004</v>
      </c>
      <c r="I477" s="29">
        <v>4883.2</v>
      </c>
      <c r="J477" s="34" t="s">
        <v>33</v>
      </c>
      <c r="K477" t="s">
        <v>34</v>
      </c>
      <c r="L477" s="35">
        <v>441965227</v>
      </c>
      <c r="M477" s="36" t="s">
        <v>1558</v>
      </c>
      <c r="N477" s="37" t="s">
        <v>1346</v>
      </c>
      <c r="O477" t="s">
        <v>1559</v>
      </c>
      <c r="P477" t="s">
        <v>1560</v>
      </c>
      <c r="R477" s="38">
        <v>45724</v>
      </c>
      <c r="S477" s="39">
        <v>46088</v>
      </c>
      <c r="T477" s="38">
        <v>45890</v>
      </c>
      <c r="U477" s="39">
        <v>46254</v>
      </c>
      <c r="V477" s="40" t="s">
        <v>458</v>
      </c>
      <c r="W477" s="41" t="s">
        <v>39</v>
      </c>
      <c r="Z477" t="s">
        <v>81</v>
      </c>
      <c r="AC477" s="63">
        <v>9999685919</v>
      </c>
      <c r="AD477" s="46">
        <v>45894</v>
      </c>
      <c r="AE477">
        <v>3177951</v>
      </c>
      <c r="AF477" s="47">
        <v>45952</v>
      </c>
      <c r="AG477" s="48">
        <v>6000</v>
      </c>
      <c r="AH477" s="48">
        <v>5051.4799999999996</v>
      </c>
    </row>
    <row r="478" spans="1:34" ht="19.5" customHeight="1">
      <c r="A478" s="25">
        <f t="shared" si="7"/>
        <v>475</v>
      </c>
      <c r="B478" s="26">
        <v>6209944</v>
      </c>
      <c r="C478" s="27">
        <v>45891</v>
      </c>
      <c r="E478" s="29">
        <v>1564.7</v>
      </c>
      <c r="F478" s="30">
        <v>1551869</v>
      </c>
      <c r="G478" s="27">
        <v>45895</v>
      </c>
      <c r="H478" s="28"/>
      <c r="I478" s="29">
        <v>1564.7</v>
      </c>
      <c r="J478" s="34" t="s">
        <v>159</v>
      </c>
      <c r="K478" t="s">
        <v>398</v>
      </c>
      <c r="L478" s="35" t="s">
        <v>1561</v>
      </c>
      <c r="M478" s="36" t="s">
        <v>1562</v>
      </c>
      <c r="N478" s="37" t="s">
        <v>1563</v>
      </c>
      <c r="O478" t="s">
        <v>1564</v>
      </c>
      <c r="P478" t="s">
        <v>1565</v>
      </c>
      <c r="R478" s="38">
        <v>45884</v>
      </c>
      <c r="S478" s="39">
        <v>46248</v>
      </c>
      <c r="T478" s="38">
        <v>45914</v>
      </c>
      <c r="U478" s="39">
        <v>46278</v>
      </c>
      <c r="V478" s="40" t="s">
        <v>1306</v>
      </c>
      <c r="W478" s="41" t="s">
        <v>39</v>
      </c>
      <c r="Y478" s="42" t="s">
        <v>185</v>
      </c>
      <c r="Z478" t="s">
        <v>40</v>
      </c>
      <c r="AA478" s="62" t="s">
        <v>1566</v>
      </c>
      <c r="AB478" s="44">
        <v>45903</v>
      </c>
      <c r="AC478" s="63" t="s">
        <v>1566</v>
      </c>
      <c r="AE478">
        <v>3175912</v>
      </c>
      <c r="AF478" s="39">
        <v>45938</v>
      </c>
      <c r="AG478" s="48">
        <v>352747</v>
      </c>
      <c r="AH478" s="48">
        <v>171833.7</v>
      </c>
    </row>
    <row r="479" spans="1:34" ht="19.5" customHeight="1">
      <c r="A479" s="25">
        <f t="shared" si="7"/>
        <v>476</v>
      </c>
      <c r="B479" s="91">
        <v>6209972</v>
      </c>
      <c r="C479" s="92">
        <v>45891</v>
      </c>
      <c r="D479" s="194"/>
      <c r="E479" s="195"/>
      <c r="F479" s="93">
        <v>1551382</v>
      </c>
      <c r="G479" s="92">
        <v>45896</v>
      </c>
      <c r="H479" s="215"/>
      <c r="I479" s="216"/>
      <c r="J479" s="94" t="s">
        <v>33</v>
      </c>
      <c r="K479" s="95" t="s">
        <v>139</v>
      </c>
      <c r="L479" s="217" t="s">
        <v>141</v>
      </c>
      <c r="M479" s="96" t="s">
        <v>1567</v>
      </c>
      <c r="N479" s="197" t="s">
        <v>1404</v>
      </c>
      <c r="O479" s="95" t="s">
        <v>1568</v>
      </c>
      <c r="P479" s="95" t="s">
        <v>1569</v>
      </c>
      <c r="Q479" s="95"/>
      <c r="R479" s="198">
        <v>45901</v>
      </c>
      <c r="S479" s="200">
        <v>46630</v>
      </c>
      <c r="T479" s="218" t="s">
        <v>141</v>
      </c>
      <c r="U479" s="199" t="s">
        <v>141</v>
      </c>
      <c r="V479" s="201" t="s">
        <v>245</v>
      </c>
      <c r="W479" s="202" t="s">
        <v>39</v>
      </c>
      <c r="X479" s="201"/>
      <c r="Y479" s="203"/>
      <c r="Z479" s="95" t="s">
        <v>40</v>
      </c>
      <c r="AA479" s="204">
        <v>90007150</v>
      </c>
      <c r="AB479" s="205">
        <v>45930</v>
      </c>
      <c r="AC479" s="206">
        <v>60016716</v>
      </c>
      <c r="AD479" s="207">
        <v>45930</v>
      </c>
      <c r="AF479" s="39" t="s">
        <v>1570</v>
      </c>
      <c r="AG479" s="48">
        <v>185000</v>
      </c>
      <c r="AH479" s="48">
        <v>142410.41</v>
      </c>
    </row>
    <row r="480" spans="1:34" ht="19.5" customHeight="1">
      <c r="A480" s="25">
        <f t="shared" si="7"/>
        <v>477</v>
      </c>
      <c r="B480" s="26">
        <v>6210138</v>
      </c>
      <c r="C480" s="27">
        <v>45891</v>
      </c>
      <c r="D480" s="28">
        <v>14802.6</v>
      </c>
      <c r="E480" s="29">
        <v>116197.45</v>
      </c>
      <c r="F480" s="30">
        <v>1551632</v>
      </c>
      <c r="G480" s="27">
        <v>45896</v>
      </c>
      <c r="H480" s="28">
        <v>14802.6</v>
      </c>
      <c r="I480" s="29">
        <v>116197.45</v>
      </c>
      <c r="J480" s="34" t="s">
        <v>33</v>
      </c>
      <c r="K480" t="s">
        <v>34</v>
      </c>
      <c r="L480" s="35">
        <v>292254983</v>
      </c>
      <c r="M480" s="36" t="s">
        <v>1571</v>
      </c>
      <c r="N480" s="37" t="s">
        <v>1346</v>
      </c>
      <c r="O480" t="s">
        <v>1568</v>
      </c>
      <c r="P480" t="s">
        <v>1569</v>
      </c>
      <c r="R480" s="38">
        <v>45901</v>
      </c>
      <c r="S480" s="39">
        <v>46630</v>
      </c>
      <c r="T480" s="38">
        <v>45901</v>
      </c>
      <c r="U480" s="39">
        <v>46446</v>
      </c>
      <c r="V480" s="40" t="s">
        <v>245</v>
      </c>
      <c r="W480" s="41" t="s">
        <v>39</v>
      </c>
      <c r="Y480" s="42" t="s">
        <v>56</v>
      </c>
      <c r="Z480" t="s">
        <v>40</v>
      </c>
      <c r="AC480" s="63">
        <v>9999697149</v>
      </c>
      <c r="AD480" s="46">
        <v>45898</v>
      </c>
      <c r="AE480">
        <v>3177953</v>
      </c>
      <c r="AF480" s="47">
        <v>45952</v>
      </c>
      <c r="AG480" s="48">
        <v>185000</v>
      </c>
      <c r="AH480" s="48">
        <v>142410.41</v>
      </c>
    </row>
    <row r="481" spans="1:34" ht="19.5" customHeight="1">
      <c r="A481" s="25">
        <f t="shared" si="7"/>
        <v>478</v>
      </c>
      <c r="B481" s="26">
        <v>6210172</v>
      </c>
      <c r="C481" s="27">
        <v>45891</v>
      </c>
      <c r="E481" s="29">
        <v>1554190.99</v>
      </c>
      <c r="F481" s="30">
        <v>1552321</v>
      </c>
      <c r="G481" s="27">
        <v>45898</v>
      </c>
      <c r="H481" s="28"/>
      <c r="I481" s="29">
        <v>1554190.99</v>
      </c>
      <c r="J481" s="34" t="s">
        <v>103</v>
      </c>
      <c r="K481" t="s">
        <v>107</v>
      </c>
      <c r="L481" s="35" t="s">
        <v>1572</v>
      </c>
      <c r="M481" s="36" t="s">
        <v>1573</v>
      </c>
      <c r="N481" s="37" t="s">
        <v>1458</v>
      </c>
      <c r="O481" t="s">
        <v>1574</v>
      </c>
      <c r="P481" t="s">
        <v>1575</v>
      </c>
      <c r="R481" s="38">
        <v>45870</v>
      </c>
      <c r="S481" s="39">
        <v>46234</v>
      </c>
      <c r="T481" s="38">
        <v>45870</v>
      </c>
      <c r="U481" s="39">
        <v>46234</v>
      </c>
      <c r="V481" s="40" t="s">
        <v>1576</v>
      </c>
      <c r="W481" s="41" t="s">
        <v>39</v>
      </c>
      <c r="Y481" s="42" t="s">
        <v>185</v>
      </c>
      <c r="Z481" t="s">
        <v>81</v>
      </c>
      <c r="AA481" s="62" t="s">
        <v>1577</v>
      </c>
      <c r="AB481" s="44">
        <v>45905</v>
      </c>
      <c r="AC481" s="63" t="s">
        <v>1578</v>
      </c>
      <c r="AE481">
        <v>3184156</v>
      </c>
      <c r="AF481" s="39">
        <v>45996</v>
      </c>
      <c r="AG481" s="48">
        <v>2576000</v>
      </c>
      <c r="AH481" s="48">
        <v>1554190.99</v>
      </c>
    </row>
    <row r="482" spans="1:34" ht="19.5" customHeight="1">
      <c r="A482" s="25">
        <f t="shared" si="7"/>
        <v>479</v>
      </c>
      <c r="B482" s="26">
        <v>6210385</v>
      </c>
      <c r="C482" s="27">
        <v>45894</v>
      </c>
      <c r="D482" s="28">
        <v>6904.85</v>
      </c>
      <c r="E482" s="29">
        <v>54201.69</v>
      </c>
      <c r="F482" s="30">
        <v>1551756</v>
      </c>
      <c r="G482" s="27">
        <v>45895</v>
      </c>
      <c r="H482" s="28">
        <v>6904.85</v>
      </c>
      <c r="I482" s="29">
        <v>54201.69</v>
      </c>
      <c r="J482" s="34" t="s">
        <v>33</v>
      </c>
      <c r="K482" t="s">
        <v>34</v>
      </c>
      <c r="L482" s="35">
        <v>372177750</v>
      </c>
      <c r="M482" s="36" t="s">
        <v>1579</v>
      </c>
      <c r="N482" s="37" t="s">
        <v>1580</v>
      </c>
      <c r="O482" t="s">
        <v>1417</v>
      </c>
      <c r="P482" t="s">
        <v>1418</v>
      </c>
      <c r="R482" s="38">
        <v>45778</v>
      </c>
      <c r="S482" s="39">
        <v>46142</v>
      </c>
      <c r="T482" s="38">
        <v>45865</v>
      </c>
      <c r="U482" s="39">
        <v>46229</v>
      </c>
      <c r="V482" s="40" t="s">
        <v>64</v>
      </c>
      <c r="W482" s="41" t="s">
        <v>39</v>
      </c>
      <c r="Y482" s="42" t="s">
        <v>185</v>
      </c>
      <c r="Z482" t="s">
        <v>40</v>
      </c>
      <c r="AE482">
        <v>3176919</v>
      </c>
      <c r="AF482" s="47">
        <v>45945</v>
      </c>
      <c r="AG482" s="48">
        <v>2230000</v>
      </c>
      <c r="AH482" s="48">
        <v>1884670.72</v>
      </c>
    </row>
    <row r="483" spans="1:34" ht="19.5" customHeight="1">
      <c r="A483" s="25">
        <f t="shared" si="7"/>
        <v>480</v>
      </c>
      <c r="B483" s="26">
        <v>6210481</v>
      </c>
      <c r="C483" s="27">
        <v>45894</v>
      </c>
      <c r="D483" s="28">
        <v>10055.450000000001</v>
      </c>
      <c r="E483" s="29">
        <v>78933.27</v>
      </c>
      <c r="F483" s="30">
        <v>1551757</v>
      </c>
      <c r="G483" s="27">
        <v>45895</v>
      </c>
      <c r="H483" s="28">
        <v>10055.450000000001</v>
      </c>
      <c r="I483" s="29">
        <v>78933.27</v>
      </c>
      <c r="J483" s="34" t="s">
        <v>33</v>
      </c>
      <c r="K483" t="s">
        <v>34</v>
      </c>
      <c r="L483" s="35">
        <v>431948437</v>
      </c>
      <c r="M483" s="36" t="s">
        <v>1579</v>
      </c>
      <c r="N483" s="37" t="s">
        <v>1581</v>
      </c>
      <c r="O483" t="s">
        <v>1417</v>
      </c>
      <c r="P483" t="s">
        <v>1418</v>
      </c>
      <c r="R483" s="38">
        <v>45778</v>
      </c>
      <c r="S483" s="39">
        <v>46142</v>
      </c>
      <c r="T483" s="38">
        <v>45939</v>
      </c>
      <c r="U483" s="39">
        <v>47034</v>
      </c>
      <c r="V483" s="40" t="s">
        <v>64</v>
      </c>
      <c r="W483" s="41" t="s">
        <v>39</v>
      </c>
      <c r="Y483" s="42" t="s">
        <v>185</v>
      </c>
      <c r="Z483" t="s">
        <v>40</v>
      </c>
      <c r="AC483" s="63">
        <v>9999700556</v>
      </c>
      <c r="AE483">
        <v>3176920</v>
      </c>
      <c r="AF483" s="47">
        <v>45945</v>
      </c>
      <c r="AG483" s="48">
        <v>2230000</v>
      </c>
      <c r="AH483" s="48">
        <v>1884670.72</v>
      </c>
    </row>
    <row r="484" spans="1:34" ht="19.5" customHeight="1">
      <c r="A484" s="25">
        <f t="shared" si="7"/>
        <v>481</v>
      </c>
      <c r="B484" s="26">
        <v>6210496</v>
      </c>
      <c r="C484" s="27">
        <v>45894</v>
      </c>
      <c r="D484" s="28">
        <v>25095.78</v>
      </c>
      <c r="E484" s="29">
        <v>196996.85</v>
      </c>
      <c r="F484" s="30">
        <v>1551758</v>
      </c>
      <c r="G484" s="27">
        <v>45895</v>
      </c>
      <c r="H484" s="28">
        <v>25095.78</v>
      </c>
      <c r="I484" s="29">
        <v>196996.85</v>
      </c>
      <c r="J484" s="34" t="s">
        <v>33</v>
      </c>
      <c r="K484" t="s">
        <v>34</v>
      </c>
      <c r="L484" s="35">
        <v>392155200</v>
      </c>
      <c r="M484" s="36" t="s">
        <v>1582</v>
      </c>
      <c r="N484" s="37" t="s">
        <v>1583</v>
      </c>
      <c r="O484" t="s">
        <v>1417</v>
      </c>
      <c r="P484" t="s">
        <v>1418</v>
      </c>
      <c r="R484" s="38">
        <v>45778</v>
      </c>
      <c r="S484" s="39">
        <v>46142</v>
      </c>
      <c r="T484" s="38">
        <v>45870</v>
      </c>
      <c r="U484" s="39">
        <v>46234</v>
      </c>
      <c r="V484" s="40" t="s">
        <v>64</v>
      </c>
      <c r="W484" s="41" t="s">
        <v>39</v>
      </c>
      <c r="Y484" s="42" t="s">
        <v>185</v>
      </c>
      <c r="Z484" t="s">
        <v>40</v>
      </c>
      <c r="AC484" s="63">
        <v>9999700115</v>
      </c>
      <c r="AE484">
        <v>3176921</v>
      </c>
      <c r="AF484" s="47">
        <v>45945</v>
      </c>
      <c r="AG484" s="48">
        <v>2230000</v>
      </c>
      <c r="AH484" s="48">
        <v>1884670.72</v>
      </c>
    </row>
    <row r="485" spans="1:34" ht="19.5" customHeight="1">
      <c r="A485" s="25">
        <f t="shared" si="7"/>
        <v>482</v>
      </c>
      <c r="B485" s="26">
        <v>6210965</v>
      </c>
      <c r="C485" s="27">
        <v>45895</v>
      </c>
      <c r="E485" s="29">
        <v>470</v>
      </c>
      <c r="F485" s="30">
        <v>1551892</v>
      </c>
      <c r="G485" s="27">
        <v>45895</v>
      </c>
      <c r="H485" s="28"/>
      <c r="I485" s="29">
        <v>470</v>
      </c>
      <c r="J485" s="34" t="s">
        <v>33</v>
      </c>
      <c r="K485" t="s">
        <v>139</v>
      </c>
      <c r="L485" s="86" t="s">
        <v>141</v>
      </c>
      <c r="M485" s="36" t="s">
        <v>1584</v>
      </c>
      <c r="N485" s="37" t="s">
        <v>1383</v>
      </c>
      <c r="O485" t="s">
        <v>1585</v>
      </c>
      <c r="P485" t="s">
        <v>1586</v>
      </c>
      <c r="R485" s="38">
        <v>45894</v>
      </c>
      <c r="S485" s="39">
        <v>46380</v>
      </c>
      <c r="T485" s="50" t="s">
        <v>141</v>
      </c>
      <c r="U485" s="47" t="s">
        <v>141</v>
      </c>
      <c r="V485" s="40" t="s">
        <v>590</v>
      </c>
      <c r="W485" s="41" t="s">
        <v>39</v>
      </c>
      <c r="Y485" s="42" t="s">
        <v>185</v>
      </c>
      <c r="Z485" t="s">
        <v>40</v>
      </c>
      <c r="AA485" s="62">
        <v>90007150</v>
      </c>
      <c r="AB485" s="44">
        <v>45930</v>
      </c>
      <c r="AC485" s="63">
        <v>60016717</v>
      </c>
      <c r="AD485" s="46">
        <v>45930</v>
      </c>
      <c r="AG485" s="48">
        <v>10920</v>
      </c>
      <c r="AH485" s="48">
        <v>4760</v>
      </c>
    </row>
    <row r="486" spans="1:34" ht="19.5" customHeight="1">
      <c r="A486" s="25">
        <f t="shared" si="7"/>
        <v>483</v>
      </c>
      <c r="B486" s="26">
        <v>6211905</v>
      </c>
      <c r="C486" s="27">
        <v>45897</v>
      </c>
      <c r="D486" s="28">
        <v>563362.19999999995</v>
      </c>
      <c r="E486" s="29">
        <f>4422280.6</f>
        <v>4422280.5999999996</v>
      </c>
      <c r="F486" s="30">
        <v>1552549</v>
      </c>
      <c r="G486" s="27">
        <v>45901</v>
      </c>
      <c r="H486" s="70">
        <f>282922.8+280142.4</f>
        <v>563065.19999999995</v>
      </c>
      <c r="I486" s="65">
        <f>H486*7.85</f>
        <v>4420061.8199999994</v>
      </c>
      <c r="J486" s="34" t="s">
        <v>384</v>
      </c>
      <c r="K486" t="s">
        <v>34</v>
      </c>
      <c r="L486" s="35" t="s">
        <v>1587</v>
      </c>
      <c r="M486" s="36" t="s">
        <v>1588</v>
      </c>
      <c r="N486" s="37" t="s">
        <v>1346</v>
      </c>
      <c r="O486" t="s">
        <v>1589</v>
      </c>
      <c r="P486" t="s">
        <v>1590</v>
      </c>
      <c r="R486" s="38">
        <v>45901</v>
      </c>
      <c r="S486" s="39">
        <v>11200</v>
      </c>
      <c r="T486" s="38">
        <v>45901</v>
      </c>
      <c r="U486" s="39">
        <v>11200</v>
      </c>
      <c r="V486" s="40" t="s">
        <v>72</v>
      </c>
      <c r="W486" s="41" t="s">
        <v>39</v>
      </c>
      <c r="Y486" s="42" t="s">
        <v>185</v>
      </c>
      <c r="Z486" t="s">
        <v>81</v>
      </c>
      <c r="AC486" s="63" t="s">
        <v>1591</v>
      </c>
      <c r="AD486" s="46">
        <v>45921</v>
      </c>
      <c r="AE486" t="s">
        <v>1592</v>
      </c>
      <c r="AF486" s="47">
        <v>45947</v>
      </c>
      <c r="AG486" s="48">
        <v>4594107</v>
      </c>
      <c r="AH486" s="48">
        <v>4521696</v>
      </c>
    </row>
    <row r="487" spans="1:34" ht="19.5" customHeight="1">
      <c r="A487" s="25">
        <f t="shared" si="7"/>
        <v>484</v>
      </c>
      <c r="B487" s="26">
        <v>6212002</v>
      </c>
      <c r="C487" s="27">
        <v>45898</v>
      </c>
      <c r="D487" s="219" t="s">
        <v>141</v>
      </c>
      <c r="E487" s="29">
        <v>4340</v>
      </c>
      <c r="F487" s="30">
        <v>1553452</v>
      </c>
      <c r="G487" s="27">
        <v>45905</v>
      </c>
      <c r="H487" s="219" t="s">
        <v>141</v>
      </c>
      <c r="I487" s="29">
        <v>4340</v>
      </c>
      <c r="J487" s="34" t="s">
        <v>103</v>
      </c>
      <c r="K487" t="s">
        <v>139</v>
      </c>
      <c r="L487" s="35">
        <v>80005162</v>
      </c>
      <c r="M487" s="36" t="s">
        <v>1593</v>
      </c>
      <c r="N487" s="37" t="s">
        <v>1383</v>
      </c>
      <c r="O487" t="s">
        <v>1594</v>
      </c>
      <c r="P487" t="s">
        <v>1595</v>
      </c>
      <c r="R487" s="38">
        <v>45778</v>
      </c>
      <c r="S487" s="39">
        <v>46142</v>
      </c>
      <c r="T487" s="38">
        <v>45778</v>
      </c>
      <c r="U487" s="39">
        <v>46142</v>
      </c>
      <c r="V487" s="40" t="s">
        <v>1374</v>
      </c>
      <c r="W487" s="41" t="s">
        <v>39</v>
      </c>
      <c r="Y487" s="42" t="s">
        <v>185</v>
      </c>
      <c r="Z487" t="s">
        <v>81</v>
      </c>
      <c r="AA487" s="62" t="s">
        <v>1596</v>
      </c>
      <c r="AB487" s="44">
        <v>45911</v>
      </c>
      <c r="AC487" s="63">
        <v>60016614</v>
      </c>
      <c r="AG487" s="48">
        <v>12500</v>
      </c>
      <c r="AH487" s="48">
        <v>4340</v>
      </c>
    </row>
    <row r="488" spans="1:34" ht="19.5" customHeight="1">
      <c r="A488" s="25">
        <f t="shared" si="7"/>
        <v>485</v>
      </c>
      <c r="B488" s="26">
        <v>6212105</v>
      </c>
      <c r="C488" s="27">
        <v>45898</v>
      </c>
      <c r="D488" s="219" t="s">
        <v>141</v>
      </c>
      <c r="E488" s="29">
        <v>4340</v>
      </c>
      <c r="F488" s="30">
        <v>1556792</v>
      </c>
      <c r="G488" s="27">
        <v>45926</v>
      </c>
      <c r="H488" s="219" t="s">
        <v>141</v>
      </c>
      <c r="I488" s="29">
        <v>4340</v>
      </c>
      <c r="J488" s="34" t="s">
        <v>103</v>
      </c>
      <c r="K488" t="s">
        <v>139</v>
      </c>
      <c r="L488" s="35">
        <v>80005163</v>
      </c>
      <c r="M488" s="36" t="s">
        <v>1593</v>
      </c>
      <c r="N488" s="37" t="s">
        <v>1597</v>
      </c>
      <c r="O488" t="s">
        <v>1594</v>
      </c>
      <c r="P488" t="s">
        <v>1598</v>
      </c>
      <c r="R488" s="38">
        <v>45778</v>
      </c>
      <c r="S488" s="39">
        <v>46142</v>
      </c>
      <c r="T488" s="38">
        <v>45778</v>
      </c>
      <c r="U488" s="39">
        <v>46142</v>
      </c>
      <c r="V488" s="40" t="s">
        <v>1599</v>
      </c>
      <c r="W488" s="41" t="s">
        <v>39</v>
      </c>
      <c r="Y488" s="42" t="s">
        <v>185</v>
      </c>
      <c r="Z488" t="s">
        <v>81</v>
      </c>
      <c r="AA488" s="62" t="s">
        <v>1600</v>
      </c>
      <c r="AB488" s="44">
        <v>45939</v>
      </c>
      <c r="AC488" s="63">
        <v>60016768</v>
      </c>
      <c r="AD488" s="46">
        <v>45939</v>
      </c>
      <c r="AG488" s="48">
        <v>12500</v>
      </c>
      <c r="AH488" s="48">
        <v>4340</v>
      </c>
    </row>
    <row r="489" spans="1:34" ht="19.5" customHeight="1">
      <c r="A489" s="25">
        <f t="shared" si="7"/>
        <v>486</v>
      </c>
      <c r="B489" s="26">
        <v>6212214</v>
      </c>
      <c r="C489" s="27">
        <v>45898</v>
      </c>
      <c r="D489" s="219" t="s">
        <v>141</v>
      </c>
      <c r="E489" s="29">
        <v>78405.52</v>
      </c>
      <c r="F489" s="30">
        <v>1552661</v>
      </c>
      <c r="G489" s="27">
        <v>45901</v>
      </c>
      <c r="H489" s="219" t="s">
        <v>141</v>
      </c>
      <c r="I489" s="29">
        <v>78405.52</v>
      </c>
      <c r="J489" s="34" t="s">
        <v>103</v>
      </c>
      <c r="K489" t="s">
        <v>107</v>
      </c>
      <c r="L489" s="35">
        <v>6022893</v>
      </c>
      <c r="M489" s="36" t="s">
        <v>1601</v>
      </c>
      <c r="N489" s="37" t="s">
        <v>1458</v>
      </c>
      <c r="O489" t="s">
        <v>1602</v>
      </c>
      <c r="P489" t="s">
        <v>1603</v>
      </c>
      <c r="R489" s="38">
        <v>45716</v>
      </c>
      <c r="S489" s="39">
        <v>46317</v>
      </c>
      <c r="T489" s="38">
        <v>45803</v>
      </c>
      <c r="U489" s="39">
        <v>46167</v>
      </c>
      <c r="V489" s="40" t="s">
        <v>51</v>
      </c>
      <c r="W489" s="41" t="s">
        <v>39</v>
      </c>
      <c r="Y489" s="42" t="s">
        <v>185</v>
      </c>
      <c r="Z489" t="s">
        <v>40</v>
      </c>
      <c r="AA489" s="62" t="s">
        <v>1604</v>
      </c>
      <c r="AB489" s="44">
        <v>45905</v>
      </c>
      <c r="AC489" s="63" t="s">
        <v>1605</v>
      </c>
      <c r="AE489">
        <v>3194544</v>
      </c>
      <c r="AF489" s="39">
        <v>46069</v>
      </c>
      <c r="AG489" s="48">
        <v>150606</v>
      </c>
      <c r="AH489" s="48">
        <v>108731.37</v>
      </c>
    </row>
    <row r="490" spans="1:34" ht="19.5" customHeight="1">
      <c r="A490" s="25">
        <f t="shared" si="7"/>
        <v>487</v>
      </c>
      <c r="B490" s="26">
        <v>6212306</v>
      </c>
      <c r="C490" s="27">
        <v>45901</v>
      </c>
      <c r="D490" s="219" t="s">
        <v>141</v>
      </c>
      <c r="E490" s="72">
        <v>58025</v>
      </c>
      <c r="F490" s="30">
        <v>1563218</v>
      </c>
      <c r="G490" s="27">
        <v>45965</v>
      </c>
      <c r="H490" s="219" t="s">
        <v>141</v>
      </c>
      <c r="I490" s="220">
        <v>57750</v>
      </c>
      <c r="J490" s="34" t="s">
        <v>33</v>
      </c>
      <c r="K490" t="s">
        <v>733</v>
      </c>
      <c r="L490" s="86" t="s">
        <v>1606</v>
      </c>
      <c r="M490" s="36" t="s">
        <v>1607</v>
      </c>
      <c r="N490" s="75" t="s">
        <v>1608</v>
      </c>
      <c r="O490" t="s">
        <v>1609</v>
      </c>
      <c r="P490" t="s">
        <v>1610</v>
      </c>
      <c r="R490" s="38">
        <v>45951</v>
      </c>
      <c r="S490" s="39">
        <v>46315</v>
      </c>
      <c r="T490" s="50" t="s">
        <v>141</v>
      </c>
      <c r="U490" s="47" t="s">
        <v>141</v>
      </c>
      <c r="V490" s="40" t="s">
        <v>51</v>
      </c>
      <c r="W490" s="41" t="s">
        <v>39</v>
      </c>
      <c r="Y490" s="42" t="s">
        <v>185</v>
      </c>
      <c r="Z490" t="s">
        <v>40</v>
      </c>
      <c r="AA490" s="62" t="s">
        <v>1611</v>
      </c>
      <c r="AB490" s="44">
        <v>45988</v>
      </c>
      <c r="AC490" s="63" t="s">
        <v>1612</v>
      </c>
      <c r="AD490" s="44">
        <v>45988</v>
      </c>
      <c r="AE490">
        <v>3184727</v>
      </c>
      <c r="AF490" s="47">
        <v>46001</v>
      </c>
      <c r="AG490" s="76">
        <v>109725</v>
      </c>
      <c r="AH490" s="76">
        <v>64350</v>
      </c>
    </row>
    <row r="491" spans="1:34" ht="19.5" customHeight="1">
      <c r="A491" s="25">
        <f t="shared" si="7"/>
        <v>488</v>
      </c>
      <c r="B491" s="26">
        <v>6212401</v>
      </c>
      <c r="C491" s="27">
        <v>45901</v>
      </c>
      <c r="D491" s="219" t="s">
        <v>141</v>
      </c>
      <c r="E491" s="29">
        <v>4939.8</v>
      </c>
      <c r="F491" s="30">
        <v>1553512</v>
      </c>
      <c r="G491" s="27">
        <v>45905</v>
      </c>
      <c r="H491" s="219" t="s">
        <v>141</v>
      </c>
      <c r="I491" s="29">
        <v>4939.8</v>
      </c>
      <c r="J491" s="34" t="s">
        <v>159</v>
      </c>
      <c r="K491" t="s">
        <v>160</v>
      </c>
      <c r="L491" s="35" t="s">
        <v>1613</v>
      </c>
      <c r="M491" s="36" t="s">
        <v>1614</v>
      </c>
      <c r="N491" s="37" t="s">
        <v>1615</v>
      </c>
      <c r="O491" t="s">
        <v>1602</v>
      </c>
      <c r="P491" t="s">
        <v>1603</v>
      </c>
      <c r="R491" s="38">
        <v>45805</v>
      </c>
      <c r="S491" s="39">
        <v>46317</v>
      </c>
      <c r="T491" s="50" t="s">
        <v>141</v>
      </c>
      <c r="U491" s="47" t="s">
        <v>141</v>
      </c>
      <c r="V491" s="40" t="s">
        <v>51</v>
      </c>
      <c r="W491" s="41" t="s">
        <v>39</v>
      </c>
      <c r="Y491" s="42" t="s">
        <v>185</v>
      </c>
      <c r="Z491" t="s">
        <v>40</v>
      </c>
      <c r="AB491" s="44">
        <v>45909</v>
      </c>
      <c r="AC491" s="63" t="s">
        <v>1616</v>
      </c>
      <c r="AE491">
        <v>3174659</v>
      </c>
      <c r="AF491" s="47">
        <v>45926</v>
      </c>
      <c r="AG491" s="48">
        <v>1500606</v>
      </c>
      <c r="AH491" s="48">
        <v>108731.37</v>
      </c>
    </row>
    <row r="492" spans="1:34" ht="19.5" customHeight="1">
      <c r="A492" s="25">
        <f t="shared" si="7"/>
        <v>489</v>
      </c>
      <c r="B492" s="26">
        <v>6212414</v>
      </c>
      <c r="C492" s="27">
        <v>45901</v>
      </c>
      <c r="D492" s="219" t="s">
        <v>141</v>
      </c>
      <c r="E492" s="29">
        <v>821.8</v>
      </c>
      <c r="F492" s="30">
        <v>1553229</v>
      </c>
      <c r="G492" s="27">
        <v>45904</v>
      </c>
      <c r="H492" s="219" t="s">
        <v>141</v>
      </c>
      <c r="I492" s="29">
        <v>821.8</v>
      </c>
      <c r="J492" s="34" t="s">
        <v>159</v>
      </c>
      <c r="K492" t="s">
        <v>160</v>
      </c>
      <c r="L492" s="35" t="s">
        <v>1617</v>
      </c>
      <c r="M492" s="36" t="s">
        <v>1618</v>
      </c>
      <c r="N492" s="37" t="s">
        <v>1525</v>
      </c>
      <c r="O492" t="s">
        <v>1602</v>
      </c>
      <c r="P492" t="s">
        <v>1603</v>
      </c>
      <c r="R492" s="38">
        <v>45805</v>
      </c>
      <c r="S492" s="39">
        <v>46317</v>
      </c>
      <c r="T492" s="50" t="s">
        <v>141</v>
      </c>
      <c r="U492" s="47" t="s">
        <v>141</v>
      </c>
      <c r="V492" s="40" t="s">
        <v>51</v>
      </c>
      <c r="W492" s="41" t="s">
        <v>39</v>
      </c>
      <c r="Y492" s="42" t="s">
        <v>185</v>
      </c>
      <c r="Z492" t="s">
        <v>40</v>
      </c>
      <c r="AB492" s="44">
        <v>45909</v>
      </c>
      <c r="AC492" s="63" t="s">
        <v>1619</v>
      </c>
      <c r="AE492">
        <v>3174657</v>
      </c>
      <c r="AF492" s="47">
        <v>45926</v>
      </c>
      <c r="AG492" s="48">
        <v>1500606</v>
      </c>
      <c r="AH492" s="48">
        <v>108731.37</v>
      </c>
    </row>
    <row r="493" spans="1:34" ht="19.5" customHeight="1">
      <c r="A493" s="25">
        <f t="shared" si="7"/>
        <v>490</v>
      </c>
      <c r="B493" s="26">
        <v>6212469</v>
      </c>
      <c r="C493" s="27">
        <v>45901</v>
      </c>
      <c r="D493" s="219" t="s">
        <v>141</v>
      </c>
      <c r="E493" s="29">
        <v>4936.6000000000004</v>
      </c>
      <c r="F493" s="30">
        <v>1553513</v>
      </c>
      <c r="G493" s="27">
        <v>45905</v>
      </c>
      <c r="H493" s="219" t="s">
        <v>141</v>
      </c>
      <c r="I493" s="29">
        <v>4936.6000000000004</v>
      </c>
      <c r="J493" s="34" t="s">
        <v>159</v>
      </c>
      <c r="K493" t="s">
        <v>160</v>
      </c>
      <c r="L493" s="35" t="s">
        <v>1620</v>
      </c>
      <c r="M493" s="36" t="s">
        <v>1614</v>
      </c>
      <c r="N493" s="37" t="s">
        <v>1621</v>
      </c>
      <c r="O493" t="s">
        <v>1602</v>
      </c>
      <c r="P493" t="s">
        <v>1603</v>
      </c>
      <c r="R493" s="38">
        <v>45805</v>
      </c>
      <c r="S493" s="39">
        <v>46317</v>
      </c>
      <c r="T493" s="50" t="s">
        <v>141</v>
      </c>
      <c r="U493" s="47" t="s">
        <v>141</v>
      </c>
      <c r="V493" s="40" t="s">
        <v>51</v>
      </c>
      <c r="W493" s="41" t="s">
        <v>39</v>
      </c>
      <c r="Y493" s="42" t="s">
        <v>185</v>
      </c>
      <c r="Z493" t="s">
        <v>40</v>
      </c>
      <c r="AB493" s="44">
        <v>45909</v>
      </c>
      <c r="AC493" s="63" t="s">
        <v>1622</v>
      </c>
      <c r="AE493">
        <v>3174661</v>
      </c>
      <c r="AF493" s="47">
        <v>45926</v>
      </c>
      <c r="AG493" s="48">
        <v>1500606</v>
      </c>
      <c r="AH493" s="48">
        <v>108731.37</v>
      </c>
    </row>
    <row r="494" spans="1:34" ht="19.5" customHeight="1">
      <c r="A494" s="25">
        <f t="shared" si="7"/>
        <v>491</v>
      </c>
      <c r="B494" s="26">
        <v>6212472</v>
      </c>
      <c r="C494" s="27">
        <v>45901</v>
      </c>
      <c r="D494" s="219" t="s">
        <v>141</v>
      </c>
      <c r="E494" s="29">
        <v>4984.92</v>
      </c>
      <c r="F494" s="30">
        <v>1553534</v>
      </c>
      <c r="G494" s="27">
        <v>45905</v>
      </c>
      <c r="H494" s="219" t="s">
        <v>141</v>
      </c>
      <c r="I494" s="29">
        <v>4984.92</v>
      </c>
      <c r="J494" s="34" t="s">
        <v>159</v>
      </c>
      <c r="K494" t="s">
        <v>160</v>
      </c>
      <c r="L494" s="35" t="s">
        <v>1623</v>
      </c>
      <c r="M494" s="36" t="s">
        <v>1624</v>
      </c>
      <c r="N494" s="37" t="s">
        <v>1625</v>
      </c>
      <c r="O494" t="s">
        <v>1602</v>
      </c>
      <c r="P494" t="s">
        <v>1603</v>
      </c>
      <c r="R494" s="38">
        <v>45805</v>
      </c>
      <c r="S494" s="39">
        <v>46317</v>
      </c>
      <c r="T494" s="50" t="s">
        <v>141</v>
      </c>
      <c r="U494" s="47" t="s">
        <v>141</v>
      </c>
      <c r="V494" s="40" t="s">
        <v>51</v>
      </c>
      <c r="W494" s="41" t="s">
        <v>39</v>
      </c>
      <c r="Y494" s="42" t="s">
        <v>185</v>
      </c>
      <c r="Z494" t="s">
        <v>40</v>
      </c>
      <c r="AB494" s="44">
        <v>45909</v>
      </c>
      <c r="AC494" s="63" t="s">
        <v>1626</v>
      </c>
      <c r="AE494">
        <v>3174663</v>
      </c>
      <c r="AF494" s="47">
        <v>45926</v>
      </c>
      <c r="AG494" s="48">
        <v>1500606</v>
      </c>
      <c r="AH494" s="48">
        <v>108731.37</v>
      </c>
    </row>
    <row r="495" spans="1:34" ht="19.5" customHeight="1">
      <c r="A495" s="25">
        <f t="shared" si="7"/>
        <v>492</v>
      </c>
      <c r="B495" s="26">
        <v>6212524</v>
      </c>
      <c r="C495" s="27">
        <v>45901</v>
      </c>
      <c r="D495" s="28">
        <v>35833.47</v>
      </c>
      <c r="E495" s="29">
        <v>279508.23</v>
      </c>
      <c r="F495" s="30">
        <v>1553435</v>
      </c>
      <c r="G495" s="27">
        <v>45908</v>
      </c>
      <c r="H495" s="28">
        <v>35833.47</v>
      </c>
      <c r="I495" s="29">
        <v>279508.23</v>
      </c>
      <c r="J495" s="34" t="s">
        <v>33</v>
      </c>
      <c r="K495" t="s">
        <v>34</v>
      </c>
      <c r="L495" s="35">
        <v>491967999</v>
      </c>
      <c r="M495" s="36" t="s">
        <v>164</v>
      </c>
      <c r="N495" s="37" t="s">
        <v>1346</v>
      </c>
      <c r="O495" t="s">
        <v>1627</v>
      </c>
      <c r="P495" t="s">
        <v>1628</v>
      </c>
      <c r="R495" s="38">
        <v>45891</v>
      </c>
      <c r="S495" s="39">
        <v>46255</v>
      </c>
      <c r="T495" s="38">
        <v>45866</v>
      </c>
      <c r="U495" s="39">
        <v>46255</v>
      </c>
      <c r="V495" s="40" t="s">
        <v>167</v>
      </c>
      <c r="W495" s="41" t="s">
        <v>39</v>
      </c>
      <c r="Y495" s="42" t="s">
        <v>185</v>
      </c>
      <c r="Z495" t="s">
        <v>40</v>
      </c>
      <c r="AE495">
        <v>3176924</v>
      </c>
      <c r="AF495" s="47">
        <v>45945</v>
      </c>
      <c r="AG495" s="48">
        <v>323627</v>
      </c>
      <c r="AH495" s="48">
        <v>281292.57</v>
      </c>
    </row>
    <row r="496" spans="1:34" ht="19.5" customHeight="1">
      <c r="A496" s="25">
        <f t="shared" si="7"/>
        <v>493</v>
      </c>
      <c r="B496" s="26">
        <v>6212557</v>
      </c>
      <c r="C496" s="27">
        <v>45901</v>
      </c>
      <c r="D496" s="28">
        <v>2484.2199999999998</v>
      </c>
      <c r="E496" s="29">
        <v>19377.41</v>
      </c>
      <c r="F496" s="30">
        <v>1552700</v>
      </c>
      <c r="G496" s="27">
        <v>45903</v>
      </c>
      <c r="H496" s="28">
        <v>2484.2199999999998</v>
      </c>
      <c r="I496" s="29">
        <v>19377.41</v>
      </c>
      <c r="J496" s="34" t="s">
        <v>33</v>
      </c>
      <c r="K496" t="s">
        <v>1629</v>
      </c>
      <c r="L496" s="35">
        <v>392165894</v>
      </c>
      <c r="M496" s="36" t="s">
        <v>1630</v>
      </c>
      <c r="N496" s="37" t="s">
        <v>1346</v>
      </c>
      <c r="O496" t="s">
        <v>1631</v>
      </c>
      <c r="P496" t="s">
        <v>1632</v>
      </c>
      <c r="R496" s="38">
        <v>45901</v>
      </c>
      <c r="S496" s="39">
        <v>46265</v>
      </c>
      <c r="T496" s="38">
        <v>45901</v>
      </c>
      <c r="U496" s="39">
        <v>46265</v>
      </c>
      <c r="V496" s="40" t="s">
        <v>1333</v>
      </c>
      <c r="W496" s="41" t="s">
        <v>39</v>
      </c>
      <c r="Y496" s="42" t="s">
        <v>185</v>
      </c>
      <c r="Z496" t="s">
        <v>81</v>
      </c>
      <c r="AC496" s="63">
        <v>9999713553</v>
      </c>
      <c r="AD496" s="46">
        <v>45905</v>
      </c>
      <c r="AE496">
        <v>3177954</v>
      </c>
      <c r="AF496" s="47">
        <v>45952</v>
      </c>
      <c r="AG496" s="48">
        <v>23000</v>
      </c>
      <c r="AH496" s="48">
        <v>19501.13</v>
      </c>
    </row>
    <row r="497" spans="1:35" ht="19.5" customHeight="1">
      <c r="A497" s="25">
        <f t="shared" si="7"/>
        <v>494</v>
      </c>
      <c r="B497" s="26">
        <v>6212663</v>
      </c>
      <c r="C497" s="27">
        <v>45901</v>
      </c>
      <c r="E497" s="29">
        <v>1820</v>
      </c>
      <c r="F497" s="30">
        <v>1552773</v>
      </c>
      <c r="G497" s="27">
        <v>45902</v>
      </c>
      <c r="H497" s="28"/>
      <c r="I497" s="29">
        <v>1820</v>
      </c>
      <c r="J497" s="34" t="s">
        <v>33</v>
      </c>
      <c r="K497" t="s">
        <v>139</v>
      </c>
      <c r="L497" s="35">
        <v>80005164</v>
      </c>
      <c r="M497" s="36" t="s">
        <v>1633</v>
      </c>
      <c r="N497" s="37" t="s">
        <v>1383</v>
      </c>
      <c r="O497" t="s">
        <v>1634</v>
      </c>
      <c r="P497" t="s">
        <v>1635</v>
      </c>
      <c r="R497" s="38">
        <v>45901</v>
      </c>
      <c r="S497" s="39">
        <v>46265</v>
      </c>
      <c r="T497" s="50" t="s">
        <v>141</v>
      </c>
      <c r="U497" s="47" t="s">
        <v>141</v>
      </c>
      <c r="V497" s="40" t="s">
        <v>1636</v>
      </c>
      <c r="W497" s="41" t="s">
        <v>39</v>
      </c>
      <c r="Y497" s="42"/>
      <c r="Z497" t="s">
        <v>40</v>
      </c>
      <c r="AA497" s="62">
        <v>90007150</v>
      </c>
      <c r="AB497" s="44">
        <v>45930</v>
      </c>
      <c r="AC497" s="63">
        <v>60016718</v>
      </c>
      <c r="AD497" s="46">
        <v>45930</v>
      </c>
      <c r="AG497" s="48">
        <v>94208</v>
      </c>
      <c r="AH497" s="48">
        <v>1820</v>
      </c>
    </row>
    <row r="498" spans="1:35" ht="19.5" customHeight="1">
      <c r="A498" s="25">
        <f t="shared" si="7"/>
        <v>495</v>
      </c>
      <c r="B498" s="26">
        <v>6212751</v>
      </c>
      <c r="C498" s="27">
        <v>45902</v>
      </c>
      <c r="E498" s="29">
        <v>5815</v>
      </c>
      <c r="F498" s="30" t="s">
        <v>1637</v>
      </c>
      <c r="G498" s="27">
        <v>45904</v>
      </c>
      <c r="H498" s="28"/>
      <c r="I498" s="29">
        <v>5815</v>
      </c>
      <c r="J498" s="34" t="s">
        <v>99</v>
      </c>
      <c r="K498" t="s">
        <v>1308</v>
      </c>
      <c r="L498" s="35" t="s">
        <v>1638</v>
      </c>
      <c r="M498" s="36" t="s">
        <v>1639</v>
      </c>
      <c r="N498" s="37" t="s">
        <v>1640</v>
      </c>
      <c r="O498" t="s">
        <v>1641</v>
      </c>
      <c r="P498" t="s">
        <v>1642</v>
      </c>
      <c r="R498" s="38">
        <v>45748</v>
      </c>
      <c r="S498" s="39">
        <v>46112</v>
      </c>
      <c r="T498" s="38">
        <v>45748</v>
      </c>
      <c r="U498" s="39">
        <v>46112</v>
      </c>
      <c r="V498" s="40" t="s">
        <v>1306</v>
      </c>
      <c r="W498" s="41" t="s">
        <v>39</v>
      </c>
      <c r="Y498" s="42" t="s">
        <v>185</v>
      </c>
      <c r="Z498" t="s">
        <v>81</v>
      </c>
      <c r="AC498" s="63">
        <v>251160028</v>
      </c>
      <c r="AD498" s="46">
        <v>45963</v>
      </c>
      <c r="AE498">
        <v>3188816</v>
      </c>
      <c r="AF498" s="39">
        <v>46034</v>
      </c>
      <c r="AG498" s="48">
        <v>737370</v>
      </c>
      <c r="AH498" s="48">
        <v>336338.06</v>
      </c>
    </row>
    <row r="499" spans="1:35" ht="19.5" customHeight="1">
      <c r="A499" s="25">
        <f t="shared" si="7"/>
        <v>496</v>
      </c>
      <c r="B499" s="26">
        <v>6212812</v>
      </c>
      <c r="C499" s="27">
        <v>45902</v>
      </c>
      <c r="D499" s="28">
        <v>605.88</v>
      </c>
      <c r="E499" s="29">
        <v>4726</v>
      </c>
      <c r="F499" s="30">
        <v>1553210</v>
      </c>
      <c r="G499" s="27">
        <v>45904</v>
      </c>
      <c r="H499" s="28">
        <v>605.88</v>
      </c>
      <c r="I499" s="29">
        <v>4726</v>
      </c>
      <c r="J499" s="34" t="s">
        <v>103</v>
      </c>
      <c r="K499" t="s">
        <v>206</v>
      </c>
      <c r="L499" s="35" t="s">
        <v>1643</v>
      </c>
      <c r="M499" s="36" t="s">
        <v>1644</v>
      </c>
      <c r="N499" s="37" t="s">
        <v>1330</v>
      </c>
      <c r="O499" t="s">
        <v>1645</v>
      </c>
      <c r="P499" t="s">
        <v>1646</v>
      </c>
      <c r="R499" s="38">
        <v>45885</v>
      </c>
      <c r="S499" s="39">
        <v>46249</v>
      </c>
      <c r="T499" s="38">
        <v>45885</v>
      </c>
      <c r="U499" s="39">
        <v>46249</v>
      </c>
      <c r="V499" s="40" t="s">
        <v>1025</v>
      </c>
      <c r="W499" s="41" t="s">
        <v>39</v>
      </c>
      <c r="Y499" s="42" t="s">
        <v>185</v>
      </c>
      <c r="Z499" t="s">
        <v>40</v>
      </c>
      <c r="AA499" s="62" t="s">
        <v>1647</v>
      </c>
      <c r="AB499" s="44">
        <v>45910</v>
      </c>
      <c r="AC499" s="63" t="s">
        <v>1648</v>
      </c>
      <c r="AD499" s="46">
        <v>45910</v>
      </c>
      <c r="AE499">
        <v>3181640</v>
      </c>
      <c r="AF499" s="47">
        <v>45980</v>
      </c>
      <c r="AG499" s="48">
        <v>5680</v>
      </c>
      <c r="AH499" s="48">
        <v>4756.16</v>
      </c>
    </row>
    <row r="500" spans="1:35" ht="19.5" customHeight="1">
      <c r="A500" s="25">
        <f t="shared" si="7"/>
        <v>497</v>
      </c>
      <c r="B500" s="26">
        <v>6212926</v>
      </c>
      <c r="C500" s="27">
        <v>45902</v>
      </c>
      <c r="E500" s="29">
        <v>7936.34</v>
      </c>
      <c r="F500" s="30">
        <v>1553538</v>
      </c>
      <c r="G500" s="27">
        <v>45905</v>
      </c>
      <c r="H500" s="28"/>
      <c r="I500" s="29">
        <v>7936.34</v>
      </c>
      <c r="J500" s="34" t="s">
        <v>159</v>
      </c>
      <c r="K500" t="s">
        <v>160</v>
      </c>
      <c r="L500" s="35" t="s">
        <v>1649</v>
      </c>
      <c r="M500" s="36" t="s">
        <v>1650</v>
      </c>
      <c r="N500" s="37" t="s">
        <v>1651</v>
      </c>
      <c r="O500" t="s">
        <v>1652</v>
      </c>
      <c r="P500" t="s">
        <v>1653</v>
      </c>
      <c r="R500" s="38">
        <v>45969</v>
      </c>
      <c r="S500" s="39">
        <v>46333</v>
      </c>
      <c r="T500" s="38">
        <v>45969</v>
      </c>
      <c r="U500" s="39">
        <v>46333</v>
      </c>
      <c r="V500" s="40" t="s">
        <v>1654</v>
      </c>
      <c r="W500" s="41" t="s">
        <v>39</v>
      </c>
      <c r="Y500" s="42" t="s">
        <v>185</v>
      </c>
      <c r="Z500" t="s">
        <v>40</v>
      </c>
      <c r="AE500">
        <v>3174665</v>
      </c>
      <c r="AF500" s="47">
        <v>45926</v>
      </c>
      <c r="AG500" s="48">
        <v>9800</v>
      </c>
      <c r="AH500" s="48">
        <v>7936.34</v>
      </c>
    </row>
    <row r="501" spans="1:35" ht="19.5" customHeight="1">
      <c r="A501" s="25">
        <f t="shared" si="7"/>
        <v>498</v>
      </c>
      <c r="B501" s="26">
        <v>6213042</v>
      </c>
      <c r="C501" s="27">
        <v>45902</v>
      </c>
      <c r="E501" s="29">
        <v>2325</v>
      </c>
      <c r="F501" s="30">
        <v>1553635</v>
      </c>
      <c r="G501" s="27">
        <v>45908</v>
      </c>
      <c r="H501" s="28"/>
      <c r="I501" s="29">
        <v>2325</v>
      </c>
      <c r="J501" s="34" t="s">
        <v>159</v>
      </c>
      <c r="K501" t="s">
        <v>176</v>
      </c>
      <c r="L501" s="86" t="s">
        <v>141</v>
      </c>
      <c r="M501" s="36" t="s">
        <v>1655</v>
      </c>
      <c r="N501" s="37" t="s">
        <v>1656</v>
      </c>
      <c r="O501" t="s">
        <v>1657</v>
      </c>
      <c r="P501" t="s">
        <v>1658</v>
      </c>
      <c r="R501" s="38">
        <v>45928</v>
      </c>
      <c r="S501" s="39">
        <v>46292</v>
      </c>
      <c r="T501" s="38">
        <v>45931</v>
      </c>
      <c r="U501" s="39">
        <v>46295</v>
      </c>
      <c r="V501" s="40" t="s">
        <v>80</v>
      </c>
      <c r="W501" s="41" t="s">
        <v>39</v>
      </c>
      <c r="Y501" s="42" t="s">
        <v>185</v>
      </c>
      <c r="Z501" t="s">
        <v>40</v>
      </c>
      <c r="AA501" s="63" t="s">
        <v>1659</v>
      </c>
      <c r="AB501" s="46">
        <v>46001</v>
      </c>
      <c r="AC501" s="63" t="s">
        <v>1659</v>
      </c>
      <c r="AD501" s="46">
        <v>46001</v>
      </c>
      <c r="AE501">
        <v>3192364</v>
      </c>
      <c r="AF501" s="39">
        <v>46056</v>
      </c>
      <c r="AG501" s="48">
        <v>227000</v>
      </c>
      <c r="AH501" s="48">
        <v>170514.15</v>
      </c>
    </row>
    <row r="502" spans="1:35" ht="19.5" customHeight="1">
      <c r="A502" s="25">
        <f t="shared" si="7"/>
        <v>499</v>
      </c>
      <c r="B502" s="26">
        <v>6213116</v>
      </c>
      <c r="C502" s="27">
        <v>45903</v>
      </c>
      <c r="E502" s="29">
        <v>3900</v>
      </c>
      <c r="F502" s="30">
        <v>1553610</v>
      </c>
      <c r="G502" s="27">
        <v>45908</v>
      </c>
      <c r="H502" s="28"/>
      <c r="I502" s="29">
        <v>3900</v>
      </c>
      <c r="J502" s="34" t="s">
        <v>103</v>
      </c>
      <c r="K502" t="s">
        <v>1660</v>
      </c>
      <c r="L502" s="35" t="s">
        <v>1661</v>
      </c>
      <c r="M502" s="36" t="s">
        <v>1662</v>
      </c>
      <c r="N502" s="37" t="s">
        <v>1663</v>
      </c>
      <c r="O502" t="s">
        <v>1513</v>
      </c>
      <c r="P502" t="s">
        <v>1514</v>
      </c>
      <c r="R502" s="38">
        <v>45823</v>
      </c>
      <c r="S502" s="39">
        <v>46187</v>
      </c>
      <c r="T502" s="38">
        <v>45944</v>
      </c>
      <c r="U502" s="39">
        <v>46309</v>
      </c>
      <c r="V502" s="40" t="s">
        <v>690</v>
      </c>
      <c r="W502" s="41" t="s">
        <v>39</v>
      </c>
      <c r="Y502" s="42" t="s">
        <v>185</v>
      </c>
      <c r="Z502" t="s">
        <v>40</v>
      </c>
      <c r="AA502" s="62" t="s">
        <v>1664</v>
      </c>
      <c r="AB502" s="44">
        <v>45919</v>
      </c>
      <c r="AC502" s="63" t="s">
        <v>1665</v>
      </c>
      <c r="AD502" s="46">
        <v>45923</v>
      </c>
      <c r="AE502">
        <v>3179271</v>
      </c>
      <c r="AF502" s="39">
        <v>45961</v>
      </c>
      <c r="AG502" s="48">
        <v>920000</v>
      </c>
      <c r="AH502" s="48">
        <v>767251.68</v>
      </c>
    </row>
    <row r="503" spans="1:35" ht="19.5" customHeight="1">
      <c r="A503" s="25">
        <f t="shared" si="7"/>
        <v>500</v>
      </c>
      <c r="B503" s="26">
        <v>6213132</v>
      </c>
      <c r="C503" s="27">
        <v>45903</v>
      </c>
      <c r="D503" s="28">
        <v>2080</v>
      </c>
      <c r="E503" s="29">
        <v>16224.42</v>
      </c>
      <c r="F503" s="30">
        <v>1553025</v>
      </c>
      <c r="G503" s="27">
        <v>45903</v>
      </c>
      <c r="H503" s="28">
        <v>2080</v>
      </c>
      <c r="I503" s="29">
        <v>16224.42</v>
      </c>
      <c r="J503" s="34" t="s">
        <v>33</v>
      </c>
      <c r="K503" t="s">
        <v>733</v>
      </c>
      <c r="M503" s="36" t="s">
        <v>1666</v>
      </c>
      <c r="N503" s="37"/>
      <c r="O503" t="s">
        <v>205</v>
      </c>
      <c r="P503" s="67" t="s">
        <v>1118</v>
      </c>
      <c r="R503" s="38"/>
      <c r="S503" s="39"/>
      <c r="T503" s="38"/>
      <c r="U503" s="39"/>
      <c r="W503" s="41" t="s">
        <v>39</v>
      </c>
      <c r="AA503" s="62" t="s">
        <v>1667</v>
      </c>
      <c r="AB503" s="44">
        <v>45922</v>
      </c>
      <c r="AC503" s="63" t="s">
        <v>1668</v>
      </c>
      <c r="AD503" s="46">
        <v>45919</v>
      </c>
      <c r="AE503">
        <v>3204270</v>
      </c>
      <c r="AF503" s="39">
        <v>46141</v>
      </c>
      <c r="AG503" s="48"/>
      <c r="AH503" s="48"/>
    </row>
    <row r="504" spans="1:35" ht="19.5" customHeight="1">
      <c r="A504" s="25">
        <f t="shared" si="7"/>
        <v>501</v>
      </c>
      <c r="B504" s="26">
        <v>6213172</v>
      </c>
      <c r="C504" s="27">
        <v>45903</v>
      </c>
      <c r="E504" s="29">
        <v>11860</v>
      </c>
      <c r="F504" s="30">
        <v>1553026</v>
      </c>
      <c r="G504" s="27">
        <v>45905</v>
      </c>
      <c r="H504" s="28"/>
      <c r="I504" s="29">
        <v>11860</v>
      </c>
      <c r="J504" s="34" t="s">
        <v>33</v>
      </c>
      <c r="K504" t="s">
        <v>139</v>
      </c>
      <c r="M504" s="36" t="s">
        <v>1669</v>
      </c>
      <c r="N504" s="37"/>
      <c r="O504" t="s">
        <v>205</v>
      </c>
      <c r="P504" s="67" t="s">
        <v>1118</v>
      </c>
      <c r="R504" s="38"/>
      <c r="S504" s="39"/>
      <c r="T504" s="38"/>
      <c r="U504" s="39"/>
      <c r="W504" s="41" t="s">
        <v>39</v>
      </c>
      <c r="AA504" s="62">
        <v>90007146</v>
      </c>
      <c r="AB504" s="44">
        <v>45925</v>
      </c>
      <c r="AC504" s="63">
        <v>60016707</v>
      </c>
      <c r="AD504" s="46">
        <v>45925</v>
      </c>
      <c r="AG504" s="48"/>
      <c r="AH504" s="48"/>
    </row>
    <row r="505" spans="1:35" s="108" customFormat="1" ht="19.5" customHeight="1">
      <c r="A505" s="193">
        <f t="shared" si="7"/>
        <v>502</v>
      </c>
      <c r="B505" s="99"/>
      <c r="C505" s="100">
        <v>45903</v>
      </c>
      <c r="D505" s="221"/>
      <c r="E505" s="222"/>
      <c r="F505" s="93">
        <v>1553009</v>
      </c>
      <c r="G505" s="100"/>
      <c r="H505" s="223"/>
      <c r="I505" s="224"/>
      <c r="J505" s="107" t="s">
        <v>33</v>
      </c>
      <c r="K505" s="108" t="s">
        <v>733</v>
      </c>
      <c r="L505" s="225"/>
      <c r="M505" s="110" t="s">
        <v>1670</v>
      </c>
      <c r="N505" s="226"/>
      <c r="R505" s="227"/>
      <c r="S505" s="228"/>
      <c r="T505" s="227"/>
      <c r="U505" s="228"/>
      <c r="V505" s="229"/>
      <c r="W505" s="230" t="s">
        <v>39</v>
      </c>
      <c r="X505" s="229" t="s">
        <v>1671</v>
      </c>
      <c r="Y505" s="229"/>
      <c r="AA505" s="231"/>
      <c r="AB505" s="232"/>
      <c r="AC505" s="233"/>
      <c r="AD505" s="234"/>
      <c r="AF505" s="235" t="s">
        <v>1672</v>
      </c>
      <c r="AG505" s="236"/>
      <c r="AH505" s="236"/>
      <c r="AI505" s="237"/>
    </row>
    <row r="506" spans="1:35" ht="19.5" customHeight="1">
      <c r="A506" s="25">
        <f t="shared" si="7"/>
        <v>503</v>
      </c>
      <c r="B506" s="26">
        <v>6213308</v>
      </c>
      <c r="C506" s="27">
        <v>45903</v>
      </c>
      <c r="D506" s="28">
        <v>374.82</v>
      </c>
      <c r="E506" s="29">
        <v>2923.67</v>
      </c>
      <c r="F506" s="30">
        <v>1553062</v>
      </c>
      <c r="G506" s="27">
        <v>45904</v>
      </c>
      <c r="H506" s="28">
        <v>374.82</v>
      </c>
      <c r="I506" s="29">
        <v>2923.67</v>
      </c>
      <c r="J506" s="34" t="s">
        <v>33</v>
      </c>
      <c r="K506" t="s">
        <v>34</v>
      </c>
      <c r="L506" s="35">
        <v>342162172</v>
      </c>
      <c r="M506" s="36" t="s">
        <v>1673</v>
      </c>
      <c r="N506" s="37" t="s">
        <v>1674</v>
      </c>
      <c r="O506" t="s">
        <v>1675</v>
      </c>
      <c r="P506" t="s">
        <v>1676</v>
      </c>
      <c r="R506" s="38">
        <v>45925</v>
      </c>
      <c r="S506" s="39">
        <v>46289</v>
      </c>
      <c r="T506" s="38">
        <v>45925</v>
      </c>
      <c r="U506" s="39">
        <v>46289</v>
      </c>
      <c r="V506" s="40" t="s">
        <v>1654</v>
      </c>
      <c r="W506" s="41" t="s">
        <v>39</v>
      </c>
      <c r="Y506" s="42" t="s">
        <v>185</v>
      </c>
      <c r="Z506" t="s">
        <v>40</v>
      </c>
      <c r="AC506" s="63">
        <v>9999714400</v>
      </c>
      <c r="AE506">
        <v>3176922</v>
      </c>
      <c r="AF506" s="47">
        <v>45945</v>
      </c>
      <c r="AG506" s="48">
        <v>677550</v>
      </c>
      <c r="AH506" s="48">
        <v>578292.32999999996</v>
      </c>
    </row>
    <row r="507" spans="1:35" ht="19.5" customHeight="1">
      <c r="A507" s="25">
        <f t="shared" si="7"/>
        <v>504</v>
      </c>
      <c r="B507" s="26">
        <v>6213356</v>
      </c>
      <c r="C507" s="27">
        <v>45903</v>
      </c>
      <c r="D507" s="28">
        <v>798.3</v>
      </c>
      <c r="E507" s="29">
        <v>6226.9</v>
      </c>
      <c r="F507" s="30">
        <v>1553148</v>
      </c>
      <c r="G507" s="27">
        <v>45904</v>
      </c>
      <c r="H507" s="28">
        <v>798.3</v>
      </c>
      <c r="I507" s="29">
        <v>6226.9</v>
      </c>
      <c r="J507" s="34" t="s">
        <v>33</v>
      </c>
      <c r="K507" t="s">
        <v>34</v>
      </c>
      <c r="L507" s="35">
        <v>392141109</v>
      </c>
      <c r="M507" s="36" t="s">
        <v>1677</v>
      </c>
      <c r="N507" s="37" t="s">
        <v>1346</v>
      </c>
      <c r="O507" t="s">
        <v>1678</v>
      </c>
      <c r="P507" t="s">
        <v>1679</v>
      </c>
      <c r="R507" s="38">
        <v>45717</v>
      </c>
      <c r="S507" s="39">
        <v>46081</v>
      </c>
      <c r="T507" s="38">
        <v>45804</v>
      </c>
      <c r="U507" s="39">
        <v>46168</v>
      </c>
      <c r="V507" s="40" t="s">
        <v>954</v>
      </c>
      <c r="W507" s="41" t="s">
        <v>39</v>
      </c>
      <c r="Y507" s="42" t="s">
        <v>185</v>
      </c>
      <c r="Z507" t="s">
        <v>81</v>
      </c>
      <c r="AC507" s="63">
        <v>9999716722</v>
      </c>
      <c r="AE507">
        <v>3176915</v>
      </c>
      <c r="AF507" s="47">
        <v>45945</v>
      </c>
      <c r="AG507" s="48">
        <v>280500</v>
      </c>
      <c r="AH507" s="48">
        <v>139248.66</v>
      </c>
    </row>
    <row r="508" spans="1:35" ht="19.5" customHeight="1">
      <c r="A508" s="25">
        <f t="shared" si="7"/>
        <v>505</v>
      </c>
      <c r="B508" s="26">
        <v>6213360</v>
      </c>
      <c r="C508" s="27">
        <v>45903</v>
      </c>
      <c r="D508" s="28">
        <v>887.62</v>
      </c>
      <c r="E508" s="29">
        <v>6923.61</v>
      </c>
      <c r="F508" s="30">
        <v>1553296</v>
      </c>
      <c r="G508" s="27">
        <v>45905</v>
      </c>
      <c r="H508" s="28">
        <v>887.62</v>
      </c>
      <c r="I508" s="29">
        <v>6923.61</v>
      </c>
      <c r="J508" s="34" t="s">
        <v>33</v>
      </c>
      <c r="K508" t="s">
        <v>34</v>
      </c>
      <c r="L508" s="35">
        <v>292236516</v>
      </c>
      <c r="M508" s="36" t="s">
        <v>1677</v>
      </c>
      <c r="N508" s="37" t="s">
        <v>1540</v>
      </c>
      <c r="O508" t="s">
        <v>1678</v>
      </c>
      <c r="P508" t="s">
        <v>1679</v>
      </c>
      <c r="R508" s="38">
        <v>45717</v>
      </c>
      <c r="S508" s="39">
        <v>46081</v>
      </c>
      <c r="T508" s="38">
        <v>45820</v>
      </c>
      <c r="U508" s="39">
        <v>46184</v>
      </c>
      <c r="V508" s="40" t="s">
        <v>954</v>
      </c>
      <c r="W508" s="41" t="s">
        <v>39</v>
      </c>
      <c r="Y508" s="42" t="s">
        <v>185</v>
      </c>
      <c r="Z508" t="s">
        <v>81</v>
      </c>
      <c r="AC508" s="63">
        <v>9999716724</v>
      </c>
      <c r="AE508">
        <v>3176916</v>
      </c>
      <c r="AF508" s="47">
        <v>45945</v>
      </c>
      <c r="AG508" s="48">
        <v>280500</v>
      </c>
      <c r="AH508" s="48">
        <v>139248.66</v>
      </c>
    </row>
    <row r="509" spans="1:35" ht="19.5" customHeight="1">
      <c r="A509" s="25">
        <f t="shared" si="7"/>
        <v>506</v>
      </c>
      <c r="B509" s="26" t="s">
        <v>141</v>
      </c>
      <c r="C509" s="27">
        <v>45904</v>
      </c>
      <c r="E509" s="29">
        <v>1680</v>
      </c>
      <c r="F509" s="30">
        <v>1553129</v>
      </c>
      <c r="G509" s="27">
        <v>45904</v>
      </c>
      <c r="H509" s="28"/>
      <c r="I509" s="29">
        <v>1680</v>
      </c>
      <c r="J509" s="34" t="s">
        <v>33</v>
      </c>
      <c r="K509" t="s">
        <v>193</v>
      </c>
      <c r="M509" s="36" t="s">
        <v>1680</v>
      </c>
      <c r="N509" s="37"/>
      <c r="O509" t="s">
        <v>205</v>
      </c>
      <c r="P509" s="67" t="s">
        <v>1118</v>
      </c>
      <c r="R509" s="38"/>
      <c r="S509" s="39"/>
      <c r="T509" s="38"/>
      <c r="U509" s="39"/>
      <c r="W509" s="41" t="s">
        <v>39</v>
      </c>
      <c r="AA509" s="43" t="s">
        <v>1681</v>
      </c>
      <c r="AB509" s="44">
        <v>45925</v>
      </c>
      <c r="AC509" s="63" t="s">
        <v>1682</v>
      </c>
      <c r="AD509" s="46">
        <v>45925</v>
      </c>
      <c r="AG509" s="48"/>
      <c r="AH509" s="48"/>
    </row>
    <row r="510" spans="1:35" ht="19.5" customHeight="1">
      <c r="A510" s="25">
        <f t="shared" si="7"/>
        <v>507</v>
      </c>
      <c r="B510" s="26">
        <v>6213572</v>
      </c>
      <c r="C510" s="27">
        <v>45904</v>
      </c>
      <c r="D510" s="28">
        <v>457.76</v>
      </c>
      <c r="E510" s="29">
        <v>3570.62</v>
      </c>
      <c r="F510" s="30">
        <v>1553646</v>
      </c>
      <c r="G510" s="27">
        <v>45908</v>
      </c>
      <c r="H510" s="28">
        <v>457.76</v>
      </c>
      <c r="I510" s="29">
        <v>3570.62</v>
      </c>
      <c r="J510" s="34" t="s">
        <v>33</v>
      </c>
      <c r="K510" t="s">
        <v>34</v>
      </c>
      <c r="L510" s="35">
        <v>411970586</v>
      </c>
      <c r="M510" s="36" t="s">
        <v>1683</v>
      </c>
      <c r="N510" s="37" t="s">
        <v>1674</v>
      </c>
      <c r="O510" t="s">
        <v>1602</v>
      </c>
      <c r="P510" t="s">
        <v>1603</v>
      </c>
      <c r="R510" s="38">
        <v>45716</v>
      </c>
      <c r="S510" s="39">
        <v>46317</v>
      </c>
      <c r="T510" s="38">
        <v>45954</v>
      </c>
      <c r="U510" s="39">
        <v>46318</v>
      </c>
      <c r="V510" s="40" t="s">
        <v>51</v>
      </c>
      <c r="W510" s="41" t="s">
        <v>39</v>
      </c>
      <c r="Y510" s="42" t="s">
        <v>185</v>
      </c>
      <c r="Z510" t="s">
        <v>40</v>
      </c>
      <c r="AC510" s="63">
        <v>9999727869</v>
      </c>
      <c r="AD510" s="46">
        <v>45912</v>
      </c>
      <c r="AE510">
        <v>3177956</v>
      </c>
      <c r="AF510" s="47">
        <v>45952</v>
      </c>
      <c r="AG510" s="48">
        <v>150606</v>
      </c>
      <c r="AH510" s="48">
        <v>108731.37</v>
      </c>
    </row>
    <row r="511" spans="1:35" ht="19.5" customHeight="1">
      <c r="A511" s="25">
        <f t="shared" si="7"/>
        <v>508</v>
      </c>
      <c r="B511" s="26">
        <v>6213578</v>
      </c>
      <c r="C511" s="27">
        <v>45904</v>
      </c>
      <c r="D511" s="28">
        <v>228.88</v>
      </c>
      <c r="E511" s="29">
        <v>1785.31</v>
      </c>
      <c r="F511" s="30">
        <v>1553181</v>
      </c>
      <c r="G511" s="27">
        <v>45905</v>
      </c>
      <c r="H511" s="28">
        <v>228.88</v>
      </c>
      <c r="I511" s="29">
        <v>1785.31</v>
      </c>
      <c r="J511" s="34" t="s">
        <v>33</v>
      </c>
      <c r="K511" t="s">
        <v>34</v>
      </c>
      <c r="L511" s="35">
        <v>481969993</v>
      </c>
      <c r="M511" s="36" t="s">
        <v>1683</v>
      </c>
      <c r="N511" s="37" t="s">
        <v>1684</v>
      </c>
      <c r="O511" t="s">
        <v>1602</v>
      </c>
      <c r="P511" t="s">
        <v>1603</v>
      </c>
      <c r="R511" s="38">
        <v>45716</v>
      </c>
      <c r="S511" s="39">
        <v>47413</v>
      </c>
      <c r="T511" s="38">
        <v>45953</v>
      </c>
      <c r="U511" s="39">
        <v>46317</v>
      </c>
      <c r="V511" s="40" t="s">
        <v>51</v>
      </c>
      <c r="W511" s="41" t="s">
        <v>39</v>
      </c>
      <c r="Y511" s="42"/>
      <c r="Z511" t="s">
        <v>40</v>
      </c>
      <c r="AC511" s="63">
        <v>9999716723</v>
      </c>
      <c r="AD511" s="46">
        <v>45908</v>
      </c>
      <c r="AE511">
        <v>3177957</v>
      </c>
      <c r="AF511" s="47">
        <v>45952</v>
      </c>
      <c r="AG511" s="48">
        <v>150606</v>
      </c>
      <c r="AH511" s="48">
        <v>108731.37</v>
      </c>
    </row>
    <row r="512" spans="1:35" ht="19.5" customHeight="1">
      <c r="A512" s="25">
        <f t="shared" si="7"/>
        <v>509</v>
      </c>
      <c r="B512" s="26">
        <v>6213736</v>
      </c>
      <c r="C512" s="27">
        <v>45904</v>
      </c>
      <c r="E512" s="29">
        <v>93097.88</v>
      </c>
      <c r="F512" s="30">
        <v>1554644</v>
      </c>
      <c r="G512" s="27">
        <v>45912</v>
      </c>
      <c r="H512" s="28"/>
      <c r="I512" s="29">
        <v>93097.88</v>
      </c>
      <c r="J512" s="34" t="s">
        <v>103</v>
      </c>
      <c r="K512" t="s">
        <v>107</v>
      </c>
      <c r="L512" s="35" t="s">
        <v>1685</v>
      </c>
      <c r="M512" s="36" t="s">
        <v>1686</v>
      </c>
      <c r="N512" s="37" t="s">
        <v>1687</v>
      </c>
      <c r="O512" t="s">
        <v>1678</v>
      </c>
      <c r="P512" t="s">
        <v>1679</v>
      </c>
      <c r="R512" s="38">
        <v>45717</v>
      </c>
      <c r="S512" s="39">
        <v>46081</v>
      </c>
      <c r="T512" s="38">
        <v>45773</v>
      </c>
      <c r="U512" s="39">
        <v>46137</v>
      </c>
      <c r="V512" s="40" t="s">
        <v>954</v>
      </c>
      <c r="W512" s="41" t="s">
        <v>39</v>
      </c>
      <c r="Y512" s="42" t="s">
        <v>185</v>
      </c>
      <c r="Z512" t="s">
        <v>81</v>
      </c>
      <c r="AA512" s="62" t="s">
        <v>1688</v>
      </c>
      <c r="AB512" s="44">
        <v>45916</v>
      </c>
      <c r="AC512" s="63" t="s">
        <v>1689</v>
      </c>
      <c r="AG512" s="48">
        <v>280500</v>
      </c>
      <c r="AH512" s="48">
        <v>139248.66</v>
      </c>
    </row>
    <row r="513" spans="1:36" ht="19.5" customHeight="1">
      <c r="A513" s="25">
        <f t="shared" si="7"/>
        <v>510</v>
      </c>
      <c r="B513" s="26">
        <v>6213844</v>
      </c>
      <c r="C513" s="27">
        <v>45904</v>
      </c>
      <c r="D513" s="28">
        <v>250</v>
      </c>
      <c r="E513" s="29">
        <v>1950.05</v>
      </c>
      <c r="F513" s="30">
        <v>1553523</v>
      </c>
      <c r="G513" s="27">
        <v>45905</v>
      </c>
      <c r="H513" s="28">
        <v>250</v>
      </c>
      <c r="I513" s="29">
        <v>1950.05</v>
      </c>
      <c r="J513" s="34" t="s">
        <v>33</v>
      </c>
      <c r="K513" t="s">
        <v>733</v>
      </c>
      <c r="M513" s="36" t="s">
        <v>1690</v>
      </c>
      <c r="N513" s="37"/>
      <c r="O513" t="s">
        <v>205</v>
      </c>
      <c r="P513" s="67" t="s">
        <v>1118</v>
      </c>
      <c r="R513" s="38"/>
      <c r="S513" s="39"/>
      <c r="T513" s="38"/>
      <c r="U513" s="39"/>
      <c r="V513" s="40" t="s">
        <v>259</v>
      </c>
      <c r="W513" s="41" t="s">
        <v>39</v>
      </c>
      <c r="AA513" s="62" t="s">
        <v>1691</v>
      </c>
      <c r="AB513" s="44">
        <v>45929</v>
      </c>
      <c r="AC513" s="63" t="s">
        <v>1692</v>
      </c>
      <c r="AD513" s="46">
        <v>45926</v>
      </c>
      <c r="AE513">
        <v>3204247</v>
      </c>
      <c r="AF513" s="39">
        <v>46141</v>
      </c>
      <c r="AG513" s="48"/>
      <c r="AH513" s="48"/>
    </row>
    <row r="514" spans="1:36" ht="19.5" customHeight="1">
      <c r="A514" s="25">
        <f t="shared" si="7"/>
        <v>511</v>
      </c>
      <c r="B514" s="26">
        <v>6214087</v>
      </c>
      <c r="C514" s="27">
        <v>45905</v>
      </c>
      <c r="E514" s="29">
        <v>99250</v>
      </c>
      <c r="F514" s="30">
        <v>1553990</v>
      </c>
      <c r="G514" s="27">
        <v>45910</v>
      </c>
      <c r="H514" s="28"/>
      <c r="I514" s="29">
        <v>99250</v>
      </c>
      <c r="J514" s="34" t="s">
        <v>1693</v>
      </c>
      <c r="K514" t="s">
        <v>1694</v>
      </c>
      <c r="L514" s="35" t="s">
        <v>1695</v>
      </c>
      <c r="M514" s="36" t="s">
        <v>1696</v>
      </c>
      <c r="N514" s="37" t="s">
        <v>1697</v>
      </c>
      <c r="O514" t="s">
        <v>1698</v>
      </c>
      <c r="P514" t="s">
        <v>1699</v>
      </c>
      <c r="R514" s="38">
        <v>45839</v>
      </c>
      <c r="S514" s="39">
        <v>46475</v>
      </c>
      <c r="T514" s="38">
        <v>45901</v>
      </c>
      <c r="U514" s="39">
        <v>46265</v>
      </c>
      <c r="V514" s="40" t="s">
        <v>1306</v>
      </c>
      <c r="W514" s="41" t="s">
        <v>39</v>
      </c>
      <c r="Z514" t="s">
        <v>40</v>
      </c>
      <c r="AA514" s="62" t="s">
        <v>1700</v>
      </c>
      <c r="AB514" s="44">
        <v>45916</v>
      </c>
      <c r="AC514" s="63" t="s">
        <v>1701</v>
      </c>
      <c r="AE514">
        <v>3174954</v>
      </c>
      <c r="AF514" s="39">
        <v>45930</v>
      </c>
      <c r="AG514" s="48">
        <v>627384</v>
      </c>
      <c r="AH514" s="48">
        <v>99250</v>
      </c>
    </row>
    <row r="515" spans="1:36" ht="19.5" customHeight="1">
      <c r="A515" s="25">
        <f t="shared" si="7"/>
        <v>512</v>
      </c>
      <c r="B515" s="26">
        <v>6214110</v>
      </c>
      <c r="C515" s="27">
        <v>45905</v>
      </c>
      <c r="D515" s="28">
        <v>2940</v>
      </c>
      <c r="E515" s="29">
        <v>22932.58</v>
      </c>
      <c r="F515" s="30" t="s">
        <v>1702</v>
      </c>
      <c r="G515" s="27">
        <v>45911</v>
      </c>
      <c r="H515" s="28">
        <v>2940</v>
      </c>
      <c r="I515" s="29">
        <v>22932.58</v>
      </c>
      <c r="J515" s="34" t="s">
        <v>103</v>
      </c>
      <c r="K515" t="s">
        <v>206</v>
      </c>
      <c r="L515" s="35" t="s">
        <v>1703</v>
      </c>
      <c r="M515" s="36" t="s">
        <v>1704</v>
      </c>
      <c r="N515" s="37" t="s">
        <v>1330</v>
      </c>
      <c r="O515" t="s">
        <v>1705</v>
      </c>
      <c r="P515" t="s">
        <v>1706</v>
      </c>
      <c r="R515" s="38">
        <v>45900</v>
      </c>
      <c r="S515" s="39">
        <v>46264</v>
      </c>
      <c r="T515" s="38">
        <v>45900</v>
      </c>
      <c r="U515" s="39">
        <v>46264</v>
      </c>
      <c r="V515" s="40" t="s">
        <v>1025</v>
      </c>
      <c r="W515" s="41" t="s">
        <v>39</v>
      </c>
      <c r="Y515" s="42" t="s">
        <v>185</v>
      </c>
      <c r="Z515" t="s">
        <v>40</v>
      </c>
      <c r="AA515" s="62" t="s">
        <v>1707</v>
      </c>
      <c r="AB515" s="44">
        <v>45917</v>
      </c>
      <c r="AC515" s="63" t="s">
        <v>1708</v>
      </c>
      <c r="AD515" s="46">
        <v>45915</v>
      </c>
      <c r="AE515">
        <v>3198276</v>
      </c>
      <c r="AF515" s="39">
        <v>46097</v>
      </c>
      <c r="AG515" s="48">
        <v>31000</v>
      </c>
      <c r="AH515" s="48">
        <v>23079</v>
      </c>
    </row>
    <row r="516" spans="1:36" ht="19.5" customHeight="1">
      <c r="A516" s="25">
        <f t="shared" ref="A516:A579" si="8">A515+1</f>
        <v>513</v>
      </c>
      <c r="B516" s="26">
        <v>6215135</v>
      </c>
      <c r="C516" s="27">
        <v>45910</v>
      </c>
      <c r="D516" s="28">
        <v>1589.38</v>
      </c>
      <c r="E516" s="29">
        <v>12397.48</v>
      </c>
      <c r="F516" s="30">
        <v>1554777</v>
      </c>
      <c r="G516" s="27">
        <v>45912</v>
      </c>
      <c r="H516" s="28">
        <v>1589.38</v>
      </c>
      <c r="I516" s="29">
        <v>12397.48</v>
      </c>
      <c r="J516" s="34" t="s">
        <v>33</v>
      </c>
      <c r="K516" t="s">
        <v>34</v>
      </c>
      <c r="L516" s="35">
        <v>202253226</v>
      </c>
      <c r="M516" s="36" t="s">
        <v>1709</v>
      </c>
      <c r="N516" s="37" t="s">
        <v>1346</v>
      </c>
      <c r="O516" t="s">
        <v>1710</v>
      </c>
      <c r="P516" t="s">
        <v>1711</v>
      </c>
      <c r="R516" s="38">
        <v>45740</v>
      </c>
      <c r="S516" s="39">
        <v>46469</v>
      </c>
      <c r="T516" s="38">
        <v>45870</v>
      </c>
      <c r="U516" s="39">
        <v>46599</v>
      </c>
      <c r="V516" s="40" t="s">
        <v>80</v>
      </c>
      <c r="W516" s="41" t="s">
        <v>114</v>
      </c>
      <c r="Y516" s="42" t="s">
        <v>185</v>
      </c>
      <c r="Z516" t="s">
        <v>81</v>
      </c>
      <c r="AC516" s="63">
        <v>9999735819</v>
      </c>
      <c r="AD516" s="46">
        <v>45916</v>
      </c>
      <c r="AE516">
        <v>3177958</v>
      </c>
      <c r="AF516" s="47">
        <v>45952</v>
      </c>
      <c r="AG516" s="48">
        <v>27950</v>
      </c>
      <c r="AH516" s="48">
        <v>12476.63</v>
      </c>
    </row>
    <row r="517" spans="1:36" ht="19.5" customHeight="1">
      <c r="A517" s="25">
        <f t="shared" si="8"/>
        <v>514</v>
      </c>
      <c r="B517" s="26">
        <v>6215174</v>
      </c>
      <c r="C517" s="27">
        <v>45910</v>
      </c>
      <c r="E517" s="29">
        <v>1590.36</v>
      </c>
      <c r="F517" s="30">
        <v>1554701</v>
      </c>
      <c r="G517" s="27">
        <v>45912</v>
      </c>
      <c r="H517" s="28"/>
      <c r="I517" s="29">
        <v>1590.36</v>
      </c>
      <c r="J517" s="34" t="s">
        <v>159</v>
      </c>
      <c r="K517" t="s">
        <v>398</v>
      </c>
      <c r="L517" s="35" t="s">
        <v>1712</v>
      </c>
      <c r="M517" s="36" t="s">
        <v>1713</v>
      </c>
      <c r="N517" s="37" t="s">
        <v>1714</v>
      </c>
      <c r="O517" t="s">
        <v>1715</v>
      </c>
      <c r="P517" t="s">
        <v>1716</v>
      </c>
      <c r="R517" s="38">
        <v>45918</v>
      </c>
      <c r="S517" s="39">
        <v>46282</v>
      </c>
      <c r="T517" s="38">
        <v>45944</v>
      </c>
      <c r="U517" s="39">
        <v>46308</v>
      </c>
      <c r="V517" s="40" t="s">
        <v>1306</v>
      </c>
      <c r="W517" s="41" t="s">
        <v>114</v>
      </c>
      <c r="AA517" s="62" t="s">
        <v>1717</v>
      </c>
      <c r="AB517" s="44">
        <v>45918</v>
      </c>
      <c r="AC517" s="63" t="s">
        <v>1717</v>
      </c>
      <c r="AE517">
        <v>3175915</v>
      </c>
      <c r="AF517" s="39">
        <v>45938</v>
      </c>
      <c r="AG517" s="48">
        <v>122585</v>
      </c>
      <c r="AH517" s="48">
        <v>73160.36</v>
      </c>
    </row>
    <row r="518" spans="1:36" ht="19.5" customHeight="1">
      <c r="A518" s="25">
        <f t="shared" si="8"/>
        <v>515</v>
      </c>
      <c r="B518" s="26">
        <v>6215736</v>
      </c>
      <c r="C518" s="27">
        <v>45911</v>
      </c>
      <c r="D518" s="28">
        <v>538.32000000000005</v>
      </c>
      <c r="E518" s="29">
        <v>4199</v>
      </c>
      <c r="F518" s="30">
        <v>1554778</v>
      </c>
      <c r="G518" s="27">
        <v>45912</v>
      </c>
      <c r="H518" s="28">
        <v>538.32000000000005</v>
      </c>
      <c r="I518" s="29">
        <v>4199</v>
      </c>
      <c r="J518" s="34" t="s">
        <v>33</v>
      </c>
      <c r="K518" t="s">
        <v>34</v>
      </c>
      <c r="L518" s="35">
        <v>382162105</v>
      </c>
      <c r="M518" s="36" t="s">
        <v>1718</v>
      </c>
      <c r="N518" s="37" t="s">
        <v>1346</v>
      </c>
      <c r="O518" t="s">
        <v>1719</v>
      </c>
      <c r="P518" t="s">
        <v>1720</v>
      </c>
      <c r="R518" s="38">
        <v>45931</v>
      </c>
      <c r="S518" s="39">
        <v>46295</v>
      </c>
      <c r="T518" s="38">
        <v>45931</v>
      </c>
      <c r="U518" s="39">
        <v>46295</v>
      </c>
      <c r="V518" s="40" t="s">
        <v>44</v>
      </c>
      <c r="W518" s="41" t="s">
        <v>114</v>
      </c>
      <c r="Y518" s="42" t="s">
        <v>56</v>
      </c>
      <c r="AC518" s="63">
        <v>9999735818</v>
      </c>
      <c r="AD518" s="46">
        <v>45916</v>
      </c>
      <c r="AE518">
        <v>3177959</v>
      </c>
      <c r="AF518" s="47">
        <v>45952</v>
      </c>
      <c r="AG518" s="48">
        <v>10402</v>
      </c>
      <c r="AH518" s="48">
        <v>4225.8100000000004</v>
      </c>
    </row>
    <row r="519" spans="1:36" ht="19.5" customHeight="1">
      <c r="A519" s="25">
        <f t="shared" si="8"/>
        <v>516</v>
      </c>
      <c r="B519" s="26">
        <v>6215789</v>
      </c>
      <c r="C519" s="27">
        <v>45912</v>
      </c>
      <c r="D519" s="28">
        <v>7259.68</v>
      </c>
      <c r="E519" s="29">
        <f>56626.72+0.24</f>
        <v>56626.96</v>
      </c>
      <c r="F519" s="30">
        <v>1554892</v>
      </c>
      <c r="G519" s="27">
        <v>45915</v>
      </c>
      <c r="H519" s="28">
        <v>7259.68</v>
      </c>
      <c r="I519" s="29">
        <f>56626.72+0.24</f>
        <v>56626.96</v>
      </c>
      <c r="J519" s="34" t="s">
        <v>33</v>
      </c>
      <c r="K519" t="s">
        <v>34</v>
      </c>
      <c r="L519" s="35">
        <v>342181232</v>
      </c>
      <c r="M519" s="36" t="s">
        <v>462</v>
      </c>
      <c r="N519" s="37" t="s">
        <v>1346</v>
      </c>
      <c r="O519" t="s">
        <v>1721</v>
      </c>
      <c r="P519" t="s">
        <v>1722</v>
      </c>
      <c r="R519" s="38">
        <v>45915</v>
      </c>
      <c r="S519" s="39">
        <v>46279</v>
      </c>
      <c r="T519" s="38">
        <v>45915</v>
      </c>
      <c r="U519" s="39">
        <v>46279</v>
      </c>
      <c r="V519" s="40" t="s">
        <v>458</v>
      </c>
      <c r="W519" s="41" t="s">
        <v>114</v>
      </c>
      <c r="AC519" s="63">
        <v>9999741348</v>
      </c>
      <c r="AD519" s="46">
        <v>45918</v>
      </c>
      <c r="AE519">
        <v>3177960</v>
      </c>
      <c r="AF519" s="47">
        <v>45952</v>
      </c>
      <c r="AG519" s="48">
        <v>63014</v>
      </c>
      <c r="AH519" s="48">
        <v>56988.26</v>
      </c>
    </row>
    <row r="520" spans="1:36" ht="19.5" customHeight="1">
      <c r="A520" s="25">
        <f t="shared" si="8"/>
        <v>517</v>
      </c>
      <c r="B520" s="26">
        <v>6217297</v>
      </c>
      <c r="C520" s="27">
        <v>45917</v>
      </c>
      <c r="E520" s="29">
        <v>5456.99</v>
      </c>
      <c r="F520" s="30">
        <v>1555947</v>
      </c>
      <c r="G520" s="27">
        <v>45919</v>
      </c>
      <c r="H520" s="28"/>
      <c r="I520" s="29">
        <v>5456.99</v>
      </c>
      <c r="J520" s="34" t="s">
        <v>103</v>
      </c>
      <c r="K520" s="40" t="s">
        <v>977</v>
      </c>
      <c r="L520" s="35" t="s">
        <v>1723</v>
      </c>
      <c r="M520" s="36" t="s">
        <v>1724</v>
      </c>
      <c r="N520" s="37" t="s">
        <v>1725</v>
      </c>
      <c r="O520" t="s">
        <v>1726</v>
      </c>
      <c r="P520" t="s">
        <v>1727</v>
      </c>
      <c r="R520" s="38">
        <v>45809</v>
      </c>
      <c r="S520" s="39">
        <v>46477</v>
      </c>
      <c r="T520" s="38" t="s">
        <v>141</v>
      </c>
      <c r="U520" s="39">
        <v>46477</v>
      </c>
      <c r="V520" s="40" t="s">
        <v>1728</v>
      </c>
      <c r="W520" s="41" t="s">
        <v>114</v>
      </c>
      <c r="AA520" s="62" t="s">
        <v>1729</v>
      </c>
      <c r="AB520" s="44">
        <v>45929</v>
      </c>
      <c r="AC520" s="63" t="s">
        <v>1730</v>
      </c>
      <c r="AD520" s="46">
        <v>45926</v>
      </c>
      <c r="AE520">
        <v>3186997</v>
      </c>
      <c r="AF520" s="47">
        <v>46020</v>
      </c>
      <c r="AG520" s="48">
        <v>29517</v>
      </c>
      <c r="AH520" s="48">
        <v>8926.9699999999993</v>
      </c>
    </row>
    <row r="521" spans="1:36" ht="19.5" customHeight="1">
      <c r="A521" s="25">
        <f t="shared" si="8"/>
        <v>518</v>
      </c>
      <c r="B521" s="26">
        <v>6217298</v>
      </c>
      <c r="C521" s="27">
        <v>45917</v>
      </c>
      <c r="E521" s="29">
        <v>3470</v>
      </c>
      <c r="F521" s="30">
        <v>1555603</v>
      </c>
      <c r="G521" s="27">
        <v>45929</v>
      </c>
      <c r="H521" s="28"/>
      <c r="I521" s="29">
        <v>3470</v>
      </c>
      <c r="J521" s="34" t="s">
        <v>33</v>
      </c>
      <c r="K521" t="s">
        <v>139</v>
      </c>
      <c r="L521" s="35">
        <v>80005172</v>
      </c>
      <c r="M521" s="36" t="s">
        <v>1731</v>
      </c>
      <c r="N521" s="37" t="s">
        <v>1404</v>
      </c>
      <c r="O521" t="s">
        <v>1726</v>
      </c>
      <c r="P521" t="s">
        <v>1727</v>
      </c>
      <c r="R521" s="38">
        <v>45809</v>
      </c>
      <c r="S521" s="39">
        <v>46477</v>
      </c>
      <c r="T521" s="38"/>
      <c r="U521" s="39"/>
      <c r="V521" s="40" t="s">
        <v>1728</v>
      </c>
      <c r="W521" s="41" t="s">
        <v>114</v>
      </c>
      <c r="AA521" s="62">
        <v>90007150</v>
      </c>
      <c r="AB521" s="44">
        <v>45930</v>
      </c>
      <c r="AC521" s="63">
        <v>60016720</v>
      </c>
      <c r="AD521" s="46">
        <v>45930</v>
      </c>
      <c r="AG521" s="48">
        <v>29517</v>
      </c>
      <c r="AH521" s="48">
        <v>8926.9699999999993</v>
      </c>
    </row>
    <row r="522" spans="1:36" ht="19.5" customHeight="1">
      <c r="A522" s="25">
        <f t="shared" si="8"/>
        <v>519</v>
      </c>
      <c r="B522" s="26">
        <v>6217720</v>
      </c>
      <c r="C522" s="27">
        <v>45918</v>
      </c>
      <c r="D522" s="28">
        <v>178814.48</v>
      </c>
      <c r="E522" s="29">
        <v>1394788.71</v>
      </c>
      <c r="F522" s="30">
        <v>1555604</v>
      </c>
      <c r="G522" s="27">
        <v>45925</v>
      </c>
      <c r="H522" s="28">
        <v>178814.48</v>
      </c>
      <c r="I522" s="29">
        <v>1394788.71</v>
      </c>
      <c r="J522" s="34" t="s">
        <v>33</v>
      </c>
      <c r="K522" t="s">
        <v>34</v>
      </c>
      <c r="L522" s="35">
        <v>342153017</v>
      </c>
      <c r="M522" s="36" t="s">
        <v>1732</v>
      </c>
      <c r="N522" s="37" t="s">
        <v>1540</v>
      </c>
      <c r="O522" t="s">
        <v>1733</v>
      </c>
      <c r="P522" t="s">
        <v>1734</v>
      </c>
      <c r="R522" s="38">
        <v>45944</v>
      </c>
      <c r="S522" s="39">
        <v>46308</v>
      </c>
      <c r="T522" s="38">
        <v>45944</v>
      </c>
      <c r="U522" s="39">
        <v>46308</v>
      </c>
      <c r="V522" s="40" t="s">
        <v>735</v>
      </c>
      <c r="W522" s="41" t="s">
        <v>114</v>
      </c>
      <c r="X522" s="40" t="s">
        <v>1735</v>
      </c>
      <c r="Y522" s="42" t="s">
        <v>56</v>
      </c>
      <c r="AC522" s="63">
        <v>999761530</v>
      </c>
      <c r="AD522" s="46">
        <v>45926</v>
      </c>
      <c r="AE522">
        <v>3180164</v>
      </c>
      <c r="AF522" s="47">
        <v>45967</v>
      </c>
      <c r="AG522" s="48">
        <v>2511588</v>
      </c>
      <c r="AH522" s="48">
        <v>1875762.2</v>
      </c>
    </row>
    <row r="523" spans="1:36" ht="19.5" customHeight="1">
      <c r="A523" s="25">
        <f t="shared" si="8"/>
        <v>520</v>
      </c>
      <c r="B523" s="26">
        <v>6217729</v>
      </c>
      <c r="C523" s="27">
        <v>45918</v>
      </c>
      <c r="E523" s="29">
        <v>770</v>
      </c>
      <c r="F523" s="30">
        <v>1555566</v>
      </c>
      <c r="G523" s="27">
        <v>45929</v>
      </c>
      <c r="H523" s="28"/>
      <c r="I523" s="29">
        <v>770</v>
      </c>
      <c r="J523" s="34" t="s">
        <v>33</v>
      </c>
      <c r="K523" t="s">
        <v>139</v>
      </c>
      <c r="L523" s="35" t="s">
        <v>1343</v>
      </c>
      <c r="M523" s="36" t="s">
        <v>1736</v>
      </c>
      <c r="N523" s="37" t="s">
        <v>1383</v>
      </c>
      <c r="O523" t="s">
        <v>1737</v>
      </c>
      <c r="P523" t="s">
        <v>1738</v>
      </c>
      <c r="R523" s="38">
        <v>45917</v>
      </c>
      <c r="S523" s="39">
        <v>46281</v>
      </c>
      <c r="T523" s="38" t="s">
        <v>141</v>
      </c>
      <c r="U523" s="39" t="s">
        <v>141</v>
      </c>
      <c r="V523" s="40" t="s">
        <v>245</v>
      </c>
      <c r="W523" s="41" t="s">
        <v>114</v>
      </c>
      <c r="X523" s="40" t="s">
        <v>1739</v>
      </c>
      <c r="AA523" s="62">
        <v>90007150</v>
      </c>
      <c r="AB523" s="44">
        <v>45930</v>
      </c>
      <c r="AC523" s="63">
        <v>60016719</v>
      </c>
      <c r="AD523" s="46">
        <v>45930</v>
      </c>
      <c r="AG523" s="48">
        <v>23880</v>
      </c>
      <c r="AH523" s="48">
        <v>770</v>
      </c>
    </row>
    <row r="524" spans="1:36" ht="19.5" customHeight="1">
      <c r="A524" s="25">
        <f t="shared" si="8"/>
        <v>521</v>
      </c>
      <c r="B524" s="26">
        <v>6218057</v>
      </c>
      <c r="C524" s="27">
        <v>45918</v>
      </c>
      <c r="D524" s="28">
        <v>3095.52</v>
      </c>
      <c r="E524" s="29">
        <v>24145.68</v>
      </c>
      <c r="F524" s="30">
        <v>1555811</v>
      </c>
      <c r="G524" s="27">
        <v>45925</v>
      </c>
      <c r="H524" s="28">
        <v>3095.52</v>
      </c>
      <c r="I524" s="29">
        <v>24145.68</v>
      </c>
      <c r="J524" s="34" t="s">
        <v>33</v>
      </c>
      <c r="K524" t="s">
        <v>34</v>
      </c>
      <c r="L524" s="35">
        <v>471973363</v>
      </c>
      <c r="M524" s="36" t="s">
        <v>1740</v>
      </c>
      <c r="N524" s="37" t="s">
        <v>1540</v>
      </c>
      <c r="O524" t="s">
        <v>1741</v>
      </c>
      <c r="P524" t="s">
        <v>1742</v>
      </c>
      <c r="R524" s="38">
        <v>45931</v>
      </c>
      <c r="S524" s="39">
        <v>46295</v>
      </c>
      <c r="T524" s="38">
        <v>45931</v>
      </c>
      <c r="U524" s="39">
        <v>46295</v>
      </c>
      <c r="V524" s="40" t="s">
        <v>51</v>
      </c>
      <c r="W524" s="41" t="s">
        <v>114</v>
      </c>
      <c r="X524" s="40" t="s">
        <v>1743</v>
      </c>
      <c r="AC524" s="63">
        <v>9999768680</v>
      </c>
      <c r="AD524" s="46">
        <v>45929</v>
      </c>
      <c r="AE524">
        <v>3180714</v>
      </c>
      <c r="AF524" s="39">
        <v>45972</v>
      </c>
      <c r="AG524" s="48">
        <v>188755</v>
      </c>
      <c r="AH524" s="48">
        <v>166859.82999999999</v>
      </c>
    </row>
    <row r="525" spans="1:36" ht="19.5" customHeight="1">
      <c r="A525" s="25">
        <f t="shared" si="8"/>
        <v>522</v>
      </c>
      <c r="B525" s="26">
        <v>6218077</v>
      </c>
      <c r="C525" s="27">
        <v>45918</v>
      </c>
      <c r="D525" s="28">
        <v>9499.6</v>
      </c>
      <c r="E525" s="29">
        <v>74098.78</v>
      </c>
      <c r="F525" s="30">
        <v>1555983</v>
      </c>
      <c r="G525" s="27">
        <v>45925</v>
      </c>
      <c r="H525" s="28">
        <v>9499.6</v>
      </c>
      <c r="I525" s="29">
        <v>74098.78</v>
      </c>
      <c r="J525" s="34" t="s">
        <v>33</v>
      </c>
      <c r="K525" t="s">
        <v>34</v>
      </c>
      <c r="L525" s="35">
        <v>491976039</v>
      </c>
      <c r="M525" s="36" t="s">
        <v>1744</v>
      </c>
      <c r="N525" s="37"/>
      <c r="O525" t="s">
        <v>205</v>
      </c>
      <c r="P525" t="s">
        <v>1745</v>
      </c>
      <c r="R525" s="38"/>
      <c r="S525" s="39"/>
      <c r="T525" s="38">
        <v>45932</v>
      </c>
      <c r="U525" s="39">
        <v>46661</v>
      </c>
      <c r="V525" s="40" t="s">
        <v>259</v>
      </c>
      <c r="W525" s="41" t="s">
        <v>114</v>
      </c>
      <c r="X525" s="40" t="s">
        <v>1746</v>
      </c>
      <c r="AC525" s="63">
        <v>9999768676</v>
      </c>
      <c r="AD525" s="46">
        <v>45929</v>
      </c>
      <c r="AG525" s="48"/>
      <c r="AH525" s="48"/>
    </row>
    <row r="526" spans="1:36" ht="19.5" customHeight="1">
      <c r="A526" s="25">
        <f t="shared" si="8"/>
        <v>523</v>
      </c>
      <c r="B526" s="26">
        <v>6218080</v>
      </c>
      <c r="C526" s="27">
        <v>45918</v>
      </c>
      <c r="D526" s="71" t="s">
        <v>141</v>
      </c>
      <c r="E526" s="72">
        <f>4770+1670</f>
        <v>6440</v>
      </c>
      <c r="F526" s="30">
        <v>1555812</v>
      </c>
      <c r="G526" s="27">
        <v>45926</v>
      </c>
      <c r="H526" s="71" t="s">
        <v>141</v>
      </c>
      <c r="I526" s="72">
        <f>4770+1670</f>
        <v>6440</v>
      </c>
      <c r="J526" s="34" t="s">
        <v>33</v>
      </c>
      <c r="K526" t="s">
        <v>139</v>
      </c>
      <c r="L526" s="35" t="s">
        <v>1747</v>
      </c>
      <c r="M526" s="36" t="s">
        <v>1748</v>
      </c>
      <c r="N526" s="75" t="s">
        <v>1749</v>
      </c>
      <c r="O526" t="s">
        <v>1750</v>
      </c>
      <c r="P526" t="s">
        <v>1751</v>
      </c>
      <c r="Q526" t="s">
        <v>1752</v>
      </c>
      <c r="R526" s="38">
        <v>45901</v>
      </c>
      <c r="S526" s="39">
        <v>46265</v>
      </c>
      <c r="T526" s="38" t="s">
        <v>141</v>
      </c>
      <c r="U526" s="39" t="s">
        <v>141</v>
      </c>
      <c r="V526" s="40" t="s">
        <v>276</v>
      </c>
      <c r="W526" s="41" t="s">
        <v>114</v>
      </c>
      <c r="X526" s="40" t="s">
        <v>1753</v>
      </c>
      <c r="Y526" s="42" t="s">
        <v>185</v>
      </c>
      <c r="Z526" t="s">
        <v>81</v>
      </c>
      <c r="AA526" s="62">
        <v>90007214</v>
      </c>
      <c r="AB526" s="44">
        <v>45961</v>
      </c>
      <c r="AC526" s="63">
        <v>60016835</v>
      </c>
      <c r="AD526" s="46">
        <v>45961</v>
      </c>
      <c r="AE526">
        <v>3181368</v>
      </c>
      <c r="AF526" s="39">
        <v>45978</v>
      </c>
      <c r="AG526" s="76">
        <v>29500</v>
      </c>
      <c r="AH526" s="76">
        <v>23359.95</v>
      </c>
      <c r="AJ526" s="41" t="s">
        <v>1754</v>
      </c>
    </row>
    <row r="527" spans="1:36" ht="19.5" customHeight="1">
      <c r="A527" s="25">
        <f t="shared" si="8"/>
        <v>524</v>
      </c>
      <c r="B527" s="26">
        <v>6218078</v>
      </c>
      <c r="C527" s="27">
        <v>45918</v>
      </c>
      <c r="D527" s="28">
        <v>757.9</v>
      </c>
      <c r="E527" s="29">
        <v>5911.77</v>
      </c>
      <c r="F527" s="30">
        <v>1555810</v>
      </c>
      <c r="G527" s="27">
        <v>45923</v>
      </c>
      <c r="H527" s="28">
        <v>757.9</v>
      </c>
      <c r="I527" s="29">
        <v>5911.77</v>
      </c>
      <c r="J527" s="34" t="s">
        <v>33</v>
      </c>
      <c r="K527" t="s">
        <v>34</v>
      </c>
      <c r="L527" s="35">
        <v>451970661</v>
      </c>
      <c r="M527" s="36" t="s">
        <v>1755</v>
      </c>
      <c r="N527" s="37" t="s">
        <v>1346</v>
      </c>
      <c r="O527" t="s">
        <v>1750</v>
      </c>
      <c r="P527" t="s">
        <v>1751</v>
      </c>
      <c r="R527" s="38">
        <v>45901</v>
      </c>
      <c r="S527" s="39">
        <v>46265</v>
      </c>
      <c r="T527" s="38"/>
      <c r="U527" s="39"/>
      <c r="V527" s="40" t="s">
        <v>276</v>
      </c>
      <c r="W527" s="41" t="s">
        <v>114</v>
      </c>
      <c r="X527" s="40" t="s">
        <v>1753</v>
      </c>
      <c r="Y527" s="42" t="s">
        <v>185</v>
      </c>
      <c r="Z527" t="s">
        <v>81</v>
      </c>
      <c r="AC527" s="63">
        <v>9999754486</v>
      </c>
      <c r="AD527" s="46">
        <v>45923</v>
      </c>
      <c r="AE527">
        <v>3189390</v>
      </c>
      <c r="AF527" s="47">
        <v>46037</v>
      </c>
      <c r="AG527" s="48">
        <v>29500</v>
      </c>
      <c r="AH527" s="48">
        <v>23359.95</v>
      </c>
    </row>
    <row r="528" spans="1:36" ht="19.5" customHeight="1">
      <c r="A528" s="25">
        <f t="shared" si="8"/>
        <v>525</v>
      </c>
      <c r="B528" s="26">
        <v>6218079</v>
      </c>
      <c r="C528" s="27">
        <v>45918</v>
      </c>
      <c r="D528" s="28">
        <f>299.06+574</f>
        <v>873.06</v>
      </c>
      <c r="E528" s="29">
        <v>6810.03</v>
      </c>
      <c r="F528" s="30">
        <v>1555818</v>
      </c>
      <c r="G528" s="27">
        <v>45919</v>
      </c>
      <c r="H528" s="28">
        <f>299.06+574</f>
        <v>873.06</v>
      </c>
      <c r="I528" s="29">
        <v>6810.03</v>
      </c>
      <c r="J528" s="34" t="s">
        <v>33</v>
      </c>
      <c r="K528" t="s">
        <v>34</v>
      </c>
      <c r="L528" s="35" t="s">
        <v>1756</v>
      </c>
      <c r="M528" s="36" t="s">
        <v>1757</v>
      </c>
      <c r="N528" s="37" t="s">
        <v>1540</v>
      </c>
      <c r="O528" t="s">
        <v>1750</v>
      </c>
      <c r="P528" t="s">
        <v>1751</v>
      </c>
      <c r="R528" s="38">
        <v>45901</v>
      </c>
      <c r="S528" s="39">
        <v>46265</v>
      </c>
      <c r="T528" s="38"/>
      <c r="U528" s="39"/>
      <c r="V528" s="40" t="s">
        <v>276</v>
      </c>
      <c r="W528" s="41" t="s">
        <v>114</v>
      </c>
      <c r="X528" s="40" t="s">
        <v>1753</v>
      </c>
      <c r="Y528" s="42" t="s">
        <v>185</v>
      </c>
      <c r="Z528" t="s">
        <v>81</v>
      </c>
      <c r="AC528" s="63" t="s">
        <v>1758</v>
      </c>
      <c r="AD528" s="46">
        <v>45924</v>
      </c>
      <c r="AE528" t="s">
        <v>1759</v>
      </c>
      <c r="AF528" s="39">
        <v>45972</v>
      </c>
      <c r="AG528" s="48">
        <v>29500</v>
      </c>
      <c r="AH528" s="48">
        <v>23359.95</v>
      </c>
    </row>
    <row r="529" spans="1:35" ht="19.5" customHeight="1">
      <c r="A529" s="25">
        <f t="shared" si="8"/>
        <v>526</v>
      </c>
      <c r="B529" s="26">
        <v>6218992</v>
      </c>
      <c r="C529" s="27">
        <v>45922</v>
      </c>
      <c r="D529" s="28">
        <v>2143.2800000000002</v>
      </c>
      <c r="E529" s="29">
        <v>16718</v>
      </c>
      <c r="F529" s="30">
        <v>1556953</v>
      </c>
      <c r="G529" s="27">
        <v>45929</v>
      </c>
      <c r="H529" s="28">
        <v>2143.2800000000002</v>
      </c>
      <c r="I529" s="29">
        <v>16718</v>
      </c>
      <c r="J529" s="34" t="s">
        <v>103</v>
      </c>
      <c r="K529" t="s">
        <v>206</v>
      </c>
      <c r="L529" s="35" t="s">
        <v>1760</v>
      </c>
      <c r="M529" s="36" t="s">
        <v>1761</v>
      </c>
      <c r="N529" s="37" t="s">
        <v>1330</v>
      </c>
      <c r="O529" t="s">
        <v>1762</v>
      </c>
      <c r="P529" t="s">
        <v>1763</v>
      </c>
      <c r="R529" s="38">
        <v>45917</v>
      </c>
      <c r="S529" s="39">
        <v>46281</v>
      </c>
      <c r="T529" s="38">
        <v>45917</v>
      </c>
      <c r="U529" s="39">
        <v>46281</v>
      </c>
      <c r="V529" s="40" t="s">
        <v>1306</v>
      </c>
      <c r="W529" s="41" t="s">
        <v>114</v>
      </c>
      <c r="AA529" s="62" t="s">
        <v>1764</v>
      </c>
      <c r="AB529" s="44">
        <v>45939</v>
      </c>
      <c r="AC529" s="63" t="s">
        <v>1765</v>
      </c>
      <c r="AD529" s="46">
        <v>45932</v>
      </c>
      <c r="AE529">
        <v>3190520</v>
      </c>
      <c r="AF529" s="39">
        <v>46044</v>
      </c>
      <c r="AG529" s="48">
        <v>23558</v>
      </c>
      <c r="AH529" s="48">
        <v>16824.75</v>
      </c>
    </row>
    <row r="530" spans="1:35" ht="19.5" customHeight="1">
      <c r="A530" s="25">
        <f t="shared" si="8"/>
        <v>527</v>
      </c>
      <c r="B530" s="26">
        <v>6219792</v>
      </c>
      <c r="C530" s="27">
        <v>45925</v>
      </c>
      <c r="D530" s="28" t="s">
        <v>141</v>
      </c>
      <c r="E530" s="29">
        <v>1564.7</v>
      </c>
      <c r="F530" s="30">
        <v>1556898</v>
      </c>
      <c r="G530" s="27">
        <v>45929</v>
      </c>
      <c r="H530" s="28" t="s">
        <v>141</v>
      </c>
      <c r="I530" s="29">
        <v>1564.7</v>
      </c>
      <c r="J530" s="34" t="s">
        <v>159</v>
      </c>
      <c r="K530" t="s">
        <v>398</v>
      </c>
      <c r="L530" s="35" t="s">
        <v>1766</v>
      </c>
      <c r="M530" s="36" t="s">
        <v>1767</v>
      </c>
      <c r="N530" s="37" t="s">
        <v>1768</v>
      </c>
      <c r="O530" t="s">
        <v>1769</v>
      </c>
      <c r="P530" t="s">
        <v>1770</v>
      </c>
      <c r="R530" s="38">
        <v>45914</v>
      </c>
      <c r="S530" s="39">
        <v>46278</v>
      </c>
      <c r="T530" s="38">
        <v>45914</v>
      </c>
      <c r="U530" s="39">
        <v>46278</v>
      </c>
      <c r="V530" s="40" t="s">
        <v>1306</v>
      </c>
      <c r="W530" s="41" t="s">
        <v>114</v>
      </c>
      <c r="Y530" s="40" t="s">
        <v>56</v>
      </c>
      <c r="AA530" s="62" t="s">
        <v>1771</v>
      </c>
      <c r="AB530" s="44">
        <v>45940</v>
      </c>
      <c r="AC530" s="63" t="s">
        <v>1771</v>
      </c>
      <c r="AD530" s="46">
        <v>45940</v>
      </c>
      <c r="AE530">
        <v>3178384</v>
      </c>
      <c r="AF530" s="47">
        <v>45955</v>
      </c>
      <c r="AG530" s="48">
        <v>346057</v>
      </c>
      <c r="AH530" s="48">
        <v>132838.70000000001</v>
      </c>
    </row>
    <row r="531" spans="1:35" ht="19.5" customHeight="1" thickBot="1">
      <c r="A531" s="25">
        <f t="shared" si="8"/>
        <v>528</v>
      </c>
      <c r="B531" s="26">
        <v>6220079</v>
      </c>
      <c r="C531" s="27">
        <v>45925</v>
      </c>
      <c r="D531" s="28">
        <v>12715.36</v>
      </c>
      <c r="E531" s="29">
        <v>99182.35</v>
      </c>
      <c r="F531" s="30">
        <v>1556568</v>
      </c>
      <c r="G531" s="27">
        <v>45926</v>
      </c>
      <c r="H531" s="28">
        <v>12715.36</v>
      </c>
      <c r="I531" s="29">
        <v>99182.35</v>
      </c>
      <c r="J531" s="34" t="s">
        <v>33</v>
      </c>
      <c r="K531" t="s">
        <v>34</v>
      </c>
      <c r="L531" s="35">
        <v>481959488</v>
      </c>
      <c r="M531" s="36" t="s">
        <v>1772</v>
      </c>
      <c r="N531" s="37" t="s">
        <v>1346</v>
      </c>
      <c r="O531" t="s">
        <v>1773</v>
      </c>
      <c r="P531" t="s">
        <v>1774</v>
      </c>
      <c r="R531" s="38">
        <v>45932</v>
      </c>
      <c r="S531" s="39">
        <v>46296</v>
      </c>
      <c r="T531" s="38">
        <v>45932</v>
      </c>
      <c r="U531" s="39">
        <v>46296</v>
      </c>
      <c r="V531" s="40" t="s">
        <v>175</v>
      </c>
      <c r="W531" s="41" t="s">
        <v>114</v>
      </c>
      <c r="X531" s="40" t="s">
        <v>1775</v>
      </c>
      <c r="Y531" s="40" t="s">
        <v>56</v>
      </c>
      <c r="Z531" t="s">
        <v>81</v>
      </c>
      <c r="AC531" s="63">
        <v>9999768699</v>
      </c>
      <c r="AD531" s="46">
        <v>45929</v>
      </c>
      <c r="AE531">
        <v>3180623</v>
      </c>
      <c r="AF531" s="39">
        <v>45972</v>
      </c>
      <c r="AG531" s="48">
        <v>225783</v>
      </c>
      <c r="AH531" s="48">
        <v>184925.58</v>
      </c>
    </row>
    <row r="532" spans="1:35" ht="19.5" customHeight="1" thickTop="1">
      <c r="A532" s="25">
        <f t="shared" si="8"/>
        <v>529</v>
      </c>
      <c r="B532" s="135">
        <v>6220084</v>
      </c>
      <c r="C532" s="136">
        <v>45925</v>
      </c>
      <c r="D532" s="238" t="s">
        <v>141</v>
      </c>
      <c r="E532" s="239">
        <f>1970+3770</f>
        <v>5740</v>
      </c>
      <c r="F532" s="139">
        <v>1556859</v>
      </c>
      <c r="G532" s="136">
        <v>45929</v>
      </c>
      <c r="H532" s="238" t="s">
        <v>141</v>
      </c>
      <c r="I532" s="239">
        <f>1970+3770</f>
        <v>5740</v>
      </c>
      <c r="J532" s="140" t="s">
        <v>33</v>
      </c>
      <c r="K532" s="141" t="s">
        <v>139</v>
      </c>
      <c r="L532" s="142">
        <v>80005176</v>
      </c>
      <c r="M532" s="143" t="s">
        <v>1776</v>
      </c>
      <c r="N532" s="75" t="s">
        <v>1404</v>
      </c>
      <c r="O532" t="s">
        <v>1773</v>
      </c>
      <c r="P532" t="s">
        <v>1774</v>
      </c>
      <c r="Q532" t="s">
        <v>1777</v>
      </c>
      <c r="R532" s="38">
        <v>45932</v>
      </c>
      <c r="S532" s="39">
        <v>46296</v>
      </c>
      <c r="T532" s="38" t="s">
        <v>141</v>
      </c>
      <c r="U532" s="39" t="s">
        <v>141</v>
      </c>
      <c r="V532" s="40" t="s">
        <v>175</v>
      </c>
      <c r="W532" s="240" t="s">
        <v>114</v>
      </c>
      <c r="X532" s="40" t="s">
        <v>1775</v>
      </c>
      <c r="Y532" s="40" t="s">
        <v>185</v>
      </c>
      <c r="Z532" t="s">
        <v>81</v>
      </c>
      <c r="AA532" s="62">
        <v>90007213</v>
      </c>
      <c r="AB532" s="44">
        <v>45961</v>
      </c>
      <c r="AC532" s="63">
        <v>60016833</v>
      </c>
      <c r="AD532" s="46">
        <v>45961</v>
      </c>
      <c r="AE532">
        <v>3192321</v>
      </c>
      <c r="AF532" s="39">
        <v>46056</v>
      </c>
      <c r="AG532" s="76">
        <v>225783</v>
      </c>
      <c r="AH532" s="76">
        <v>184925.58</v>
      </c>
    </row>
    <row r="533" spans="1:35" ht="19.5" customHeight="1" thickBot="1">
      <c r="A533" s="25">
        <f t="shared" si="8"/>
        <v>530</v>
      </c>
      <c r="B533" s="155">
        <v>6220084</v>
      </c>
      <c r="C533" s="156">
        <v>45925</v>
      </c>
      <c r="D533" s="157" t="s">
        <v>141</v>
      </c>
      <c r="E533" s="158">
        <v>10765</v>
      </c>
      <c r="F533" s="159" t="s">
        <v>1778</v>
      </c>
      <c r="G533" s="156">
        <v>45929</v>
      </c>
      <c r="H533" s="157" t="s">
        <v>141</v>
      </c>
      <c r="I533" s="158">
        <v>10765</v>
      </c>
      <c r="J533" s="160" t="s">
        <v>33</v>
      </c>
      <c r="K533" s="241" t="s">
        <v>733</v>
      </c>
      <c r="L533" s="162">
        <v>80005176</v>
      </c>
      <c r="M533" s="163" t="s">
        <v>1779</v>
      </c>
      <c r="N533" s="37"/>
      <c r="O533" t="s">
        <v>1773</v>
      </c>
      <c r="P533" t="s">
        <v>1774</v>
      </c>
      <c r="R533" s="38">
        <v>45932</v>
      </c>
      <c r="S533" s="39">
        <v>46296</v>
      </c>
      <c r="T533" s="38" t="s">
        <v>141</v>
      </c>
      <c r="U533" s="39" t="s">
        <v>141</v>
      </c>
      <c r="V533" s="40" t="s">
        <v>175</v>
      </c>
      <c r="W533" s="242" t="s">
        <v>114</v>
      </c>
      <c r="X533" s="40" t="s">
        <v>1775</v>
      </c>
      <c r="Y533" s="40" t="s">
        <v>185</v>
      </c>
      <c r="Z533" t="s">
        <v>81</v>
      </c>
      <c r="AA533" s="43" t="s">
        <v>1780</v>
      </c>
      <c r="AB533" s="44">
        <v>45953</v>
      </c>
      <c r="AC533" s="63" t="s">
        <v>1781</v>
      </c>
      <c r="AD533" s="46">
        <v>45953</v>
      </c>
      <c r="AE533">
        <v>3202653</v>
      </c>
      <c r="AF533" s="39">
        <v>46132</v>
      </c>
      <c r="AG533" s="48">
        <v>225783</v>
      </c>
      <c r="AH533" s="48">
        <v>184925.58</v>
      </c>
    </row>
    <row r="534" spans="1:35" ht="19.5" customHeight="1">
      <c r="A534" s="25">
        <f t="shared" si="8"/>
        <v>531</v>
      </c>
      <c r="B534" s="26">
        <v>6220229</v>
      </c>
      <c r="C534" s="27">
        <v>45925</v>
      </c>
      <c r="D534" s="28">
        <v>3887.4</v>
      </c>
      <c r="E534" s="29">
        <v>30322.5</v>
      </c>
      <c r="F534" s="30">
        <v>1557229</v>
      </c>
      <c r="G534" s="27">
        <v>45930</v>
      </c>
      <c r="H534" s="28">
        <v>3887.4</v>
      </c>
      <c r="I534" s="29">
        <v>30322.5</v>
      </c>
      <c r="J534" s="34" t="s">
        <v>33</v>
      </c>
      <c r="K534" t="s">
        <v>34</v>
      </c>
      <c r="L534" s="35">
        <v>392149557</v>
      </c>
      <c r="M534" s="36" t="s">
        <v>1782</v>
      </c>
      <c r="N534" s="37" t="s">
        <v>1346</v>
      </c>
      <c r="O534" t="s">
        <v>1783</v>
      </c>
      <c r="P534" t="s">
        <v>1784</v>
      </c>
      <c r="R534" s="38">
        <v>45870</v>
      </c>
      <c r="S534" s="39">
        <v>46234</v>
      </c>
      <c r="T534" s="38">
        <v>45906</v>
      </c>
      <c r="U534" s="39">
        <v>46270</v>
      </c>
      <c r="V534" s="40" t="s">
        <v>954</v>
      </c>
      <c r="W534" s="41" t="s">
        <v>114</v>
      </c>
      <c r="X534" s="40" t="s">
        <v>1785</v>
      </c>
      <c r="Y534" s="40" t="s">
        <v>185</v>
      </c>
      <c r="Z534" t="s">
        <v>81</v>
      </c>
      <c r="AC534" s="63">
        <v>9999783116</v>
      </c>
      <c r="AD534" s="46">
        <v>45933</v>
      </c>
      <c r="AE534">
        <v>3180132</v>
      </c>
      <c r="AF534" s="39">
        <v>45967</v>
      </c>
      <c r="AG534" s="48">
        <v>143880</v>
      </c>
      <c r="AH534" s="48">
        <v>30516.09</v>
      </c>
    </row>
    <row r="535" spans="1:35" ht="19.5" customHeight="1">
      <c r="A535" s="25">
        <f t="shared" si="8"/>
        <v>532</v>
      </c>
      <c r="B535" s="26">
        <v>6220277</v>
      </c>
      <c r="C535" s="27">
        <v>45925</v>
      </c>
      <c r="D535" s="28">
        <v>1555.08</v>
      </c>
      <c r="E535" s="29">
        <v>12129.94</v>
      </c>
      <c r="F535" s="30">
        <v>1557022</v>
      </c>
      <c r="G535" s="27">
        <v>45929</v>
      </c>
      <c r="H535" s="28">
        <v>1555.08</v>
      </c>
      <c r="I535" s="29">
        <v>12129.94</v>
      </c>
      <c r="J535" s="34" t="s">
        <v>33</v>
      </c>
      <c r="K535" t="s">
        <v>34</v>
      </c>
      <c r="L535" s="35">
        <v>332091673</v>
      </c>
      <c r="M535" s="36" t="s">
        <v>1786</v>
      </c>
      <c r="N535" s="37" t="s">
        <v>1346</v>
      </c>
      <c r="O535" t="s">
        <v>1787</v>
      </c>
      <c r="P535" t="s">
        <v>1788</v>
      </c>
      <c r="R535" s="38">
        <v>45603</v>
      </c>
      <c r="S535" s="39">
        <v>45967</v>
      </c>
      <c r="T535" s="38">
        <v>45903</v>
      </c>
      <c r="U535" s="39">
        <v>46332</v>
      </c>
      <c r="V535" s="40" t="s">
        <v>954</v>
      </c>
      <c r="W535" s="41" t="s">
        <v>114</v>
      </c>
      <c r="X535" s="40" t="s">
        <v>1789</v>
      </c>
      <c r="Y535" s="40" t="s">
        <v>185</v>
      </c>
      <c r="Z535" t="s">
        <v>81</v>
      </c>
      <c r="AC535" s="63">
        <v>9999772533</v>
      </c>
      <c r="AD535" s="46">
        <v>45930</v>
      </c>
      <c r="AE535">
        <v>3180114</v>
      </c>
      <c r="AF535" s="39">
        <v>45967</v>
      </c>
      <c r="AG535" s="48">
        <v>27250</v>
      </c>
      <c r="AH535" s="48">
        <v>12207.32</v>
      </c>
    </row>
    <row r="536" spans="1:35" ht="19.5" customHeight="1">
      <c r="A536" s="25">
        <f t="shared" si="8"/>
        <v>533</v>
      </c>
      <c r="B536" s="26">
        <v>6220362</v>
      </c>
      <c r="C536" s="27">
        <v>45926</v>
      </c>
      <c r="D536" s="28">
        <v>31.68</v>
      </c>
      <c r="E536" s="29">
        <v>247.11</v>
      </c>
      <c r="F536" s="30">
        <v>1556698</v>
      </c>
      <c r="G536" s="27">
        <v>45929</v>
      </c>
      <c r="H536" s="28">
        <v>31.68</v>
      </c>
      <c r="I536" s="29">
        <v>247.11</v>
      </c>
      <c r="J536" s="34" t="s">
        <v>33</v>
      </c>
      <c r="K536" t="s">
        <v>34</v>
      </c>
      <c r="L536" s="35">
        <v>342146996</v>
      </c>
      <c r="M536" s="36" t="s">
        <v>1790</v>
      </c>
      <c r="N536" s="37" t="s">
        <v>1346</v>
      </c>
      <c r="O536" t="s">
        <v>1791</v>
      </c>
      <c r="P536" t="s">
        <v>1792</v>
      </c>
      <c r="R536" s="38">
        <v>45913</v>
      </c>
      <c r="S536" s="39">
        <v>46277</v>
      </c>
      <c r="T536" s="38">
        <v>45931</v>
      </c>
      <c r="U536" s="39">
        <v>46295</v>
      </c>
      <c r="V536" s="40" t="s">
        <v>954</v>
      </c>
      <c r="W536" s="41" t="s">
        <v>114</v>
      </c>
      <c r="X536" s="40" t="s">
        <v>1793</v>
      </c>
      <c r="Y536" s="40" t="s">
        <v>56</v>
      </c>
      <c r="Z536" t="s">
        <v>81</v>
      </c>
      <c r="AC536" s="63">
        <v>9999768696</v>
      </c>
      <c r="AD536" s="46">
        <v>45929</v>
      </c>
      <c r="AE536">
        <v>3191233</v>
      </c>
      <c r="AF536" s="39">
        <v>46050</v>
      </c>
      <c r="AG536" s="48">
        <v>22580</v>
      </c>
      <c r="AH536" s="48">
        <v>11880.22</v>
      </c>
    </row>
    <row r="537" spans="1:35" ht="19.5" customHeight="1">
      <c r="A537" s="25">
        <f t="shared" si="8"/>
        <v>534</v>
      </c>
      <c r="B537" s="26">
        <v>6220372</v>
      </c>
      <c r="C537" s="27">
        <v>45926</v>
      </c>
      <c r="D537" s="28">
        <v>63.36</v>
      </c>
      <c r="E537" s="29">
        <v>494.22</v>
      </c>
      <c r="F537" s="30">
        <v>1556696</v>
      </c>
      <c r="G537" s="27">
        <v>45929</v>
      </c>
      <c r="H537" s="28">
        <v>63.36</v>
      </c>
      <c r="I537" s="29">
        <v>494.22</v>
      </c>
      <c r="J537" s="34" t="s">
        <v>33</v>
      </c>
      <c r="K537" t="s">
        <v>34</v>
      </c>
      <c r="L537" s="35">
        <v>322193852</v>
      </c>
      <c r="M537" s="36" t="s">
        <v>1794</v>
      </c>
      <c r="N537" s="37" t="s">
        <v>1346</v>
      </c>
      <c r="O537" t="s">
        <v>1795</v>
      </c>
      <c r="P537" t="s">
        <v>1796</v>
      </c>
      <c r="R537" s="38">
        <v>45956</v>
      </c>
      <c r="S537" s="39">
        <v>46320</v>
      </c>
      <c r="T537" s="38">
        <v>45956</v>
      </c>
      <c r="U537" s="39">
        <v>46320</v>
      </c>
      <c r="V537" s="40" t="s">
        <v>954</v>
      </c>
      <c r="W537" s="41" t="s">
        <v>114</v>
      </c>
      <c r="X537" s="40" t="s">
        <v>1797</v>
      </c>
      <c r="Y537" s="40" t="s">
        <v>185</v>
      </c>
      <c r="Z537" t="s">
        <v>81</v>
      </c>
      <c r="AC537" s="63">
        <v>9999772529</v>
      </c>
      <c r="AD537" s="46">
        <v>45930</v>
      </c>
      <c r="AE537">
        <v>3180105</v>
      </c>
      <c r="AF537" s="39">
        <v>45967</v>
      </c>
      <c r="AG537" s="48">
        <v>11080</v>
      </c>
      <c r="AH537" s="48">
        <v>11297.42</v>
      </c>
    </row>
    <row r="538" spans="1:35" ht="19.5" customHeight="1">
      <c r="A538" s="25">
        <f t="shared" si="8"/>
        <v>535</v>
      </c>
      <c r="B538" s="26">
        <v>6220383</v>
      </c>
      <c r="C538" s="27">
        <v>45926</v>
      </c>
      <c r="D538" s="28">
        <v>101.31</v>
      </c>
      <c r="E538" s="29">
        <v>790.24</v>
      </c>
      <c r="F538" s="30">
        <v>1556697</v>
      </c>
      <c r="G538" s="27">
        <v>45929</v>
      </c>
      <c r="H538" s="28">
        <v>101.31</v>
      </c>
      <c r="I538" s="29">
        <v>790.24</v>
      </c>
      <c r="J538" s="34" t="s">
        <v>33</v>
      </c>
      <c r="K538" t="s">
        <v>34</v>
      </c>
      <c r="L538" s="35">
        <v>382148929</v>
      </c>
      <c r="M538" s="36" t="s">
        <v>1798</v>
      </c>
      <c r="N538" s="37" t="s">
        <v>1346</v>
      </c>
      <c r="O538" t="s">
        <v>1799</v>
      </c>
      <c r="P538" t="s">
        <v>1800</v>
      </c>
      <c r="R538" s="38">
        <v>45962</v>
      </c>
      <c r="S538" s="39">
        <v>46326</v>
      </c>
      <c r="T538" s="38">
        <v>45962</v>
      </c>
      <c r="U538" s="39">
        <v>46326</v>
      </c>
      <c r="V538" s="40" t="s">
        <v>954</v>
      </c>
      <c r="W538" s="41" t="s">
        <v>114</v>
      </c>
      <c r="X538" s="40" t="s">
        <v>1801</v>
      </c>
      <c r="Y538" s="40" t="s">
        <v>185</v>
      </c>
      <c r="Z538" t="s">
        <v>81</v>
      </c>
      <c r="AC538" s="63">
        <v>9999772530</v>
      </c>
      <c r="AD538" s="46">
        <v>45930</v>
      </c>
      <c r="AE538">
        <v>3180098</v>
      </c>
      <c r="AF538" s="39">
        <v>45967</v>
      </c>
      <c r="AG538" s="48">
        <v>17590</v>
      </c>
      <c r="AH538" s="48">
        <v>9942.34</v>
      </c>
    </row>
    <row r="539" spans="1:35" ht="19.5" customHeight="1">
      <c r="A539" s="25">
        <f t="shared" si="8"/>
        <v>536</v>
      </c>
      <c r="B539" s="26">
        <v>6220454</v>
      </c>
      <c r="C539" s="27">
        <v>45926</v>
      </c>
      <c r="D539" s="28">
        <v>3117.84</v>
      </c>
      <c r="E539" s="29">
        <v>24319.78</v>
      </c>
      <c r="F539" s="30">
        <v>1556916</v>
      </c>
      <c r="G539" s="27">
        <v>45929</v>
      </c>
      <c r="H539" s="28">
        <v>3117.84</v>
      </c>
      <c r="I539" s="29">
        <v>24319.78</v>
      </c>
      <c r="J539" s="34" t="s">
        <v>33</v>
      </c>
      <c r="K539" t="s">
        <v>34</v>
      </c>
      <c r="L539" s="35">
        <v>441944028</v>
      </c>
      <c r="M539" s="36" t="s">
        <v>1802</v>
      </c>
      <c r="N539" s="37" t="s">
        <v>1346</v>
      </c>
      <c r="O539" t="s">
        <v>1803</v>
      </c>
      <c r="P539" t="s">
        <v>1804</v>
      </c>
      <c r="R539" s="38">
        <v>45916</v>
      </c>
      <c r="S539" s="39">
        <v>46280</v>
      </c>
      <c r="T539" s="38">
        <v>45978</v>
      </c>
      <c r="U539" s="39">
        <v>46342</v>
      </c>
      <c r="V539" s="40" t="s">
        <v>954</v>
      </c>
      <c r="W539" s="41" t="s">
        <v>114</v>
      </c>
      <c r="X539" s="40" t="s">
        <v>1805</v>
      </c>
      <c r="Y539" s="40" t="s">
        <v>185</v>
      </c>
      <c r="Z539" t="s">
        <v>81</v>
      </c>
      <c r="AC539" s="63" t="s">
        <v>1806</v>
      </c>
      <c r="AD539" s="46">
        <v>45930</v>
      </c>
      <c r="AE539">
        <v>3180143</v>
      </c>
      <c r="AF539" s="39">
        <v>45967</v>
      </c>
      <c r="AG539" s="48">
        <v>72860</v>
      </c>
      <c r="AH539" s="48">
        <v>24475.040000000001</v>
      </c>
    </row>
    <row r="540" spans="1:35" ht="19.5" customHeight="1">
      <c r="A540" s="25">
        <f t="shared" si="8"/>
        <v>537</v>
      </c>
      <c r="B540" s="26">
        <v>6221140</v>
      </c>
      <c r="C540" s="27">
        <v>45929</v>
      </c>
      <c r="D540" s="28">
        <v>95.92</v>
      </c>
      <c r="E540" s="29">
        <v>748.2</v>
      </c>
      <c r="F540" s="30">
        <v>1557106</v>
      </c>
      <c r="G540" s="27">
        <v>45929</v>
      </c>
      <c r="H540" s="28">
        <v>95.92</v>
      </c>
      <c r="I540" s="29">
        <v>748.2</v>
      </c>
      <c r="J540" s="34" t="s">
        <v>103</v>
      </c>
      <c r="K540" t="s">
        <v>206</v>
      </c>
      <c r="L540" s="35" t="s">
        <v>1807</v>
      </c>
      <c r="M540" s="36" t="s">
        <v>1808</v>
      </c>
      <c r="N540" s="37" t="s">
        <v>1330</v>
      </c>
      <c r="O540" t="s">
        <v>1809</v>
      </c>
      <c r="P540" t="s">
        <v>1810</v>
      </c>
      <c r="R540" s="38">
        <v>45912</v>
      </c>
      <c r="S540" s="39">
        <v>46276</v>
      </c>
      <c r="T540" s="38">
        <v>45912</v>
      </c>
      <c r="U540" s="39">
        <v>46276</v>
      </c>
      <c r="V540" s="40" t="s">
        <v>1811</v>
      </c>
      <c r="W540" s="41" t="s">
        <v>114</v>
      </c>
      <c r="X540" s="40" t="s">
        <v>1812</v>
      </c>
      <c r="Y540" s="40" t="s">
        <v>56</v>
      </c>
      <c r="Z540" t="s">
        <v>81</v>
      </c>
      <c r="AA540" s="62" t="s">
        <v>1813</v>
      </c>
      <c r="AB540" s="44">
        <v>45939</v>
      </c>
      <c r="AC540" s="63" t="s">
        <v>1814</v>
      </c>
      <c r="AD540" s="46">
        <v>45932</v>
      </c>
      <c r="AE540">
        <v>3180187</v>
      </c>
      <c r="AF540" s="39">
        <v>45967</v>
      </c>
      <c r="AG540" s="48">
        <v>1060</v>
      </c>
      <c r="AH540" s="48">
        <v>752.97</v>
      </c>
    </row>
    <row r="541" spans="1:35" ht="19.5" customHeight="1">
      <c r="A541" s="25">
        <f t="shared" si="8"/>
        <v>538</v>
      </c>
      <c r="B541" s="26">
        <v>6221333</v>
      </c>
      <c r="C541" s="27">
        <v>45929</v>
      </c>
      <c r="D541" s="28">
        <v>8073.35</v>
      </c>
      <c r="E541" s="29">
        <v>62973.74</v>
      </c>
      <c r="F541" s="30">
        <v>1557114</v>
      </c>
      <c r="G541" s="27">
        <v>45929</v>
      </c>
      <c r="H541" s="28">
        <v>8073.35</v>
      </c>
      <c r="I541" s="29">
        <v>62973.74</v>
      </c>
      <c r="J541" s="34" t="s">
        <v>33</v>
      </c>
      <c r="K541" t="s">
        <v>34</v>
      </c>
      <c r="L541" s="35" t="s">
        <v>1815</v>
      </c>
      <c r="M541" s="36" t="s">
        <v>1558</v>
      </c>
      <c r="N541" s="37" t="s">
        <v>1346</v>
      </c>
      <c r="O541" t="s">
        <v>1816</v>
      </c>
      <c r="P541" t="s">
        <v>1817</v>
      </c>
      <c r="R541" s="38">
        <v>45915</v>
      </c>
      <c r="S541" s="39">
        <v>46644</v>
      </c>
      <c r="T541" s="38">
        <v>45915</v>
      </c>
      <c r="U541" s="39">
        <v>46644</v>
      </c>
      <c r="V541" s="40" t="s">
        <v>1818</v>
      </c>
      <c r="W541" s="41" t="s">
        <v>114</v>
      </c>
      <c r="X541" s="40" t="s">
        <v>1819</v>
      </c>
      <c r="Y541" s="40" t="s">
        <v>185</v>
      </c>
      <c r="AC541" s="63">
        <v>9999783117</v>
      </c>
      <c r="AD541" s="46">
        <v>45933</v>
      </c>
      <c r="AE541">
        <v>3180624</v>
      </c>
      <c r="AF541" s="39">
        <v>45972</v>
      </c>
      <c r="AG541" s="48">
        <v>162022</v>
      </c>
      <c r="AH541" s="48">
        <v>65345.79</v>
      </c>
    </row>
    <row r="542" spans="1:35" ht="19.5" customHeight="1">
      <c r="A542" s="25">
        <f t="shared" si="8"/>
        <v>539</v>
      </c>
      <c r="B542" s="26">
        <v>6221150</v>
      </c>
      <c r="C542" s="27">
        <v>45929</v>
      </c>
      <c r="D542" s="71" t="s">
        <v>141</v>
      </c>
      <c r="E542" s="72">
        <v>1970</v>
      </c>
      <c r="F542" s="30" t="s">
        <v>1820</v>
      </c>
      <c r="G542" s="27">
        <v>45929</v>
      </c>
      <c r="H542" s="71" t="s">
        <v>141</v>
      </c>
      <c r="I542" s="72">
        <v>1970</v>
      </c>
      <c r="J542" s="34" t="s">
        <v>33</v>
      </c>
      <c r="K542" t="s">
        <v>139</v>
      </c>
      <c r="L542" s="35">
        <v>80005170</v>
      </c>
      <c r="M542" s="36" t="s">
        <v>1821</v>
      </c>
      <c r="N542" s="75" t="s">
        <v>1404</v>
      </c>
      <c r="O542" t="s">
        <v>1816</v>
      </c>
      <c r="P542" t="s">
        <v>1817</v>
      </c>
      <c r="Q542" t="s">
        <v>1822</v>
      </c>
      <c r="R542" s="38">
        <v>45915</v>
      </c>
      <c r="S542" s="39">
        <v>46644</v>
      </c>
      <c r="T542" s="38" t="s">
        <v>141</v>
      </c>
      <c r="U542" s="39" t="s">
        <v>141</v>
      </c>
      <c r="V542" s="40" t="s">
        <v>1818</v>
      </c>
      <c r="W542" s="41" t="s">
        <v>114</v>
      </c>
      <c r="X542" s="40" t="s">
        <v>1819</v>
      </c>
      <c r="Y542" s="40" t="s">
        <v>185</v>
      </c>
      <c r="AA542" s="62">
        <v>90007214</v>
      </c>
      <c r="AB542" s="44">
        <v>45961</v>
      </c>
      <c r="AC542" s="63">
        <v>60016837</v>
      </c>
      <c r="AD542" s="46">
        <v>45961</v>
      </c>
      <c r="AE542" s="128">
        <v>3202027</v>
      </c>
      <c r="AF542" s="39">
        <v>46127</v>
      </c>
      <c r="AG542" s="76">
        <v>162022</v>
      </c>
      <c r="AH542" s="76">
        <v>65345.79</v>
      </c>
    </row>
    <row r="543" spans="1:35" s="95" customFormat="1" ht="19.5" customHeight="1">
      <c r="A543" s="193">
        <f t="shared" si="8"/>
        <v>540</v>
      </c>
      <c r="B543" s="91">
        <v>6221330</v>
      </c>
      <c r="C543" s="92">
        <v>45929</v>
      </c>
      <c r="D543" s="243">
        <v>15198.68</v>
      </c>
      <c r="E543" s="244" t="s">
        <v>141</v>
      </c>
      <c r="F543" s="93">
        <v>1557223</v>
      </c>
      <c r="G543" s="92">
        <v>45930</v>
      </c>
      <c r="H543" s="243">
        <v>15198.68</v>
      </c>
      <c r="I543" s="244" t="s">
        <v>141</v>
      </c>
      <c r="J543" s="94" t="s">
        <v>33</v>
      </c>
      <c r="K543" s="95" t="s">
        <v>34</v>
      </c>
      <c r="L543" s="196">
        <v>292275348</v>
      </c>
      <c r="M543" s="96" t="s">
        <v>1823</v>
      </c>
      <c r="N543" s="245" t="s">
        <v>1824</v>
      </c>
      <c r="O543" s="95" t="s">
        <v>1825</v>
      </c>
      <c r="P543" s="95" t="s">
        <v>1826</v>
      </c>
      <c r="R543" s="198">
        <v>45932</v>
      </c>
      <c r="S543" s="200">
        <v>46661</v>
      </c>
      <c r="T543" s="198">
        <v>45932</v>
      </c>
      <c r="U543" s="200">
        <v>46661</v>
      </c>
      <c r="V543" s="201" t="s">
        <v>259</v>
      </c>
      <c r="W543" s="202" t="s">
        <v>114</v>
      </c>
      <c r="X543" s="201" t="s">
        <v>1827</v>
      </c>
      <c r="Y543" s="201" t="s">
        <v>185</v>
      </c>
      <c r="AA543" s="204"/>
      <c r="AB543" s="205"/>
      <c r="AC543" s="206"/>
      <c r="AD543" s="207"/>
      <c r="AF543" s="200" t="s">
        <v>1828</v>
      </c>
      <c r="AG543" s="246" t="s">
        <v>141</v>
      </c>
      <c r="AH543" s="246" t="s">
        <v>141</v>
      </c>
      <c r="AI543" s="209"/>
    </row>
    <row r="544" spans="1:35" ht="19.5" customHeight="1">
      <c r="A544" s="25">
        <f t="shared" si="8"/>
        <v>541</v>
      </c>
      <c r="B544" s="26">
        <v>6221394</v>
      </c>
      <c r="C544" s="27">
        <v>45929</v>
      </c>
      <c r="D544" s="71" t="s">
        <v>141</v>
      </c>
      <c r="E544" s="72">
        <v>1370</v>
      </c>
      <c r="F544" s="30">
        <v>1557110</v>
      </c>
      <c r="G544" s="27">
        <v>45929</v>
      </c>
      <c r="H544" s="71" t="s">
        <v>141</v>
      </c>
      <c r="I544" s="72">
        <v>1370</v>
      </c>
      <c r="J544" s="34" t="s">
        <v>33</v>
      </c>
      <c r="K544" t="s">
        <v>139</v>
      </c>
      <c r="L544" s="35" t="s">
        <v>1829</v>
      </c>
      <c r="M544" s="36" t="s">
        <v>1830</v>
      </c>
      <c r="N544" s="75" t="s">
        <v>1404</v>
      </c>
      <c r="O544" t="s">
        <v>1831</v>
      </c>
      <c r="P544" t="s">
        <v>1832</v>
      </c>
      <c r="Q544" t="s">
        <v>1833</v>
      </c>
      <c r="R544" s="38">
        <v>45991</v>
      </c>
      <c r="S544" s="39">
        <v>46355</v>
      </c>
      <c r="T544" s="38">
        <v>45991</v>
      </c>
      <c r="U544" s="39">
        <v>46355</v>
      </c>
      <c r="V544" s="40" t="s">
        <v>954</v>
      </c>
      <c r="W544" s="41" t="s">
        <v>114</v>
      </c>
      <c r="X544" s="40" t="s">
        <v>1834</v>
      </c>
      <c r="Y544" s="40" t="s">
        <v>185</v>
      </c>
      <c r="Z544" t="s">
        <v>81</v>
      </c>
      <c r="AA544" s="62">
        <v>90007214</v>
      </c>
      <c r="AB544" s="44">
        <v>45961</v>
      </c>
      <c r="AC544" s="63">
        <v>60016836</v>
      </c>
      <c r="AD544" s="46">
        <v>45961</v>
      </c>
      <c r="AE544">
        <v>3182056</v>
      </c>
      <c r="AF544" s="39">
        <v>45981</v>
      </c>
      <c r="AG544" s="76">
        <v>156000</v>
      </c>
      <c r="AH544" s="76">
        <v>18339.3</v>
      </c>
    </row>
    <row r="545" spans="1:34" ht="19.5" customHeight="1">
      <c r="A545" s="25">
        <f t="shared" si="8"/>
        <v>542</v>
      </c>
      <c r="B545" s="26">
        <v>6221445</v>
      </c>
      <c r="C545" s="27">
        <v>45929</v>
      </c>
      <c r="D545" s="28">
        <f>152.3+2009.4</f>
        <v>2161.7000000000003</v>
      </c>
      <c r="E545" s="29">
        <f>1187.97+15673.72</f>
        <v>16861.689999999999</v>
      </c>
      <c r="F545" s="30">
        <v>1557064</v>
      </c>
      <c r="G545" s="27">
        <v>45932</v>
      </c>
      <c r="H545" s="28">
        <f>152.3+2009.4</f>
        <v>2161.7000000000003</v>
      </c>
      <c r="I545" s="29">
        <f>1187.97+15673.72</f>
        <v>16861.689999999999</v>
      </c>
      <c r="J545" s="34" t="s">
        <v>33</v>
      </c>
      <c r="K545" t="s">
        <v>34</v>
      </c>
      <c r="L545" s="35" t="s">
        <v>1835</v>
      </c>
      <c r="M545" s="36" t="s">
        <v>1836</v>
      </c>
      <c r="N545" s="37" t="s">
        <v>1346</v>
      </c>
      <c r="O545" t="s">
        <v>1831</v>
      </c>
      <c r="P545" t="s">
        <v>1832</v>
      </c>
      <c r="Q545" t="s">
        <v>1833</v>
      </c>
      <c r="R545" s="38">
        <v>45991</v>
      </c>
      <c r="S545" s="39">
        <v>46355</v>
      </c>
      <c r="T545" s="38">
        <v>45991</v>
      </c>
      <c r="U545" s="39">
        <v>46355</v>
      </c>
      <c r="V545" s="40" t="s">
        <v>954</v>
      </c>
      <c r="W545" s="41" t="s">
        <v>114</v>
      </c>
      <c r="X545" s="40" t="s">
        <v>1834</v>
      </c>
      <c r="Y545" s="40" t="s">
        <v>185</v>
      </c>
      <c r="Z545" t="s">
        <v>81</v>
      </c>
      <c r="AC545" s="63" t="s">
        <v>1837</v>
      </c>
      <c r="AD545" s="46">
        <v>45930</v>
      </c>
      <c r="AE545" t="s">
        <v>1838</v>
      </c>
      <c r="AF545" s="39">
        <v>45967</v>
      </c>
      <c r="AG545" s="48">
        <v>156000</v>
      </c>
      <c r="AH545" s="48">
        <v>18339.3</v>
      </c>
    </row>
    <row r="546" spans="1:34" ht="19.5" customHeight="1">
      <c r="A546" s="25">
        <f t="shared" si="8"/>
        <v>543</v>
      </c>
      <c r="B546" s="26">
        <v>6221712</v>
      </c>
      <c r="C546" s="27">
        <v>45930</v>
      </c>
      <c r="D546" s="28">
        <v>1465.55</v>
      </c>
      <c r="E546" s="29">
        <v>11399.05</v>
      </c>
      <c r="F546" s="30">
        <v>1557610</v>
      </c>
      <c r="G546" s="27">
        <v>45939</v>
      </c>
      <c r="H546" s="28">
        <v>1465.55</v>
      </c>
      <c r="I546" s="29">
        <v>11399.05</v>
      </c>
      <c r="J546" s="34" t="s">
        <v>33</v>
      </c>
      <c r="K546" t="s">
        <v>34</v>
      </c>
      <c r="L546" s="35">
        <v>441956107</v>
      </c>
      <c r="M546" s="36" t="s">
        <v>1839</v>
      </c>
      <c r="N546" s="37" t="s">
        <v>1840</v>
      </c>
      <c r="O546" t="s">
        <v>1841</v>
      </c>
      <c r="P546" t="s">
        <v>1842</v>
      </c>
      <c r="Q546" t="s">
        <v>1843</v>
      </c>
      <c r="R546" s="38">
        <v>45974</v>
      </c>
      <c r="S546" s="39">
        <v>46338</v>
      </c>
      <c r="T546" s="38">
        <v>45974</v>
      </c>
      <c r="U546" s="39">
        <v>46265</v>
      </c>
      <c r="V546" s="40" t="s">
        <v>1654</v>
      </c>
      <c r="W546" s="41" t="s">
        <v>114</v>
      </c>
      <c r="X546" s="40" t="s">
        <v>1844</v>
      </c>
      <c r="Y546" s="40" t="s">
        <v>185</v>
      </c>
      <c r="AC546" s="63">
        <v>9999799161</v>
      </c>
      <c r="AD546" s="46">
        <v>45940</v>
      </c>
      <c r="AE546">
        <v>3180686</v>
      </c>
      <c r="AF546" s="39">
        <v>45972</v>
      </c>
      <c r="AG546" s="48">
        <v>74340</v>
      </c>
      <c r="AH546" s="48">
        <v>33235.769999999997</v>
      </c>
    </row>
    <row r="547" spans="1:34" ht="19.5" customHeight="1">
      <c r="A547" s="25">
        <f t="shared" si="8"/>
        <v>544</v>
      </c>
      <c r="B547" s="26">
        <v>6222544</v>
      </c>
      <c r="C547" s="27">
        <v>45932</v>
      </c>
      <c r="D547" s="28">
        <v>320.60000000000002</v>
      </c>
      <c r="E547" s="29">
        <v>2493.63</v>
      </c>
      <c r="F547" s="30">
        <v>1557892</v>
      </c>
      <c r="G547" s="27">
        <v>45938</v>
      </c>
      <c r="H547" s="28">
        <v>320.60000000000002</v>
      </c>
      <c r="I547" s="29">
        <v>2493.63</v>
      </c>
      <c r="J547" s="34" t="s">
        <v>33</v>
      </c>
      <c r="K547" t="s">
        <v>34</v>
      </c>
      <c r="L547" s="35">
        <v>212273365</v>
      </c>
      <c r="M547" s="36" t="s">
        <v>1845</v>
      </c>
      <c r="N547" s="37" t="s">
        <v>1540</v>
      </c>
      <c r="O547" t="s">
        <v>1846</v>
      </c>
      <c r="P547" t="s">
        <v>1847</v>
      </c>
      <c r="Q547" t="s">
        <v>1848</v>
      </c>
      <c r="R547" s="38">
        <v>46023</v>
      </c>
      <c r="S547" s="39">
        <v>46387</v>
      </c>
      <c r="T547" s="38">
        <v>46023</v>
      </c>
      <c r="U547" s="39">
        <v>46387</v>
      </c>
      <c r="V547" s="40" t="s">
        <v>51</v>
      </c>
      <c r="W547" s="41" t="s">
        <v>114</v>
      </c>
      <c r="X547" s="40" t="s">
        <v>1849</v>
      </c>
      <c r="Y547" s="40" t="s">
        <v>56</v>
      </c>
      <c r="AC547" s="63">
        <v>9999795443</v>
      </c>
      <c r="AD547" s="46">
        <v>45939</v>
      </c>
      <c r="AE547">
        <v>3180628</v>
      </c>
      <c r="AF547" s="39">
        <v>45972</v>
      </c>
      <c r="AG547" s="48">
        <v>58900</v>
      </c>
      <c r="AH547" s="48">
        <v>33313</v>
      </c>
    </row>
    <row r="548" spans="1:34" ht="19.5" customHeight="1">
      <c r="A548" s="25">
        <f t="shared" si="8"/>
        <v>545</v>
      </c>
      <c r="B548" s="26">
        <v>6222782</v>
      </c>
      <c r="C548" s="27">
        <v>45933</v>
      </c>
      <c r="D548" s="28">
        <v>1953.88</v>
      </c>
      <c r="E548" s="29">
        <v>15197.28</v>
      </c>
      <c r="F548" s="30">
        <v>1558015</v>
      </c>
      <c r="G548" s="27">
        <v>45940</v>
      </c>
      <c r="H548" s="28">
        <v>1953.88</v>
      </c>
      <c r="I548" s="29">
        <v>15197.28</v>
      </c>
      <c r="J548" s="34" t="s">
        <v>33</v>
      </c>
      <c r="K548" t="s">
        <v>34</v>
      </c>
      <c r="L548" s="35">
        <v>312196659</v>
      </c>
      <c r="M548" s="36" t="s">
        <v>1850</v>
      </c>
      <c r="N548" s="37" t="s">
        <v>1851</v>
      </c>
      <c r="O548" t="s">
        <v>994</v>
      </c>
      <c r="P548" t="s">
        <v>995</v>
      </c>
      <c r="Q548" t="s">
        <v>1848</v>
      </c>
      <c r="R548" s="38">
        <v>45778</v>
      </c>
      <c r="S548" s="39">
        <v>46142</v>
      </c>
      <c r="T548" s="38">
        <v>45898</v>
      </c>
      <c r="U548" s="39">
        <v>46262</v>
      </c>
      <c r="V548" s="40" t="s">
        <v>38</v>
      </c>
      <c r="W548" s="41" t="s">
        <v>114</v>
      </c>
      <c r="X548" s="40" t="s">
        <v>1852</v>
      </c>
      <c r="Y548" s="40" t="s">
        <v>185</v>
      </c>
      <c r="AC548" s="63">
        <v>9999802002</v>
      </c>
      <c r="AD548" s="46">
        <v>45943</v>
      </c>
      <c r="AE548">
        <v>3180221</v>
      </c>
      <c r="AF548" s="39">
        <v>45967</v>
      </c>
      <c r="AG548" s="48">
        <v>5924668.9000000004</v>
      </c>
      <c r="AH548" s="48">
        <v>4907741.4800000004</v>
      </c>
    </row>
    <row r="549" spans="1:34" ht="19.5" customHeight="1">
      <c r="A549" s="25">
        <f t="shared" si="8"/>
        <v>546</v>
      </c>
      <c r="B549" s="26">
        <v>6223146</v>
      </c>
      <c r="C549" s="27">
        <v>45933</v>
      </c>
      <c r="D549" s="71" t="s">
        <v>141</v>
      </c>
      <c r="E549" s="72">
        <v>63040</v>
      </c>
      <c r="F549" s="30">
        <v>1558134</v>
      </c>
      <c r="G549" s="27">
        <v>45936</v>
      </c>
      <c r="H549" s="71" t="s">
        <v>141</v>
      </c>
      <c r="I549" s="72">
        <v>63040</v>
      </c>
      <c r="J549" s="34" t="s">
        <v>33</v>
      </c>
      <c r="K549" t="s">
        <v>139</v>
      </c>
      <c r="L549" s="35" t="s">
        <v>1853</v>
      </c>
      <c r="M549" s="36" t="s">
        <v>1854</v>
      </c>
      <c r="N549" s="75" t="s">
        <v>1383</v>
      </c>
      <c r="O549" t="s">
        <v>1855</v>
      </c>
      <c r="P549" t="s">
        <v>1856</v>
      </c>
      <c r="Q549" t="s">
        <v>1857</v>
      </c>
      <c r="R549" s="38">
        <v>45916</v>
      </c>
      <c r="S549" s="39">
        <v>46280</v>
      </c>
      <c r="T549" s="38" t="s">
        <v>141</v>
      </c>
      <c r="U549" s="39" t="s">
        <v>141</v>
      </c>
      <c r="V549" s="40" t="s">
        <v>521</v>
      </c>
      <c r="W549" s="41" t="s">
        <v>114</v>
      </c>
      <c r="X549" s="40" t="s">
        <v>1858</v>
      </c>
      <c r="Y549" s="40" t="s">
        <v>185</v>
      </c>
      <c r="AA549" s="62">
        <v>90007235</v>
      </c>
      <c r="AB549" s="44">
        <v>45973</v>
      </c>
      <c r="AC549" s="63">
        <v>60016890</v>
      </c>
      <c r="AD549" s="46">
        <v>45973</v>
      </c>
      <c r="AE549">
        <v>3183325</v>
      </c>
      <c r="AF549" s="39">
        <v>45989</v>
      </c>
      <c r="AG549" s="76">
        <v>579570</v>
      </c>
      <c r="AH549" s="76">
        <v>91710</v>
      </c>
    </row>
    <row r="550" spans="1:34" ht="19.5" customHeight="1">
      <c r="A550" s="25">
        <f t="shared" si="8"/>
        <v>547</v>
      </c>
      <c r="B550" s="26">
        <v>6223147</v>
      </c>
      <c r="C550" s="27">
        <v>45933</v>
      </c>
      <c r="D550" s="71" t="s">
        <v>141</v>
      </c>
      <c r="E550" s="247">
        <v>28670</v>
      </c>
      <c r="F550" s="30" t="s">
        <v>1859</v>
      </c>
      <c r="G550" s="27">
        <v>45944</v>
      </c>
      <c r="H550" s="71" t="s">
        <v>141</v>
      </c>
      <c r="I550" s="220">
        <f>3200+6800+4000+2800+1400*2</f>
        <v>19600</v>
      </c>
      <c r="J550" s="34" t="s">
        <v>33</v>
      </c>
      <c r="K550" s="66" t="s">
        <v>733</v>
      </c>
      <c r="L550" s="35" t="s">
        <v>1860</v>
      </c>
      <c r="M550" s="36" t="s">
        <v>1861</v>
      </c>
      <c r="N550" s="75" t="s">
        <v>1404</v>
      </c>
      <c r="O550" t="s">
        <v>1855</v>
      </c>
      <c r="P550" t="s">
        <v>1856</v>
      </c>
      <c r="Q550" t="s">
        <v>1857</v>
      </c>
      <c r="R550" s="38">
        <v>45916</v>
      </c>
      <c r="S550" s="39">
        <v>46280</v>
      </c>
      <c r="T550" s="38" t="s">
        <v>141</v>
      </c>
      <c r="U550" s="39" t="s">
        <v>141</v>
      </c>
      <c r="V550" s="40" t="s">
        <v>521</v>
      </c>
      <c r="W550" s="41" t="s">
        <v>114</v>
      </c>
      <c r="X550" s="40" t="s">
        <v>1858</v>
      </c>
      <c r="Y550" s="40" t="s">
        <v>185</v>
      </c>
      <c r="AA550" s="63" t="s">
        <v>1862</v>
      </c>
      <c r="AB550" s="46">
        <v>45975</v>
      </c>
      <c r="AC550" s="63" t="s">
        <v>1863</v>
      </c>
      <c r="AD550" s="46">
        <v>45975</v>
      </c>
      <c r="AG550" s="76">
        <v>579570</v>
      </c>
      <c r="AH550" s="76">
        <v>91710</v>
      </c>
    </row>
    <row r="551" spans="1:34" ht="19.5" customHeight="1">
      <c r="A551" s="25">
        <f t="shared" si="8"/>
        <v>548</v>
      </c>
      <c r="B551" s="26">
        <v>6223193</v>
      </c>
      <c r="C551" s="27">
        <v>45933</v>
      </c>
      <c r="D551" s="28" t="s">
        <v>141</v>
      </c>
      <c r="E551" s="29">
        <v>157945.57</v>
      </c>
      <c r="F551" s="30">
        <v>1558102</v>
      </c>
      <c r="G551" s="27">
        <v>45936</v>
      </c>
      <c r="H551" s="28" t="s">
        <v>141</v>
      </c>
      <c r="I551" s="29">
        <v>157945.57</v>
      </c>
      <c r="J551" s="34" t="s">
        <v>103</v>
      </c>
      <c r="K551" t="s">
        <v>107</v>
      </c>
      <c r="L551" s="35" t="s">
        <v>1864</v>
      </c>
      <c r="M551" s="36" t="s">
        <v>1865</v>
      </c>
      <c r="N551" s="37" t="s">
        <v>1458</v>
      </c>
      <c r="O551" t="s">
        <v>1866</v>
      </c>
      <c r="P551" t="s">
        <v>1867</v>
      </c>
      <c r="Q551" t="s">
        <v>1868</v>
      </c>
      <c r="R551" s="38">
        <v>45925</v>
      </c>
      <c r="S551" s="39">
        <v>46289</v>
      </c>
      <c r="T551" s="38">
        <v>45925</v>
      </c>
      <c r="U551" s="39">
        <v>46105</v>
      </c>
      <c r="V551" s="40" t="s">
        <v>1654</v>
      </c>
      <c r="W551" s="41" t="s">
        <v>114</v>
      </c>
      <c r="X551" s="40" t="s">
        <v>1869</v>
      </c>
      <c r="Y551" s="40" t="s">
        <v>56</v>
      </c>
      <c r="AA551" s="62" t="s">
        <v>1870</v>
      </c>
      <c r="AB551" s="44">
        <v>45939</v>
      </c>
      <c r="AC551" s="63" t="s">
        <v>1871</v>
      </c>
      <c r="AD551" s="46">
        <v>45939</v>
      </c>
      <c r="AE551">
        <v>3189580</v>
      </c>
      <c r="AF551" s="47">
        <v>46038</v>
      </c>
      <c r="AG551" s="48">
        <v>207930</v>
      </c>
      <c r="AH551" s="48">
        <v>157945.57</v>
      </c>
    </row>
    <row r="552" spans="1:34" ht="19.5" customHeight="1">
      <c r="A552" s="25">
        <f t="shared" si="8"/>
        <v>549</v>
      </c>
      <c r="B552" s="26">
        <v>6223220</v>
      </c>
      <c r="C552" s="27">
        <v>45933</v>
      </c>
      <c r="D552" s="28">
        <v>813.46</v>
      </c>
      <c r="E552" s="29">
        <v>6327.09</v>
      </c>
      <c r="F552" s="30">
        <v>1558182</v>
      </c>
      <c r="G552" s="27">
        <v>45943</v>
      </c>
      <c r="H552" s="28">
        <v>813.46</v>
      </c>
      <c r="I552" s="29">
        <v>6327.09</v>
      </c>
      <c r="J552" s="34" t="s">
        <v>33</v>
      </c>
      <c r="K552" t="s">
        <v>34</v>
      </c>
      <c r="L552" s="35">
        <v>212272860</v>
      </c>
      <c r="M552" s="36" t="s">
        <v>1872</v>
      </c>
      <c r="N552" s="37" t="s">
        <v>1674</v>
      </c>
      <c r="O552" t="s">
        <v>1873</v>
      </c>
      <c r="P552" t="s">
        <v>1874</v>
      </c>
      <c r="Q552" t="s">
        <v>1875</v>
      </c>
      <c r="R552" s="38">
        <v>46000</v>
      </c>
      <c r="S552" s="39">
        <v>46364</v>
      </c>
      <c r="T552" s="38">
        <v>46243</v>
      </c>
      <c r="U552" s="39">
        <v>46607</v>
      </c>
      <c r="V552" s="40" t="s">
        <v>51</v>
      </c>
      <c r="W552" s="41" t="s">
        <v>114</v>
      </c>
      <c r="X552" s="40" t="s">
        <v>1876</v>
      </c>
      <c r="Y552" s="40" t="s">
        <v>185</v>
      </c>
      <c r="AC552" s="63">
        <v>9999805396</v>
      </c>
      <c r="AD552" s="46">
        <v>45944</v>
      </c>
      <c r="AE552">
        <v>3180679</v>
      </c>
      <c r="AF552" s="39">
        <v>45972</v>
      </c>
      <c r="AG552" s="48">
        <v>260162.17</v>
      </c>
      <c r="AH552" s="48">
        <v>196490.45</v>
      </c>
    </row>
    <row r="553" spans="1:34" ht="19.5" customHeight="1">
      <c r="A553" s="25">
        <f t="shared" si="8"/>
        <v>550</v>
      </c>
      <c r="B553" s="26">
        <v>6223510</v>
      </c>
      <c r="C553" s="27">
        <v>45936</v>
      </c>
      <c r="D553" s="28">
        <v>355.83</v>
      </c>
      <c r="E553" s="29">
        <v>2767.65</v>
      </c>
      <c r="F553" s="30">
        <v>1558181</v>
      </c>
      <c r="G553" s="27">
        <v>45943</v>
      </c>
      <c r="H553" s="28">
        <v>355.83</v>
      </c>
      <c r="I553" s="29">
        <v>2767.65</v>
      </c>
      <c r="J553" s="34" t="s">
        <v>33</v>
      </c>
      <c r="K553" t="s">
        <v>34</v>
      </c>
      <c r="L553" s="35">
        <v>232271695</v>
      </c>
      <c r="M553" s="36" t="s">
        <v>1877</v>
      </c>
      <c r="N553" s="37" t="s">
        <v>1346</v>
      </c>
      <c r="O553" t="s">
        <v>1878</v>
      </c>
      <c r="P553" t="s">
        <v>1879</v>
      </c>
      <c r="Q553" t="s">
        <v>903</v>
      </c>
      <c r="R553" s="38">
        <v>45951</v>
      </c>
      <c r="S553" s="39">
        <v>46680</v>
      </c>
      <c r="T553" s="38">
        <v>45951</v>
      </c>
      <c r="U553" s="39">
        <v>46265</v>
      </c>
      <c r="V553" s="40" t="s">
        <v>375</v>
      </c>
      <c r="W553" s="41" t="s">
        <v>114</v>
      </c>
      <c r="X553" s="40" t="s">
        <v>1880</v>
      </c>
      <c r="Y553" s="40" t="s">
        <v>185</v>
      </c>
      <c r="AC553" s="63">
        <v>9999805404</v>
      </c>
      <c r="AD553" s="46">
        <v>45944</v>
      </c>
      <c r="AE553">
        <v>3180700</v>
      </c>
      <c r="AF553" s="47">
        <v>46037</v>
      </c>
      <c r="AG553" s="48">
        <v>5627</v>
      </c>
      <c r="AH553" s="48">
        <v>4763.2700000000004</v>
      </c>
    </row>
    <row r="554" spans="1:34" ht="19.5" customHeight="1">
      <c r="A554" s="25">
        <f t="shared" si="8"/>
        <v>551</v>
      </c>
      <c r="B554" s="26">
        <v>6223577</v>
      </c>
      <c r="C554" s="27">
        <v>46120</v>
      </c>
      <c r="D554" s="71" t="s">
        <v>141</v>
      </c>
      <c r="E554" s="72">
        <v>1970</v>
      </c>
      <c r="F554" s="248" t="s">
        <v>1881</v>
      </c>
      <c r="G554" s="27">
        <v>46121</v>
      </c>
      <c r="H554" s="71" t="s">
        <v>141</v>
      </c>
      <c r="I554" s="72">
        <v>1970</v>
      </c>
      <c r="J554" s="34" t="s">
        <v>33</v>
      </c>
      <c r="K554" t="s">
        <v>139</v>
      </c>
      <c r="L554" s="35">
        <v>80005177</v>
      </c>
      <c r="M554" s="36" t="s">
        <v>1882</v>
      </c>
      <c r="N554" s="75" t="s">
        <v>1404</v>
      </c>
      <c r="O554" t="s">
        <v>1878</v>
      </c>
      <c r="P554" t="s">
        <v>1879</v>
      </c>
      <c r="Q554" t="s">
        <v>903</v>
      </c>
      <c r="R554" s="38">
        <v>45951</v>
      </c>
      <c r="S554" s="39">
        <v>46680</v>
      </c>
      <c r="T554" s="38">
        <v>45951</v>
      </c>
      <c r="U554" s="39">
        <v>46265</v>
      </c>
      <c r="V554" s="40" t="s">
        <v>375</v>
      </c>
      <c r="W554" s="41" t="s">
        <v>114</v>
      </c>
      <c r="X554" s="40" t="s">
        <v>1880</v>
      </c>
      <c r="Y554" s="40" t="s">
        <v>185</v>
      </c>
      <c r="AA554" s="62" t="s">
        <v>1883</v>
      </c>
      <c r="AB554" s="44">
        <v>46125</v>
      </c>
      <c r="AC554" s="63">
        <v>60017539</v>
      </c>
      <c r="AD554" s="46">
        <v>46125</v>
      </c>
      <c r="AE554">
        <v>3204918</v>
      </c>
      <c r="AF554" s="39">
        <v>46147</v>
      </c>
      <c r="AG554" s="76">
        <v>5627</v>
      </c>
      <c r="AH554" s="76">
        <v>4763.2700000000004</v>
      </c>
    </row>
    <row r="555" spans="1:34" ht="19.5" customHeight="1">
      <c r="A555" s="25">
        <f t="shared" si="8"/>
        <v>552</v>
      </c>
      <c r="B555" s="26">
        <v>6223581</v>
      </c>
      <c r="C555" s="27">
        <v>45936</v>
      </c>
      <c r="D555" s="71" t="s">
        <v>141</v>
      </c>
      <c r="E555" s="72">
        <v>1470</v>
      </c>
      <c r="F555" s="30">
        <v>1558136</v>
      </c>
      <c r="G555" s="27">
        <v>45940</v>
      </c>
      <c r="H555" s="71" t="s">
        <v>141</v>
      </c>
      <c r="I555" s="72">
        <v>1470</v>
      </c>
      <c r="J555" s="34" t="s">
        <v>33</v>
      </c>
      <c r="K555" t="s">
        <v>139</v>
      </c>
      <c r="L555" s="35" t="s">
        <v>1884</v>
      </c>
      <c r="M555" s="36" t="s">
        <v>1885</v>
      </c>
      <c r="N555" s="75" t="s">
        <v>1749</v>
      </c>
      <c r="O555" t="s">
        <v>1873</v>
      </c>
      <c r="P555" t="s">
        <v>1874</v>
      </c>
      <c r="Q555" t="s">
        <v>1875</v>
      </c>
      <c r="R555" s="38">
        <v>46000</v>
      </c>
      <c r="S555" s="39">
        <v>46364</v>
      </c>
      <c r="T555" s="38" t="s">
        <v>141</v>
      </c>
      <c r="U555" s="39" t="s">
        <v>141</v>
      </c>
      <c r="V555" s="40" t="s">
        <v>51</v>
      </c>
      <c r="W555" s="41" t="s">
        <v>114</v>
      </c>
      <c r="X555" s="40" t="s">
        <v>1876</v>
      </c>
      <c r="Y555" s="40" t="s">
        <v>185</v>
      </c>
      <c r="AA555" s="62">
        <v>90007214</v>
      </c>
      <c r="AB555" s="44">
        <v>45961</v>
      </c>
      <c r="AC555" s="63">
        <v>60016838</v>
      </c>
      <c r="AD555" s="46">
        <v>45961</v>
      </c>
      <c r="AE555">
        <v>3184714</v>
      </c>
      <c r="AF555" s="47">
        <v>46001</v>
      </c>
      <c r="AG555" s="76">
        <v>260162.17</v>
      </c>
      <c r="AH555" s="76">
        <v>196490.45</v>
      </c>
    </row>
    <row r="556" spans="1:34" ht="19.5" customHeight="1">
      <c r="A556" s="25">
        <f t="shared" si="8"/>
        <v>553</v>
      </c>
      <c r="B556" s="26">
        <v>6223591</v>
      </c>
      <c r="C556" s="27">
        <v>45936</v>
      </c>
      <c r="D556" s="71" t="s">
        <v>141</v>
      </c>
      <c r="E556" s="72">
        <v>1770</v>
      </c>
      <c r="F556" s="30" t="s">
        <v>1886</v>
      </c>
      <c r="G556" s="27">
        <v>45940</v>
      </c>
      <c r="H556" s="71" t="s">
        <v>141</v>
      </c>
      <c r="I556" s="72">
        <v>1770</v>
      </c>
      <c r="J556" s="34" t="s">
        <v>33</v>
      </c>
      <c r="K556" t="s">
        <v>139</v>
      </c>
      <c r="L556" s="35">
        <v>80005179</v>
      </c>
      <c r="M556" s="36" t="s">
        <v>1887</v>
      </c>
      <c r="N556" s="75" t="s">
        <v>1749</v>
      </c>
      <c r="O556" t="s">
        <v>1816</v>
      </c>
      <c r="P556" t="s">
        <v>1817</v>
      </c>
      <c r="Q556" t="s">
        <v>1822</v>
      </c>
      <c r="R556" s="38">
        <v>45915</v>
      </c>
      <c r="S556" s="39">
        <v>46644</v>
      </c>
      <c r="T556" s="38" t="s">
        <v>141</v>
      </c>
      <c r="U556" s="39" t="s">
        <v>141</v>
      </c>
      <c r="V556" s="40" t="s">
        <v>458</v>
      </c>
      <c r="W556" s="41" t="s">
        <v>114</v>
      </c>
      <c r="X556" s="40" t="s">
        <v>1819</v>
      </c>
      <c r="Y556" s="40" t="s">
        <v>185</v>
      </c>
      <c r="AA556" s="62">
        <v>90007214</v>
      </c>
      <c r="AB556" s="44">
        <v>45961</v>
      </c>
      <c r="AC556" s="63">
        <v>60016839</v>
      </c>
      <c r="AD556" s="46">
        <v>45961</v>
      </c>
      <c r="AE556">
        <v>3202048</v>
      </c>
      <c r="AF556" s="39">
        <v>46127</v>
      </c>
      <c r="AG556" s="76">
        <v>162022</v>
      </c>
      <c r="AH556" s="76">
        <v>67115.789999999994</v>
      </c>
    </row>
    <row r="557" spans="1:34" ht="19.5" customHeight="1">
      <c r="A557" s="25">
        <f t="shared" si="8"/>
        <v>554</v>
      </c>
      <c r="B557" s="26">
        <v>6224299</v>
      </c>
      <c r="C557" s="27">
        <v>45938</v>
      </c>
      <c r="D557" s="28">
        <v>10026.780000000001</v>
      </c>
      <c r="E557" s="29">
        <v>77988.289999999994</v>
      </c>
      <c r="F557" s="30">
        <v>1558747</v>
      </c>
      <c r="G557" s="27">
        <v>45943</v>
      </c>
      <c r="H557" s="28">
        <v>10026.780000000001</v>
      </c>
      <c r="I557" s="29">
        <v>77988.289999999994</v>
      </c>
      <c r="J557" s="34" t="s">
        <v>33</v>
      </c>
      <c r="K557" t="s">
        <v>34</v>
      </c>
      <c r="L557" s="35">
        <v>362174488</v>
      </c>
      <c r="M557" s="36" t="s">
        <v>1558</v>
      </c>
      <c r="N557" s="37" t="s">
        <v>1346</v>
      </c>
      <c r="O557" t="s">
        <v>1888</v>
      </c>
      <c r="P557" t="s">
        <v>1889</v>
      </c>
      <c r="Q557" t="s">
        <v>1822</v>
      </c>
      <c r="R557" s="38">
        <v>45930</v>
      </c>
      <c r="S557" s="39">
        <v>46294</v>
      </c>
      <c r="T557" s="38">
        <v>46129</v>
      </c>
      <c r="U557" s="39">
        <v>46493</v>
      </c>
      <c r="V557" s="40" t="s">
        <v>458</v>
      </c>
      <c r="W557" s="41" t="s">
        <v>114</v>
      </c>
      <c r="X557" s="40" t="s">
        <v>1890</v>
      </c>
      <c r="Y557" s="40" t="s">
        <v>185</v>
      </c>
      <c r="AC557" s="63">
        <v>9999805366</v>
      </c>
      <c r="AD557" s="46">
        <v>45944</v>
      </c>
      <c r="AE557">
        <v>3180671</v>
      </c>
      <c r="AF557" s="39">
        <v>45972</v>
      </c>
      <c r="AG557" s="48">
        <v>99146</v>
      </c>
      <c r="AH557" s="48">
        <v>78710.22</v>
      </c>
    </row>
    <row r="558" spans="1:34" ht="19.5" customHeight="1">
      <c r="A558" s="25">
        <f t="shared" si="8"/>
        <v>555</v>
      </c>
      <c r="B558" s="26">
        <v>6224317</v>
      </c>
      <c r="C558" s="27">
        <v>45938</v>
      </c>
      <c r="D558" s="71" t="s">
        <v>141</v>
      </c>
      <c r="E558" s="72">
        <v>10840</v>
      </c>
      <c r="F558" s="30" t="s">
        <v>1891</v>
      </c>
      <c r="G558" s="27">
        <v>45944</v>
      </c>
      <c r="H558" s="71" t="s">
        <v>141</v>
      </c>
      <c r="I558" s="72">
        <v>10840</v>
      </c>
      <c r="J558" s="34" t="s">
        <v>33</v>
      </c>
      <c r="K558" t="s">
        <v>139</v>
      </c>
      <c r="L558" s="35">
        <v>80005180</v>
      </c>
      <c r="M558" s="36" t="s">
        <v>1892</v>
      </c>
      <c r="N558" s="75" t="s">
        <v>1383</v>
      </c>
      <c r="O558" t="s">
        <v>1893</v>
      </c>
      <c r="P558" t="s">
        <v>1894</v>
      </c>
      <c r="Q558" t="s">
        <v>1822</v>
      </c>
      <c r="R558" s="38">
        <v>45915</v>
      </c>
      <c r="S558" s="39">
        <v>46279</v>
      </c>
      <c r="T558" s="38" t="s">
        <v>141</v>
      </c>
      <c r="U558" s="39" t="s">
        <v>141</v>
      </c>
      <c r="V558" s="40" t="s">
        <v>458</v>
      </c>
      <c r="W558" s="41" t="s">
        <v>114</v>
      </c>
      <c r="X558" s="40" t="s">
        <v>1895</v>
      </c>
      <c r="Y558" s="40" t="s">
        <v>185</v>
      </c>
      <c r="AA558" s="62">
        <v>90007214</v>
      </c>
      <c r="AB558" s="44">
        <v>45961</v>
      </c>
      <c r="AC558" s="63">
        <v>60016840</v>
      </c>
      <c r="AD558" s="46">
        <v>45961</v>
      </c>
      <c r="AE558">
        <v>3204827</v>
      </c>
      <c r="AF558" s="39">
        <v>46147</v>
      </c>
      <c r="AG558" s="76">
        <v>69540</v>
      </c>
      <c r="AH558" s="76">
        <v>10840</v>
      </c>
    </row>
    <row r="559" spans="1:34" ht="19.5" customHeight="1">
      <c r="A559" s="25">
        <f t="shared" si="8"/>
        <v>556</v>
      </c>
      <c r="B559" s="26">
        <v>6224417</v>
      </c>
      <c r="C559" s="27">
        <v>45938</v>
      </c>
      <c r="D559" s="71" t="s">
        <v>141</v>
      </c>
      <c r="E559" s="72">
        <v>970</v>
      </c>
      <c r="F559" s="30" t="s">
        <v>1896</v>
      </c>
      <c r="G559" s="27">
        <v>45940</v>
      </c>
      <c r="H559" s="71" t="s">
        <v>141</v>
      </c>
      <c r="I559" s="72">
        <v>970</v>
      </c>
      <c r="J559" s="34" t="s">
        <v>33</v>
      </c>
      <c r="K559" t="s">
        <v>139</v>
      </c>
      <c r="L559" s="35">
        <v>80005160</v>
      </c>
      <c r="M559" s="36" t="s">
        <v>1897</v>
      </c>
      <c r="N559" s="75" t="s">
        <v>1383</v>
      </c>
      <c r="O559" t="s">
        <v>1898</v>
      </c>
      <c r="P559" t="s">
        <v>1899</v>
      </c>
      <c r="Q559" t="s">
        <v>1822</v>
      </c>
      <c r="R559" s="38">
        <v>45887</v>
      </c>
      <c r="S559" s="39">
        <v>46251</v>
      </c>
      <c r="T559" s="38" t="s">
        <v>141</v>
      </c>
      <c r="U559" s="39" t="s">
        <v>141</v>
      </c>
      <c r="V559" s="40" t="s">
        <v>375</v>
      </c>
      <c r="W559" s="41" t="s">
        <v>114</v>
      </c>
      <c r="X559" s="40" t="s">
        <v>1900</v>
      </c>
      <c r="Y559" s="40" t="s">
        <v>185</v>
      </c>
      <c r="AA559" s="62">
        <v>90007214</v>
      </c>
      <c r="AB559" s="44">
        <v>45961</v>
      </c>
      <c r="AC559" s="63">
        <v>60016841</v>
      </c>
      <c r="AD559" s="46">
        <v>45961</v>
      </c>
      <c r="AE559">
        <v>3201104</v>
      </c>
      <c r="AF559" s="39">
        <v>46120</v>
      </c>
      <c r="AG559" s="76">
        <v>12094</v>
      </c>
      <c r="AH559" s="76">
        <v>4170</v>
      </c>
    </row>
    <row r="560" spans="1:34" ht="19.5" customHeight="1">
      <c r="A560" s="25">
        <f t="shared" si="8"/>
        <v>557</v>
      </c>
      <c r="B560" s="26">
        <v>6224908</v>
      </c>
      <c r="C560" s="27">
        <v>45939</v>
      </c>
      <c r="D560" s="28">
        <v>3129.43</v>
      </c>
      <c r="E560" s="29">
        <v>24340.71</v>
      </c>
      <c r="F560" s="30">
        <v>1558810</v>
      </c>
      <c r="G560" s="27">
        <v>45943</v>
      </c>
      <c r="H560" s="28">
        <v>3129.43</v>
      </c>
      <c r="I560" s="29">
        <v>24340.71</v>
      </c>
      <c r="J560" s="34" t="s">
        <v>33</v>
      </c>
      <c r="K560" t="s">
        <v>34</v>
      </c>
      <c r="L560" s="35">
        <v>382157815</v>
      </c>
      <c r="M560" s="36" t="s">
        <v>1901</v>
      </c>
      <c r="N560" s="37" t="s">
        <v>1346</v>
      </c>
      <c r="O560" t="s">
        <v>1902</v>
      </c>
      <c r="P560" t="s">
        <v>1903</v>
      </c>
      <c r="Q560" t="s">
        <v>1904</v>
      </c>
      <c r="R560" s="38">
        <v>45896</v>
      </c>
      <c r="S560" s="39">
        <v>46260</v>
      </c>
      <c r="T560" s="38">
        <v>45927</v>
      </c>
      <c r="U560" s="39">
        <v>45926</v>
      </c>
      <c r="V560" s="40" t="s">
        <v>1905</v>
      </c>
      <c r="W560" s="41" t="s">
        <v>114</v>
      </c>
      <c r="X560" s="40" t="s">
        <v>1906</v>
      </c>
      <c r="Y560" s="40" t="s">
        <v>185</v>
      </c>
      <c r="Z560" t="s">
        <v>81</v>
      </c>
      <c r="AC560" s="63">
        <v>9999805345</v>
      </c>
      <c r="AD560" s="46">
        <v>45943</v>
      </c>
      <c r="AE560">
        <v>3180198</v>
      </c>
      <c r="AF560" s="39">
        <v>45967</v>
      </c>
      <c r="AG560" s="48">
        <v>43886</v>
      </c>
      <c r="AH560" s="48">
        <v>24566.03</v>
      </c>
    </row>
    <row r="561" spans="1:35" ht="19.5" customHeight="1">
      <c r="A561" s="25">
        <f t="shared" si="8"/>
        <v>558</v>
      </c>
      <c r="B561" s="26">
        <v>6225307</v>
      </c>
      <c r="C561" s="27">
        <v>45940</v>
      </c>
      <c r="D561" s="28">
        <v>14144.98</v>
      </c>
      <c r="E561" s="29">
        <v>110019.65</v>
      </c>
      <c r="F561" s="30">
        <v>1559114</v>
      </c>
      <c r="G561" s="27">
        <v>45944</v>
      </c>
      <c r="H561" s="28">
        <f>9981.19+4163.79</f>
        <v>14144.98</v>
      </c>
      <c r="I561" s="29">
        <v>110019.65</v>
      </c>
      <c r="J561" s="34" t="s">
        <v>33</v>
      </c>
      <c r="K561" t="s">
        <v>34</v>
      </c>
      <c r="L561" s="35">
        <v>332196572</v>
      </c>
      <c r="M561" s="36" t="s">
        <v>1907</v>
      </c>
      <c r="N561" s="37" t="s">
        <v>1346</v>
      </c>
      <c r="O561" t="s">
        <v>1908</v>
      </c>
      <c r="P561" t="s">
        <v>1909</v>
      </c>
      <c r="Q561" t="s">
        <v>1910</v>
      </c>
      <c r="R561" s="38">
        <v>46023</v>
      </c>
      <c r="S561" s="39">
        <v>46752</v>
      </c>
      <c r="T561" s="38">
        <v>46297</v>
      </c>
      <c r="U561" s="39">
        <v>46752</v>
      </c>
      <c r="V561" s="40" t="s">
        <v>38</v>
      </c>
      <c r="W561" s="41" t="s">
        <v>114</v>
      </c>
      <c r="X561" s="40" t="s">
        <v>1911</v>
      </c>
      <c r="Y561" s="40" t="s">
        <v>185</v>
      </c>
      <c r="AC561" s="63" t="s">
        <v>1912</v>
      </c>
      <c r="AD561" s="46">
        <v>45947</v>
      </c>
      <c r="AE561" t="s">
        <v>1913</v>
      </c>
      <c r="AF561" s="39">
        <v>45973</v>
      </c>
      <c r="AG561" s="48">
        <v>193700</v>
      </c>
      <c r="AH561" s="48">
        <v>130463.62</v>
      </c>
    </row>
    <row r="562" spans="1:35" ht="19.5" customHeight="1">
      <c r="A562" s="25">
        <f t="shared" si="8"/>
        <v>559</v>
      </c>
      <c r="B562" s="26">
        <v>6225331</v>
      </c>
      <c r="C562" s="27">
        <v>45940</v>
      </c>
      <c r="D562" s="28" t="s">
        <v>141</v>
      </c>
      <c r="E562" s="29">
        <v>811.83</v>
      </c>
      <c r="F562" s="30">
        <v>1559319</v>
      </c>
      <c r="G562" s="27">
        <v>45944</v>
      </c>
      <c r="H562" s="28" t="s">
        <v>141</v>
      </c>
      <c r="I562" s="29">
        <v>811.83</v>
      </c>
      <c r="J562" s="34" t="s">
        <v>159</v>
      </c>
      <c r="K562" t="s">
        <v>160</v>
      </c>
      <c r="L562" s="35" t="s">
        <v>1914</v>
      </c>
      <c r="M562" s="36" t="s">
        <v>1915</v>
      </c>
      <c r="N562" s="37" t="s">
        <v>1916</v>
      </c>
      <c r="O562" t="s">
        <v>1917</v>
      </c>
      <c r="P562" t="s">
        <v>1918</v>
      </c>
      <c r="Q562" t="s">
        <v>1910</v>
      </c>
      <c r="R562" s="38">
        <v>45898</v>
      </c>
      <c r="S562" s="39">
        <v>46262</v>
      </c>
      <c r="T562" s="38">
        <v>45898</v>
      </c>
      <c r="U562" s="39">
        <v>46262</v>
      </c>
      <c r="V562" s="40" t="s">
        <v>38</v>
      </c>
      <c r="W562" s="41" t="s">
        <v>114</v>
      </c>
      <c r="X562" s="40" t="s">
        <v>1919</v>
      </c>
      <c r="Y562" s="40" t="s">
        <v>56</v>
      </c>
      <c r="AC562" s="63" t="s">
        <v>1920</v>
      </c>
      <c r="AD562" s="46">
        <v>45946</v>
      </c>
      <c r="AE562">
        <v>3180176</v>
      </c>
      <c r="AF562" s="39">
        <v>45967</v>
      </c>
      <c r="AG562" s="48">
        <v>3966</v>
      </c>
      <c r="AH562" s="48">
        <v>811.83</v>
      </c>
    </row>
    <row r="563" spans="1:35" ht="19.5" customHeight="1">
      <c r="A563" s="25">
        <f t="shared" si="8"/>
        <v>560</v>
      </c>
      <c r="B563" s="26">
        <v>6225578</v>
      </c>
      <c r="C563" s="27">
        <v>45943</v>
      </c>
      <c r="D563" s="28">
        <v>277.5</v>
      </c>
      <c r="E563" s="29">
        <v>2158.4</v>
      </c>
      <c r="F563" s="30">
        <v>1559939</v>
      </c>
      <c r="G563" s="27">
        <v>45946</v>
      </c>
      <c r="H563" s="28">
        <v>277.5</v>
      </c>
      <c r="I563" s="29">
        <v>2158.4</v>
      </c>
      <c r="J563" s="34" t="s">
        <v>103</v>
      </c>
      <c r="K563" t="s">
        <v>206</v>
      </c>
      <c r="L563" s="35" t="s">
        <v>1921</v>
      </c>
      <c r="M563" s="36" t="s">
        <v>1922</v>
      </c>
      <c r="N563" s="37" t="s">
        <v>1330</v>
      </c>
      <c r="O563" t="s">
        <v>1923</v>
      </c>
      <c r="P563" t="s">
        <v>1924</v>
      </c>
      <c r="Q563" t="s">
        <v>1925</v>
      </c>
      <c r="R563" s="38">
        <v>45907</v>
      </c>
      <c r="S563" s="39">
        <v>46271</v>
      </c>
      <c r="T563" s="38">
        <v>45907</v>
      </c>
      <c r="U563" s="39">
        <v>46271</v>
      </c>
      <c r="V563" s="40" t="s">
        <v>1333</v>
      </c>
      <c r="W563" s="41" t="s">
        <v>39</v>
      </c>
      <c r="X563" s="40" t="s">
        <v>1926</v>
      </c>
      <c r="Y563" s="40" t="s">
        <v>56</v>
      </c>
      <c r="Z563" t="s">
        <v>81</v>
      </c>
      <c r="AA563" s="62" t="s">
        <v>1927</v>
      </c>
      <c r="AB563" s="44">
        <v>45951</v>
      </c>
      <c r="AC563" s="63" t="s">
        <v>1928</v>
      </c>
      <c r="AD563" s="46">
        <v>45950</v>
      </c>
      <c r="AE563">
        <v>3192324</v>
      </c>
      <c r="AF563" s="39">
        <v>46056</v>
      </c>
      <c r="AG563" s="48">
        <v>3200</v>
      </c>
      <c r="AH563" s="48">
        <v>2178.38</v>
      </c>
    </row>
    <row r="564" spans="1:35" ht="19.5" customHeight="1">
      <c r="A564" s="25">
        <f t="shared" si="8"/>
        <v>561</v>
      </c>
      <c r="B564" s="26">
        <v>6225962</v>
      </c>
      <c r="C564" s="27">
        <v>45943</v>
      </c>
      <c r="D564" s="28">
        <v>6830.58</v>
      </c>
      <c r="E564" s="29">
        <v>53128.25</v>
      </c>
      <c r="F564" s="30">
        <v>1559273</v>
      </c>
      <c r="G564" s="27">
        <v>45944</v>
      </c>
      <c r="H564" s="28">
        <v>6830.58</v>
      </c>
      <c r="I564" s="29">
        <v>53128.25</v>
      </c>
      <c r="J564" s="34" t="s">
        <v>33</v>
      </c>
      <c r="K564" t="s">
        <v>34</v>
      </c>
      <c r="L564" s="35">
        <v>322182809</v>
      </c>
      <c r="M564" s="36" t="s">
        <v>1929</v>
      </c>
      <c r="N564" s="37" t="s">
        <v>1346</v>
      </c>
      <c r="O564" t="s">
        <v>1930</v>
      </c>
      <c r="P564" t="s">
        <v>1931</v>
      </c>
      <c r="Q564" t="s">
        <v>1932</v>
      </c>
      <c r="R564" s="38">
        <v>45939</v>
      </c>
      <c r="S564" s="39">
        <v>46303</v>
      </c>
      <c r="T564" s="38">
        <v>45939</v>
      </c>
      <c r="U564" s="39">
        <v>46303</v>
      </c>
      <c r="V564" s="40" t="s">
        <v>128</v>
      </c>
      <c r="W564" s="41" t="s">
        <v>39</v>
      </c>
      <c r="X564" s="40" t="s">
        <v>1933</v>
      </c>
      <c r="Y564" s="40" t="s">
        <v>56</v>
      </c>
      <c r="Z564" t="s">
        <v>81</v>
      </c>
      <c r="AC564" s="63">
        <v>9999808904</v>
      </c>
      <c r="AD564" s="46">
        <v>45945</v>
      </c>
      <c r="AE564">
        <v>3180694</v>
      </c>
      <c r="AF564" s="39">
        <v>45972</v>
      </c>
      <c r="AG564" s="48">
        <v>102121</v>
      </c>
      <c r="AH564" s="48">
        <v>53620.05</v>
      </c>
    </row>
    <row r="565" spans="1:35" ht="19.5" customHeight="1">
      <c r="A565" s="25">
        <f t="shared" si="8"/>
        <v>562</v>
      </c>
      <c r="B565" s="26">
        <v>6226125</v>
      </c>
      <c r="C565" s="27">
        <v>45944</v>
      </c>
      <c r="D565" s="28">
        <v>662.85</v>
      </c>
      <c r="E565" s="29">
        <v>5155.66</v>
      </c>
      <c r="F565" s="30">
        <v>1559787</v>
      </c>
      <c r="G565" s="27">
        <v>45946</v>
      </c>
      <c r="H565" s="28">
        <v>662.85</v>
      </c>
      <c r="I565" s="29">
        <v>5155.66</v>
      </c>
      <c r="J565" s="34" t="s">
        <v>103</v>
      </c>
      <c r="K565" t="s">
        <v>206</v>
      </c>
      <c r="L565" s="35" t="s">
        <v>1934</v>
      </c>
      <c r="M565" s="36" t="s">
        <v>1935</v>
      </c>
      <c r="N565" s="37" t="s">
        <v>1330</v>
      </c>
      <c r="O565" t="s">
        <v>1936</v>
      </c>
      <c r="P565" t="s">
        <v>1937</v>
      </c>
      <c r="Q565" t="s">
        <v>1938</v>
      </c>
      <c r="R565" s="38">
        <v>45956</v>
      </c>
      <c r="S565" s="39">
        <v>46335</v>
      </c>
      <c r="T565" s="38">
        <v>45956</v>
      </c>
      <c r="U565" s="39">
        <v>46335</v>
      </c>
      <c r="V565" s="40" t="s">
        <v>1333</v>
      </c>
      <c r="W565" s="41" t="s">
        <v>39</v>
      </c>
      <c r="X565" s="40" t="s">
        <v>1939</v>
      </c>
      <c r="Y565" s="40" t="s">
        <v>1940</v>
      </c>
      <c r="AA565" s="62" t="s">
        <v>1941</v>
      </c>
      <c r="AB565" s="44">
        <v>45961</v>
      </c>
      <c r="AC565" s="63" t="s">
        <v>1942</v>
      </c>
      <c r="AD565" s="46">
        <v>45961</v>
      </c>
      <c r="AE565">
        <v>3188177</v>
      </c>
      <c r="AF565" s="47">
        <v>46028</v>
      </c>
      <c r="AG565" s="48">
        <v>11787</v>
      </c>
      <c r="AH565" s="48">
        <v>5203.37</v>
      </c>
    </row>
    <row r="566" spans="1:35" ht="19.5" customHeight="1">
      <c r="A566" s="25">
        <f t="shared" si="8"/>
        <v>563</v>
      </c>
      <c r="B566" s="26">
        <v>6226384</v>
      </c>
      <c r="C566" s="27">
        <v>45944</v>
      </c>
      <c r="D566" s="71" t="s">
        <v>141</v>
      </c>
      <c r="E566" s="72">
        <v>770</v>
      </c>
      <c r="F566" s="30">
        <v>1559458</v>
      </c>
      <c r="G566" s="27">
        <v>45944</v>
      </c>
      <c r="H566" s="71" t="s">
        <v>141</v>
      </c>
      <c r="I566" s="72">
        <v>770</v>
      </c>
      <c r="J566" s="34" t="s">
        <v>33</v>
      </c>
      <c r="K566" t="s">
        <v>139</v>
      </c>
      <c r="L566" s="35" t="s">
        <v>1943</v>
      </c>
      <c r="M566" s="36" t="s">
        <v>1944</v>
      </c>
      <c r="N566" s="75" t="s">
        <v>1404</v>
      </c>
      <c r="O566" t="s">
        <v>1945</v>
      </c>
      <c r="P566" t="s">
        <v>1946</v>
      </c>
      <c r="Q566" t="s">
        <v>1947</v>
      </c>
      <c r="R566" s="38">
        <v>45947</v>
      </c>
      <c r="S566" s="39">
        <v>46311</v>
      </c>
      <c r="T566" s="50" t="s">
        <v>141</v>
      </c>
      <c r="U566" s="47" t="s">
        <v>141</v>
      </c>
      <c r="V566" s="40" t="s">
        <v>55</v>
      </c>
      <c r="W566" s="41" t="s">
        <v>39</v>
      </c>
      <c r="X566" s="40" t="s">
        <v>1948</v>
      </c>
      <c r="Y566" s="40" t="s">
        <v>56</v>
      </c>
      <c r="AA566" s="62">
        <v>90007214</v>
      </c>
      <c r="AB566" s="44">
        <v>45961</v>
      </c>
      <c r="AC566" s="63">
        <v>60016842</v>
      </c>
      <c r="AD566" s="46">
        <v>45961</v>
      </c>
      <c r="AG566" s="76">
        <v>22930</v>
      </c>
      <c r="AH566" s="76">
        <v>19187.98</v>
      </c>
    </row>
    <row r="567" spans="1:35" ht="19.5" customHeight="1">
      <c r="A567" s="25">
        <f t="shared" si="8"/>
        <v>564</v>
      </c>
      <c r="B567" s="26">
        <v>6226695</v>
      </c>
      <c r="C567" s="27">
        <v>45945</v>
      </c>
      <c r="D567" s="28">
        <f>162.61*3</f>
        <v>487.83000000000004</v>
      </c>
      <c r="E567" s="29">
        <v>3794.34</v>
      </c>
      <c r="F567" s="30">
        <v>1559815</v>
      </c>
      <c r="G567" s="27">
        <v>45946</v>
      </c>
      <c r="H567" s="28">
        <f>162.61*3</f>
        <v>487.83000000000004</v>
      </c>
      <c r="I567" s="29">
        <v>3794.34</v>
      </c>
      <c r="J567" s="34" t="s">
        <v>384</v>
      </c>
      <c r="K567" t="s">
        <v>34</v>
      </c>
      <c r="L567" s="35">
        <v>362200843</v>
      </c>
      <c r="M567" s="36" t="s">
        <v>1949</v>
      </c>
      <c r="N567" s="37" t="s">
        <v>1346</v>
      </c>
      <c r="O567" t="s">
        <v>1950</v>
      </c>
      <c r="P567" t="s">
        <v>1951</v>
      </c>
      <c r="Q567" t="s">
        <v>1952</v>
      </c>
      <c r="R567" s="38">
        <v>45950</v>
      </c>
      <c r="S567" s="39">
        <v>46691</v>
      </c>
      <c r="T567" s="38">
        <v>45943</v>
      </c>
      <c r="U567" s="39">
        <v>46691</v>
      </c>
      <c r="V567" s="40" t="s">
        <v>571</v>
      </c>
      <c r="W567" s="41" t="s">
        <v>114</v>
      </c>
      <c r="X567" s="40" t="s">
        <v>1953</v>
      </c>
      <c r="Y567" s="40" t="s">
        <v>185</v>
      </c>
      <c r="Z567" t="s">
        <v>81</v>
      </c>
      <c r="AC567" s="63">
        <v>9999811333</v>
      </c>
      <c r="AD567" s="46">
        <v>45946</v>
      </c>
      <c r="AE567">
        <v>3184734</v>
      </c>
      <c r="AF567" s="39">
        <v>46003</v>
      </c>
      <c r="AG567" s="48">
        <v>14935</v>
      </c>
      <c r="AH567" s="48">
        <v>3829.47</v>
      </c>
    </row>
    <row r="568" spans="1:35" ht="19.5" customHeight="1">
      <c r="A568" s="25">
        <f t="shared" si="8"/>
        <v>565</v>
      </c>
      <c r="B568" s="26">
        <v>6226882</v>
      </c>
      <c r="C568" s="27">
        <v>45945</v>
      </c>
      <c r="D568" s="28">
        <f>2252.56</f>
        <v>2252.56</v>
      </c>
      <c r="E568" s="29">
        <f>17520.41</f>
        <v>17520.41</v>
      </c>
      <c r="F568" s="30">
        <v>1559803</v>
      </c>
      <c r="G568" s="27">
        <v>45939</v>
      </c>
      <c r="H568" s="70">
        <v>2250.92</v>
      </c>
      <c r="I568" s="65">
        <f>17520.41-12.75</f>
        <v>17507.66</v>
      </c>
      <c r="J568" s="34" t="s">
        <v>384</v>
      </c>
      <c r="K568" t="s">
        <v>34</v>
      </c>
      <c r="L568" s="249" t="s">
        <v>1954</v>
      </c>
      <c r="M568" s="36" t="s">
        <v>1955</v>
      </c>
      <c r="N568" s="37" t="s">
        <v>1956</v>
      </c>
      <c r="O568" t="s">
        <v>1841</v>
      </c>
      <c r="P568" t="s">
        <v>1842</v>
      </c>
      <c r="Q568" t="s">
        <v>1843</v>
      </c>
      <c r="R568" s="38">
        <v>45974</v>
      </c>
      <c r="S568" s="39">
        <v>46338</v>
      </c>
      <c r="T568" s="38">
        <v>45974</v>
      </c>
      <c r="U568" s="39">
        <v>46338</v>
      </c>
      <c r="V568" s="40" t="s">
        <v>1654</v>
      </c>
      <c r="W568" s="41" t="s">
        <v>114</v>
      </c>
      <c r="X568" s="40" t="s">
        <v>1844</v>
      </c>
      <c r="Y568" s="40" t="s">
        <v>185</v>
      </c>
      <c r="AC568" s="62">
        <v>9999890735</v>
      </c>
      <c r="AD568" s="46">
        <v>45974</v>
      </c>
      <c r="AE568">
        <v>3186912</v>
      </c>
      <c r="AF568" s="47">
        <v>46020</v>
      </c>
      <c r="AG568" s="48">
        <v>74340</v>
      </c>
      <c r="AH568" s="48">
        <v>33235.769999999997</v>
      </c>
    </row>
    <row r="569" spans="1:35" ht="19.5" customHeight="1">
      <c r="A569" s="25">
        <f t="shared" si="8"/>
        <v>566</v>
      </c>
      <c r="B569" s="26">
        <v>6227057</v>
      </c>
      <c r="C569" s="27">
        <v>45946</v>
      </c>
      <c r="D569" s="28">
        <f>1173.12*2</f>
        <v>2346.2399999999998</v>
      </c>
      <c r="E569" s="29">
        <v>18248.740000000002</v>
      </c>
      <c r="F569" s="30">
        <v>1560345</v>
      </c>
      <c r="G569" s="27">
        <v>45950</v>
      </c>
      <c r="H569" s="28">
        <f>1173.12*2</f>
        <v>2346.2399999999998</v>
      </c>
      <c r="I569" s="29">
        <v>18248.740000000002</v>
      </c>
      <c r="J569" s="34" t="s">
        <v>99</v>
      </c>
      <c r="K569" t="s">
        <v>34</v>
      </c>
      <c r="L569" s="35">
        <v>302192893</v>
      </c>
      <c r="M569" s="36" t="s">
        <v>1957</v>
      </c>
      <c r="N569" s="37" t="s">
        <v>1346</v>
      </c>
      <c r="O569" t="s">
        <v>1945</v>
      </c>
      <c r="P569" t="s">
        <v>1946</v>
      </c>
      <c r="Q569" t="s">
        <v>1947</v>
      </c>
      <c r="R569" s="38">
        <v>45947</v>
      </c>
      <c r="S569" s="39">
        <v>46311</v>
      </c>
      <c r="T569" s="38">
        <v>45947</v>
      </c>
      <c r="U569" s="39">
        <v>46311</v>
      </c>
      <c r="V569" s="40" t="s">
        <v>55</v>
      </c>
      <c r="W569" s="41" t="s">
        <v>114</v>
      </c>
      <c r="X569" s="40" t="s">
        <v>1948</v>
      </c>
      <c r="Y569" s="40" t="s">
        <v>56</v>
      </c>
      <c r="AC569" s="63">
        <v>9999819587</v>
      </c>
      <c r="AD569" s="46">
        <v>45951</v>
      </c>
      <c r="AE569">
        <v>3186918</v>
      </c>
      <c r="AF569" s="47">
        <v>46020</v>
      </c>
      <c r="AG569" s="48">
        <v>22930</v>
      </c>
      <c r="AH569" s="48">
        <v>19187.98</v>
      </c>
    </row>
    <row r="570" spans="1:35" ht="19.5" customHeight="1">
      <c r="A570" s="25">
        <f t="shared" si="8"/>
        <v>567</v>
      </c>
      <c r="B570" s="26">
        <v>6227082</v>
      </c>
      <c r="C570" s="27">
        <v>45946</v>
      </c>
      <c r="D570" s="250" t="s">
        <v>141</v>
      </c>
      <c r="E570" s="247">
        <v>29790</v>
      </c>
      <c r="F570" s="30" t="s">
        <v>1958</v>
      </c>
      <c r="G570" s="27">
        <v>45952</v>
      </c>
      <c r="H570" s="250" t="s">
        <v>141</v>
      </c>
      <c r="I570" s="220">
        <v>26400</v>
      </c>
      <c r="J570" s="34" t="s">
        <v>384</v>
      </c>
      <c r="K570" s="66" t="s">
        <v>733</v>
      </c>
      <c r="L570" s="251" t="s">
        <v>1959</v>
      </c>
      <c r="M570" s="36" t="s">
        <v>1960</v>
      </c>
      <c r="N570" s="75" t="s">
        <v>1749</v>
      </c>
      <c r="O570" t="s">
        <v>1961</v>
      </c>
      <c r="P570" t="s">
        <v>1962</v>
      </c>
      <c r="Q570" t="s">
        <v>1963</v>
      </c>
      <c r="R570" s="38">
        <v>45962</v>
      </c>
      <c r="S570" s="39">
        <v>46326</v>
      </c>
      <c r="T570" s="38" t="s">
        <v>141</v>
      </c>
      <c r="U570" s="39" t="s">
        <v>141</v>
      </c>
      <c r="V570" s="40" t="s">
        <v>38</v>
      </c>
      <c r="W570" s="41" t="s">
        <v>114</v>
      </c>
      <c r="X570" s="40" t="s">
        <v>1964</v>
      </c>
      <c r="Y570" s="40" t="s">
        <v>185</v>
      </c>
      <c r="AA570" s="62" t="s">
        <v>1965</v>
      </c>
      <c r="AB570" s="44">
        <v>45975</v>
      </c>
      <c r="AC570" s="63" t="s">
        <v>1966</v>
      </c>
      <c r="AD570" s="46">
        <v>45975</v>
      </c>
      <c r="AG570" s="76">
        <v>221999</v>
      </c>
      <c r="AH570" s="76">
        <v>185758</v>
      </c>
    </row>
    <row r="571" spans="1:35" ht="19.5" customHeight="1">
      <c r="A571" s="25">
        <f t="shared" si="8"/>
        <v>568</v>
      </c>
      <c r="B571" s="26">
        <v>6227083</v>
      </c>
      <c r="C571" s="27">
        <v>45946</v>
      </c>
      <c r="D571" s="28" t="s">
        <v>141</v>
      </c>
      <c r="E571" s="29">
        <v>58718</v>
      </c>
      <c r="F571" s="30" t="s">
        <v>1967</v>
      </c>
      <c r="G571" s="27">
        <v>45957</v>
      </c>
      <c r="H571" s="28" t="s">
        <v>141</v>
      </c>
      <c r="I571" s="29">
        <v>58718</v>
      </c>
      <c r="J571" s="34" t="s">
        <v>159</v>
      </c>
      <c r="K571" t="s">
        <v>176</v>
      </c>
      <c r="L571" s="35" t="s">
        <v>1968</v>
      </c>
      <c r="M571" s="36" t="s">
        <v>1969</v>
      </c>
      <c r="N571" s="37" t="s">
        <v>1409</v>
      </c>
      <c r="O571" t="s">
        <v>1961</v>
      </c>
      <c r="P571" t="s">
        <v>1962</v>
      </c>
      <c r="Q571" t="s">
        <v>1963</v>
      </c>
      <c r="R571" s="38">
        <v>45962</v>
      </c>
      <c r="S571" s="39">
        <v>46326</v>
      </c>
      <c r="T571" s="38" t="s">
        <v>141</v>
      </c>
      <c r="U571" s="39" t="s">
        <v>141</v>
      </c>
      <c r="V571" s="40" t="s">
        <v>38</v>
      </c>
      <c r="W571" s="41" t="s">
        <v>114</v>
      </c>
      <c r="X571" s="40" t="s">
        <v>1970</v>
      </c>
      <c r="Y571" s="40" t="s">
        <v>185</v>
      </c>
      <c r="AE571">
        <v>3198274</v>
      </c>
      <c r="AF571" s="39">
        <v>46097</v>
      </c>
      <c r="AG571" s="48">
        <v>221999</v>
      </c>
      <c r="AH571" s="48">
        <v>185758</v>
      </c>
    </row>
    <row r="572" spans="1:35" ht="19.5" customHeight="1">
      <c r="A572" s="25">
        <f t="shared" si="8"/>
        <v>569</v>
      </c>
      <c r="B572" s="26">
        <v>6227306</v>
      </c>
      <c r="C572" s="27">
        <v>45946</v>
      </c>
      <c r="D572" s="28">
        <v>9923.06</v>
      </c>
      <c r="E572" s="29">
        <v>77181.56</v>
      </c>
      <c r="F572" s="30">
        <v>1560198</v>
      </c>
      <c r="G572" s="27">
        <v>45947</v>
      </c>
      <c r="H572" s="28">
        <v>9923.06</v>
      </c>
      <c r="I572" s="29">
        <v>77181.56</v>
      </c>
      <c r="J572" s="34" t="s">
        <v>99</v>
      </c>
      <c r="K572" t="s">
        <v>34</v>
      </c>
      <c r="L572" s="35">
        <v>322196392</v>
      </c>
      <c r="M572" s="36" t="s">
        <v>1971</v>
      </c>
      <c r="N572" s="37" t="s">
        <v>1824</v>
      </c>
      <c r="O572" t="s">
        <v>247</v>
      </c>
      <c r="P572" t="s">
        <v>1972</v>
      </c>
      <c r="Q572" t="s">
        <v>1973</v>
      </c>
      <c r="R572" s="38">
        <v>45658</v>
      </c>
      <c r="S572" s="39" t="s">
        <v>1974</v>
      </c>
      <c r="T572" s="38">
        <v>45932</v>
      </c>
      <c r="U572" s="39">
        <v>45961</v>
      </c>
      <c r="V572" s="40" t="s">
        <v>1013</v>
      </c>
      <c r="W572" s="41" t="s">
        <v>114</v>
      </c>
      <c r="X572" s="40" t="s">
        <v>1975</v>
      </c>
      <c r="Y572" s="40" t="s">
        <v>185</v>
      </c>
      <c r="Z572" t="s">
        <v>81</v>
      </c>
      <c r="AC572" s="63">
        <v>9999819625</v>
      </c>
      <c r="AD572" s="46">
        <v>45951</v>
      </c>
      <c r="AE572">
        <v>3184736</v>
      </c>
      <c r="AF572" s="47">
        <v>46001</v>
      </c>
      <c r="AG572" s="48">
        <v>6800000</v>
      </c>
      <c r="AH572" s="48">
        <v>5389773.54</v>
      </c>
    </row>
    <row r="573" spans="1:35" ht="19.5" customHeight="1">
      <c r="A573" s="25">
        <f t="shared" si="8"/>
        <v>570</v>
      </c>
      <c r="B573" s="26">
        <v>6227578</v>
      </c>
      <c r="C573" s="27">
        <v>45947</v>
      </c>
      <c r="D573" s="28">
        <v>3733.26</v>
      </c>
      <c r="E573" s="29">
        <v>29037.3</v>
      </c>
      <c r="F573" s="30">
        <v>1560342</v>
      </c>
      <c r="G573" s="27">
        <v>45951</v>
      </c>
      <c r="H573" s="28">
        <v>3733.26</v>
      </c>
      <c r="I573" s="29">
        <v>29037.3</v>
      </c>
      <c r="J573" s="34" t="s">
        <v>99</v>
      </c>
      <c r="K573" t="s">
        <v>34</v>
      </c>
      <c r="L573" s="35">
        <v>332203491</v>
      </c>
      <c r="M573" s="36" t="s">
        <v>1558</v>
      </c>
      <c r="N573" s="37" t="s">
        <v>1346</v>
      </c>
      <c r="O573" t="s">
        <v>1976</v>
      </c>
      <c r="P573" t="s">
        <v>1977</v>
      </c>
      <c r="Q573" t="s">
        <v>1822</v>
      </c>
      <c r="R573" s="38">
        <v>45806</v>
      </c>
      <c r="S573" s="39">
        <v>46170</v>
      </c>
      <c r="T573" s="38">
        <v>45945</v>
      </c>
      <c r="U573" s="39">
        <v>46309</v>
      </c>
      <c r="V573" s="40" t="s">
        <v>458</v>
      </c>
      <c r="W573" s="41" t="s">
        <v>114</v>
      </c>
      <c r="X573" s="40" t="s">
        <v>1978</v>
      </c>
      <c r="Y573" s="40" t="s">
        <v>185</v>
      </c>
      <c r="AC573" s="63">
        <v>9999822867</v>
      </c>
      <c r="AD573" s="46">
        <v>45952</v>
      </c>
      <c r="AE573">
        <v>3186926</v>
      </c>
      <c r="AF573" s="47">
        <v>46020</v>
      </c>
      <c r="AG573" s="48">
        <v>42748</v>
      </c>
      <c r="AH573" s="48">
        <v>29306.09</v>
      </c>
    </row>
    <row r="574" spans="1:35" ht="19.5" customHeight="1">
      <c r="A574" s="25">
        <f t="shared" si="8"/>
        <v>571</v>
      </c>
      <c r="B574" s="26">
        <v>6228008</v>
      </c>
      <c r="C574" s="27">
        <v>45950</v>
      </c>
      <c r="D574" s="28" t="s">
        <v>141</v>
      </c>
      <c r="E574" s="29">
        <v>1880</v>
      </c>
      <c r="F574" s="30" t="s">
        <v>1979</v>
      </c>
      <c r="G574" s="27">
        <v>45953</v>
      </c>
      <c r="H574" s="28" t="s">
        <v>141</v>
      </c>
      <c r="I574" s="29">
        <v>1880</v>
      </c>
      <c r="J574" s="34" t="s">
        <v>33</v>
      </c>
      <c r="K574" t="s">
        <v>139</v>
      </c>
      <c r="L574" s="35">
        <v>80005197</v>
      </c>
      <c r="M574" s="36" t="s">
        <v>1980</v>
      </c>
      <c r="N574" s="37" t="s">
        <v>1383</v>
      </c>
      <c r="O574" t="s">
        <v>1981</v>
      </c>
      <c r="P574" t="s">
        <v>1982</v>
      </c>
      <c r="Q574" t="s">
        <v>1983</v>
      </c>
      <c r="R574" s="38">
        <v>45931</v>
      </c>
      <c r="S574" s="39">
        <v>46295</v>
      </c>
      <c r="T574" s="38">
        <v>45931</v>
      </c>
      <c r="U574" s="39">
        <v>46295</v>
      </c>
      <c r="V574" s="40" t="s">
        <v>1984</v>
      </c>
      <c r="W574" s="41" t="s">
        <v>114</v>
      </c>
      <c r="X574" s="40" t="s">
        <v>1985</v>
      </c>
      <c r="Y574" s="40" t="s">
        <v>56</v>
      </c>
      <c r="AA574" s="62" t="s">
        <v>1986</v>
      </c>
      <c r="AB574" s="44">
        <v>45964</v>
      </c>
      <c r="AC574" s="63">
        <v>60016853</v>
      </c>
      <c r="AD574" s="46">
        <v>45964</v>
      </c>
      <c r="AE574">
        <v>3217621</v>
      </c>
      <c r="AF574" s="39">
        <v>46246</v>
      </c>
      <c r="AG574" s="48">
        <v>28950</v>
      </c>
      <c r="AH574" s="48">
        <v>13840</v>
      </c>
    </row>
    <row r="575" spans="1:35" s="112" customFormat="1" ht="19.5" customHeight="1">
      <c r="A575" s="252">
        <f t="shared" si="8"/>
        <v>572</v>
      </c>
      <c r="B575" s="99">
        <v>6228011</v>
      </c>
      <c r="C575" s="100">
        <v>45950</v>
      </c>
      <c r="D575" s="253" t="s">
        <v>141</v>
      </c>
      <c r="E575" s="222" t="s">
        <v>141</v>
      </c>
      <c r="F575" s="93" t="s">
        <v>141</v>
      </c>
      <c r="G575" s="100" t="s">
        <v>141</v>
      </c>
      <c r="H575" s="253" t="s">
        <v>141</v>
      </c>
      <c r="I575" s="222" t="s">
        <v>141</v>
      </c>
      <c r="J575" s="107" t="s">
        <v>33</v>
      </c>
      <c r="K575" s="108" t="s">
        <v>139</v>
      </c>
      <c r="L575" s="225">
        <v>80005198</v>
      </c>
      <c r="M575" s="110" t="s">
        <v>1987</v>
      </c>
      <c r="N575" s="226" t="s">
        <v>1749</v>
      </c>
      <c r="O575" s="108" t="s">
        <v>1988</v>
      </c>
      <c r="P575" s="108" t="s">
        <v>1989</v>
      </c>
      <c r="Q575" s="108" t="s">
        <v>1990</v>
      </c>
      <c r="R575" s="227">
        <v>45839</v>
      </c>
      <c r="S575" s="228">
        <v>46203</v>
      </c>
      <c r="T575" s="227" t="s">
        <v>141</v>
      </c>
      <c r="U575" s="228" t="s">
        <v>141</v>
      </c>
      <c r="V575" s="229" t="s">
        <v>1991</v>
      </c>
      <c r="W575" s="230" t="s">
        <v>114</v>
      </c>
      <c r="X575" s="115" t="s">
        <v>1992</v>
      </c>
      <c r="Y575" s="229" t="s">
        <v>185</v>
      </c>
      <c r="AA575" s="118"/>
      <c r="AB575" s="119"/>
      <c r="AC575" s="120"/>
      <c r="AD575" s="121"/>
      <c r="AF575" s="114" t="s">
        <v>1993</v>
      </c>
      <c r="AG575" s="123">
        <v>941897.01</v>
      </c>
      <c r="AH575" s="123">
        <v>664947.30000000005</v>
      </c>
      <c r="AI575" s="124"/>
    </row>
    <row r="576" spans="1:35" ht="19.5" customHeight="1">
      <c r="A576" s="25">
        <f t="shared" si="8"/>
        <v>573</v>
      </c>
      <c r="B576" s="26">
        <v>6228098</v>
      </c>
      <c r="C576" s="27">
        <v>45950</v>
      </c>
      <c r="D576" s="28">
        <v>6713.05</v>
      </c>
      <c r="E576" s="29">
        <v>52214.1</v>
      </c>
      <c r="F576" s="30">
        <v>1560609</v>
      </c>
      <c r="G576" s="27">
        <v>45951</v>
      </c>
      <c r="H576" s="28">
        <v>6713.05</v>
      </c>
      <c r="I576" s="29">
        <v>52214.1</v>
      </c>
      <c r="J576" s="34" t="s">
        <v>33</v>
      </c>
      <c r="K576" t="s">
        <v>34</v>
      </c>
      <c r="L576" s="35">
        <v>272279000</v>
      </c>
      <c r="M576" s="36" t="s">
        <v>1558</v>
      </c>
      <c r="N576" s="37" t="s">
        <v>1346</v>
      </c>
      <c r="O576" t="s">
        <v>1994</v>
      </c>
      <c r="P576" t="s">
        <v>1995</v>
      </c>
      <c r="Q576" t="s">
        <v>1822</v>
      </c>
      <c r="R576" s="38">
        <v>45931</v>
      </c>
      <c r="S576" s="39">
        <v>46295</v>
      </c>
      <c r="T576" s="38"/>
      <c r="U576" s="39"/>
      <c r="V576" s="40" t="s">
        <v>458</v>
      </c>
      <c r="W576" s="41" t="s">
        <v>114</v>
      </c>
      <c r="X576" s="40" t="s">
        <v>1996</v>
      </c>
      <c r="Y576" s="40" t="s">
        <v>56</v>
      </c>
      <c r="AC576" s="63">
        <v>9999821375</v>
      </c>
      <c r="AD576" s="46">
        <v>45952</v>
      </c>
      <c r="AE576">
        <v>3186941</v>
      </c>
      <c r="AF576" s="47">
        <v>46020</v>
      </c>
      <c r="AG576" s="48">
        <v>72376</v>
      </c>
      <c r="AH576" s="48">
        <v>52757.25</v>
      </c>
    </row>
    <row r="577" spans="1:36" ht="19.5" customHeight="1">
      <c r="A577" s="25">
        <f t="shared" si="8"/>
        <v>574</v>
      </c>
      <c r="B577" s="26">
        <v>6228172</v>
      </c>
      <c r="C577" s="27">
        <v>45950</v>
      </c>
      <c r="D577" s="28">
        <v>13519.24</v>
      </c>
      <c r="E577" s="29">
        <v>105152.65</v>
      </c>
      <c r="F577" s="30">
        <v>1560991</v>
      </c>
      <c r="G577" s="27">
        <v>45954</v>
      </c>
      <c r="H577" s="28">
        <v>13519.24</v>
      </c>
      <c r="I577" s="29">
        <v>105152.65</v>
      </c>
      <c r="J577" s="34" t="s">
        <v>33</v>
      </c>
      <c r="K577" t="s">
        <v>34</v>
      </c>
      <c r="L577" s="35">
        <v>282280058</v>
      </c>
      <c r="M577" s="36" t="s">
        <v>1997</v>
      </c>
      <c r="N577" s="37" t="s">
        <v>1540</v>
      </c>
      <c r="O577" t="s">
        <v>1988</v>
      </c>
      <c r="P577" t="s">
        <v>1989</v>
      </c>
      <c r="Q577" t="s">
        <v>1990</v>
      </c>
      <c r="R577" s="38">
        <v>45839</v>
      </c>
      <c r="S577" s="39">
        <v>46203</v>
      </c>
      <c r="T577" s="38">
        <v>45901</v>
      </c>
      <c r="U577" s="39">
        <v>46265</v>
      </c>
      <c r="V577" s="40" t="s">
        <v>1991</v>
      </c>
      <c r="W577" s="41" t="s">
        <v>114</v>
      </c>
      <c r="X577" s="40" t="s">
        <v>1998</v>
      </c>
      <c r="Y577" s="40" t="s">
        <v>185</v>
      </c>
      <c r="AC577" s="63">
        <v>9999829176</v>
      </c>
      <c r="AD577" s="46">
        <v>45955</v>
      </c>
      <c r="AE577">
        <v>3185207</v>
      </c>
      <c r="AF577" s="47">
        <v>46006</v>
      </c>
      <c r="AG577" s="48">
        <v>941897.01</v>
      </c>
      <c r="AH577" s="48">
        <v>664947.30000000005</v>
      </c>
    </row>
    <row r="578" spans="1:36" ht="19.5" customHeight="1">
      <c r="A578" s="25">
        <f t="shared" si="8"/>
        <v>575</v>
      </c>
      <c r="B578" s="26">
        <v>6228178</v>
      </c>
      <c r="C578" s="27">
        <v>45950</v>
      </c>
      <c r="D578" s="28">
        <v>1118.5</v>
      </c>
      <c r="E578" s="29">
        <v>8699.69</v>
      </c>
      <c r="F578" s="30">
        <v>1560606</v>
      </c>
      <c r="G578" s="27">
        <v>45952</v>
      </c>
      <c r="H578" s="28">
        <v>1118.5</v>
      </c>
      <c r="I578" s="29">
        <v>8699.69</v>
      </c>
      <c r="J578" s="34" t="s">
        <v>33</v>
      </c>
      <c r="K578" t="s">
        <v>34</v>
      </c>
      <c r="L578" s="35">
        <v>491984009</v>
      </c>
      <c r="M578" s="36" t="s">
        <v>1999</v>
      </c>
      <c r="N578" s="37" t="s">
        <v>2000</v>
      </c>
      <c r="O578" t="s">
        <v>1988</v>
      </c>
      <c r="P578" t="s">
        <v>1989</v>
      </c>
      <c r="Q578" t="s">
        <v>1990</v>
      </c>
      <c r="R578" s="38">
        <v>45839</v>
      </c>
      <c r="S578" s="39">
        <v>46203</v>
      </c>
      <c r="T578" s="38">
        <v>46027</v>
      </c>
      <c r="U578" s="39">
        <v>46391</v>
      </c>
      <c r="V578" s="40" t="s">
        <v>1991</v>
      </c>
      <c r="W578" s="41" t="s">
        <v>114</v>
      </c>
      <c r="X578" s="40" t="s">
        <v>1998</v>
      </c>
      <c r="Y578" s="40" t="s">
        <v>185</v>
      </c>
      <c r="AC578" s="63">
        <v>9999821376</v>
      </c>
      <c r="AD578" s="46">
        <v>45952</v>
      </c>
      <c r="AE578">
        <v>3184739</v>
      </c>
      <c r="AF578" s="47">
        <v>46001</v>
      </c>
      <c r="AG578" s="48">
        <v>941897.01</v>
      </c>
      <c r="AH578" s="48">
        <v>664947.30000000005</v>
      </c>
    </row>
    <row r="579" spans="1:36" ht="19.5" customHeight="1">
      <c r="A579" s="25">
        <f t="shared" si="8"/>
        <v>576</v>
      </c>
      <c r="B579" s="26">
        <v>6228692</v>
      </c>
      <c r="C579" s="27">
        <v>45951</v>
      </c>
      <c r="D579" s="71" t="s">
        <v>141</v>
      </c>
      <c r="E579" s="72">
        <v>970</v>
      </c>
      <c r="F579" s="30" t="s">
        <v>2001</v>
      </c>
      <c r="G579" s="27">
        <v>45952</v>
      </c>
      <c r="H579" s="71" t="s">
        <v>141</v>
      </c>
      <c r="I579" s="72">
        <v>970</v>
      </c>
      <c r="J579" s="34" t="s">
        <v>33</v>
      </c>
      <c r="K579" t="s">
        <v>139</v>
      </c>
      <c r="L579" s="35">
        <v>80005181</v>
      </c>
      <c r="M579" s="36" t="s">
        <v>2002</v>
      </c>
      <c r="N579" s="75" t="s">
        <v>1383</v>
      </c>
      <c r="O579" t="s">
        <v>2003</v>
      </c>
      <c r="P579" t="s">
        <v>2004</v>
      </c>
      <c r="Q579" t="s">
        <v>2005</v>
      </c>
      <c r="R579" s="38">
        <v>45717</v>
      </c>
      <c r="S579" s="39">
        <v>46446</v>
      </c>
      <c r="T579" s="38" t="s">
        <v>141</v>
      </c>
      <c r="U579" s="39" t="s">
        <v>141</v>
      </c>
      <c r="V579" s="40" t="s">
        <v>954</v>
      </c>
      <c r="W579" s="41" t="s">
        <v>114</v>
      </c>
      <c r="X579" s="40" t="s">
        <v>2006</v>
      </c>
      <c r="Y579" s="40" t="s">
        <v>185</v>
      </c>
      <c r="Z579" t="s">
        <v>81</v>
      </c>
      <c r="AA579" s="62">
        <v>90007279</v>
      </c>
      <c r="AB579" s="44">
        <v>45988</v>
      </c>
      <c r="AC579" s="63">
        <v>60016957</v>
      </c>
      <c r="AD579" s="46">
        <v>45988</v>
      </c>
      <c r="AE579">
        <v>3198278</v>
      </c>
      <c r="AF579" s="39">
        <v>46097</v>
      </c>
      <c r="AG579" s="76">
        <v>52320</v>
      </c>
      <c r="AH579" s="76">
        <v>970</v>
      </c>
    </row>
    <row r="580" spans="1:36" ht="19.5" customHeight="1">
      <c r="A580" s="25">
        <f t="shared" ref="A580:A643" si="9">A579+1</f>
        <v>577</v>
      </c>
      <c r="B580" s="26">
        <v>6228751</v>
      </c>
      <c r="C580" s="27">
        <v>45952</v>
      </c>
      <c r="D580" s="28">
        <v>10455.24</v>
      </c>
      <c r="E580" s="29">
        <v>81320.86</v>
      </c>
      <c r="F580" s="30">
        <v>1561153</v>
      </c>
      <c r="G580" s="27">
        <v>45957</v>
      </c>
      <c r="H580" s="28">
        <v>10455.24</v>
      </c>
      <c r="I580" s="29">
        <v>81320.86</v>
      </c>
      <c r="J580" s="34" t="s">
        <v>33</v>
      </c>
      <c r="K580" t="s">
        <v>34</v>
      </c>
      <c r="L580" s="35">
        <v>461984384</v>
      </c>
      <c r="M580" s="36" t="s">
        <v>2007</v>
      </c>
      <c r="N580" s="37" t="s">
        <v>1674</v>
      </c>
      <c r="O580" t="s">
        <v>1988</v>
      </c>
      <c r="P580" t="s">
        <v>2008</v>
      </c>
      <c r="Q580" t="s">
        <v>1990</v>
      </c>
      <c r="R580" s="38">
        <v>45839</v>
      </c>
      <c r="S580" s="39">
        <v>46203</v>
      </c>
      <c r="T580" s="38">
        <v>46040</v>
      </c>
      <c r="U580" s="39">
        <v>46404</v>
      </c>
      <c r="V580" s="40" t="s">
        <v>1991</v>
      </c>
      <c r="W580" s="41" t="s">
        <v>114</v>
      </c>
      <c r="X580" s="40" t="s">
        <v>1998</v>
      </c>
      <c r="Y580" s="40" t="s">
        <v>185</v>
      </c>
      <c r="AC580" s="63">
        <v>9999839852</v>
      </c>
      <c r="AD580" s="46">
        <v>45958</v>
      </c>
      <c r="AE580">
        <v>3184741</v>
      </c>
      <c r="AF580" s="47">
        <v>46001</v>
      </c>
      <c r="AG580" s="48">
        <v>941897.01</v>
      </c>
      <c r="AH580" s="48">
        <v>664947.30000000005</v>
      </c>
    </row>
    <row r="581" spans="1:36" ht="19.5" customHeight="1">
      <c r="A581" s="25">
        <f t="shared" si="9"/>
        <v>578</v>
      </c>
      <c r="B581" s="26">
        <v>6228860</v>
      </c>
      <c r="C581" s="27">
        <v>45952</v>
      </c>
      <c r="D581" s="28" t="s">
        <v>141</v>
      </c>
      <c r="E581" s="29">
        <v>4072</v>
      </c>
      <c r="F581" s="30">
        <v>1561820</v>
      </c>
      <c r="G581" s="27">
        <v>45957</v>
      </c>
      <c r="H581" s="28" t="s">
        <v>141</v>
      </c>
      <c r="I581" s="29">
        <v>4072</v>
      </c>
      <c r="J581" s="34" t="s">
        <v>103</v>
      </c>
      <c r="K581" t="s">
        <v>293</v>
      </c>
      <c r="M581" s="36" t="s">
        <v>2009</v>
      </c>
      <c r="N581" s="37" t="s">
        <v>2010</v>
      </c>
      <c r="O581" t="s">
        <v>2011</v>
      </c>
      <c r="P581" t="s">
        <v>2012</v>
      </c>
      <c r="Q581" t="s">
        <v>2013</v>
      </c>
      <c r="R581" s="38">
        <v>45955</v>
      </c>
      <c r="S581" s="39">
        <v>46319</v>
      </c>
      <c r="T581" s="38">
        <v>45955</v>
      </c>
      <c r="U581" s="39">
        <v>46319</v>
      </c>
      <c r="V581" s="40" t="s">
        <v>1025</v>
      </c>
      <c r="W581" s="41" t="s">
        <v>114</v>
      </c>
      <c r="X581" s="40" t="s">
        <v>2014</v>
      </c>
      <c r="Y581" s="40" t="s">
        <v>56</v>
      </c>
      <c r="AA581" s="62" t="s">
        <v>2015</v>
      </c>
      <c r="AB581" s="44">
        <v>45961</v>
      </c>
      <c r="AC581" s="63" t="s">
        <v>2016</v>
      </c>
      <c r="AD581" s="46">
        <v>45961</v>
      </c>
      <c r="AE581">
        <v>3209314</v>
      </c>
      <c r="AF581" s="39">
        <v>46178</v>
      </c>
      <c r="AG581" s="48">
        <v>4683</v>
      </c>
      <c r="AH581" s="48">
        <v>4072</v>
      </c>
    </row>
    <row r="582" spans="1:36" ht="19.5" customHeight="1">
      <c r="A582" s="25">
        <f t="shared" si="9"/>
        <v>579</v>
      </c>
      <c r="B582" s="26">
        <v>6228945</v>
      </c>
      <c r="C582" s="27">
        <v>45952</v>
      </c>
      <c r="D582" s="28">
        <v>11718.23</v>
      </c>
      <c r="E582" s="29">
        <v>91144.39</v>
      </c>
      <c r="F582" s="30">
        <v>1561152</v>
      </c>
      <c r="G582" s="27">
        <v>45957</v>
      </c>
      <c r="H582" s="28">
        <v>11718.23</v>
      </c>
      <c r="I582" s="29">
        <v>91144.39</v>
      </c>
      <c r="J582" s="34" t="s">
        <v>33</v>
      </c>
      <c r="K582" t="s">
        <v>34</v>
      </c>
      <c r="L582" s="35">
        <v>382150379</v>
      </c>
      <c r="M582" s="36" t="s">
        <v>2017</v>
      </c>
      <c r="N582" s="37" t="s">
        <v>1346</v>
      </c>
      <c r="O582" t="s">
        <v>2018</v>
      </c>
      <c r="P582" t="s">
        <v>2019</v>
      </c>
      <c r="Q582" t="s">
        <v>2020</v>
      </c>
      <c r="R582" s="38">
        <v>45870</v>
      </c>
      <c r="S582" s="39">
        <v>46234</v>
      </c>
      <c r="T582" s="38">
        <v>46269</v>
      </c>
      <c r="U582" s="39">
        <v>46633</v>
      </c>
      <c r="V582" s="40" t="s">
        <v>954</v>
      </c>
      <c r="W582" s="41" t="s">
        <v>114</v>
      </c>
      <c r="X582" s="40" t="s">
        <v>2021</v>
      </c>
      <c r="Y582" s="40" t="s">
        <v>185</v>
      </c>
      <c r="Z582" t="s">
        <v>81</v>
      </c>
      <c r="AC582" s="63">
        <v>9999839851</v>
      </c>
      <c r="AD582" s="46">
        <v>45958</v>
      </c>
      <c r="AE582">
        <v>3185204</v>
      </c>
      <c r="AF582" s="47">
        <v>46006</v>
      </c>
      <c r="AG582" s="48">
        <v>669560</v>
      </c>
      <c r="AH582" s="48">
        <v>91996.53</v>
      </c>
    </row>
    <row r="583" spans="1:36" ht="19.5" customHeight="1">
      <c r="A583" s="25">
        <f t="shared" si="9"/>
        <v>580</v>
      </c>
      <c r="B583" s="26">
        <v>6229026</v>
      </c>
      <c r="C583" s="27">
        <v>45952</v>
      </c>
      <c r="D583" s="187">
        <f>8127</f>
        <v>8127</v>
      </c>
      <c r="E583" s="127">
        <f>63211.81</f>
        <v>63211.81</v>
      </c>
      <c r="F583" s="30">
        <v>1561111</v>
      </c>
      <c r="G583" s="27">
        <v>45957</v>
      </c>
      <c r="H583" s="70">
        <f>553.68+4181.76</f>
        <v>4735.4400000000005</v>
      </c>
      <c r="I583" s="65">
        <v>36832.25</v>
      </c>
      <c r="J583" s="34" t="s">
        <v>33</v>
      </c>
      <c r="K583" t="s">
        <v>34</v>
      </c>
      <c r="L583" s="35">
        <v>491985582</v>
      </c>
      <c r="M583" s="36" t="s">
        <v>2022</v>
      </c>
      <c r="N583" s="37" t="s">
        <v>1346</v>
      </c>
      <c r="O583" t="s">
        <v>2023</v>
      </c>
      <c r="P583" t="s">
        <v>2024</v>
      </c>
      <c r="Q583" t="s">
        <v>2025</v>
      </c>
      <c r="R583" s="38">
        <v>45962</v>
      </c>
      <c r="S583" s="39">
        <v>47057</v>
      </c>
      <c r="T583" s="38">
        <v>45962</v>
      </c>
      <c r="U583" s="39">
        <v>47057</v>
      </c>
      <c r="V583" s="40" t="s">
        <v>2026</v>
      </c>
      <c r="W583" s="41" t="s">
        <v>114</v>
      </c>
      <c r="X583" s="40" t="s">
        <v>2027</v>
      </c>
      <c r="Y583" s="40" t="s">
        <v>56</v>
      </c>
      <c r="AC583" s="63" t="s">
        <v>2028</v>
      </c>
      <c r="AD583" s="46">
        <v>45982</v>
      </c>
      <c r="AE583" t="s">
        <v>2029</v>
      </c>
      <c r="AF583" s="47">
        <v>46098</v>
      </c>
      <c r="AG583" s="48">
        <v>51565</v>
      </c>
      <c r="AH583" s="48">
        <v>44835.51</v>
      </c>
    </row>
    <row r="584" spans="1:36" ht="19.5" customHeight="1">
      <c r="A584" s="25">
        <f t="shared" si="9"/>
        <v>581</v>
      </c>
      <c r="B584" s="26">
        <v>6229030</v>
      </c>
      <c r="C584" s="27">
        <v>45952</v>
      </c>
      <c r="D584" s="28">
        <v>1448.42</v>
      </c>
      <c r="E584" s="29">
        <v>11265.81</v>
      </c>
      <c r="F584" s="30">
        <v>1561995</v>
      </c>
      <c r="G584" s="27">
        <v>45961</v>
      </c>
      <c r="H584" s="32">
        <v>1448.42</v>
      </c>
      <c r="I584" s="33">
        <v>11265.81</v>
      </c>
      <c r="J584" s="34" t="s">
        <v>33</v>
      </c>
      <c r="K584" t="s">
        <v>34</v>
      </c>
      <c r="L584" s="35">
        <v>322194832</v>
      </c>
      <c r="M584" s="36" t="s">
        <v>2030</v>
      </c>
      <c r="N584" s="37" t="s">
        <v>1346</v>
      </c>
      <c r="O584" t="s">
        <v>2031</v>
      </c>
      <c r="P584" t="s">
        <v>2032</v>
      </c>
      <c r="Q584" t="s">
        <v>1843</v>
      </c>
      <c r="R584" s="38">
        <v>45998</v>
      </c>
      <c r="S584" s="39">
        <v>47118</v>
      </c>
      <c r="T584" s="38">
        <v>45920</v>
      </c>
      <c r="U584" s="39">
        <v>47118</v>
      </c>
      <c r="V584" s="40" t="s">
        <v>1654</v>
      </c>
      <c r="W584" s="41" t="s">
        <v>114</v>
      </c>
      <c r="X584" s="40" t="s">
        <v>2033</v>
      </c>
      <c r="Y584" s="40" t="s">
        <v>185</v>
      </c>
      <c r="Z584" t="s">
        <v>81</v>
      </c>
      <c r="AC584" s="63">
        <v>9999857187</v>
      </c>
      <c r="AD584" s="46">
        <v>45964</v>
      </c>
      <c r="AE584">
        <v>3184747</v>
      </c>
      <c r="AF584" s="47">
        <v>46001</v>
      </c>
      <c r="AG584" s="48">
        <v>97500</v>
      </c>
      <c r="AH584" s="48">
        <v>29945.09</v>
      </c>
    </row>
    <row r="585" spans="1:36" ht="19.5" customHeight="1">
      <c r="A585" s="25">
        <f t="shared" si="9"/>
        <v>582</v>
      </c>
      <c r="B585" s="26">
        <v>6229032</v>
      </c>
      <c r="C585" s="27">
        <v>45952</v>
      </c>
      <c r="D585" s="28">
        <v>2417.36</v>
      </c>
      <c r="E585" s="29">
        <v>18802.23</v>
      </c>
      <c r="F585" s="30">
        <v>1561274</v>
      </c>
      <c r="G585" s="27">
        <v>45957</v>
      </c>
      <c r="H585" s="28">
        <v>2417.36</v>
      </c>
      <c r="I585" s="29">
        <v>18802.23</v>
      </c>
      <c r="J585" s="34" t="s">
        <v>33</v>
      </c>
      <c r="K585" t="s">
        <v>34</v>
      </c>
      <c r="L585" s="35">
        <v>312194732</v>
      </c>
      <c r="M585" s="36" t="s">
        <v>2030</v>
      </c>
      <c r="N585" s="37" t="s">
        <v>1540</v>
      </c>
      <c r="O585" t="s">
        <v>2031</v>
      </c>
      <c r="P585" t="s">
        <v>2032</v>
      </c>
      <c r="Q585" t="s">
        <v>1843</v>
      </c>
      <c r="R585" s="38">
        <v>45998</v>
      </c>
      <c r="S585" s="39">
        <v>47118</v>
      </c>
      <c r="T585" s="38">
        <v>46002</v>
      </c>
      <c r="U585" s="39">
        <v>47118</v>
      </c>
      <c r="V585" s="40" t="s">
        <v>1654</v>
      </c>
      <c r="W585" s="41" t="s">
        <v>114</v>
      </c>
      <c r="X585" s="40" t="s">
        <v>2033</v>
      </c>
      <c r="Y585" s="40" t="s">
        <v>185</v>
      </c>
      <c r="Z585" t="s">
        <v>81</v>
      </c>
      <c r="AC585" s="63">
        <v>9999839853</v>
      </c>
      <c r="AD585" s="46">
        <v>45958</v>
      </c>
      <c r="AE585">
        <v>3184877</v>
      </c>
      <c r="AF585" s="39">
        <v>46002</v>
      </c>
      <c r="AG585" s="48">
        <v>97500</v>
      </c>
      <c r="AH585" s="48">
        <v>29945.09</v>
      </c>
    </row>
    <row r="586" spans="1:36" ht="19.5" customHeight="1">
      <c r="A586" s="25">
        <f t="shared" si="9"/>
        <v>583</v>
      </c>
      <c r="B586" s="26">
        <v>6229035</v>
      </c>
      <c r="C586" s="27">
        <v>45952</v>
      </c>
      <c r="D586" s="28" t="s">
        <v>141</v>
      </c>
      <c r="E586" s="29">
        <v>17529</v>
      </c>
      <c r="F586" s="30" t="s">
        <v>2034</v>
      </c>
      <c r="G586" s="27">
        <v>45957</v>
      </c>
      <c r="H586" s="28" t="s">
        <v>141</v>
      </c>
      <c r="I586" s="29">
        <v>17529</v>
      </c>
      <c r="J586" s="34" t="s">
        <v>103</v>
      </c>
      <c r="K586" t="s">
        <v>1190</v>
      </c>
      <c r="L586" s="35" t="s">
        <v>2035</v>
      </c>
      <c r="M586" s="36" t="s">
        <v>2036</v>
      </c>
      <c r="N586" s="37" t="s">
        <v>2037</v>
      </c>
      <c r="O586" t="s">
        <v>2038</v>
      </c>
      <c r="P586" t="s">
        <v>2039</v>
      </c>
      <c r="Q586" t="s">
        <v>1843</v>
      </c>
      <c r="R586" s="38">
        <v>46025</v>
      </c>
      <c r="S586" s="39">
        <v>47149</v>
      </c>
      <c r="T586" s="38">
        <v>46025</v>
      </c>
      <c r="U586" s="39">
        <v>46418</v>
      </c>
      <c r="V586" s="40" t="s">
        <v>1654</v>
      </c>
      <c r="W586" s="41" t="s">
        <v>114</v>
      </c>
      <c r="X586" s="40" t="s">
        <v>2040</v>
      </c>
      <c r="Y586" s="40" t="s">
        <v>185</v>
      </c>
      <c r="AE586">
        <v>3198280</v>
      </c>
      <c r="AF586" s="39">
        <v>46097</v>
      </c>
      <c r="AG586" s="48">
        <v>58000</v>
      </c>
      <c r="AH586" s="48">
        <v>23005.37</v>
      </c>
    </row>
    <row r="587" spans="1:36" ht="19.5" customHeight="1">
      <c r="A587" s="25">
        <f t="shared" si="9"/>
        <v>584</v>
      </c>
      <c r="B587" s="26">
        <v>6229307</v>
      </c>
      <c r="C587" s="27">
        <v>45953</v>
      </c>
      <c r="D587" s="28">
        <v>3881.07</v>
      </c>
      <c r="E587" s="29">
        <v>30186.959999999999</v>
      </c>
      <c r="F587" s="30">
        <v>1562879</v>
      </c>
      <c r="G587" s="27">
        <v>45964</v>
      </c>
      <c r="H587" s="32">
        <v>3881.07</v>
      </c>
      <c r="I587" s="33">
        <v>30153.97</v>
      </c>
      <c r="J587" s="34" t="s">
        <v>33</v>
      </c>
      <c r="K587" t="s">
        <v>34</v>
      </c>
      <c r="L587" s="35">
        <v>392188270</v>
      </c>
      <c r="M587" s="36" t="s">
        <v>2041</v>
      </c>
      <c r="N587" s="37" t="s">
        <v>1346</v>
      </c>
      <c r="O587" t="s">
        <v>2042</v>
      </c>
      <c r="P587" t="s">
        <v>2043</v>
      </c>
      <c r="Q587" t="s">
        <v>2044</v>
      </c>
      <c r="R587" s="38">
        <v>45960</v>
      </c>
      <c r="S587" s="39">
        <v>46324</v>
      </c>
      <c r="T587" s="38">
        <v>45960</v>
      </c>
      <c r="U587" s="39">
        <v>46324</v>
      </c>
      <c r="V587" s="40" t="s">
        <v>2045</v>
      </c>
      <c r="W587" s="41" t="s">
        <v>114</v>
      </c>
      <c r="X587" s="40" t="s">
        <v>2046</v>
      </c>
      <c r="Y587" s="40" t="s">
        <v>56</v>
      </c>
      <c r="AC587" s="63">
        <v>9999863127</v>
      </c>
      <c r="AD587" s="46">
        <v>45965</v>
      </c>
      <c r="AE587">
        <v>3186961</v>
      </c>
      <c r="AF587" s="47">
        <v>46020</v>
      </c>
      <c r="AG587" s="48">
        <v>55400</v>
      </c>
      <c r="AH587" s="48">
        <v>34066.400000000001</v>
      </c>
    </row>
    <row r="588" spans="1:36" s="40" customFormat="1" ht="19.5" customHeight="1">
      <c r="A588" s="25">
        <f t="shared" si="9"/>
        <v>585</v>
      </c>
      <c r="B588" s="26">
        <v>6229312</v>
      </c>
      <c r="C588" s="27">
        <v>45953</v>
      </c>
      <c r="D588" s="71" t="s">
        <v>141</v>
      </c>
      <c r="E588" s="72">
        <v>870</v>
      </c>
      <c r="F588" s="30">
        <v>1561996</v>
      </c>
      <c r="G588" s="27">
        <v>45957</v>
      </c>
      <c r="H588" s="71" t="s">
        <v>141</v>
      </c>
      <c r="I588" s="74">
        <v>870</v>
      </c>
      <c r="J588" s="34" t="s">
        <v>33</v>
      </c>
      <c r="K588" t="s">
        <v>139</v>
      </c>
      <c r="L588" s="35">
        <v>80005200</v>
      </c>
      <c r="M588" s="36" t="s">
        <v>2047</v>
      </c>
      <c r="N588" s="75" t="s">
        <v>2048</v>
      </c>
      <c r="O588" t="s">
        <v>2049</v>
      </c>
      <c r="P588" t="s">
        <v>2050</v>
      </c>
      <c r="Q588" t="s">
        <v>2051</v>
      </c>
      <c r="R588" s="38">
        <v>45954</v>
      </c>
      <c r="S588" s="39">
        <v>46318</v>
      </c>
      <c r="T588" s="38" t="s">
        <v>141</v>
      </c>
      <c r="U588" s="39" t="s">
        <v>141</v>
      </c>
      <c r="V588" s="40" t="s">
        <v>64</v>
      </c>
      <c r="W588" s="41" t="s">
        <v>114</v>
      </c>
      <c r="X588" s="40">
        <v>26955111</v>
      </c>
      <c r="Y588" s="40" t="s">
        <v>185</v>
      </c>
      <c r="Z588"/>
      <c r="AA588" s="62">
        <v>90007279</v>
      </c>
      <c r="AB588" s="44">
        <v>45988</v>
      </c>
      <c r="AC588" s="63">
        <v>60016959</v>
      </c>
      <c r="AD588" s="46">
        <v>45988</v>
      </c>
      <c r="AE588">
        <v>3184716</v>
      </c>
      <c r="AF588" s="47">
        <v>46001</v>
      </c>
      <c r="AG588" s="76">
        <v>1066209</v>
      </c>
      <c r="AH588" s="76">
        <v>539224</v>
      </c>
      <c r="AI588" s="49"/>
      <c r="AJ588"/>
    </row>
    <row r="589" spans="1:36" s="40" customFormat="1" ht="19.5" customHeight="1">
      <c r="A589" s="25">
        <f t="shared" si="9"/>
        <v>586</v>
      </c>
      <c r="B589" s="26">
        <v>6229477</v>
      </c>
      <c r="C589" s="27">
        <v>45953</v>
      </c>
      <c r="D589" s="28">
        <v>3468.34</v>
      </c>
      <c r="E589" s="29">
        <v>26976.75</v>
      </c>
      <c r="F589" s="30">
        <v>1561611</v>
      </c>
      <c r="G589" s="27">
        <v>45958</v>
      </c>
      <c r="H589" s="28">
        <v>3468.34</v>
      </c>
      <c r="I589" s="29">
        <v>26976.75</v>
      </c>
      <c r="J589" s="34" t="s">
        <v>33</v>
      </c>
      <c r="K589" t="s">
        <v>34</v>
      </c>
      <c r="L589" s="35">
        <v>232278675</v>
      </c>
      <c r="M589" s="36" t="s">
        <v>2052</v>
      </c>
      <c r="N589" s="37" t="s">
        <v>2053</v>
      </c>
      <c r="O589" t="s">
        <v>2054</v>
      </c>
      <c r="P589" t="s">
        <v>2055</v>
      </c>
      <c r="Q589" t="s">
        <v>2056</v>
      </c>
      <c r="R589" s="38">
        <v>45938</v>
      </c>
      <c r="S589" s="39">
        <v>46302</v>
      </c>
      <c r="T589" s="38">
        <v>45939</v>
      </c>
      <c r="U589" s="39">
        <v>46303</v>
      </c>
      <c r="V589" s="40" t="s">
        <v>571</v>
      </c>
      <c r="W589" s="41" t="s">
        <v>114</v>
      </c>
      <c r="X589" s="40" t="s">
        <v>2057</v>
      </c>
      <c r="Y589" s="40" t="s">
        <v>185</v>
      </c>
      <c r="Z589"/>
      <c r="AA589" s="62"/>
      <c r="AB589" s="44"/>
      <c r="AC589" s="63">
        <v>9999844931</v>
      </c>
      <c r="AD589" s="46">
        <v>45959</v>
      </c>
      <c r="AE589">
        <v>3184744</v>
      </c>
      <c r="AF589" s="47">
        <v>46001</v>
      </c>
      <c r="AG589" s="48">
        <v>358616</v>
      </c>
      <c r="AH589" s="48">
        <v>239295.08</v>
      </c>
      <c r="AI589" s="49"/>
      <c r="AJ589"/>
    </row>
    <row r="590" spans="1:36" s="40" customFormat="1" ht="19.5" customHeight="1">
      <c r="A590" s="25">
        <f t="shared" si="9"/>
        <v>587</v>
      </c>
      <c r="B590" s="26">
        <v>6229692</v>
      </c>
      <c r="C590" s="27">
        <v>45954</v>
      </c>
      <c r="D590" s="28" t="s">
        <v>141</v>
      </c>
      <c r="E590" s="29">
        <v>6848.12</v>
      </c>
      <c r="F590" s="30">
        <v>1561767</v>
      </c>
      <c r="G590" s="27">
        <v>45957</v>
      </c>
      <c r="H590" s="28" t="s">
        <v>141</v>
      </c>
      <c r="I590" s="33">
        <v>6848.12</v>
      </c>
      <c r="J590" s="34" t="s">
        <v>103</v>
      </c>
      <c r="K590" t="s">
        <v>107</v>
      </c>
      <c r="L590" s="35" t="s">
        <v>2058</v>
      </c>
      <c r="M590" s="36" t="s">
        <v>2059</v>
      </c>
      <c r="N590" s="37" t="s">
        <v>2053</v>
      </c>
      <c r="O590" t="s">
        <v>719</v>
      </c>
      <c r="P590" t="s">
        <v>720</v>
      </c>
      <c r="Q590" t="s">
        <v>2060</v>
      </c>
      <c r="R590" s="38">
        <v>45561</v>
      </c>
      <c r="S590" s="39">
        <v>45958</v>
      </c>
      <c r="T590" s="38">
        <v>45926</v>
      </c>
      <c r="U590" s="39">
        <v>45958</v>
      </c>
      <c r="V590" s="40" t="s">
        <v>2061</v>
      </c>
      <c r="W590" s="41" t="s">
        <v>114</v>
      </c>
      <c r="X590" s="40" t="s">
        <v>2062</v>
      </c>
      <c r="Y590" s="40" t="s">
        <v>185</v>
      </c>
      <c r="Z590"/>
      <c r="AA590" s="62" t="s">
        <v>2063</v>
      </c>
      <c r="AB590" s="46">
        <v>45958</v>
      </c>
      <c r="AC590" s="63" t="s">
        <v>2064</v>
      </c>
      <c r="AD590" s="46">
        <v>45958</v>
      </c>
      <c r="AE590">
        <v>3189375</v>
      </c>
      <c r="AF590" s="47">
        <v>46037</v>
      </c>
      <c r="AG590" s="48">
        <v>151630</v>
      </c>
      <c r="AH590" s="48">
        <v>117098.49</v>
      </c>
      <c r="AI590" s="49"/>
      <c r="AJ590"/>
    </row>
    <row r="591" spans="1:36" s="40" customFormat="1" ht="19.5" customHeight="1">
      <c r="A591" s="25">
        <f t="shared" si="9"/>
        <v>588</v>
      </c>
      <c r="B591" s="26">
        <v>6229818</v>
      </c>
      <c r="C591" s="27">
        <v>45954</v>
      </c>
      <c r="D591" s="71" t="s">
        <v>141</v>
      </c>
      <c r="E591" s="72">
        <v>24410</v>
      </c>
      <c r="F591" s="30">
        <v>1561829</v>
      </c>
      <c r="G591" s="27">
        <v>45957</v>
      </c>
      <c r="H591" s="71" t="s">
        <v>141</v>
      </c>
      <c r="I591" s="72">
        <f>3470+5570+970+820+970+8320+1970+1050+1270</f>
        <v>24410</v>
      </c>
      <c r="J591" s="34" t="s">
        <v>33</v>
      </c>
      <c r="K591" t="s">
        <v>139</v>
      </c>
      <c r="L591" s="35">
        <v>80005199</v>
      </c>
      <c r="M591" s="36" t="s">
        <v>2065</v>
      </c>
      <c r="N591" s="75" t="s">
        <v>2066</v>
      </c>
      <c r="O591" t="s">
        <v>2054</v>
      </c>
      <c r="P591" t="s">
        <v>2055</v>
      </c>
      <c r="Q591" t="s">
        <v>2067</v>
      </c>
      <c r="R591" s="38">
        <v>45879</v>
      </c>
      <c r="S591" s="39">
        <v>46213</v>
      </c>
      <c r="T591" s="38" t="s">
        <v>141</v>
      </c>
      <c r="U591" s="39" t="s">
        <v>141</v>
      </c>
      <c r="V591" s="40" t="s">
        <v>571</v>
      </c>
      <c r="W591" s="41" t="s">
        <v>114</v>
      </c>
      <c r="X591" s="40" t="s">
        <v>2068</v>
      </c>
      <c r="Y591" s="40" t="s">
        <v>185</v>
      </c>
      <c r="Z591" t="s">
        <v>81</v>
      </c>
      <c r="AA591" s="62">
        <v>90007279</v>
      </c>
      <c r="AB591" s="44">
        <v>45988</v>
      </c>
      <c r="AC591" s="63">
        <v>60016958</v>
      </c>
      <c r="AD591" s="46">
        <v>45988</v>
      </c>
      <c r="AE591">
        <v>3185163</v>
      </c>
      <c r="AF591" s="47">
        <v>46003</v>
      </c>
      <c r="AG591" s="76">
        <v>358616</v>
      </c>
      <c r="AH591" s="76">
        <v>239295.08</v>
      </c>
      <c r="AI591" s="49"/>
      <c r="AJ591"/>
    </row>
    <row r="592" spans="1:36" s="40" customFormat="1" ht="19.5" customHeight="1">
      <c r="A592" s="25">
        <f t="shared" si="9"/>
        <v>589</v>
      </c>
      <c r="B592" s="26">
        <v>6229936</v>
      </c>
      <c r="C592" s="27">
        <v>45954</v>
      </c>
      <c r="D592" s="28" t="s">
        <v>141</v>
      </c>
      <c r="E592" s="29">
        <v>47522.09</v>
      </c>
      <c r="F592" s="30">
        <v>1561935</v>
      </c>
      <c r="G592" s="27">
        <v>45960</v>
      </c>
      <c r="H592" s="28" t="s">
        <v>141</v>
      </c>
      <c r="I592" s="33">
        <f>14954.8+526.98+1504+683.65+7975.92+4785.54+17091.2</f>
        <v>47522.09</v>
      </c>
      <c r="J592" s="34" t="s">
        <v>159</v>
      </c>
      <c r="K592" t="s">
        <v>160</v>
      </c>
      <c r="L592" s="35" t="s">
        <v>2069</v>
      </c>
      <c r="M592" s="36" t="s">
        <v>2070</v>
      </c>
      <c r="N592" s="37" t="s">
        <v>2071</v>
      </c>
      <c r="O592" t="s">
        <v>2054</v>
      </c>
      <c r="P592" t="s">
        <v>2055</v>
      </c>
      <c r="Q592" t="s">
        <v>2067</v>
      </c>
      <c r="R592" s="38">
        <v>45938</v>
      </c>
      <c r="S592" s="39">
        <v>46302</v>
      </c>
      <c r="T592" s="38">
        <v>45929</v>
      </c>
      <c r="U592" s="39">
        <v>47149</v>
      </c>
      <c r="V592" s="40" t="s">
        <v>571</v>
      </c>
      <c r="W592" s="41" t="s">
        <v>114</v>
      </c>
      <c r="X592" s="40" t="s">
        <v>2072</v>
      </c>
      <c r="Y592" s="40" t="s">
        <v>56</v>
      </c>
      <c r="Z592" t="s">
        <v>81</v>
      </c>
      <c r="AA592" s="62" t="s">
        <v>2073</v>
      </c>
      <c r="AB592" s="44">
        <v>45968</v>
      </c>
      <c r="AC592" s="63" t="s">
        <v>2074</v>
      </c>
      <c r="AD592" s="46">
        <v>45967</v>
      </c>
      <c r="AE592">
        <v>3184160</v>
      </c>
      <c r="AF592" s="47">
        <v>45996</v>
      </c>
      <c r="AG592" s="48">
        <v>358616</v>
      </c>
      <c r="AH592" s="48">
        <v>239295.08</v>
      </c>
      <c r="AI592" s="49"/>
      <c r="AJ592"/>
    </row>
    <row r="593" spans="1:36" s="40" customFormat="1" ht="19.5" customHeight="1">
      <c r="A593" s="25">
        <f t="shared" si="9"/>
        <v>590</v>
      </c>
      <c r="B593" s="26">
        <v>6229953</v>
      </c>
      <c r="C593" s="27">
        <v>45954</v>
      </c>
      <c r="D593" s="28">
        <v>721.64</v>
      </c>
      <c r="E593" s="29">
        <v>5612.92</v>
      </c>
      <c r="F593" s="30" t="s">
        <v>2075</v>
      </c>
      <c r="G593" s="27">
        <v>45961</v>
      </c>
      <c r="H593" s="32">
        <v>721.64</v>
      </c>
      <c r="I593" s="33">
        <f>5612.92</f>
        <v>5612.92</v>
      </c>
      <c r="J593" s="34" t="s">
        <v>33</v>
      </c>
      <c r="K593" t="s">
        <v>34</v>
      </c>
      <c r="L593" s="35">
        <v>451985862</v>
      </c>
      <c r="M593" s="36" t="s">
        <v>2076</v>
      </c>
      <c r="N593" s="37" t="s">
        <v>1346</v>
      </c>
      <c r="O593" t="s">
        <v>2038</v>
      </c>
      <c r="P593" t="s">
        <v>2039</v>
      </c>
      <c r="Q593" t="s">
        <v>1843</v>
      </c>
      <c r="R593" s="38">
        <v>46025</v>
      </c>
      <c r="S593" s="39">
        <v>47149</v>
      </c>
      <c r="T593" s="38">
        <v>45929</v>
      </c>
      <c r="U593" s="39">
        <v>47149</v>
      </c>
      <c r="V593" s="40" t="s">
        <v>1654</v>
      </c>
      <c r="W593" s="41" t="s">
        <v>114</v>
      </c>
      <c r="X593" s="40" t="s">
        <v>2077</v>
      </c>
      <c r="Y593" s="40" t="s">
        <v>185</v>
      </c>
      <c r="Z593"/>
      <c r="AA593" s="62"/>
      <c r="AB593" s="44"/>
      <c r="AC593" s="63">
        <v>9999857198</v>
      </c>
      <c r="AD593" s="46">
        <v>45964</v>
      </c>
      <c r="AE593">
        <v>3186960</v>
      </c>
      <c r="AF593" s="47">
        <v>46020</v>
      </c>
      <c r="AG593" s="48">
        <v>58000</v>
      </c>
      <c r="AH593" s="48">
        <v>23193.87</v>
      </c>
      <c r="AI593" s="49"/>
      <c r="AJ593"/>
    </row>
    <row r="594" spans="1:36" s="40" customFormat="1" ht="19.5" customHeight="1">
      <c r="A594" s="25">
        <f t="shared" si="9"/>
        <v>591</v>
      </c>
      <c r="B594" s="26">
        <v>6229969</v>
      </c>
      <c r="C594" s="27">
        <v>45954</v>
      </c>
      <c r="D594" s="71" t="s">
        <v>141</v>
      </c>
      <c r="E594" s="72">
        <v>2810</v>
      </c>
      <c r="F594" s="30" t="s">
        <v>2078</v>
      </c>
      <c r="G594" s="27">
        <v>45957</v>
      </c>
      <c r="H594" s="71" t="s">
        <v>141</v>
      </c>
      <c r="I594" s="74">
        <f>1870+940</f>
        <v>2810</v>
      </c>
      <c r="J594" s="34" t="s">
        <v>33</v>
      </c>
      <c r="K594" t="s">
        <v>139</v>
      </c>
      <c r="L594" s="35">
        <v>80005201</v>
      </c>
      <c r="M594" s="36" t="s">
        <v>2079</v>
      </c>
      <c r="N594" s="75" t="s">
        <v>2080</v>
      </c>
      <c r="O594" t="s">
        <v>2081</v>
      </c>
      <c r="P594" t="s">
        <v>2082</v>
      </c>
      <c r="Q594" t="s">
        <v>2083</v>
      </c>
      <c r="R594" s="38">
        <v>45870</v>
      </c>
      <c r="S594" s="39">
        <v>46234</v>
      </c>
      <c r="T594" s="38" t="s">
        <v>141</v>
      </c>
      <c r="U594" s="39" t="s">
        <v>141</v>
      </c>
      <c r="V594" s="40" t="s">
        <v>2061</v>
      </c>
      <c r="W594" s="41" t="s">
        <v>114</v>
      </c>
      <c r="X594" s="40" t="s">
        <v>2084</v>
      </c>
      <c r="Y594" s="40" t="s">
        <v>56</v>
      </c>
      <c r="Z594"/>
      <c r="AA594" s="62">
        <v>90007322</v>
      </c>
      <c r="AB594" s="44">
        <v>46008</v>
      </c>
      <c r="AC594" s="63">
        <v>60017037</v>
      </c>
      <c r="AD594" s="46">
        <v>46008</v>
      </c>
      <c r="AE594" t="s">
        <v>2085</v>
      </c>
      <c r="AF594" s="47">
        <v>46034</v>
      </c>
      <c r="AG594" s="76">
        <v>342360</v>
      </c>
      <c r="AH594" s="76">
        <v>44496.3</v>
      </c>
      <c r="AI594" s="49">
        <v>49198726</v>
      </c>
      <c r="AJ594"/>
    </row>
    <row r="595" spans="1:36" s="40" customFormat="1" ht="19.5" customHeight="1">
      <c r="A595" s="25">
        <f t="shared" si="9"/>
        <v>592</v>
      </c>
      <c r="B595" s="26">
        <v>6229970</v>
      </c>
      <c r="C595" s="27">
        <v>45954</v>
      </c>
      <c r="D595" s="28" t="s">
        <v>141</v>
      </c>
      <c r="E595" s="29">
        <v>1485.9</v>
      </c>
      <c r="F595" s="30">
        <v>1562527</v>
      </c>
      <c r="G595" s="27">
        <v>45964</v>
      </c>
      <c r="H595" s="28" t="s">
        <v>141</v>
      </c>
      <c r="I595" s="29">
        <f>1019.88+466.02</f>
        <v>1485.9</v>
      </c>
      <c r="J595" s="34" t="s">
        <v>159</v>
      </c>
      <c r="K595" t="s">
        <v>160</v>
      </c>
      <c r="L595" s="35" t="s">
        <v>2086</v>
      </c>
      <c r="M595" s="36" t="s">
        <v>2070</v>
      </c>
      <c r="N595" s="37" t="s">
        <v>2087</v>
      </c>
      <c r="O595" t="s">
        <v>2054</v>
      </c>
      <c r="P595" t="s">
        <v>2055</v>
      </c>
      <c r="Q595" t="s">
        <v>2067</v>
      </c>
      <c r="R595" s="38">
        <v>45938</v>
      </c>
      <c r="S595" s="39">
        <v>46302</v>
      </c>
      <c r="T595" s="38">
        <v>45929</v>
      </c>
      <c r="U595" s="39">
        <v>47149</v>
      </c>
      <c r="V595" s="40" t="s">
        <v>571</v>
      </c>
      <c r="W595" s="41" t="s">
        <v>114</v>
      </c>
      <c r="X595" s="40" t="s">
        <v>2072</v>
      </c>
      <c r="Y595" s="40" t="s">
        <v>56</v>
      </c>
      <c r="Z595" t="s">
        <v>81</v>
      </c>
      <c r="AA595" s="62" t="s">
        <v>2073</v>
      </c>
      <c r="AB595" s="44">
        <v>45973</v>
      </c>
      <c r="AC595" s="63" t="s">
        <v>2088</v>
      </c>
      <c r="AD595" s="46">
        <v>45967</v>
      </c>
      <c r="AE595">
        <v>3184760</v>
      </c>
      <c r="AF595" s="47">
        <v>46001</v>
      </c>
      <c r="AG595" s="48">
        <v>358616</v>
      </c>
      <c r="AH595" s="48">
        <v>239295.08</v>
      </c>
      <c r="AI595" s="49"/>
      <c r="AJ595"/>
    </row>
    <row r="596" spans="1:36" s="40" customFormat="1" ht="19.5" customHeight="1">
      <c r="A596" s="25">
        <f t="shared" si="9"/>
        <v>593</v>
      </c>
      <c r="B596" s="26">
        <v>6230457</v>
      </c>
      <c r="C596" s="27">
        <v>45957</v>
      </c>
      <c r="D596" s="28">
        <v>3588.58</v>
      </c>
      <c r="E596" s="29">
        <v>27911.98</v>
      </c>
      <c r="F596" s="30">
        <v>1562611</v>
      </c>
      <c r="G596" s="27">
        <v>45961</v>
      </c>
      <c r="H596" s="28">
        <v>3588.58</v>
      </c>
      <c r="I596" s="29">
        <v>27911.98</v>
      </c>
      <c r="J596" s="34" t="s">
        <v>103</v>
      </c>
      <c r="K596" t="s">
        <v>206</v>
      </c>
      <c r="L596" s="35" t="s">
        <v>2089</v>
      </c>
      <c r="M596" s="36" t="s">
        <v>2090</v>
      </c>
      <c r="N596" s="37" t="s">
        <v>2091</v>
      </c>
      <c r="O596" t="s">
        <v>2092</v>
      </c>
      <c r="P596" t="s">
        <v>2093</v>
      </c>
      <c r="Q596" t="s">
        <v>2094</v>
      </c>
      <c r="R596" s="38">
        <v>45962</v>
      </c>
      <c r="S596" s="39">
        <v>46326</v>
      </c>
      <c r="T596" s="38">
        <v>45962</v>
      </c>
      <c r="U596" s="39">
        <v>46326</v>
      </c>
      <c r="V596" s="40" t="s">
        <v>80</v>
      </c>
      <c r="W596" s="41" t="s">
        <v>39</v>
      </c>
      <c r="X596" s="40" t="s">
        <v>2095</v>
      </c>
      <c r="Y596" s="40" t="s">
        <v>56</v>
      </c>
      <c r="Z596" t="s">
        <v>81</v>
      </c>
      <c r="AA596" s="62" t="s">
        <v>2096</v>
      </c>
      <c r="AB596" s="44">
        <v>45967</v>
      </c>
      <c r="AC596" s="63" t="s">
        <v>2097</v>
      </c>
      <c r="AD596" s="46">
        <v>45967</v>
      </c>
      <c r="AE596"/>
      <c r="AF596" s="39"/>
      <c r="AG596" s="48">
        <v>99869</v>
      </c>
      <c r="AH596" s="48">
        <v>52709.13</v>
      </c>
      <c r="AI596" s="49"/>
      <c r="AJ596"/>
    </row>
    <row r="597" spans="1:36" s="40" customFormat="1" ht="19.5" customHeight="1">
      <c r="A597" s="25">
        <f t="shared" si="9"/>
        <v>594</v>
      </c>
      <c r="B597" s="26">
        <v>6230581</v>
      </c>
      <c r="C597" s="27">
        <v>45957</v>
      </c>
      <c r="D597" s="71" t="s">
        <v>141</v>
      </c>
      <c r="E597" s="72">
        <v>770</v>
      </c>
      <c r="F597" s="30" t="s">
        <v>2098</v>
      </c>
      <c r="G597" s="27">
        <v>45960</v>
      </c>
      <c r="H597" s="71" t="s">
        <v>141</v>
      </c>
      <c r="I597" s="74">
        <v>770</v>
      </c>
      <c r="J597" s="34" t="s">
        <v>33</v>
      </c>
      <c r="K597" t="s">
        <v>139</v>
      </c>
      <c r="L597" s="35">
        <v>80005208</v>
      </c>
      <c r="M597" s="36" t="s">
        <v>2099</v>
      </c>
      <c r="N597" s="75" t="s">
        <v>1383</v>
      </c>
      <c r="O597" t="s">
        <v>2100</v>
      </c>
      <c r="P597" t="s">
        <v>2101</v>
      </c>
      <c r="Q597" t="s">
        <v>2102</v>
      </c>
      <c r="R597" s="38">
        <v>45710</v>
      </c>
      <c r="S597" s="39">
        <v>46074</v>
      </c>
      <c r="T597" s="50" t="s">
        <v>141</v>
      </c>
      <c r="U597" s="47" t="s">
        <v>141</v>
      </c>
      <c r="V597" s="40" t="s">
        <v>245</v>
      </c>
      <c r="W597" s="41" t="s">
        <v>39</v>
      </c>
      <c r="X597" s="40" t="s">
        <v>2103</v>
      </c>
      <c r="Y597" s="40" t="s">
        <v>185</v>
      </c>
      <c r="Z597"/>
      <c r="AA597" s="62">
        <v>90007279</v>
      </c>
      <c r="AB597" s="44">
        <v>45988</v>
      </c>
      <c r="AC597" s="63">
        <v>60016960</v>
      </c>
      <c r="AD597" s="46">
        <v>45988</v>
      </c>
      <c r="AE597"/>
      <c r="AF597" s="39"/>
      <c r="AG597" s="76">
        <v>22800</v>
      </c>
      <c r="AH597" s="76">
        <v>770</v>
      </c>
      <c r="AI597" s="49"/>
      <c r="AJ597"/>
    </row>
    <row r="598" spans="1:36" s="40" customFormat="1" ht="19.5" customHeight="1">
      <c r="A598" s="25">
        <f t="shared" si="9"/>
        <v>595</v>
      </c>
      <c r="B598" s="26">
        <v>6230895</v>
      </c>
      <c r="C598" s="27">
        <v>45958</v>
      </c>
      <c r="D598" s="28">
        <v>7174.08</v>
      </c>
      <c r="E598" s="29">
        <v>55799.99</v>
      </c>
      <c r="F598" s="30">
        <v>1562428</v>
      </c>
      <c r="G598" s="27">
        <v>45961</v>
      </c>
      <c r="H598" s="32">
        <v>7174.08</v>
      </c>
      <c r="I598" s="33">
        <v>55799.99</v>
      </c>
      <c r="J598" s="34" t="s">
        <v>33</v>
      </c>
      <c r="K598" t="s">
        <v>34</v>
      </c>
      <c r="L598" s="35">
        <v>332201246</v>
      </c>
      <c r="M598" s="36" t="s">
        <v>2104</v>
      </c>
      <c r="N598" s="37" t="s">
        <v>1346</v>
      </c>
      <c r="O598" t="s">
        <v>2105</v>
      </c>
      <c r="P598" t="s">
        <v>2106</v>
      </c>
      <c r="Q598" t="s">
        <v>2107</v>
      </c>
      <c r="R598" s="38">
        <v>45945</v>
      </c>
      <c r="S598" s="39">
        <v>46321</v>
      </c>
      <c r="T598" s="38">
        <v>45945</v>
      </c>
      <c r="U598" s="39">
        <v>47052</v>
      </c>
      <c r="V598" s="40" t="s">
        <v>2108</v>
      </c>
      <c r="W598" s="41" t="s">
        <v>39</v>
      </c>
      <c r="X598" s="40" t="s">
        <v>2109</v>
      </c>
      <c r="Y598" s="40" t="s">
        <v>56</v>
      </c>
      <c r="Z598"/>
      <c r="AA598" s="62"/>
      <c r="AB598" s="44"/>
      <c r="AC598" s="63">
        <v>9999857204</v>
      </c>
      <c r="AD598" s="46">
        <v>45964</v>
      </c>
      <c r="AE598"/>
      <c r="AF598" s="39"/>
      <c r="AG598" s="48"/>
      <c r="AH598" s="48"/>
      <c r="AI598" s="49"/>
      <c r="AJ598"/>
    </row>
    <row r="599" spans="1:36" s="40" customFormat="1" ht="19.5" customHeight="1">
      <c r="A599" s="25">
        <f t="shared" si="9"/>
        <v>596</v>
      </c>
      <c r="B599" s="26">
        <v>6231041</v>
      </c>
      <c r="C599" s="27">
        <v>45958</v>
      </c>
      <c r="D599" s="28" t="s">
        <v>141</v>
      </c>
      <c r="E599" s="29">
        <v>185682.26</v>
      </c>
      <c r="F599" s="30">
        <v>1562847</v>
      </c>
      <c r="G599" s="27">
        <v>45964</v>
      </c>
      <c r="H599" s="28" t="s">
        <v>141</v>
      </c>
      <c r="I599" s="29">
        <v>185682.26</v>
      </c>
      <c r="J599" s="34" t="s">
        <v>1337</v>
      </c>
      <c r="K599" t="s">
        <v>107</v>
      </c>
      <c r="L599" s="35" t="s">
        <v>2110</v>
      </c>
      <c r="M599" s="36" t="s">
        <v>2111</v>
      </c>
      <c r="N599" s="37" t="s">
        <v>1458</v>
      </c>
      <c r="O599" t="s">
        <v>2112</v>
      </c>
      <c r="P599" t="s">
        <v>2113</v>
      </c>
      <c r="Q599" t="s">
        <v>2114</v>
      </c>
      <c r="R599" s="38">
        <v>45942</v>
      </c>
      <c r="S599" s="39">
        <v>46123</v>
      </c>
      <c r="T599" s="38">
        <v>45942</v>
      </c>
      <c r="U599" s="39">
        <v>46123</v>
      </c>
      <c r="V599" s="40" t="s">
        <v>60</v>
      </c>
      <c r="W599" s="41" t="s">
        <v>39</v>
      </c>
      <c r="X599" s="40" t="s">
        <v>2115</v>
      </c>
      <c r="Y599" s="40" t="s">
        <v>56</v>
      </c>
      <c r="Z599" s="40" t="s">
        <v>81</v>
      </c>
      <c r="AA599" s="62" t="s">
        <v>2116</v>
      </c>
      <c r="AB599" s="44">
        <v>45967</v>
      </c>
      <c r="AC599" s="63" t="s">
        <v>2117</v>
      </c>
      <c r="AD599" s="46">
        <v>45967</v>
      </c>
      <c r="AE599">
        <v>3183320</v>
      </c>
      <c r="AF599" s="39">
        <v>45989</v>
      </c>
      <c r="AG599" s="48"/>
      <c r="AH599" s="48"/>
      <c r="AI599" s="49"/>
      <c r="AJ599"/>
    </row>
    <row r="600" spans="1:36" s="40" customFormat="1" ht="19.5" customHeight="1" thickBot="1">
      <c r="A600" s="25">
        <f t="shared" si="9"/>
        <v>597</v>
      </c>
      <c r="B600" s="26">
        <v>6232169</v>
      </c>
      <c r="C600" s="27">
        <v>45961</v>
      </c>
      <c r="D600" s="28">
        <v>9195.9599999999991</v>
      </c>
      <c r="E600" s="29">
        <v>71526.179999999993</v>
      </c>
      <c r="F600" s="30">
        <v>1562867</v>
      </c>
      <c r="G600" s="27">
        <v>45966</v>
      </c>
      <c r="H600" s="32">
        <v>9195.9599999999991</v>
      </c>
      <c r="I600" s="254">
        <v>71448.009999999995</v>
      </c>
      <c r="J600" s="34" t="s">
        <v>33</v>
      </c>
      <c r="K600" t="s">
        <v>34</v>
      </c>
      <c r="L600" s="35">
        <v>302206835</v>
      </c>
      <c r="M600" s="36" t="s">
        <v>2118</v>
      </c>
      <c r="N600" s="37" t="s">
        <v>1346</v>
      </c>
      <c r="O600" t="s">
        <v>2119</v>
      </c>
      <c r="P600" t="s">
        <v>2120</v>
      </c>
      <c r="Q600" t="s">
        <v>2121</v>
      </c>
      <c r="R600" s="38">
        <v>45922</v>
      </c>
      <c r="S600" s="39">
        <v>46286</v>
      </c>
      <c r="T600" s="38">
        <v>46150</v>
      </c>
      <c r="U600" s="39">
        <v>46446</v>
      </c>
      <c r="V600" s="40" t="s">
        <v>60</v>
      </c>
      <c r="W600" s="41" t="s">
        <v>39</v>
      </c>
      <c r="X600" s="40" t="s">
        <v>2122</v>
      </c>
      <c r="Y600" s="40" t="s">
        <v>185</v>
      </c>
      <c r="Z600" s="40" t="s">
        <v>81</v>
      </c>
      <c r="AA600" s="62"/>
      <c r="AB600" s="44"/>
      <c r="AC600" s="63">
        <v>9999871703</v>
      </c>
      <c r="AD600" s="46">
        <v>45967</v>
      </c>
      <c r="AE600">
        <v>3184750</v>
      </c>
      <c r="AF600" s="47">
        <v>46001</v>
      </c>
      <c r="AG600" s="48"/>
      <c r="AH600" s="48"/>
      <c r="AI600" s="49"/>
      <c r="AJ600"/>
    </row>
    <row r="601" spans="1:36" s="40" customFormat="1" ht="19.5" customHeight="1">
      <c r="A601" s="25">
        <f t="shared" si="9"/>
        <v>598</v>
      </c>
      <c r="B601" s="135">
        <v>6232218</v>
      </c>
      <c r="C601" s="136">
        <v>45961</v>
      </c>
      <c r="D601" s="255" t="s">
        <v>141</v>
      </c>
      <c r="E601" s="239">
        <v>102450</v>
      </c>
      <c r="F601" s="139" t="s">
        <v>2123</v>
      </c>
      <c r="G601" s="136">
        <v>45964</v>
      </c>
      <c r="H601" s="255" t="s">
        <v>141</v>
      </c>
      <c r="I601" s="239">
        <f>102450-26570</f>
        <v>75880</v>
      </c>
      <c r="J601" s="140" t="s">
        <v>33</v>
      </c>
      <c r="K601" s="141" t="s">
        <v>139</v>
      </c>
      <c r="L601" s="142">
        <v>80005204</v>
      </c>
      <c r="M601" s="143" t="s">
        <v>2124</v>
      </c>
      <c r="N601" s="256" t="s">
        <v>2125</v>
      </c>
      <c r="O601" s="141" t="s">
        <v>1988</v>
      </c>
      <c r="P601" s="141" t="s">
        <v>1989</v>
      </c>
      <c r="Q601" s="141" t="s">
        <v>1990</v>
      </c>
      <c r="R601" s="145">
        <v>45839</v>
      </c>
      <c r="S601" s="146">
        <v>46203</v>
      </c>
      <c r="T601" s="180" t="s">
        <v>141</v>
      </c>
      <c r="U601" s="154" t="s">
        <v>141</v>
      </c>
      <c r="V601" s="147" t="s">
        <v>44</v>
      </c>
      <c r="W601" s="148" t="s">
        <v>39</v>
      </c>
      <c r="X601" s="147" t="s">
        <v>1998</v>
      </c>
      <c r="Y601" s="147" t="s">
        <v>185</v>
      </c>
      <c r="Z601" s="141"/>
      <c r="AA601" s="150">
        <v>90007378</v>
      </c>
      <c r="AB601" s="151">
        <v>46030</v>
      </c>
      <c r="AC601" s="152">
        <v>60017148</v>
      </c>
      <c r="AD601" s="153">
        <v>46030</v>
      </c>
      <c r="AE601" s="141"/>
      <c r="AF601" s="146"/>
      <c r="AG601" s="76"/>
      <c r="AH601" s="76"/>
      <c r="AI601" s="49"/>
      <c r="AJ601"/>
    </row>
    <row r="602" spans="1:36" s="280" customFormat="1" ht="19.5" customHeight="1" thickBot="1">
      <c r="A602" s="257">
        <f t="shared" si="9"/>
        <v>599</v>
      </c>
      <c r="B602" s="258">
        <v>6232218</v>
      </c>
      <c r="C602" s="259">
        <v>45961</v>
      </c>
      <c r="D602" s="260" t="s">
        <v>141</v>
      </c>
      <c r="E602" s="261">
        <v>102450</v>
      </c>
      <c r="F602" s="159" t="s">
        <v>2123</v>
      </c>
      <c r="G602" s="259">
        <v>45964</v>
      </c>
      <c r="H602" s="260" t="s">
        <v>141</v>
      </c>
      <c r="I602" s="261">
        <f>102450-75880</f>
        <v>26570</v>
      </c>
      <c r="J602" s="262" t="s">
        <v>33</v>
      </c>
      <c r="K602" s="263" t="s">
        <v>139</v>
      </c>
      <c r="L602" s="264">
        <v>80005204</v>
      </c>
      <c r="M602" s="265" t="s">
        <v>2124</v>
      </c>
      <c r="N602" s="266" t="s">
        <v>2125</v>
      </c>
      <c r="O602" s="263" t="s">
        <v>1988</v>
      </c>
      <c r="P602" s="263" t="s">
        <v>1989</v>
      </c>
      <c r="Q602" s="263" t="s">
        <v>1990</v>
      </c>
      <c r="R602" s="267">
        <v>45839</v>
      </c>
      <c r="S602" s="268">
        <v>46203</v>
      </c>
      <c r="T602" s="269" t="s">
        <v>141</v>
      </c>
      <c r="U602" s="270" t="s">
        <v>141</v>
      </c>
      <c r="V602" s="271" t="s">
        <v>44</v>
      </c>
      <c r="W602" s="272" t="s">
        <v>39</v>
      </c>
      <c r="X602" s="271" t="s">
        <v>1998</v>
      </c>
      <c r="Y602" s="271" t="s">
        <v>185</v>
      </c>
      <c r="Z602" s="263"/>
      <c r="AA602" s="273"/>
      <c r="AB602" s="274"/>
      <c r="AC602" s="275"/>
      <c r="AD602" s="276"/>
      <c r="AE602" s="263"/>
      <c r="AF602" s="268"/>
      <c r="AG602" s="277"/>
      <c r="AH602" s="277"/>
      <c r="AI602" s="278"/>
      <c r="AJ602" s="279"/>
    </row>
    <row r="603" spans="1:36" s="40" customFormat="1" ht="19.5" customHeight="1">
      <c r="A603" s="25">
        <f>A601+1</f>
        <v>599</v>
      </c>
      <c r="B603" s="26">
        <v>6232272</v>
      </c>
      <c r="C603" s="27">
        <v>45961</v>
      </c>
      <c r="D603" s="219" t="s">
        <v>141</v>
      </c>
      <c r="E603" s="72">
        <v>121910</v>
      </c>
      <c r="F603" s="30" t="s">
        <v>2126</v>
      </c>
      <c r="G603" s="27">
        <v>45964</v>
      </c>
      <c r="H603" s="219" t="s">
        <v>141</v>
      </c>
      <c r="I603" s="72">
        <v>121910</v>
      </c>
      <c r="J603" s="34" t="s">
        <v>33</v>
      </c>
      <c r="K603" t="s">
        <v>139</v>
      </c>
      <c r="L603" s="35">
        <v>80005205</v>
      </c>
      <c r="M603" s="36" t="s">
        <v>2127</v>
      </c>
      <c r="N603" s="75" t="s">
        <v>2128</v>
      </c>
      <c r="O603" t="s">
        <v>1988</v>
      </c>
      <c r="P603" t="s">
        <v>1989</v>
      </c>
      <c r="Q603" t="s">
        <v>1990</v>
      </c>
      <c r="R603" s="38">
        <v>45839</v>
      </c>
      <c r="S603" s="39">
        <v>46203</v>
      </c>
      <c r="T603" s="50" t="s">
        <v>141</v>
      </c>
      <c r="U603" s="47" t="s">
        <v>141</v>
      </c>
      <c r="V603" s="40" t="s">
        <v>44</v>
      </c>
      <c r="W603" s="41" t="s">
        <v>39</v>
      </c>
      <c r="X603" s="40" t="s">
        <v>1998</v>
      </c>
      <c r="Y603" s="40" t="s">
        <v>185</v>
      </c>
      <c r="Z603"/>
      <c r="AA603" s="62">
        <v>90007298</v>
      </c>
      <c r="AB603" s="44">
        <v>46000</v>
      </c>
      <c r="AC603" s="63">
        <v>60017008</v>
      </c>
      <c r="AD603" s="46">
        <v>46000</v>
      </c>
      <c r="AE603"/>
      <c r="AF603" s="39"/>
      <c r="AG603" s="49"/>
      <c r="AH603" s="49"/>
      <c r="AI603" s="49"/>
      <c r="AJ603"/>
    </row>
    <row r="604" spans="1:36" s="40" customFormat="1" ht="19.5" customHeight="1">
      <c r="A604" s="25">
        <f t="shared" si="9"/>
        <v>600</v>
      </c>
      <c r="B604" s="26">
        <v>6232626</v>
      </c>
      <c r="C604" s="27">
        <v>45964</v>
      </c>
      <c r="D604">
        <v>146.97</v>
      </c>
      <c r="E604" s="281">
        <v>1141.8800000000001</v>
      </c>
      <c r="F604" s="30">
        <v>1563026</v>
      </c>
      <c r="G604" s="27">
        <v>45965</v>
      </c>
      <c r="H604" s="32">
        <v>146.97</v>
      </c>
      <c r="I604" s="33">
        <v>1141.8800000000001</v>
      </c>
      <c r="J604" s="34" t="s">
        <v>33</v>
      </c>
      <c r="K604" t="s">
        <v>34</v>
      </c>
      <c r="L604" s="35">
        <v>392200436</v>
      </c>
      <c r="M604" s="36" t="s">
        <v>2129</v>
      </c>
      <c r="N604" s="37" t="s">
        <v>1346</v>
      </c>
      <c r="O604" t="s">
        <v>2130</v>
      </c>
      <c r="P604" t="s">
        <v>2131</v>
      </c>
      <c r="Q604" t="s">
        <v>2132</v>
      </c>
      <c r="R604" s="38">
        <v>45983</v>
      </c>
      <c r="S604" s="39">
        <v>46347</v>
      </c>
      <c r="T604" s="38">
        <v>45983</v>
      </c>
      <c r="U604" s="39">
        <v>46347</v>
      </c>
      <c r="V604" s="40" t="s">
        <v>38</v>
      </c>
      <c r="W604" s="41" t="s">
        <v>39</v>
      </c>
      <c r="X604" s="40" t="s">
        <v>2133</v>
      </c>
      <c r="Y604" s="40" t="s">
        <v>1940</v>
      </c>
      <c r="Z604"/>
      <c r="AA604" s="62"/>
      <c r="AB604" s="44"/>
      <c r="AC604" s="63">
        <v>9999867283</v>
      </c>
      <c r="AD604" s="46">
        <v>45966</v>
      </c>
      <c r="AE604">
        <v>3184749</v>
      </c>
      <c r="AF604" s="47">
        <v>46001</v>
      </c>
      <c r="AG604" s="49"/>
      <c r="AH604" s="49"/>
      <c r="AI604" s="49"/>
      <c r="AJ604"/>
    </row>
    <row r="605" spans="1:36" s="40" customFormat="1" ht="19.5" customHeight="1">
      <c r="A605" s="25">
        <f t="shared" si="9"/>
        <v>601</v>
      </c>
      <c r="B605" s="26">
        <v>6232653</v>
      </c>
      <c r="C605" s="27">
        <v>45964</v>
      </c>
      <c r="D605" s="282">
        <v>563.1</v>
      </c>
      <c r="E605" s="281">
        <v>4375.01</v>
      </c>
      <c r="F605" s="30">
        <v>1563374</v>
      </c>
      <c r="G605" s="27">
        <v>45966</v>
      </c>
      <c r="H605" s="32">
        <v>563.1</v>
      </c>
      <c r="I605" s="33">
        <v>4375.01</v>
      </c>
      <c r="J605" s="34" t="s">
        <v>33</v>
      </c>
      <c r="K605" t="s">
        <v>34</v>
      </c>
      <c r="L605" s="35">
        <v>382207030</v>
      </c>
      <c r="M605" s="36" t="s">
        <v>2129</v>
      </c>
      <c r="N605" s="37" t="s">
        <v>1346</v>
      </c>
      <c r="O605" t="s">
        <v>2134</v>
      </c>
      <c r="P605" t="s">
        <v>2135</v>
      </c>
      <c r="Q605" t="s">
        <v>2136</v>
      </c>
      <c r="R605" s="38">
        <v>45730</v>
      </c>
      <c r="S605" s="39">
        <v>46459</v>
      </c>
      <c r="T605" s="38">
        <v>45962</v>
      </c>
      <c r="U605" s="39">
        <v>46459</v>
      </c>
      <c r="V605" s="40" t="s">
        <v>458</v>
      </c>
      <c r="W605" s="41" t="s">
        <v>39</v>
      </c>
      <c r="X605" s="40" t="s">
        <v>2137</v>
      </c>
      <c r="Y605" s="40" t="s">
        <v>185</v>
      </c>
      <c r="Z605"/>
      <c r="AA605" s="62"/>
      <c r="AB605" s="44"/>
      <c r="AC605" s="63">
        <v>9999871626</v>
      </c>
      <c r="AD605" s="46">
        <v>45967</v>
      </c>
      <c r="AE605"/>
      <c r="AF605" s="39"/>
      <c r="AG605" s="49"/>
      <c r="AH605" s="49"/>
      <c r="AI605" s="49"/>
      <c r="AJ605"/>
    </row>
    <row r="606" spans="1:36" s="40" customFormat="1" ht="19.5" customHeight="1">
      <c r="A606" s="25">
        <f t="shared" si="9"/>
        <v>602</v>
      </c>
      <c r="B606" s="26">
        <v>6232969</v>
      </c>
      <c r="C606" s="27">
        <v>45965</v>
      </c>
      <c r="D606" s="283" t="s">
        <v>141</v>
      </c>
      <c r="E606" s="281">
        <v>68720</v>
      </c>
      <c r="F606" s="30" t="s">
        <v>2138</v>
      </c>
      <c r="G606" s="27">
        <v>45967</v>
      </c>
      <c r="H606" s="80" t="s">
        <v>141</v>
      </c>
      <c r="I606" s="33">
        <v>68720</v>
      </c>
      <c r="J606" s="34" t="s">
        <v>103</v>
      </c>
      <c r="K606" t="s">
        <v>2139</v>
      </c>
      <c r="L606" s="35" t="s">
        <v>2140</v>
      </c>
      <c r="M606" s="36" t="s">
        <v>2141</v>
      </c>
      <c r="N606" s="37" t="s">
        <v>2142</v>
      </c>
      <c r="O606" t="s">
        <v>2143</v>
      </c>
      <c r="P606" t="s">
        <v>2144</v>
      </c>
      <c r="Q606" t="s">
        <v>2145</v>
      </c>
      <c r="R606" s="38">
        <v>45992</v>
      </c>
      <c r="S606" s="39">
        <v>46356</v>
      </c>
      <c r="T606" s="38">
        <v>45992</v>
      </c>
      <c r="U606" s="39">
        <v>46356</v>
      </c>
      <c r="V606" s="40" t="s">
        <v>245</v>
      </c>
      <c r="W606" s="41" t="s">
        <v>39</v>
      </c>
      <c r="X606" s="40" t="s">
        <v>2146</v>
      </c>
      <c r="Y606" s="40" t="s">
        <v>56</v>
      </c>
      <c r="Z606"/>
      <c r="AA606" s="62" t="s">
        <v>813</v>
      </c>
      <c r="AB606" s="44">
        <v>46014</v>
      </c>
      <c r="AC606" s="63" t="s">
        <v>2147</v>
      </c>
      <c r="AD606" s="46">
        <v>45968</v>
      </c>
      <c r="AE606">
        <v>3188814</v>
      </c>
      <c r="AF606" s="39">
        <v>46034</v>
      </c>
      <c r="AG606" s="49"/>
      <c r="AH606" s="49"/>
      <c r="AI606" s="49"/>
      <c r="AJ606"/>
    </row>
    <row r="607" spans="1:36" s="40" customFormat="1" ht="19.5" customHeight="1">
      <c r="A607" s="25">
        <f t="shared" si="9"/>
        <v>603</v>
      </c>
      <c r="B607" s="26">
        <v>6233381</v>
      </c>
      <c r="C607" s="27">
        <v>45965</v>
      </c>
      <c r="D607" s="28">
        <v>1252.6199999999999</v>
      </c>
      <c r="E607" s="29">
        <v>9732.23</v>
      </c>
      <c r="F607" s="30" t="s">
        <v>2148</v>
      </c>
      <c r="G607" s="27">
        <v>45966</v>
      </c>
      <c r="H607" s="32">
        <v>1252.6199999999999</v>
      </c>
      <c r="I607" s="33">
        <v>9732.23</v>
      </c>
      <c r="J607" s="34" t="s">
        <v>33</v>
      </c>
      <c r="K607" t="s">
        <v>34</v>
      </c>
      <c r="L607" s="35">
        <v>342189526</v>
      </c>
      <c r="M607" s="36" t="s">
        <v>2149</v>
      </c>
      <c r="N607" s="37" t="s">
        <v>2150</v>
      </c>
      <c r="O607" t="s">
        <v>2151</v>
      </c>
      <c r="P607" t="s">
        <v>2152</v>
      </c>
      <c r="Q607" t="s">
        <v>2153</v>
      </c>
      <c r="R607" s="38">
        <v>45920</v>
      </c>
      <c r="S607" s="39">
        <v>46265</v>
      </c>
      <c r="T607" s="38">
        <v>45951</v>
      </c>
      <c r="U607" s="39">
        <v>46265</v>
      </c>
      <c r="V607" s="40" t="s">
        <v>51</v>
      </c>
      <c r="W607" s="41" t="s">
        <v>39</v>
      </c>
      <c r="X607" s="40" t="s">
        <v>2154</v>
      </c>
      <c r="Y607" s="40" t="s">
        <v>185</v>
      </c>
      <c r="Z607"/>
      <c r="AA607" s="62"/>
      <c r="AB607" s="44"/>
      <c r="AC607" s="63">
        <v>9999883403</v>
      </c>
      <c r="AD607" s="46">
        <v>45972</v>
      </c>
      <c r="AE607">
        <v>3184759</v>
      </c>
      <c r="AF607" s="47">
        <v>46001</v>
      </c>
      <c r="AG607" s="49"/>
      <c r="AH607" s="49"/>
      <c r="AI607" s="49"/>
      <c r="AJ607"/>
    </row>
    <row r="608" spans="1:36" s="40" customFormat="1" ht="19.5" customHeight="1">
      <c r="A608" s="25">
        <f t="shared" si="9"/>
        <v>604</v>
      </c>
      <c r="B608" s="26">
        <v>6234027</v>
      </c>
      <c r="C608" s="27">
        <v>45967</v>
      </c>
      <c r="D608" s="28">
        <v>246.24</v>
      </c>
      <c r="E608" s="29">
        <v>1913.17</v>
      </c>
      <c r="F608" s="30" t="s">
        <v>2155</v>
      </c>
      <c r="G608" s="27">
        <v>45968</v>
      </c>
      <c r="H608" s="32">
        <v>246.24</v>
      </c>
      <c r="I608" s="33">
        <v>1913.17</v>
      </c>
      <c r="J608" s="34" t="s">
        <v>103</v>
      </c>
      <c r="K608" t="s">
        <v>206</v>
      </c>
      <c r="L608" s="35" t="s">
        <v>2156</v>
      </c>
      <c r="M608" s="36" t="s">
        <v>2157</v>
      </c>
      <c r="N608" s="37" t="s">
        <v>1330</v>
      </c>
      <c r="O608" t="s">
        <v>2158</v>
      </c>
      <c r="P608" t="s">
        <v>2159</v>
      </c>
      <c r="Q608" t="s">
        <v>2160</v>
      </c>
      <c r="R608" s="38">
        <v>45969</v>
      </c>
      <c r="S608" s="39">
        <v>46333</v>
      </c>
      <c r="T608" s="38">
        <v>45969</v>
      </c>
      <c r="U608" s="39">
        <v>46333</v>
      </c>
      <c r="V608" s="40" t="s">
        <v>38</v>
      </c>
      <c r="W608" s="41" t="s">
        <v>39</v>
      </c>
      <c r="X608" s="40" t="s">
        <v>2161</v>
      </c>
      <c r="Y608" s="40" t="s">
        <v>56</v>
      </c>
      <c r="Z608" t="s">
        <v>81</v>
      </c>
      <c r="AA608" s="62" t="s">
        <v>2162</v>
      </c>
      <c r="AB608" s="44">
        <v>46055</v>
      </c>
      <c r="AC608" s="63"/>
      <c r="AD608" s="46"/>
      <c r="AE608">
        <v>3194537</v>
      </c>
      <c r="AF608" s="39">
        <v>46069</v>
      </c>
      <c r="AG608" s="49"/>
      <c r="AH608" s="49"/>
      <c r="AI608" s="49"/>
      <c r="AJ608"/>
    </row>
    <row r="609" spans="1:36" s="40" customFormat="1" ht="19.5" customHeight="1">
      <c r="A609" s="25">
        <f t="shared" si="9"/>
        <v>605</v>
      </c>
      <c r="B609" s="26">
        <v>6234144</v>
      </c>
      <c r="C609" s="27">
        <v>45967</v>
      </c>
      <c r="D609" s="28">
        <v>19511.3</v>
      </c>
      <c r="E609" s="29">
        <v>151593.04999999999</v>
      </c>
      <c r="F609" s="30" t="s">
        <v>2163</v>
      </c>
      <c r="G609" s="27">
        <v>45968</v>
      </c>
      <c r="H609" s="32">
        <v>19511.3</v>
      </c>
      <c r="I609" s="33">
        <v>151593.04999999999</v>
      </c>
      <c r="J609" s="34" t="s">
        <v>33</v>
      </c>
      <c r="K609" t="s">
        <v>34</v>
      </c>
      <c r="L609" s="35">
        <v>322209271</v>
      </c>
      <c r="M609" s="36" t="s">
        <v>2149</v>
      </c>
      <c r="N609" s="37" t="s">
        <v>1346</v>
      </c>
      <c r="O609" t="s">
        <v>2164</v>
      </c>
      <c r="P609" t="s">
        <v>2165</v>
      </c>
      <c r="Q609" t="s">
        <v>2166</v>
      </c>
      <c r="R609" s="38">
        <v>45962</v>
      </c>
      <c r="S609" s="39">
        <v>47057</v>
      </c>
      <c r="T609" s="38">
        <v>45962</v>
      </c>
      <c r="U609" s="39">
        <v>47057</v>
      </c>
      <c r="V609" s="40" t="s">
        <v>245</v>
      </c>
      <c r="W609" s="41" t="s">
        <v>39</v>
      </c>
      <c r="X609" s="40" t="s">
        <v>2167</v>
      </c>
      <c r="Y609" s="40" t="s">
        <v>1940</v>
      </c>
      <c r="Z609" t="s">
        <v>1411</v>
      </c>
      <c r="AA609" s="62"/>
      <c r="AB609" s="44"/>
      <c r="AC609" s="63">
        <v>9999883399</v>
      </c>
      <c r="AD609" s="46">
        <v>45972</v>
      </c>
      <c r="AE609"/>
      <c r="AF609" s="39"/>
      <c r="AG609" s="49"/>
      <c r="AH609" s="49"/>
      <c r="AI609" s="49"/>
      <c r="AJ609"/>
    </row>
    <row r="610" spans="1:36" s="40" customFormat="1" ht="19.5" customHeight="1">
      <c r="A610" s="25">
        <f t="shared" si="9"/>
        <v>606</v>
      </c>
      <c r="B610" s="26">
        <v>6234565</v>
      </c>
      <c r="C610" s="27">
        <v>45968</v>
      </c>
      <c r="D610" s="80" t="s">
        <v>141</v>
      </c>
      <c r="E610" s="29">
        <v>20084</v>
      </c>
      <c r="F610" s="30" t="s">
        <v>2168</v>
      </c>
      <c r="G610" s="27">
        <v>45979</v>
      </c>
      <c r="H610" s="80" t="s">
        <v>141</v>
      </c>
      <c r="I610" s="33">
        <v>20084</v>
      </c>
      <c r="J610" s="34" t="s">
        <v>99</v>
      </c>
      <c r="K610" t="s">
        <v>1190</v>
      </c>
      <c r="L610" s="35" t="s">
        <v>2169</v>
      </c>
      <c r="M610" s="36" t="s">
        <v>2170</v>
      </c>
      <c r="N610" s="37" t="s">
        <v>2171</v>
      </c>
      <c r="O610" t="s">
        <v>2172</v>
      </c>
      <c r="P610" t="s">
        <v>2173</v>
      </c>
      <c r="Q610" t="s">
        <v>2174</v>
      </c>
      <c r="R610" s="38">
        <v>45952</v>
      </c>
      <c r="S610" s="39">
        <v>46352</v>
      </c>
      <c r="T610" s="38">
        <v>45951</v>
      </c>
      <c r="U610" s="39">
        <v>46352</v>
      </c>
      <c r="V610" s="40" t="s">
        <v>458</v>
      </c>
      <c r="W610" s="41" t="s">
        <v>39</v>
      </c>
      <c r="X610" s="40" t="s">
        <v>2175</v>
      </c>
      <c r="Y610" s="40" t="s">
        <v>56</v>
      </c>
      <c r="Z610"/>
      <c r="AA610" s="62" t="s">
        <v>2176</v>
      </c>
      <c r="AB610" s="44">
        <v>45985</v>
      </c>
      <c r="AC610" s="63"/>
      <c r="AD610" s="46"/>
      <c r="AE610"/>
      <c r="AF610" s="39"/>
      <c r="AG610" s="49"/>
      <c r="AH610" s="49"/>
      <c r="AI610" s="49"/>
      <c r="AJ610"/>
    </row>
    <row r="611" spans="1:36" s="40" customFormat="1" ht="19.5" customHeight="1">
      <c r="A611" s="25">
        <f>A610+1</f>
        <v>607</v>
      </c>
      <c r="B611" s="26">
        <v>6234588</v>
      </c>
      <c r="C611" s="27">
        <v>45968</v>
      </c>
      <c r="D611" s="80" t="s">
        <v>141</v>
      </c>
      <c r="E611" s="29">
        <v>513539.28</v>
      </c>
      <c r="F611" s="30" t="s">
        <v>2177</v>
      </c>
      <c r="G611" s="27">
        <v>45974</v>
      </c>
      <c r="H611" s="80" t="s">
        <v>141</v>
      </c>
      <c r="I611" s="33">
        <v>513539.28</v>
      </c>
      <c r="J611" s="34" t="s">
        <v>103</v>
      </c>
      <c r="K611" t="s">
        <v>107</v>
      </c>
      <c r="L611" s="35" t="s">
        <v>2178</v>
      </c>
      <c r="M611" s="36" t="s">
        <v>2179</v>
      </c>
      <c r="N611" s="37" t="s">
        <v>1458</v>
      </c>
      <c r="O611" t="s">
        <v>2180</v>
      </c>
      <c r="P611" t="s">
        <v>2181</v>
      </c>
      <c r="Q611" t="s">
        <v>2182</v>
      </c>
      <c r="R611" s="38">
        <v>45929</v>
      </c>
      <c r="S611" s="39">
        <v>46387</v>
      </c>
      <c r="T611" s="38">
        <v>45929</v>
      </c>
      <c r="U611" s="39">
        <v>46387</v>
      </c>
      <c r="V611" s="40" t="s">
        <v>60</v>
      </c>
      <c r="W611" s="41" t="s">
        <v>39</v>
      </c>
      <c r="X611" s="40" t="s">
        <v>2183</v>
      </c>
      <c r="Y611" s="40" t="s">
        <v>1940</v>
      </c>
      <c r="Z611" t="s">
        <v>81</v>
      </c>
      <c r="AA611" s="62" t="s">
        <v>2184</v>
      </c>
      <c r="AB611" s="44">
        <v>45975</v>
      </c>
      <c r="AC611" s="63"/>
      <c r="AD611" s="46"/>
      <c r="AE611">
        <v>3184715</v>
      </c>
      <c r="AF611" s="47">
        <v>46001</v>
      </c>
      <c r="AG611" s="49"/>
      <c r="AH611" s="49"/>
      <c r="AI611" s="49"/>
      <c r="AJ611"/>
    </row>
    <row r="612" spans="1:36" s="40" customFormat="1" ht="19.5" customHeight="1">
      <c r="A612" s="25">
        <f t="shared" si="9"/>
        <v>608</v>
      </c>
      <c r="B612" s="26">
        <v>6234903</v>
      </c>
      <c r="C612" s="27">
        <v>45971</v>
      </c>
      <c r="D612" s="219" t="s">
        <v>141</v>
      </c>
      <c r="E612" s="72">
        <v>38191.03</v>
      </c>
      <c r="F612" s="30" t="s">
        <v>2185</v>
      </c>
      <c r="G612" s="27">
        <v>45973</v>
      </c>
      <c r="H612" s="284" t="s">
        <v>141</v>
      </c>
      <c r="I612" s="74">
        <v>38191.03</v>
      </c>
      <c r="J612" s="34" t="s">
        <v>159</v>
      </c>
      <c r="K612" t="s">
        <v>160</v>
      </c>
      <c r="L612" s="86" t="s">
        <v>2186</v>
      </c>
      <c r="M612" s="36" t="s">
        <v>2187</v>
      </c>
      <c r="N612" s="285" t="s">
        <v>141</v>
      </c>
      <c r="O612" s="67" t="s">
        <v>141</v>
      </c>
      <c r="P612" s="67" t="s">
        <v>141</v>
      </c>
      <c r="Q612" t="s">
        <v>2188</v>
      </c>
      <c r="R612" s="50" t="s">
        <v>141</v>
      </c>
      <c r="S612" s="47" t="s">
        <v>141</v>
      </c>
      <c r="T612" s="50" t="s">
        <v>141</v>
      </c>
      <c r="U612" s="47" t="s">
        <v>141</v>
      </c>
      <c r="W612" s="41" t="s">
        <v>39</v>
      </c>
      <c r="X612" s="286" t="s">
        <v>141</v>
      </c>
      <c r="Z612"/>
      <c r="AA612" s="62" t="s">
        <v>2189</v>
      </c>
      <c r="AB612" s="44">
        <v>46000</v>
      </c>
      <c r="AC612" s="62" t="s">
        <v>2190</v>
      </c>
      <c r="AD612" s="44">
        <v>46000</v>
      </c>
      <c r="AE612">
        <v>3192707</v>
      </c>
      <c r="AF612" s="39">
        <v>46057</v>
      </c>
      <c r="AG612" s="49"/>
      <c r="AH612" s="49"/>
      <c r="AI612" s="49"/>
      <c r="AJ612"/>
    </row>
    <row r="613" spans="1:36" s="40" customFormat="1" ht="19.5" customHeight="1">
      <c r="A613" s="25">
        <f t="shared" si="9"/>
        <v>609</v>
      </c>
      <c r="B613" s="26">
        <v>6235091</v>
      </c>
      <c r="C613" s="27">
        <v>45971</v>
      </c>
      <c r="D613" s="219" t="s">
        <v>141</v>
      </c>
      <c r="E613" s="72">
        <v>1870</v>
      </c>
      <c r="F613" s="30" t="s">
        <v>2191</v>
      </c>
      <c r="G613" s="27">
        <v>45972</v>
      </c>
      <c r="H613" s="219" t="s">
        <v>141</v>
      </c>
      <c r="I613" s="74">
        <v>1870</v>
      </c>
      <c r="J613" s="34" t="s">
        <v>33</v>
      </c>
      <c r="K613" t="s">
        <v>139</v>
      </c>
      <c r="L613" s="35">
        <v>80005214</v>
      </c>
      <c r="M613" s="36" t="s">
        <v>2192</v>
      </c>
      <c r="N613" s="75" t="s">
        <v>1383</v>
      </c>
      <c r="O613" t="s">
        <v>2193</v>
      </c>
      <c r="P613" t="s">
        <v>2194</v>
      </c>
      <c r="Q613" t="s">
        <v>1833</v>
      </c>
      <c r="R613" s="38">
        <v>45901</v>
      </c>
      <c r="S613" s="39">
        <v>46112</v>
      </c>
      <c r="T613" s="50" t="s">
        <v>141</v>
      </c>
      <c r="U613" s="47" t="s">
        <v>141</v>
      </c>
      <c r="V613" s="40" t="s">
        <v>954</v>
      </c>
      <c r="W613" s="41" t="s">
        <v>39</v>
      </c>
      <c r="X613" s="40" t="s">
        <v>2195</v>
      </c>
      <c r="Y613" s="40" t="s">
        <v>1940</v>
      </c>
      <c r="Z613" t="s">
        <v>81</v>
      </c>
      <c r="AA613" s="62">
        <v>90007279</v>
      </c>
      <c r="AB613" s="44">
        <v>45988</v>
      </c>
      <c r="AC613" s="63">
        <v>60016961</v>
      </c>
      <c r="AD613" s="46">
        <v>45988</v>
      </c>
      <c r="AE613">
        <v>3191248</v>
      </c>
      <c r="AF613" s="39">
        <v>46050</v>
      </c>
      <c r="AG613" s="49"/>
      <c r="AH613" s="49"/>
      <c r="AI613" s="49"/>
      <c r="AJ613"/>
    </row>
    <row r="614" spans="1:36" s="40" customFormat="1" ht="19.5" customHeight="1">
      <c r="A614" s="25">
        <f t="shared" si="9"/>
        <v>610</v>
      </c>
      <c r="B614" s="26">
        <v>6235203</v>
      </c>
      <c r="C614" s="27">
        <v>45971</v>
      </c>
      <c r="D614" s="219" t="s">
        <v>141</v>
      </c>
      <c r="E614" s="72">
        <v>4080</v>
      </c>
      <c r="F614" s="30" t="s">
        <v>2196</v>
      </c>
      <c r="G614" s="27">
        <v>45972</v>
      </c>
      <c r="H614" s="73"/>
      <c r="I614" s="74">
        <v>4080</v>
      </c>
      <c r="J614" s="34" t="s">
        <v>33</v>
      </c>
      <c r="K614" t="s">
        <v>139</v>
      </c>
      <c r="L614" s="35" t="s">
        <v>2197</v>
      </c>
      <c r="M614" s="36" t="s">
        <v>2198</v>
      </c>
      <c r="N614" s="75" t="s">
        <v>1383</v>
      </c>
      <c r="O614" t="s">
        <v>2199</v>
      </c>
      <c r="P614" t="s">
        <v>2200</v>
      </c>
      <c r="Q614" t="s">
        <v>2201</v>
      </c>
      <c r="R614" s="38">
        <v>45962</v>
      </c>
      <c r="S614" s="39">
        <v>46326</v>
      </c>
      <c r="T614" s="50" t="s">
        <v>141</v>
      </c>
      <c r="U614" s="47" t="s">
        <v>141</v>
      </c>
      <c r="V614" s="40" t="s">
        <v>64</v>
      </c>
      <c r="W614" s="41" t="s">
        <v>39</v>
      </c>
      <c r="X614" s="40" t="s">
        <v>2202</v>
      </c>
      <c r="Y614" s="40" t="s">
        <v>56</v>
      </c>
      <c r="Z614"/>
      <c r="AA614" s="62">
        <v>90007279</v>
      </c>
      <c r="AB614" s="44">
        <v>45988</v>
      </c>
      <c r="AC614" s="63">
        <v>60016962</v>
      </c>
      <c r="AD614" s="46">
        <v>45988</v>
      </c>
      <c r="AE614"/>
      <c r="AF614" s="39"/>
      <c r="AG614" s="49"/>
      <c r="AH614" s="49"/>
      <c r="AI614" s="49"/>
      <c r="AJ614"/>
    </row>
    <row r="615" spans="1:36" s="40" customFormat="1" ht="19.5" customHeight="1">
      <c r="A615" s="25">
        <f t="shared" si="9"/>
        <v>611</v>
      </c>
      <c r="B615" s="26">
        <v>6235629</v>
      </c>
      <c r="C615" s="27">
        <v>45972</v>
      </c>
      <c r="D615" s="28">
        <v>303.45999999999998</v>
      </c>
      <c r="E615" s="29">
        <v>2357.73</v>
      </c>
      <c r="F615" s="30" t="s">
        <v>2203</v>
      </c>
      <c r="G615" s="27">
        <v>45974</v>
      </c>
      <c r="H615" s="32">
        <v>303.45999999999998</v>
      </c>
      <c r="I615" s="33">
        <v>2357.73</v>
      </c>
      <c r="J615" s="34" t="s">
        <v>33</v>
      </c>
      <c r="K615" t="s">
        <v>34</v>
      </c>
      <c r="L615" s="35">
        <v>272280032</v>
      </c>
      <c r="M615" s="36" t="s">
        <v>2129</v>
      </c>
      <c r="N615" s="37" t="s">
        <v>1346</v>
      </c>
      <c r="O615" t="s">
        <v>2204</v>
      </c>
      <c r="P615" t="s">
        <v>2205</v>
      </c>
      <c r="Q615" t="s">
        <v>2206</v>
      </c>
      <c r="R615" s="38">
        <v>45988</v>
      </c>
      <c r="S615" s="39">
        <v>46352</v>
      </c>
      <c r="T615" s="38">
        <v>45988</v>
      </c>
      <c r="U615" s="39">
        <v>46352</v>
      </c>
      <c r="V615" s="40" t="s">
        <v>2207</v>
      </c>
      <c r="W615" s="41" t="s">
        <v>39</v>
      </c>
      <c r="X615" s="40" t="s">
        <v>2208</v>
      </c>
      <c r="Y615" s="40" t="s">
        <v>2209</v>
      </c>
      <c r="Z615"/>
      <c r="AA615" s="62"/>
      <c r="AB615" s="44"/>
      <c r="AC615" s="63">
        <v>9999902029</v>
      </c>
      <c r="AD615" s="46">
        <v>45978</v>
      </c>
      <c r="AE615"/>
      <c r="AF615" s="39"/>
      <c r="AG615" s="49"/>
      <c r="AH615" s="49"/>
      <c r="AI615" s="49"/>
      <c r="AJ615"/>
    </row>
    <row r="616" spans="1:36" s="40" customFormat="1" ht="19.5" customHeight="1">
      <c r="A616" s="25">
        <f t="shared" si="9"/>
        <v>612</v>
      </c>
      <c r="B616" s="26">
        <v>6235701</v>
      </c>
      <c r="C616" s="27">
        <v>45972</v>
      </c>
      <c r="D616" s="28">
        <v>3110.9</v>
      </c>
      <c r="E616" s="29">
        <v>24170.14</v>
      </c>
      <c r="F616" s="30" t="s">
        <v>2210</v>
      </c>
      <c r="G616" s="27">
        <v>45974</v>
      </c>
      <c r="H616" s="32">
        <v>3110.9</v>
      </c>
      <c r="I616" s="33">
        <v>24170.14</v>
      </c>
      <c r="J616" s="34" t="s">
        <v>33</v>
      </c>
      <c r="K616" t="s">
        <v>34</v>
      </c>
      <c r="L616" s="35">
        <v>342172052</v>
      </c>
      <c r="M616" s="36" t="s">
        <v>2118</v>
      </c>
      <c r="N616" s="37" t="s">
        <v>1346</v>
      </c>
      <c r="O616" t="s">
        <v>2211</v>
      </c>
      <c r="P616" t="s">
        <v>2212</v>
      </c>
      <c r="Q616" t="s">
        <v>2213</v>
      </c>
      <c r="R616" s="38">
        <v>45929</v>
      </c>
      <c r="S616" s="39">
        <v>46387</v>
      </c>
      <c r="T616" s="38">
        <v>46007</v>
      </c>
      <c r="U616" s="39">
        <v>46387</v>
      </c>
      <c r="V616" s="40" t="s">
        <v>60</v>
      </c>
      <c r="W616" s="41" t="s">
        <v>39</v>
      </c>
      <c r="X616" s="40" t="s">
        <v>2214</v>
      </c>
      <c r="Y616" s="40" t="s">
        <v>56</v>
      </c>
      <c r="Z616" t="s">
        <v>81</v>
      </c>
      <c r="AA616" s="62"/>
      <c r="AB616" s="44"/>
      <c r="AC616" s="63">
        <v>9999898418</v>
      </c>
      <c r="AD616" s="46">
        <v>45975</v>
      </c>
      <c r="AE616">
        <v>3184754</v>
      </c>
      <c r="AF616" s="47">
        <v>46001</v>
      </c>
      <c r="AG616" s="49"/>
      <c r="AH616" s="49"/>
      <c r="AI616" s="49"/>
      <c r="AJ616"/>
    </row>
    <row r="617" spans="1:36" s="40" customFormat="1" ht="19.5" customHeight="1">
      <c r="A617" s="25">
        <f t="shared" si="9"/>
        <v>613</v>
      </c>
      <c r="B617" s="26">
        <v>6235712</v>
      </c>
      <c r="C617" s="27">
        <v>45972</v>
      </c>
      <c r="D617" s="28">
        <v>11588.16</v>
      </c>
      <c r="E617" s="29">
        <v>90034.21</v>
      </c>
      <c r="F617" s="30" t="s">
        <v>2215</v>
      </c>
      <c r="G617" s="27">
        <v>45974</v>
      </c>
      <c r="H617" s="32">
        <v>11588.16</v>
      </c>
      <c r="I617" s="33">
        <v>90034.21</v>
      </c>
      <c r="J617" s="34" t="s">
        <v>33</v>
      </c>
      <c r="K617" t="s">
        <v>34</v>
      </c>
      <c r="L617" s="35">
        <v>362172068</v>
      </c>
      <c r="M617" s="36" t="s">
        <v>2149</v>
      </c>
      <c r="N617" s="37" t="s">
        <v>1540</v>
      </c>
      <c r="O617" t="s">
        <v>2211</v>
      </c>
      <c r="P617" t="s">
        <v>2212</v>
      </c>
      <c r="Q617" t="s">
        <v>2213</v>
      </c>
      <c r="R617" s="38">
        <v>45929</v>
      </c>
      <c r="S617" s="39">
        <v>46387</v>
      </c>
      <c r="T617" s="38">
        <v>45976</v>
      </c>
      <c r="U617" s="39">
        <v>46387</v>
      </c>
      <c r="V617" s="40" t="s">
        <v>60</v>
      </c>
      <c r="W617" s="41" t="s">
        <v>39</v>
      </c>
      <c r="X617" s="40" t="s">
        <v>2214</v>
      </c>
      <c r="Y617" s="40" t="s">
        <v>1940</v>
      </c>
      <c r="Z617" t="s">
        <v>81</v>
      </c>
      <c r="AA617" s="62"/>
      <c r="AB617" s="44"/>
      <c r="AC617" s="63">
        <v>9999898419</v>
      </c>
      <c r="AD617" s="46">
        <v>45975</v>
      </c>
      <c r="AE617">
        <v>3184757</v>
      </c>
      <c r="AF617" s="47">
        <v>46001</v>
      </c>
      <c r="AG617" s="49"/>
      <c r="AH617" s="49"/>
      <c r="AI617" s="49"/>
      <c r="AJ617"/>
    </row>
    <row r="618" spans="1:36" s="40" customFormat="1" ht="19.5" customHeight="1">
      <c r="A618" s="25">
        <f>A617+1</f>
        <v>614</v>
      </c>
      <c r="B618" s="26">
        <v>6235722</v>
      </c>
      <c r="C618" s="27">
        <v>45972</v>
      </c>
      <c r="D618" s="287" t="s">
        <v>141</v>
      </c>
      <c r="E618" s="29">
        <v>0</v>
      </c>
      <c r="F618" s="30" t="s">
        <v>2216</v>
      </c>
      <c r="G618" s="27">
        <v>45973</v>
      </c>
      <c r="H618" s="80" t="s">
        <v>141</v>
      </c>
      <c r="I618" s="288" t="s">
        <v>141</v>
      </c>
      <c r="J618" s="34" t="s">
        <v>33</v>
      </c>
      <c r="K618" t="s">
        <v>34</v>
      </c>
      <c r="L618" s="35">
        <v>421960148</v>
      </c>
      <c r="M618" s="36" t="s">
        <v>2217</v>
      </c>
      <c r="N618" s="37" t="s">
        <v>1377</v>
      </c>
      <c r="O618" t="s">
        <v>2211</v>
      </c>
      <c r="P618" t="s">
        <v>2212</v>
      </c>
      <c r="Q618" t="s">
        <v>2213</v>
      </c>
      <c r="R618" s="38">
        <v>45929</v>
      </c>
      <c r="S618" s="39">
        <v>46387</v>
      </c>
      <c r="T618" s="38">
        <v>46010</v>
      </c>
      <c r="U618" s="39">
        <v>46387</v>
      </c>
      <c r="V618" s="40" t="s">
        <v>60</v>
      </c>
      <c r="W618" s="41" t="s">
        <v>39</v>
      </c>
      <c r="X618" s="40" t="s">
        <v>2214</v>
      </c>
      <c r="Y618" s="40" t="s">
        <v>22</v>
      </c>
      <c r="Z618" t="s">
        <v>81</v>
      </c>
      <c r="AA618" s="62"/>
      <c r="AB618" s="44"/>
      <c r="AC618" s="63">
        <v>9999898414</v>
      </c>
      <c r="AD618" s="46">
        <v>45975</v>
      </c>
      <c r="AE618"/>
      <c r="AF618" s="39"/>
      <c r="AG618" s="49"/>
      <c r="AH618" s="49"/>
      <c r="AI618" s="49"/>
      <c r="AJ618"/>
    </row>
    <row r="619" spans="1:36" s="40" customFormat="1" ht="19.5" customHeight="1">
      <c r="A619" s="25">
        <f t="shared" si="9"/>
        <v>615</v>
      </c>
      <c r="B619" s="26">
        <v>6235991</v>
      </c>
      <c r="C619" s="27">
        <v>45973</v>
      </c>
      <c r="D619" s="219" t="s">
        <v>141</v>
      </c>
      <c r="E619" s="72">
        <v>1270</v>
      </c>
      <c r="F619" s="30" t="s">
        <v>2218</v>
      </c>
      <c r="G619" s="27">
        <v>45973</v>
      </c>
      <c r="H619" s="219" t="s">
        <v>141</v>
      </c>
      <c r="I619" s="74">
        <v>1270</v>
      </c>
      <c r="J619" s="34" t="s">
        <v>33</v>
      </c>
      <c r="K619" t="s">
        <v>139</v>
      </c>
      <c r="L619" s="35" t="s">
        <v>2219</v>
      </c>
      <c r="M619" s="36" t="s">
        <v>2220</v>
      </c>
      <c r="N619" s="75" t="s">
        <v>1404</v>
      </c>
      <c r="O619" t="s">
        <v>2221</v>
      </c>
      <c r="P619" t="s">
        <v>2222</v>
      </c>
      <c r="Q619" t="s">
        <v>2223</v>
      </c>
      <c r="R619" s="38">
        <v>45985</v>
      </c>
      <c r="S619" s="39">
        <v>46349</v>
      </c>
      <c r="T619" s="50" t="s">
        <v>141</v>
      </c>
      <c r="U619" s="47" t="s">
        <v>141</v>
      </c>
      <c r="V619" s="40" t="s">
        <v>590</v>
      </c>
      <c r="W619" s="41" t="s">
        <v>39</v>
      </c>
      <c r="X619" s="40" t="s">
        <v>2224</v>
      </c>
      <c r="Y619" s="40" t="s">
        <v>185</v>
      </c>
      <c r="Z619"/>
      <c r="AA619" s="62">
        <v>90007279</v>
      </c>
      <c r="AB619" s="44">
        <v>45988</v>
      </c>
      <c r="AC619" s="63">
        <v>60016963</v>
      </c>
      <c r="AD619" s="46">
        <v>45988</v>
      </c>
      <c r="AE619">
        <v>3184717</v>
      </c>
      <c r="AF619" s="47">
        <v>46001</v>
      </c>
      <c r="AG619" s="49"/>
      <c r="AH619" s="49"/>
      <c r="AI619" s="49"/>
      <c r="AJ619"/>
    </row>
    <row r="620" spans="1:36" s="40" customFormat="1" ht="19.5" customHeight="1">
      <c r="A620" s="25">
        <f t="shared" si="9"/>
        <v>616</v>
      </c>
      <c r="B620" s="26">
        <v>6236204</v>
      </c>
      <c r="C620" s="27">
        <v>45974</v>
      </c>
      <c r="D620" s="28">
        <v>2268.48</v>
      </c>
      <c r="E620" s="29">
        <v>17624.96</v>
      </c>
      <c r="F620" s="30" t="s">
        <v>2225</v>
      </c>
      <c r="G620" s="27">
        <v>45975</v>
      </c>
      <c r="H620" s="32">
        <v>2268.48</v>
      </c>
      <c r="I620" s="33">
        <v>17624.96</v>
      </c>
      <c r="J620" s="34" t="s">
        <v>33</v>
      </c>
      <c r="K620" t="s">
        <v>34</v>
      </c>
      <c r="L620" s="35">
        <v>471936096</v>
      </c>
      <c r="M620" s="36" t="s">
        <v>2149</v>
      </c>
      <c r="N620" s="37" t="s">
        <v>1540</v>
      </c>
      <c r="O620" t="s">
        <v>2226</v>
      </c>
      <c r="P620" t="s">
        <v>2227</v>
      </c>
      <c r="Q620" t="s">
        <v>2228</v>
      </c>
      <c r="R620" s="38">
        <v>45936</v>
      </c>
      <c r="S620" s="39">
        <v>46721</v>
      </c>
      <c r="T620" s="38">
        <v>45992</v>
      </c>
      <c r="U620" s="39">
        <v>46721</v>
      </c>
      <c r="V620" s="40" t="s">
        <v>458</v>
      </c>
      <c r="W620" s="41" t="s">
        <v>39</v>
      </c>
      <c r="X620" s="40" t="s">
        <v>2229</v>
      </c>
      <c r="Y620" s="40" t="s">
        <v>56</v>
      </c>
      <c r="Z620"/>
      <c r="AA620" s="62"/>
      <c r="AB620" s="44"/>
      <c r="AC620" s="63">
        <v>9999902026</v>
      </c>
      <c r="AD620" s="46">
        <v>45978</v>
      </c>
      <c r="AE620"/>
      <c r="AF620" s="39"/>
      <c r="AG620" s="49"/>
      <c r="AH620" s="49"/>
      <c r="AI620" s="49"/>
      <c r="AJ620"/>
    </row>
    <row r="621" spans="1:36" s="40" customFormat="1" ht="19.5" customHeight="1">
      <c r="A621" s="25">
        <f t="shared" si="9"/>
        <v>617</v>
      </c>
      <c r="B621" s="26">
        <v>6236213</v>
      </c>
      <c r="C621" s="27">
        <v>45974</v>
      </c>
      <c r="D621" s="28">
        <v>13793.83</v>
      </c>
      <c r="E621" s="29">
        <v>107171.17</v>
      </c>
      <c r="F621" s="30" t="s">
        <v>2230</v>
      </c>
      <c r="G621" s="27">
        <v>45987</v>
      </c>
      <c r="H621" s="32">
        <v>13793.83</v>
      </c>
      <c r="I621" s="33">
        <f>41583.3+466.17+31204.72+33916.98</f>
        <v>107171.17000000001</v>
      </c>
      <c r="J621" s="34" t="s">
        <v>103</v>
      </c>
      <c r="K621" t="s">
        <v>206</v>
      </c>
      <c r="L621" s="35" t="s">
        <v>2231</v>
      </c>
      <c r="M621" s="36" t="s">
        <v>2232</v>
      </c>
      <c r="N621" s="37" t="s">
        <v>2233</v>
      </c>
      <c r="O621" t="s">
        <v>2226</v>
      </c>
      <c r="P621" t="s">
        <v>2234</v>
      </c>
      <c r="Q621" t="s">
        <v>2228</v>
      </c>
      <c r="R621" s="38">
        <v>45936</v>
      </c>
      <c r="S621" s="39">
        <v>46721</v>
      </c>
      <c r="T621" s="38">
        <v>45638</v>
      </c>
      <c r="U621" s="39">
        <v>46665</v>
      </c>
      <c r="V621" s="40" t="s">
        <v>458</v>
      </c>
      <c r="W621" s="41" t="s">
        <v>39</v>
      </c>
      <c r="X621" s="40" t="s">
        <v>2235</v>
      </c>
      <c r="Y621" s="40" t="s">
        <v>185</v>
      </c>
      <c r="Z621"/>
      <c r="AA621" s="62" t="s">
        <v>2236</v>
      </c>
      <c r="AB621" s="44">
        <v>45993</v>
      </c>
      <c r="AC621" s="63" t="s">
        <v>2237</v>
      </c>
      <c r="AD621" s="46">
        <v>45993</v>
      </c>
      <c r="AE621">
        <v>3187155</v>
      </c>
      <c r="AF621" s="39">
        <v>46027</v>
      </c>
      <c r="AG621" s="49"/>
      <c r="AH621" s="49"/>
      <c r="AI621" s="49"/>
      <c r="AJ621"/>
    </row>
    <row r="622" spans="1:36" s="40" customFormat="1" ht="19.5" customHeight="1">
      <c r="A622" s="25">
        <f t="shared" si="9"/>
        <v>618</v>
      </c>
      <c r="B622" s="26">
        <v>6236351</v>
      </c>
      <c r="C622" s="27">
        <v>45974</v>
      </c>
      <c r="D622" s="28">
        <v>11639.18</v>
      </c>
      <c r="E622" s="29">
        <v>90430.58</v>
      </c>
      <c r="F622" s="30" t="s">
        <v>2238</v>
      </c>
      <c r="G622" s="27">
        <v>45987</v>
      </c>
      <c r="H622" s="32">
        <v>11639.18</v>
      </c>
      <c r="I622" s="33">
        <v>90430.58</v>
      </c>
      <c r="J622" s="34" t="s">
        <v>103</v>
      </c>
      <c r="K622" t="s">
        <v>206</v>
      </c>
      <c r="L622" s="35" t="s">
        <v>2239</v>
      </c>
      <c r="M622" s="36" t="s">
        <v>2240</v>
      </c>
      <c r="N622" s="37" t="s">
        <v>2241</v>
      </c>
      <c r="O622" t="s">
        <v>2226</v>
      </c>
      <c r="P622" t="s">
        <v>2234</v>
      </c>
      <c r="Q622" t="s">
        <v>2228</v>
      </c>
      <c r="R622" s="38">
        <v>45936</v>
      </c>
      <c r="S622" s="39">
        <v>46721</v>
      </c>
      <c r="T622" s="38">
        <v>45942</v>
      </c>
      <c r="U622" s="39">
        <v>46721</v>
      </c>
      <c r="V622" s="40" t="s">
        <v>458</v>
      </c>
      <c r="W622" s="41" t="s">
        <v>39</v>
      </c>
      <c r="X622" s="40" t="s">
        <v>2235</v>
      </c>
      <c r="Y622" s="40" t="s">
        <v>185</v>
      </c>
      <c r="Z622"/>
      <c r="AA622" s="62" t="s">
        <v>2242</v>
      </c>
      <c r="AB622" s="44">
        <v>45993</v>
      </c>
      <c r="AC622" s="63" t="s">
        <v>2243</v>
      </c>
      <c r="AD622" s="46">
        <v>45993</v>
      </c>
      <c r="AE622"/>
      <c r="AF622" s="39"/>
      <c r="AG622" s="49"/>
      <c r="AH622" s="49"/>
      <c r="AI622" s="49"/>
      <c r="AJ622"/>
    </row>
    <row r="623" spans="1:36" s="40" customFormat="1" ht="19.5" customHeight="1">
      <c r="A623" s="25">
        <f t="shared" si="9"/>
        <v>619</v>
      </c>
      <c r="B623" s="26">
        <v>6236450</v>
      </c>
      <c r="C623" s="27">
        <v>45974</v>
      </c>
      <c r="D623" s="219" t="s">
        <v>141</v>
      </c>
      <c r="E623" s="72">
        <v>1870</v>
      </c>
      <c r="F623" s="30" t="s">
        <v>2244</v>
      </c>
      <c r="G623" s="27">
        <v>45975</v>
      </c>
      <c r="H623" s="289" t="s">
        <v>141</v>
      </c>
      <c r="I623" s="74">
        <v>1870</v>
      </c>
      <c r="J623" s="34" t="s">
        <v>33</v>
      </c>
      <c r="K623" t="s">
        <v>139</v>
      </c>
      <c r="L623" s="35">
        <v>80005229</v>
      </c>
      <c r="M623" s="36" t="s">
        <v>2245</v>
      </c>
      <c r="N623" s="75" t="s">
        <v>1383</v>
      </c>
      <c r="O623" t="s">
        <v>2246</v>
      </c>
      <c r="P623" t="s">
        <v>2247</v>
      </c>
      <c r="Q623" t="s">
        <v>2248</v>
      </c>
      <c r="R623" s="38">
        <v>45942</v>
      </c>
      <c r="S623" s="39">
        <v>46671</v>
      </c>
      <c r="T623" s="50" t="s">
        <v>141</v>
      </c>
      <c r="U623" s="47" t="s">
        <v>141</v>
      </c>
      <c r="V623" s="40" t="s">
        <v>128</v>
      </c>
      <c r="W623" s="41" t="s">
        <v>39</v>
      </c>
      <c r="X623" s="40" t="s">
        <v>2249</v>
      </c>
      <c r="Y623" s="40" t="s">
        <v>56</v>
      </c>
      <c r="Z623" s="40" t="s">
        <v>81</v>
      </c>
      <c r="AA623" s="62">
        <v>90007322</v>
      </c>
      <c r="AB623" s="44">
        <v>46008</v>
      </c>
      <c r="AC623" s="63">
        <v>60017038</v>
      </c>
      <c r="AD623" s="46">
        <v>46008</v>
      </c>
      <c r="AE623"/>
      <c r="AF623" s="39"/>
      <c r="AG623" s="49"/>
      <c r="AH623" s="49"/>
      <c r="AI623" s="49"/>
      <c r="AJ623"/>
    </row>
    <row r="624" spans="1:36" s="40" customFormat="1" ht="19.5" customHeight="1">
      <c r="A624" s="25">
        <f t="shared" si="9"/>
        <v>620</v>
      </c>
      <c r="B624" s="26">
        <v>6236502</v>
      </c>
      <c r="C624" s="27">
        <v>45975</v>
      </c>
      <c r="D624" s="80" t="s">
        <v>141</v>
      </c>
      <c r="E624" s="29">
        <v>1110.68</v>
      </c>
      <c r="F624" s="30" t="s">
        <v>2250</v>
      </c>
      <c r="G624" s="27">
        <v>45985</v>
      </c>
      <c r="H624" s="68" t="s">
        <v>141</v>
      </c>
      <c r="I624" s="33">
        <f>843.27+267.41</f>
        <v>1110.68</v>
      </c>
      <c r="J624" s="34" t="s">
        <v>103</v>
      </c>
      <c r="K624" t="s">
        <v>293</v>
      </c>
      <c r="L624" s="86" t="s">
        <v>141</v>
      </c>
      <c r="M624" s="36" t="s">
        <v>2251</v>
      </c>
      <c r="N624" s="37" t="s">
        <v>2010</v>
      </c>
      <c r="O624" t="s">
        <v>2252</v>
      </c>
      <c r="P624" t="s">
        <v>2253</v>
      </c>
      <c r="Q624" t="s">
        <v>2013</v>
      </c>
      <c r="R624" s="38">
        <v>45965</v>
      </c>
      <c r="S624" s="39">
        <v>46329</v>
      </c>
      <c r="T624" s="38">
        <v>45965</v>
      </c>
      <c r="U624" s="39">
        <v>46329</v>
      </c>
      <c r="V624" s="40" t="s">
        <v>1025</v>
      </c>
      <c r="W624" s="41" t="s">
        <v>39</v>
      </c>
      <c r="X624" s="40" t="s">
        <v>2254</v>
      </c>
      <c r="Y624" s="40" t="s">
        <v>56</v>
      </c>
      <c r="Z624"/>
      <c r="AA624" s="62" t="s">
        <v>2255</v>
      </c>
      <c r="AB624" s="44">
        <v>45986</v>
      </c>
      <c r="AC624" s="63" t="s">
        <v>2256</v>
      </c>
      <c r="AD624" s="46">
        <v>45986</v>
      </c>
      <c r="AE624"/>
      <c r="AF624" s="39"/>
      <c r="AG624" s="49"/>
      <c r="AH624" s="49"/>
      <c r="AI624" s="49"/>
      <c r="AJ624"/>
    </row>
    <row r="625" spans="1:36" s="40" customFormat="1" ht="19.5" customHeight="1">
      <c r="A625" s="25">
        <f t="shared" si="9"/>
        <v>621</v>
      </c>
      <c r="B625" s="26">
        <v>6236624</v>
      </c>
      <c r="C625" s="27">
        <v>45975</v>
      </c>
      <c r="D625" s="28">
        <v>8905.4599999999991</v>
      </c>
      <c r="E625" s="29">
        <v>69190.97</v>
      </c>
      <c r="F625" s="30" t="s">
        <v>2257</v>
      </c>
      <c r="G625" s="27">
        <v>45978</v>
      </c>
      <c r="H625" s="32">
        <v>8905.4599999999991</v>
      </c>
      <c r="I625" s="33">
        <v>69190.97</v>
      </c>
      <c r="J625" s="34" t="s">
        <v>33</v>
      </c>
      <c r="K625" t="s">
        <v>34</v>
      </c>
      <c r="L625" s="35">
        <v>491984022</v>
      </c>
      <c r="M625" s="36" t="s">
        <v>2149</v>
      </c>
      <c r="N625" s="37" t="s">
        <v>1346</v>
      </c>
      <c r="O625" t="s">
        <v>2258</v>
      </c>
      <c r="P625" t="s">
        <v>2259</v>
      </c>
      <c r="Q625" t="s">
        <v>1822</v>
      </c>
      <c r="R625" s="38">
        <v>46006</v>
      </c>
      <c r="S625" s="39">
        <v>46735</v>
      </c>
      <c r="T625" s="38">
        <v>46006</v>
      </c>
      <c r="U625" s="39">
        <v>46735</v>
      </c>
      <c r="V625" s="40" t="s">
        <v>458</v>
      </c>
      <c r="W625" s="41" t="s">
        <v>39</v>
      </c>
      <c r="X625" s="40" t="s">
        <v>2260</v>
      </c>
      <c r="Y625" s="40" t="s">
        <v>56</v>
      </c>
      <c r="Z625"/>
      <c r="AA625" s="62"/>
      <c r="AB625" s="44"/>
      <c r="AC625" s="63">
        <v>9999907091</v>
      </c>
      <c r="AD625" s="46">
        <v>45979</v>
      </c>
      <c r="AE625"/>
      <c r="AF625" s="39"/>
      <c r="AG625" s="49"/>
      <c r="AH625" s="49"/>
      <c r="AI625" s="49"/>
      <c r="AJ625"/>
    </row>
    <row r="626" spans="1:36" s="40" customFormat="1" ht="19.5" customHeight="1">
      <c r="A626" s="25">
        <f t="shared" si="9"/>
        <v>622</v>
      </c>
      <c r="B626" s="26">
        <v>6236996</v>
      </c>
      <c r="C626" s="27">
        <v>45978</v>
      </c>
      <c r="D626" s="28">
        <v>5100.0200000000004</v>
      </c>
      <c r="E626" s="29">
        <v>39624.61</v>
      </c>
      <c r="F626" s="30" t="s">
        <v>2261</v>
      </c>
      <c r="G626" s="27">
        <v>45978</v>
      </c>
      <c r="H626" s="32">
        <v>5100.0200000000004</v>
      </c>
      <c r="I626" s="33">
        <v>39624.61</v>
      </c>
      <c r="J626" s="34" t="s">
        <v>33</v>
      </c>
      <c r="K626" t="s">
        <v>34</v>
      </c>
      <c r="L626" s="35">
        <v>431961894</v>
      </c>
      <c r="M626" s="36" t="s">
        <v>2149</v>
      </c>
      <c r="N626" s="37" t="s">
        <v>1346</v>
      </c>
      <c r="O626" t="s">
        <v>2262</v>
      </c>
      <c r="P626" t="s">
        <v>2263</v>
      </c>
      <c r="Q626" t="s">
        <v>2213</v>
      </c>
      <c r="R626" s="38">
        <v>45929</v>
      </c>
      <c r="S626" s="39">
        <v>46387</v>
      </c>
      <c r="T626" s="38">
        <v>46070</v>
      </c>
      <c r="U626" s="39">
        <v>46434</v>
      </c>
      <c r="V626" s="40" t="s">
        <v>60</v>
      </c>
      <c r="W626" s="41" t="s">
        <v>39</v>
      </c>
      <c r="X626" s="40" t="s">
        <v>2264</v>
      </c>
      <c r="Y626" s="40" t="s">
        <v>185</v>
      </c>
      <c r="Z626" s="40" t="s">
        <v>81</v>
      </c>
      <c r="AA626" s="62"/>
      <c r="AB626" s="44"/>
      <c r="AC626" s="63">
        <v>9999914905</v>
      </c>
      <c r="AD626" s="46">
        <v>45981</v>
      </c>
      <c r="AE626"/>
      <c r="AF626" s="39"/>
      <c r="AG626" s="49"/>
      <c r="AH626" s="49"/>
      <c r="AI626" s="49"/>
      <c r="AJ626"/>
    </row>
    <row r="627" spans="1:36" s="40" customFormat="1" ht="19.5" customHeight="1">
      <c r="A627" s="25">
        <f t="shared" si="9"/>
        <v>623</v>
      </c>
      <c r="B627" s="26">
        <v>6237009</v>
      </c>
      <c r="C627" s="27">
        <v>45978</v>
      </c>
      <c r="D627" s="28">
        <v>12700.88</v>
      </c>
      <c r="E627" s="29">
        <v>98679.49</v>
      </c>
      <c r="F627" s="30" t="s">
        <v>2265</v>
      </c>
      <c r="G627" s="27">
        <v>45978</v>
      </c>
      <c r="H627" s="32">
        <v>12700.88</v>
      </c>
      <c r="I627" s="33">
        <v>98679.49</v>
      </c>
      <c r="J627" s="34" t="s">
        <v>33</v>
      </c>
      <c r="K627" t="s">
        <v>34</v>
      </c>
      <c r="L627" s="35">
        <v>302212299</v>
      </c>
      <c r="M627" s="36" t="s">
        <v>2118</v>
      </c>
      <c r="N627" s="37" t="s">
        <v>2266</v>
      </c>
      <c r="O627" t="s">
        <v>2262</v>
      </c>
      <c r="P627" t="s">
        <v>2263</v>
      </c>
      <c r="Q627" t="s">
        <v>2213</v>
      </c>
      <c r="R627" s="38">
        <v>45929</v>
      </c>
      <c r="S627" s="39">
        <v>46387</v>
      </c>
      <c r="T627" s="38">
        <v>46070</v>
      </c>
      <c r="U627" s="39">
        <v>46434</v>
      </c>
      <c r="V627" s="40" t="s">
        <v>60</v>
      </c>
      <c r="W627" s="41" t="s">
        <v>39</v>
      </c>
      <c r="X627" s="40" t="s">
        <v>2264</v>
      </c>
      <c r="Y627" s="40" t="s">
        <v>185</v>
      </c>
      <c r="Z627" s="40" t="s">
        <v>81</v>
      </c>
      <c r="AA627" s="62"/>
      <c r="AB627" s="44"/>
      <c r="AC627" s="63">
        <v>9999919056</v>
      </c>
      <c r="AD627" s="46">
        <v>45982</v>
      </c>
      <c r="AE627"/>
      <c r="AF627" s="39"/>
      <c r="AG627" s="49"/>
      <c r="AH627" s="49"/>
      <c r="AI627" s="49"/>
      <c r="AJ627"/>
    </row>
    <row r="628" spans="1:36" s="40" customFormat="1" ht="19.5" customHeight="1">
      <c r="A628" s="25">
        <f t="shared" si="9"/>
        <v>624</v>
      </c>
      <c r="B628" s="26">
        <v>6237014</v>
      </c>
      <c r="C628" s="27">
        <v>45978</v>
      </c>
      <c r="D628" s="28">
        <v>12700.88</v>
      </c>
      <c r="E628" s="29">
        <v>98679.49</v>
      </c>
      <c r="F628" s="30" t="s">
        <v>2267</v>
      </c>
      <c r="G628" s="27">
        <v>45981</v>
      </c>
      <c r="H628" s="32">
        <v>12700.88</v>
      </c>
      <c r="I628" s="33">
        <v>98679.49</v>
      </c>
      <c r="J628" s="34" t="s">
        <v>33</v>
      </c>
      <c r="K628" t="s">
        <v>34</v>
      </c>
      <c r="L628" s="35">
        <v>342211046</v>
      </c>
      <c r="M628" s="36" t="s">
        <v>2118</v>
      </c>
      <c r="N628" s="37" t="s">
        <v>2268</v>
      </c>
      <c r="O628" t="s">
        <v>2262</v>
      </c>
      <c r="P628" t="s">
        <v>2263</v>
      </c>
      <c r="Q628" t="s">
        <v>2213</v>
      </c>
      <c r="R628" s="38">
        <v>45929</v>
      </c>
      <c r="S628" s="39">
        <v>46387</v>
      </c>
      <c r="T628" s="38">
        <v>46070</v>
      </c>
      <c r="U628" s="39">
        <v>46434</v>
      </c>
      <c r="V628" s="40" t="s">
        <v>60</v>
      </c>
      <c r="W628" s="41" t="s">
        <v>39</v>
      </c>
      <c r="X628" s="40" t="s">
        <v>2264</v>
      </c>
      <c r="Y628" s="40" t="s">
        <v>185</v>
      </c>
      <c r="Z628" s="40" t="s">
        <v>81</v>
      </c>
      <c r="AA628" s="62"/>
      <c r="AB628" s="44"/>
      <c r="AC628" s="63">
        <v>9999919118</v>
      </c>
      <c r="AD628" s="46">
        <v>45982</v>
      </c>
      <c r="AE628"/>
      <c r="AF628" s="39"/>
      <c r="AG628" s="49"/>
      <c r="AH628" s="49"/>
      <c r="AI628" s="49"/>
      <c r="AJ628"/>
    </row>
    <row r="629" spans="1:36" s="40" customFormat="1" ht="19.5" customHeight="1">
      <c r="A629" s="25">
        <f t="shared" si="9"/>
        <v>625</v>
      </c>
      <c r="B629" s="26">
        <v>6237024</v>
      </c>
      <c r="C629" s="27">
        <v>45978</v>
      </c>
      <c r="D629" s="28">
        <v>0</v>
      </c>
      <c r="E629" s="29">
        <v>0</v>
      </c>
      <c r="F629" s="30" t="s">
        <v>2269</v>
      </c>
      <c r="G629" s="27">
        <v>45981</v>
      </c>
      <c r="H629" s="80" t="s">
        <v>141</v>
      </c>
      <c r="I629" s="288" t="s">
        <v>141</v>
      </c>
      <c r="J629" s="34" t="s">
        <v>33</v>
      </c>
      <c r="K629" t="s">
        <v>34</v>
      </c>
      <c r="L629" s="35">
        <v>322171863</v>
      </c>
      <c r="M629" s="36" t="s">
        <v>2149</v>
      </c>
      <c r="N629" s="37" t="s">
        <v>1377</v>
      </c>
      <c r="O629" t="s">
        <v>2262</v>
      </c>
      <c r="P629" t="s">
        <v>2270</v>
      </c>
      <c r="Q629" t="s">
        <v>2213</v>
      </c>
      <c r="R629" s="38">
        <v>45929</v>
      </c>
      <c r="S629" s="39">
        <v>46387</v>
      </c>
      <c r="T629" s="38">
        <v>46070</v>
      </c>
      <c r="U629" s="39">
        <v>46434</v>
      </c>
      <c r="V629" s="40" t="s">
        <v>60</v>
      </c>
      <c r="W629" s="41" t="s">
        <v>39</v>
      </c>
      <c r="X629" s="40" t="s">
        <v>2264</v>
      </c>
      <c r="Y629" s="40" t="s">
        <v>185</v>
      </c>
      <c r="Z629" s="40" t="s">
        <v>81</v>
      </c>
      <c r="AA629" s="62"/>
      <c r="AB629" s="44"/>
      <c r="AC629" s="63">
        <v>9999919057</v>
      </c>
      <c r="AD629" s="46">
        <v>45982</v>
      </c>
      <c r="AE629"/>
      <c r="AF629" s="39"/>
      <c r="AG629" s="49"/>
      <c r="AH629" s="49"/>
      <c r="AI629" s="49"/>
      <c r="AJ629"/>
    </row>
    <row r="630" spans="1:36" s="40" customFormat="1" ht="19.5" customHeight="1">
      <c r="A630" s="25">
        <f t="shared" si="9"/>
        <v>626</v>
      </c>
      <c r="B630" s="26">
        <v>6237105</v>
      </c>
      <c r="C630" s="27">
        <v>45978</v>
      </c>
      <c r="D630" s="28">
        <v>1572.34</v>
      </c>
      <c r="E630" s="29">
        <v>12216.3</v>
      </c>
      <c r="F630" s="290" t="s">
        <v>2271</v>
      </c>
      <c r="G630" s="27">
        <v>45981</v>
      </c>
      <c r="H630" s="32">
        <v>1572.34</v>
      </c>
      <c r="I630" s="33">
        <v>12216.3</v>
      </c>
      <c r="J630" s="34" t="s">
        <v>33</v>
      </c>
      <c r="K630" t="s">
        <v>34</v>
      </c>
      <c r="L630" s="35">
        <v>332204892</v>
      </c>
      <c r="M630" s="36" t="s">
        <v>2129</v>
      </c>
      <c r="N630" s="37" t="s">
        <v>1346</v>
      </c>
      <c r="O630" t="s">
        <v>2272</v>
      </c>
      <c r="P630" t="s">
        <v>2273</v>
      </c>
      <c r="Q630" t="s">
        <v>2274</v>
      </c>
      <c r="R630" s="38">
        <v>45962</v>
      </c>
      <c r="S630" s="39">
        <v>46507</v>
      </c>
      <c r="T630" s="38">
        <v>45962</v>
      </c>
      <c r="U630" s="39">
        <v>46507</v>
      </c>
      <c r="V630" s="40" t="s">
        <v>2275</v>
      </c>
      <c r="W630" s="41" t="s">
        <v>39</v>
      </c>
      <c r="X630" s="40" t="s">
        <v>2276</v>
      </c>
      <c r="Y630" s="40" t="s">
        <v>56</v>
      </c>
      <c r="Z630"/>
      <c r="AA630" s="62"/>
      <c r="AB630" s="44"/>
      <c r="AC630" s="63">
        <v>9999919103</v>
      </c>
      <c r="AD630" s="46">
        <v>45982</v>
      </c>
      <c r="AE630"/>
      <c r="AF630" s="39"/>
      <c r="AG630" s="49"/>
      <c r="AH630" s="49"/>
      <c r="AI630" s="49"/>
      <c r="AJ630"/>
    </row>
    <row r="631" spans="1:36" s="40" customFormat="1" ht="19.5" customHeight="1">
      <c r="A631" s="25">
        <f t="shared" si="9"/>
        <v>627</v>
      </c>
      <c r="B631" s="291" t="s">
        <v>141</v>
      </c>
      <c r="C631" s="292" t="s">
        <v>141</v>
      </c>
      <c r="D631" s="293" t="s">
        <v>141</v>
      </c>
      <c r="E631" s="294" t="s">
        <v>141</v>
      </c>
      <c r="F631" s="290" t="s">
        <v>2277</v>
      </c>
      <c r="G631" s="27">
        <v>45979</v>
      </c>
      <c r="H631" s="219" t="s">
        <v>141</v>
      </c>
      <c r="I631" s="74">
        <v>2700</v>
      </c>
      <c r="J631" s="34" t="s">
        <v>33</v>
      </c>
      <c r="K631" t="s">
        <v>139</v>
      </c>
      <c r="L631" s="35" t="s">
        <v>2278</v>
      </c>
      <c r="M631" s="36" t="s">
        <v>2279</v>
      </c>
      <c r="N631" s="285" t="s">
        <v>141</v>
      </c>
      <c r="O631" s="67" t="s">
        <v>141</v>
      </c>
      <c r="P631" s="67" t="s">
        <v>141</v>
      </c>
      <c r="Q631" t="s">
        <v>2188</v>
      </c>
      <c r="R631" s="50" t="s">
        <v>141</v>
      </c>
      <c r="S631" s="47" t="s">
        <v>141</v>
      </c>
      <c r="T631" s="50" t="s">
        <v>141</v>
      </c>
      <c r="U631" s="47" t="s">
        <v>141</v>
      </c>
      <c r="W631" s="41" t="s">
        <v>39</v>
      </c>
      <c r="X631" s="40" t="s">
        <v>2280</v>
      </c>
      <c r="Z631"/>
      <c r="AA631" s="62">
        <v>90007298</v>
      </c>
      <c r="AB631" s="44">
        <v>46000</v>
      </c>
      <c r="AC631" s="63">
        <v>60017009</v>
      </c>
      <c r="AD631" s="46">
        <v>46000</v>
      </c>
      <c r="AE631"/>
      <c r="AF631" s="39"/>
      <c r="AG631" s="49"/>
      <c r="AH631" s="49"/>
      <c r="AI631" s="49"/>
      <c r="AJ631"/>
    </row>
    <row r="632" spans="1:36" s="40" customFormat="1" ht="19.5" customHeight="1">
      <c r="A632" s="25">
        <f t="shared" si="9"/>
        <v>628</v>
      </c>
      <c r="B632" s="26">
        <v>6237666</v>
      </c>
      <c r="C632" s="27">
        <v>45979</v>
      </c>
      <c r="D632" s="219" t="s">
        <v>141</v>
      </c>
      <c r="E632" s="72">
        <v>13860</v>
      </c>
      <c r="F632" s="290" t="s">
        <v>2281</v>
      </c>
      <c r="G632" s="27">
        <v>45981</v>
      </c>
      <c r="H632" s="293" t="s">
        <v>141</v>
      </c>
      <c r="I632" s="74">
        <v>13860</v>
      </c>
      <c r="J632" s="34" t="s">
        <v>33</v>
      </c>
      <c r="K632" t="s">
        <v>193</v>
      </c>
      <c r="L632" s="35" t="s">
        <v>2282</v>
      </c>
      <c r="M632" s="36" t="s">
        <v>2283</v>
      </c>
      <c r="N632" s="285" t="s">
        <v>141</v>
      </c>
      <c r="O632" s="67" t="s">
        <v>141</v>
      </c>
      <c r="P632" s="67" t="s">
        <v>141</v>
      </c>
      <c r="Q632" t="s">
        <v>2188</v>
      </c>
      <c r="R632" s="50" t="s">
        <v>141</v>
      </c>
      <c r="S632" s="47" t="s">
        <v>141</v>
      </c>
      <c r="T632" s="50" t="s">
        <v>141</v>
      </c>
      <c r="U632" s="47" t="s">
        <v>141</v>
      </c>
      <c r="W632" s="41" t="s">
        <v>39</v>
      </c>
      <c r="X632" s="40" t="s">
        <v>2284</v>
      </c>
      <c r="Z632"/>
      <c r="AA632" s="62" t="s">
        <v>2285</v>
      </c>
      <c r="AB632" s="44">
        <v>45995</v>
      </c>
      <c r="AC632" s="63" t="s">
        <v>2286</v>
      </c>
      <c r="AD632" s="46">
        <v>45995</v>
      </c>
      <c r="AE632">
        <v>3220130</v>
      </c>
      <c r="AF632" s="39"/>
      <c r="AG632" s="49"/>
      <c r="AH632" s="49"/>
      <c r="AI632" s="49"/>
      <c r="AJ632"/>
    </row>
    <row r="633" spans="1:36" s="40" customFormat="1" ht="19.5" customHeight="1">
      <c r="A633" s="25">
        <f t="shared" si="9"/>
        <v>629</v>
      </c>
      <c r="B633" s="291" t="s">
        <v>141</v>
      </c>
      <c r="C633" s="292" t="s">
        <v>141</v>
      </c>
      <c r="D633" s="293" t="s">
        <v>141</v>
      </c>
      <c r="E633" s="294" t="s">
        <v>141</v>
      </c>
      <c r="F633" s="290" t="s">
        <v>2287</v>
      </c>
      <c r="G633" s="27">
        <v>45979</v>
      </c>
      <c r="H633" s="73">
        <v>300</v>
      </c>
      <c r="I633" s="74">
        <v>2330.85</v>
      </c>
      <c r="J633" s="34" t="s">
        <v>33</v>
      </c>
      <c r="K633" t="s">
        <v>1177</v>
      </c>
      <c r="L633" s="35" t="s">
        <v>2288</v>
      </c>
      <c r="M633" s="36" t="s">
        <v>2289</v>
      </c>
      <c r="N633" s="285" t="s">
        <v>141</v>
      </c>
      <c r="O633" s="67" t="s">
        <v>141</v>
      </c>
      <c r="P633" s="67" t="s">
        <v>141</v>
      </c>
      <c r="Q633" t="s">
        <v>2188</v>
      </c>
      <c r="R633" s="50" t="s">
        <v>141</v>
      </c>
      <c r="S633" s="47" t="s">
        <v>141</v>
      </c>
      <c r="T633" s="50" t="s">
        <v>141</v>
      </c>
      <c r="U633" s="47" t="s">
        <v>141</v>
      </c>
      <c r="W633" s="41" t="s">
        <v>39</v>
      </c>
      <c r="X633" s="40" t="s">
        <v>2284</v>
      </c>
      <c r="Z633"/>
      <c r="AA633" s="62" t="s">
        <v>2290</v>
      </c>
      <c r="AB633" s="44">
        <v>46000</v>
      </c>
      <c r="AC633" s="63" t="s">
        <v>2290</v>
      </c>
      <c r="AD633" s="46">
        <v>46000</v>
      </c>
      <c r="AE633">
        <v>3197678</v>
      </c>
      <c r="AF633" s="39">
        <v>46092</v>
      </c>
      <c r="AG633" s="49"/>
      <c r="AH633" s="49"/>
      <c r="AI633" s="49"/>
      <c r="AJ633"/>
    </row>
    <row r="634" spans="1:36" s="40" customFormat="1" ht="19.5" customHeight="1">
      <c r="A634" s="25">
        <f t="shared" si="9"/>
        <v>630</v>
      </c>
      <c r="B634" s="26">
        <v>6237772</v>
      </c>
      <c r="C634" s="27">
        <v>45979</v>
      </c>
      <c r="D634" s="219" t="s">
        <v>141</v>
      </c>
      <c r="E634" s="72">
        <v>1640</v>
      </c>
      <c r="F634" s="290" t="s">
        <v>2291</v>
      </c>
      <c r="G634" s="27">
        <v>45979</v>
      </c>
      <c r="H634" s="293" t="s">
        <v>141</v>
      </c>
      <c r="I634" s="72">
        <v>1640</v>
      </c>
      <c r="J634" s="34" t="s">
        <v>33</v>
      </c>
      <c r="K634" t="s">
        <v>139</v>
      </c>
      <c r="L634" s="35" t="s">
        <v>2292</v>
      </c>
      <c r="M634" s="36" t="s">
        <v>2293</v>
      </c>
      <c r="N634" s="75" t="s">
        <v>1383</v>
      </c>
      <c r="O634" t="s">
        <v>2294</v>
      </c>
      <c r="P634" t="s">
        <v>2295</v>
      </c>
      <c r="Q634" t="s">
        <v>2296</v>
      </c>
      <c r="R634" s="38">
        <v>45980</v>
      </c>
      <c r="S634" s="39">
        <v>46344</v>
      </c>
      <c r="T634" s="50" t="s">
        <v>141</v>
      </c>
      <c r="U634" s="47" t="s">
        <v>141</v>
      </c>
      <c r="V634" s="40" t="s">
        <v>590</v>
      </c>
      <c r="W634" s="41" t="s">
        <v>39</v>
      </c>
      <c r="X634" s="40" t="s">
        <v>2297</v>
      </c>
      <c r="Y634" s="40" t="s">
        <v>185</v>
      </c>
      <c r="Z634"/>
      <c r="AA634" s="62">
        <v>90007298</v>
      </c>
      <c r="AB634" s="44">
        <v>46000</v>
      </c>
      <c r="AC634" s="63">
        <v>60017010</v>
      </c>
      <c r="AD634" s="46">
        <v>46000</v>
      </c>
      <c r="AE634"/>
      <c r="AF634" s="39"/>
      <c r="AG634" s="49"/>
      <c r="AH634" s="49"/>
      <c r="AI634" s="49"/>
      <c r="AJ634"/>
    </row>
    <row r="635" spans="1:36" s="40" customFormat="1" ht="19.5" customHeight="1">
      <c r="A635" s="25">
        <f t="shared" si="9"/>
        <v>631</v>
      </c>
      <c r="B635" s="26">
        <v>6237965</v>
      </c>
      <c r="C635" s="27">
        <v>45980</v>
      </c>
      <c r="D635" s="219" t="s">
        <v>141</v>
      </c>
      <c r="E635" s="72">
        <v>1870</v>
      </c>
      <c r="F635" s="290" t="s">
        <v>2298</v>
      </c>
      <c r="G635" s="27">
        <v>45980</v>
      </c>
      <c r="H635" s="293" t="s">
        <v>141</v>
      </c>
      <c r="I635" s="72">
        <v>1870</v>
      </c>
      <c r="J635" s="34" t="s">
        <v>33</v>
      </c>
      <c r="K635" t="s">
        <v>139</v>
      </c>
      <c r="L635" s="35">
        <v>80005232</v>
      </c>
      <c r="M635" s="36" t="s">
        <v>2299</v>
      </c>
      <c r="N635" s="75" t="s">
        <v>1404</v>
      </c>
      <c r="O635" t="s">
        <v>2300</v>
      </c>
      <c r="P635" t="s">
        <v>2301</v>
      </c>
      <c r="Q635" t="s">
        <v>2302</v>
      </c>
      <c r="R635" s="38">
        <v>46023</v>
      </c>
      <c r="S635" s="39">
        <v>46387</v>
      </c>
      <c r="T635" s="50" t="s">
        <v>141</v>
      </c>
      <c r="U635" s="47" t="s">
        <v>141</v>
      </c>
      <c r="V635" s="40" t="s">
        <v>44</v>
      </c>
      <c r="W635" s="41" t="s">
        <v>39</v>
      </c>
      <c r="X635" s="40" t="s">
        <v>2303</v>
      </c>
      <c r="Y635" s="40" t="s">
        <v>56</v>
      </c>
      <c r="Z635"/>
      <c r="AA635" s="62">
        <v>90007298</v>
      </c>
      <c r="AB635" s="46">
        <v>46000</v>
      </c>
      <c r="AC635" s="63">
        <v>60017011</v>
      </c>
      <c r="AD635" s="46">
        <v>46000</v>
      </c>
      <c r="AE635">
        <v>3194541</v>
      </c>
      <c r="AF635" s="39">
        <v>46069</v>
      </c>
      <c r="AG635" s="49"/>
      <c r="AH635" s="49"/>
      <c r="AI635" s="49"/>
      <c r="AJ635"/>
    </row>
    <row r="636" spans="1:36" s="40" customFormat="1" ht="19.5" customHeight="1">
      <c r="A636" s="25">
        <f t="shared" si="9"/>
        <v>632</v>
      </c>
      <c r="B636" s="26">
        <v>6237986</v>
      </c>
      <c r="C636" s="27">
        <v>45980</v>
      </c>
      <c r="D636" s="219" t="s">
        <v>141</v>
      </c>
      <c r="E636" s="72">
        <v>5180</v>
      </c>
      <c r="F636" s="290" t="s">
        <v>2304</v>
      </c>
      <c r="G636" s="27">
        <v>45980</v>
      </c>
      <c r="H636" s="293" t="s">
        <v>141</v>
      </c>
      <c r="I636" s="295">
        <v>3010</v>
      </c>
      <c r="J636" s="34" t="s">
        <v>33</v>
      </c>
      <c r="K636" t="s">
        <v>139</v>
      </c>
      <c r="L636" s="35" t="s">
        <v>2305</v>
      </c>
      <c r="M636" s="36" t="s">
        <v>2306</v>
      </c>
      <c r="N636" s="75" t="s">
        <v>1749</v>
      </c>
      <c r="O636" t="s">
        <v>2307</v>
      </c>
      <c r="P636" t="s">
        <v>2308</v>
      </c>
      <c r="Q636" t="s">
        <v>2309</v>
      </c>
      <c r="R636" s="38">
        <v>45904</v>
      </c>
      <c r="S636" s="39">
        <v>46268</v>
      </c>
      <c r="T636" s="50" t="s">
        <v>141</v>
      </c>
      <c r="U636" s="47" t="s">
        <v>141</v>
      </c>
      <c r="V636" s="40" t="s">
        <v>590</v>
      </c>
      <c r="W636" s="41" t="s">
        <v>39</v>
      </c>
      <c r="X636" s="40" t="s">
        <v>2310</v>
      </c>
      <c r="Y636" s="40" t="s">
        <v>56</v>
      </c>
      <c r="Z636"/>
      <c r="AA636" s="62">
        <v>90007322</v>
      </c>
      <c r="AB636" s="44">
        <v>46008</v>
      </c>
      <c r="AC636" s="63">
        <v>60017039</v>
      </c>
      <c r="AD636" s="46">
        <v>46008</v>
      </c>
      <c r="AE636"/>
      <c r="AF636" s="39"/>
      <c r="AG636" s="49"/>
      <c r="AH636" s="49"/>
      <c r="AI636" s="49"/>
      <c r="AJ636"/>
    </row>
    <row r="637" spans="1:36" s="40" customFormat="1" ht="19.5" customHeight="1">
      <c r="A637" s="25">
        <f t="shared" si="9"/>
        <v>633</v>
      </c>
      <c r="B637" s="26">
        <v>6238346</v>
      </c>
      <c r="C637" s="27">
        <v>45980</v>
      </c>
      <c r="D637" s="28">
        <v>874.34</v>
      </c>
      <c r="E637" s="29">
        <v>6793.18</v>
      </c>
      <c r="F637" s="30" t="s">
        <v>2311</v>
      </c>
      <c r="G637" s="27">
        <v>45988</v>
      </c>
      <c r="H637" s="32">
        <v>874.34</v>
      </c>
      <c r="I637" s="33">
        <v>6793.18</v>
      </c>
      <c r="J637" s="34" t="s">
        <v>103</v>
      </c>
      <c r="K637" t="s">
        <v>206</v>
      </c>
      <c r="L637" s="35" t="s">
        <v>2312</v>
      </c>
      <c r="M637" s="36" t="s">
        <v>2313</v>
      </c>
      <c r="N637" s="37" t="s">
        <v>1330</v>
      </c>
      <c r="O637" t="s">
        <v>2314</v>
      </c>
      <c r="P637" t="s">
        <v>2315</v>
      </c>
      <c r="Q637" t="s">
        <v>2316</v>
      </c>
      <c r="R637" s="38">
        <v>45966</v>
      </c>
      <c r="S637" s="39">
        <v>46330</v>
      </c>
      <c r="T637" s="38">
        <v>45964</v>
      </c>
      <c r="U637" s="39">
        <v>46328</v>
      </c>
      <c r="V637" s="40" t="s">
        <v>1654</v>
      </c>
      <c r="W637" s="41" t="s">
        <v>39</v>
      </c>
      <c r="X637" s="40" t="s">
        <v>2317</v>
      </c>
      <c r="Y637" s="40" t="s">
        <v>185</v>
      </c>
      <c r="Z637" s="40" t="s">
        <v>81</v>
      </c>
      <c r="AA637" s="62" t="s">
        <v>2318</v>
      </c>
      <c r="AB637" s="44">
        <v>46013</v>
      </c>
      <c r="AC637" s="63" t="s">
        <v>2319</v>
      </c>
      <c r="AD637" s="46">
        <v>46013</v>
      </c>
      <c r="AE637"/>
      <c r="AF637" s="39"/>
      <c r="AG637" s="49"/>
      <c r="AH637" s="49"/>
      <c r="AI637" s="49"/>
      <c r="AJ637"/>
    </row>
    <row r="638" spans="1:36" s="40" customFormat="1" ht="19.5" customHeight="1">
      <c r="A638" s="25">
        <f t="shared" si="9"/>
        <v>634</v>
      </c>
      <c r="B638" s="26">
        <v>6238744</v>
      </c>
      <c r="C638" s="27">
        <v>45981</v>
      </c>
      <c r="D638" s="219" t="s">
        <v>141</v>
      </c>
      <c r="E638" s="72">
        <v>3260</v>
      </c>
      <c r="F638" s="30" t="s">
        <v>2320</v>
      </c>
      <c r="G638" s="27">
        <v>45982</v>
      </c>
      <c r="H638" s="293" t="s">
        <v>141</v>
      </c>
      <c r="I638" s="72">
        <v>3260</v>
      </c>
      <c r="J638" s="34" t="s">
        <v>33</v>
      </c>
      <c r="K638" t="s">
        <v>139</v>
      </c>
      <c r="L638" s="35">
        <v>80005234</v>
      </c>
      <c r="M638" s="36" t="s">
        <v>2321</v>
      </c>
      <c r="N638" s="75" t="s">
        <v>1383</v>
      </c>
      <c r="O638" t="s">
        <v>2322</v>
      </c>
      <c r="P638" t="s">
        <v>2323</v>
      </c>
      <c r="Q638" t="s">
        <v>2020</v>
      </c>
      <c r="R638" s="38">
        <v>45984</v>
      </c>
      <c r="S638" s="39">
        <v>46348</v>
      </c>
      <c r="T638" s="50" t="s">
        <v>141</v>
      </c>
      <c r="U638" s="47" t="s">
        <v>141</v>
      </c>
      <c r="V638" s="40" t="s">
        <v>954</v>
      </c>
      <c r="W638" s="41" t="s">
        <v>39</v>
      </c>
      <c r="X638" s="40" t="s">
        <v>2324</v>
      </c>
      <c r="Y638" s="40" t="s">
        <v>56</v>
      </c>
      <c r="Z638"/>
      <c r="AA638" s="62">
        <v>90007378</v>
      </c>
      <c r="AB638" s="44">
        <v>46030</v>
      </c>
      <c r="AC638" s="63">
        <v>60017145</v>
      </c>
      <c r="AD638" s="46">
        <v>46030</v>
      </c>
      <c r="AE638">
        <v>3190523</v>
      </c>
      <c r="AF638" s="39">
        <v>46044</v>
      </c>
      <c r="AG638" s="49"/>
      <c r="AH638" s="49"/>
      <c r="AI638" s="49"/>
      <c r="AJ638"/>
    </row>
    <row r="639" spans="1:36" s="40" customFormat="1" ht="19.5" customHeight="1">
      <c r="A639" s="25">
        <f t="shared" si="9"/>
        <v>635</v>
      </c>
      <c r="B639" s="26">
        <v>6238785</v>
      </c>
      <c r="C639" s="27">
        <v>45981</v>
      </c>
      <c r="D639" s="28">
        <v>4462.8999999999996</v>
      </c>
      <c r="E639" s="29">
        <v>34674.5</v>
      </c>
      <c r="F639" s="30" t="s">
        <v>2325</v>
      </c>
      <c r="G639" s="27">
        <v>45986</v>
      </c>
      <c r="H639" s="32">
        <v>4462.8999999999996</v>
      </c>
      <c r="I639" s="33">
        <v>34674.5</v>
      </c>
      <c r="J639" s="34" t="s">
        <v>103</v>
      </c>
      <c r="K639" t="s">
        <v>206</v>
      </c>
      <c r="L639" s="35" t="s">
        <v>2326</v>
      </c>
      <c r="M639" s="36" t="s">
        <v>2327</v>
      </c>
      <c r="N639" s="37" t="s">
        <v>1330</v>
      </c>
      <c r="O639" t="s">
        <v>2328</v>
      </c>
      <c r="P639" t="s">
        <v>2329</v>
      </c>
      <c r="Q639" t="s">
        <v>2330</v>
      </c>
      <c r="R639" s="38">
        <v>45976</v>
      </c>
      <c r="S639" s="39">
        <v>46340</v>
      </c>
      <c r="T639" s="38">
        <v>45976</v>
      </c>
      <c r="U639" s="39">
        <v>46340</v>
      </c>
      <c r="V639" s="40" t="s">
        <v>38</v>
      </c>
      <c r="W639" s="41" t="s">
        <v>2331</v>
      </c>
      <c r="X639" s="40" t="s">
        <v>2332</v>
      </c>
      <c r="Y639" s="40" t="s">
        <v>56</v>
      </c>
      <c r="Z639" s="40" t="s">
        <v>81</v>
      </c>
      <c r="AA639" s="62" t="s">
        <v>2333</v>
      </c>
      <c r="AB639" s="44">
        <v>45994</v>
      </c>
      <c r="AC639" s="63" t="s">
        <v>2334</v>
      </c>
      <c r="AD639" s="46">
        <v>45994</v>
      </c>
      <c r="AE639">
        <v>3194539</v>
      </c>
      <c r="AF639" s="39">
        <v>46069</v>
      </c>
      <c r="AG639" s="49"/>
      <c r="AH639" s="49"/>
      <c r="AI639" s="49"/>
      <c r="AJ639"/>
    </row>
    <row r="640" spans="1:36" s="40" customFormat="1" ht="19.5" customHeight="1">
      <c r="A640" s="25">
        <f t="shared" si="9"/>
        <v>636</v>
      </c>
      <c r="B640" s="26">
        <v>6238895</v>
      </c>
      <c r="C640" s="27">
        <v>45982</v>
      </c>
      <c r="D640" s="219" t="s">
        <v>141</v>
      </c>
      <c r="E640" s="72">
        <v>10980</v>
      </c>
      <c r="F640" s="30" t="s">
        <v>2335</v>
      </c>
      <c r="G640" s="27">
        <v>45985</v>
      </c>
      <c r="H640" s="293" t="s">
        <v>141</v>
      </c>
      <c r="I640" s="295">
        <v>9882</v>
      </c>
      <c r="J640" s="34" t="s">
        <v>33</v>
      </c>
      <c r="K640" t="s">
        <v>139</v>
      </c>
      <c r="L640" s="35">
        <v>80005235</v>
      </c>
      <c r="M640" s="36" t="s">
        <v>2336</v>
      </c>
      <c r="N640" s="75" t="s">
        <v>1383</v>
      </c>
      <c r="O640" t="s">
        <v>2337</v>
      </c>
      <c r="P640" t="s">
        <v>2338</v>
      </c>
      <c r="Q640" t="s">
        <v>2020</v>
      </c>
      <c r="R640" s="38">
        <v>45992</v>
      </c>
      <c r="S640" s="39">
        <v>46356</v>
      </c>
      <c r="T640" s="50" t="s">
        <v>141</v>
      </c>
      <c r="U640" s="47" t="s">
        <v>141</v>
      </c>
      <c r="V640" s="40" t="s">
        <v>954</v>
      </c>
      <c r="W640" s="41" t="s">
        <v>39</v>
      </c>
      <c r="X640" s="40" t="s">
        <v>2339</v>
      </c>
      <c r="Y640" s="40" t="s">
        <v>56</v>
      </c>
      <c r="Z640" s="40" t="s">
        <v>81</v>
      </c>
      <c r="AA640" s="62">
        <v>90007322</v>
      </c>
      <c r="AB640" s="44">
        <v>46008</v>
      </c>
      <c r="AC640" s="63">
        <v>60017040</v>
      </c>
      <c r="AD640" s="46">
        <v>46008</v>
      </c>
      <c r="AE640"/>
      <c r="AF640" s="39"/>
      <c r="AG640" s="49"/>
      <c r="AH640" s="49"/>
      <c r="AI640" s="49"/>
      <c r="AJ640"/>
    </row>
    <row r="641" spans="1:36" s="40" customFormat="1" ht="19.5" customHeight="1">
      <c r="A641" s="25">
        <f t="shared" si="9"/>
        <v>637</v>
      </c>
      <c r="B641" s="26">
        <v>6239768</v>
      </c>
      <c r="C641" s="27">
        <v>45986</v>
      </c>
      <c r="D641" s="80" t="s">
        <v>141</v>
      </c>
      <c r="E641" s="29">
        <v>691</v>
      </c>
      <c r="F641" s="30" t="s">
        <v>2340</v>
      </c>
      <c r="G641" s="27">
        <v>45987</v>
      </c>
      <c r="H641" s="80" t="s">
        <v>141</v>
      </c>
      <c r="I641" s="33">
        <v>691</v>
      </c>
      <c r="J641" s="34" t="s">
        <v>103</v>
      </c>
      <c r="K641" t="s">
        <v>777</v>
      </c>
      <c r="L641" s="35" t="s">
        <v>2341</v>
      </c>
      <c r="M641" s="36" t="s">
        <v>2342</v>
      </c>
      <c r="N641" s="37" t="s">
        <v>2343</v>
      </c>
      <c r="O641" t="s">
        <v>2344</v>
      </c>
      <c r="P641" t="s">
        <v>2345</v>
      </c>
      <c r="Q641" t="s">
        <v>2346</v>
      </c>
      <c r="R641" s="38">
        <v>46023</v>
      </c>
      <c r="S641" s="39">
        <v>46387</v>
      </c>
      <c r="T641" s="38">
        <v>46023</v>
      </c>
      <c r="U641" s="39">
        <v>46387</v>
      </c>
      <c r="V641" s="40" t="s">
        <v>51</v>
      </c>
      <c r="W641" s="41" t="s">
        <v>39</v>
      </c>
      <c r="X641" s="40" t="s">
        <v>2347</v>
      </c>
      <c r="Y641" s="40" t="s">
        <v>56</v>
      </c>
      <c r="Z641"/>
      <c r="AA641" s="62" t="s">
        <v>2348</v>
      </c>
      <c r="AB641" s="44">
        <v>46022</v>
      </c>
      <c r="AC641" s="63" t="s">
        <v>2348</v>
      </c>
      <c r="AD641" s="46">
        <v>46022</v>
      </c>
      <c r="AE641">
        <v>3193109</v>
      </c>
      <c r="AF641" s="39">
        <v>46059</v>
      </c>
      <c r="AG641" s="49"/>
      <c r="AH641" s="49"/>
      <c r="AI641" s="49"/>
      <c r="AJ641"/>
    </row>
    <row r="642" spans="1:36" s="40" customFormat="1" ht="19.5" customHeight="1">
      <c r="A642" s="25">
        <f t="shared" si="9"/>
        <v>638</v>
      </c>
      <c r="B642" s="26">
        <v>6239792</v>
      </c>
      <c r="C642" s="27">
        <v>45986</v>
      </c>
      <c r="D642" s="80" t="s">
        <v>141</v>
      </c>
      <c r="E642" s="29">
        <v>380.58</v>
      </c>
      <c r="F642" s="30" t="s">
        <v>2349</v>
      </c>
      <c r="G642" s="27">
        <v>45987</v>
      </c>
      <c r="H642" s="80" t="s">
        <v>141</v>
      </c>
      <c r="I642" s="33">
        <v>380.58</v>
      </c>
      <c r="J642" s="34" t="s">
        <v>159</v>
      </c>
      <c r="K642" t="s">
        <v>398</v>
      </c>
      <c r="L642" s="35" t="s">
        <v>2350</v>
      </c>
      <c r="M642" s="36" t="s">
        <v>2351</v>
      </c>
      <c r="N642" s="37" t="s">
        <v>2352</v>
      </c>
      <c r="O642" t="s">
        <v>2353</v>
      </c>
      <c r="P642" t="s">
        <v>2354</v>
      </c>
      <c r="Q642" t="s">
        <v>2355</v>
      </c>
      <c r="R642" s="38">
        <v>46012</v>
      </c>
      <c r="S642" s="39">
        <v>46193</v>
      </c>
      <c r="T642" s="38">
        <v>45753</v>
      </c>
      <c r="U642" s="39">
        <v>46117</v>
      </c>
      <c r="V642" s="40" t="s">
        <v>1306</v>
      </c>
      <c r="W642" s="41" t="s">
        <v>39</v>
      </c>
      <c r="X642" s="40" t="s">
        <v>2356</v>
      </c>
      <c r="Y642" s="40" t="s">
        <v>185</v>
      </c>
      <c r="Z642"/>
      <c r="AA642" s="62" t="s">
        <v>2357</v>
      </c>
      <c r="AB642" s="44">
        <v>45999</v>
      </c>
      <c r="AC642" s="63" t="s">
        <v>2357</v>
      </c>
      <c r="AD642" s="46">
        <v>45999</v>
      </c>
      <c r="AE642"/>
      <c r="AF642" s="39"/>
      <c r="AG642" s="49"/>
      <c r="AH642" s="49"/>
      <c r="AI642" s="49"/>
      <c r="AJ642"/>
    </row>
    <row r="643" spans="1:36" s="40" customFormat="1" ht="19.5" customHeight="1">
      <c r="A643" s="25">
        <f t="shared" si="9"/>
        <v>639</v>
      </c>
      <c r="B643" s="26">
        <v>6239995</v>
      </c>
      <c r="C643" s="27">
        <v>45986</v>
      </c>
      <c r="D643" s="28">
        <v>4512.96</v>
      </c>
      <c r="E643" s="29">
        <v>35063.440000000002</v>
      </c>
      <c r="F643" s="30" t="s">
        <v>2358</v>
      </c>
      <c r="G643" s="27">
        <v>45987</v>
      </c>
      <c r="H643" s="32">
        <v>4512.96</v>
      </c>
      <c r="I643" s="33">
        <v>35063.440000000002</v>
      </c>
      <c r="J643" s="34" t="s">
        <v>33</v>
      </c>
      <c r="K643" t="s">
        <v>34</v>
      </c>
      <c r="L643" s="35">
        <v>212285754</v>
      </c>
      <c r="M643" s="36" t="s">
        <v>2359</v>
      </c>
      <c r="N643" s="37" t="s">
        <v>1346</v>
      </c>
      <c r="O643" t="s">
        <v>2360</v>
      </c>
      <c r="P643" t="s">
        <v>2361</v>
      </c>
      <c r="Q643" t="s">
        <v>2362</v>
      </c>
      <c r="R643" s="38">
        <v>46023</v>
      </c>
      <c r="S643" s="39">
        <v>46387</v>
      </c>
      <c r="T643" s="38">
        <v>46023</v>
      </c>
      <c r="U643" s="39">
        <v>46326</v>
      </c>
      <c r="V643" s="40" t="s">
        <v>51</v>
      </c>
      <c r="W643" s="41" t="s">
        <v>39</v>
      </c>
      <c r="X643" s="40" t="s">
        <v>2363</v>
      </c>
      <c r="Y643" s="40" t="s">
        <v>185</v>
      </c>
      <c r="Z643" s="40" t="s">
        <v>81</v>
      </c>
      <c r="AA643" s="62"/>
      <c r="AB643" s="44"/>
      <c r="AC643" s="63">
        <v>9999943382</v>
      </c>
      <c r="AD643" s="46">
        <v>45992</v>
      </c>
      <c r="AE643"/>
      <c r="AF643" s="39"/>
      <c r="AG643" s="49"/>
      <c r="AH643" s="49"/>
      <c r="AI643" s="49"/>
      <c r="AJ643"/>
    </row>
    <row r="644" spans="1:36" s="40" customFormat="1" ht="19.5" customHeight="1">
      <c r="A644" s="25">
        <f t="shared" ref="A644:A707" si="10">A643+1</f>
        <v>640</v>
      </c>
      <c r="B644" s="26">
        <v>6240126</v>
      </c>
      <c r="C644" s="27">
        <v>45986</v>
      </c>
      <c r="D644" s="28">
        <v>1993.36</v>
      </c>
      <c r="E644" s="29">
        <v>15487.41</v>
      </c>
      <c r="F644" s="30" t="s">
        <v>2364</v>
      </c>
      <c r="G644" s="27">
        <v>45987</v>
      </c>
      <c r="H644" s="32">
        <v>1993.36</v>
      </c>
      <c r="I644" s="33">
        <v>15487.41</v>
      </c>
      <c r="J644" s="34" t="s">
        <v>33</v>
      </c>
      <c r="K644" t="s">
        <v>34</v>
      </c>
      <c r="L644" s="35">
        <v>302217477</v>
      </c>
      <c r="M644" s="36" t="s">
        <v>2129</v>
      </c>
      <c r="N644" s="37" t="s">
        <v>1346</v>
      </c>
      <c r="O644" t="s">
        <v>2365</v>
      </c>
      <c r="P644" t="s">
        <v>2366</v>
      </c>
      <c r="Q644" t="s">
        <v>2367</v>
      </c>
      <c r="R644" s="38">
        <v>45976</v>
      </c>
      <c r="S644" s="39">
        <v>46340</v>
      </c>
      <c r="T644" s="38">
        <v>45976</v>
      </c>
      <c r="U644" s="39">
        <v>46340</v>
      </c>
      <c r="V644" s="40" t="s">
        <v>175</v>
      </c>
      <c r="W644" s="41" t="s">
        <v>39</v>
      </c>
      <c r="X644" s="40" t="s">
        <v>2368</v>
      </c>
      <c r="Y644" s="40" t="s">
        <v>56</v>
      </c>
      <c r="Z644"/>
      <c r="AA644" s="62"/>
      <c r="AB644" s="44"/>
      <c r="AC644" s="63">
        <v>9999943339</v>
      </c>
      <c r="AD644" s="46">
        <v>45992</v>
      </c>
      <c r="AE644">
        <v>3190089</v>
      </c>
      <c r="AF644" s="39">
        <v>46042</v>
      </c>
      <c r="AG644" s="49"/>
      <c r="AH644" s="49"/>
      <c r="AI644" s="49"/>
      <c r="AJ644"/>
    </row>
    <row r="645" spans="1:36" s="40" customFormat="1" ht="19.5" customHeight="1">
      <c r="A645" s="25">
        <f t="shared" si="10"/>
        <v>641</v>
      </c>
      <c r="B645" s="26">
        <v>6240167</v>
      </c>
      <c r="C645" s="27">
        <v>45987</v>
      </c>
      <c r="D645" s="219" t="s">
        <v>141</v>
      </c>
      <c r="E645" s="72">
        <v>7670</v>
      </c>
      <c r="F645" s="30" t="s">
        <v>2369</v>
      </c>
      <c r="G645" s="27">
        <v>45987</v>
      </c>
      <c r="H645" s="219" t="s">
        <v>141</v>
      </c>
      <c r="I645" s="74">
        <v>7670</v>
      </c>
      <c r="J645" s="34" t="s">
        <v>33</v>
      </c>
      <c r="K645" t="s">
        <v>139</v>
      </c>
      <c r="L645" s="35">
        <v>80005236</v>
      </c>
      <c r="M645" s="36" t="s">
        <v>2370</v>
      </c>
      <c r="N645" s="75" t="s">
        <v>1749</v>
      </c>
      <c r="O645" t="s">
        <v>2371</v>
      </c>
      <c r="P645" t="s">
        <v>2372</v>
      </c>
      <c r="Q645" t="s">
        <v>2274</v>
      </c>
      <c r="R645" s="38">
        <v>46083</v>
      </c>
      <c r="S645" s="39">
        <v>47908</v>
      </c>
      <c r="T645" s="50" t="s">
        <v>141</v>
      </c>
      <c r="U645" s="47" t="s">
        <v>141</v>
      </c>
      <c r="V645" s="40" t="s">
        <v>175</v>
      </c>
      <c r="W645" s="41" t="s">
        <v>39</v>
      </c>
      <c r="X645" s="40" t="s">
        <v>2373</v>
      </c>
      <c r="Y645" s="40" t="s">
        <v>56</v>
      </c>
      <c r="Z645" s="40" t="s">
        <v>81</v>
      </c>
      <c r="AA645" s="62">
        <v>90007322</v>
      </c>
      <c r="AB645" s="44">
        <v>46008</v>
      </c>
      <c r="AC645" s="63">
        <v>60017041</v>
      </c>
      <c r="AD645" s="46">
        <v>46008</v>
      </c>
      <c r="AE645">
        <v>3209396</v>
      </c>
      <c r="AF645" s="39">
        <v>46181</v>
      </c>
      <c r="AG645" s="49"/>
      <c r="AH645" s="49"/>
      <c r="AI645" s="49"/>
      <c r="AJ645"/>
    </row>
    <row r="646" spans="1:36" s="40" customFormat="1" ht="19.5" customHeight="1">
      <c r="A646" s="25">
        <f t="shared" si="10"/>
        <v>642</v>
      </c>
      <c r="B646" s="26">
        <v>6240184</v>
      </c>
      <c r="C646" s="27">
        <v>45987</v>
      </c>
      <c r="D646" s="219" t="s">
        <v>141</v>
      </c>
      <c r="E646" s="72">
        <v>770</v>
      </c>
      <c r="F646" s="30" t="s">
        <v>2374</v>
      </c>
      <c r="G646" s="27">
        <v>45987</v>
      </c>
      <c r="H646" s="71" t="s">
        <v>141</v>
      </c>
      <c r="I646" s="74">
        <v>770</v>
      </c>
      <c r="J646" s="34" t="s">
        <v>33</v>
      </c>
      <c r="K646" t="s">
        <v>139</v>
      </c>
      <c r="L646" s="35" t="s">
        <v>2375</v>
      </c>
      <c r="M646" s="36" t="s">
        <v>2376</v>
      </c>
      <c r="N646" s="75" t="s">
        <v>1404</v>
      </c>
      <c r="O646" t="s">
        <v>2377</v>
      </c>
      <c r="P646" t="s">
        <v>2378</v>
      </c>
      <c r="Q646" t="s">
        <v>1947</v>
      </c>
      <c r="R646" s="38">
        <v>45989</v>
      </c>
      <c r="S646" s="39">
        <v>46353</v>
      </c>
      <c r="T646" s="50" t="s">
        <v>141</v>
      </c>
      <c r="U646" s="47" t="s">
        <v>141</v>
      </c>
      <c r="V646" s="40" t="s">
        <v>2379</v>
      </c>
      <c r="W646" s="41" t="s">
        <v>39</v>
      </c>
      <c r="X646" s="40" t="s">
        <v>2380</v>
      </c>
      <c r="Y646" s="40" t="s">
        <v>56</v>
      </c>
      <c r="Z646"/>
      <c r="AA646" s="62">
        <v>90007322</v>
      </c>
      <c r="AB646" s="44">
        <v>46008</v>
      </c>
      <c r="AC646" s="63">
        <v>60017042</v>
      </c>
      <c r="AD646" s="46">
        <v>46008</v>
      </c>
      <c r="AE646"/>
      <c r="AF646" s="39"/>
      <c r="AG646" s="49"/>
      <c r="AH646" s="49"/>
      <c r="AI646" s="49"/>
      <c r="AJ646"/>
    </row>
    <row r="647" spans="1:36" s="40" customFormat="1" ht="19.5" customHeight="1">
      <c r="A647" s="25">
        <f t="shared" si="10"/>
        <v>643</v>
      </c>
      <c r="B647" s="26">
        <v>6240337</v>
      </c>
      <c r="C647" s="27">
        <v>45987</v>
      </c>
      <c r="D647" s="28">
        <v>156.63999999999999</v>
      </c>
      <c r="E647" s="29">
        <v>1217.01</v>
      </c>
      <c r="F647" s="30" t="s">
        <v>2381</v>
      </c>
      <c r="G647" s="27">
        <v>45993</v>
      </c>
      <c r="H647" s="32">
        <v>156.63999999999999</v>
      </c>
      <c r="I647" s="33">
        <v>1217.01</v>
      </c>
      <c r="J647" s="34" t="s">
        <v>33</v>
      </c>
      <c r="K647" t="s">
        <v>34</v>
      </c>
      <c r="L647" s="35">
        <v>421993962</v>
      </c>
      <c r="M647" s="36" t="s">
        <v>2129</v>
      </c>
      <c r="N647" s="37" t="s">
        <v>1346</v>
      </c>
      <c r="O647" t="s">
        <v>2382</v>
      </c>
      <c r="P647" t="s">
        <v>2383</v>
      </c>
      <c r="Q647" t="s">
        <v>2384</v>
      </c>
      <c r="R647" s="38">
        <v>45992</v>
      </c>
      <c r="S647" s="39">
        <v>46356</v>
      </c>
      <c r="T647" s="38">
        <v>45962</v>
      </c>
      <c r="U647" s="39">
        <v>46356</v>
      </c>
      <c r="V647" s="40" t="s">
        <v>38</v>
      </c>
      <c r="W647" s="41" t="s">
        <v>39</v>
      </c>
      <c r="X647" s="40" t="s">
        <v>2385</v>
      </c>
      <c r="Y647" s="40" t="s">
        <v>56</v>
      </c>
      <c r="Z647"/>
      <c r="AA647" s="62"/>
      <c r="AB647" s="44"/>
      <c r="AC647" s="63">
        <v>9999950724</v>
      </c>
      <c r="AD647" s="46">
        <v>45994</v>
      </c>
      <c r="AE647"/>
      <c r="AF647" s="39"/>
      <c r="AG647" s="49"/>
      <c r="AH647" s="49"/>
      <c r="AI647" s="49"/>
      <c r="AJ647"/>
    </row>
    <row r="648" spans="1:36" s="40" customFormat="1" ht="19.5" customHeight="1">
      <c r="A648" s="25">
        <f t="shared" si="10"/>
        <v>644</v>
      </c>
      <c r="B648" s="26">
        <v>6240406</v>
      </c>
      <c r="C648" s="27">
        <v>45987</v>
      </c>
      <c r="D648" s="80" t="s">
        <v>141</v>
      </c>
      <c r="E648" s="29">
        <v>1539.06</v>
      </c>
      <c r="F648" s="30" t="s">
        <v>2386</v>
      </c>
      <c r="G648" s="27">
        <v>45989</v>
      </c>
      <c r="H648" s="80" t="s">
        <v>141</v>
      </c>
      <c r="I648" s="33">
        <v>1539.06</v>
      </c>
      <c r="J648" s="34" t="s">
        <v>159</v>
      </c>
      <c r="K648" t="s">
        <v>398</v>
      </c>
      <c r="L648" s="35" t="s">
        <v>2387</v>
      </c>
      <c r="M648" s="36" t="s">
        <v>2388</v>
      </c>
      <c r="N648" s="37" t="s">
        <v>2352</v>
      </c>
      <c r="O648" t="s">
        <v>2389</v>
      </c>
      <c r="P648" t="s">
        <v>2390</v>
      </c>
      <c r="Q648" t="s">
        <v>2391</v>
      </c>
      <c r="R648" s="38">
        <v>46079</v>
      </c>
      <c r="S648" s="39">
        <v>46443</v>
      </c>
      <c r="T648" s="38">
        <v>46079</v>
      </c>
      <c r="U648" s="39">
        <v>46443</v>
      </c>
      <c r="V648" s="40" t="s">
        <v>1306</v>
      </c>
      <c r="W648" s="41" t="s">
        <v>39</v>
      </c>
      <c r="X648" s="40" t="s">
        <v>2392</v>
      </c>
      <c r="Y648" s="40" t="s">
        <v>56</v>
      </c>
      <c r="Z648"/>
      <c r="AA648" s="62" t="s">
        <v>2393</v>
      </c>
      <c r="AB648" s="44">
        <v>45999</v>
      </c>
      <c r="AC648" s="63" t="s">
        <v>2393</v>
      </c>
      <c r="AD648" s="46">
        <v>45999</v>
      </c>
      <c r="AE648"/>
      <c r="AF648" s="39"/>
      <c r="AG648" s="49"/>
      <c r="AH648" s="49"/>
      <c r="AI648" s="49"/>
      <c r="AJ648"/>
    </row>
    <row r="649" spans="1:36" s="40" customFormat="1" ht="19.5" customHeight="1">
      <c r="A649" s="25">
        <f t="shared" si="10"/>
        <v>645</v>
      </c>
      <c r="B649" s="26">
        <v>6241059</v>
      </c>
      <c r="C649" s="27">
        <v>45989</v>
      </c>
      <c r="D649" s="28">
        <v>4692.4799999999996</v>
      </c>
      <c r="E649" s="29">
        <v>36458.22</v>
      </c>
      <c r="F649" s="30" t="s">
        <v>2394</v>
      </c>
      <c r="G649" s="27">
        <v>45992</v>
      </c>
      <c r="H649" s="32">
        <v>4692.4799999999996</v>
      </c>
      <c r="I649" s="33">
        <v>36509.370000000003</v>
      </c>
      <c r="J649" s="34" t="s">
        <v>33</v>
      </c>
      <c r="K649" t="s">
        <v>34</v>
      </c>
      <c r="L649" s="35">
        <v>431972347</v>
      </c>
      <c r="M649" s="36" t="s">
        <v>2129</v>
      </c>
      <c r="N649" s="37" t="s">
        <v>1346</v>
      </c>
      <c r="O649" t="s">
        <v>2377</v>
      </c>
      <c r="P649" t="s">
        <v>2378</v>
      </c>
      <c r="Q649" t="s">
        <v>2395</v>
      </c>
      <c r="R649" s="38">
        <v>45989</v>
      </c>
      <c r="S649" s="39">
        <v>46353</v>
      </c>
      <c r="T649" s="38">
        <v>45989</v>
      </c>
      <c r="U649" s="39">
        <v>46353</v>
      </c>
      <c r="V649" s="40" t="s">
        <v>2379</v>
      </c>
      <c r="W649" s="41" t="s">
        <v>39</v>
      </c>
      <c r="X649" s="40" t="s">
        <v>2380</v>
      </c>
      <c r="Y649" s="40" t="s">
        <v>56</v>
      </c>
      <c r="Z649"/>
      <c r="AA649" s="62"/>
      <c r="AB649" s="44"/>
      <c r="AC649" s="63">
        <v>9999950729</v>
      </c>
      <c r="AD649" s="46">
        <v>45994</v>
      </c>
      <c r="AE649"/>
      <c r="AF649" s="39"/>
      <c r="AG649" s="49"/>
      <c r="AH649" s="49"/>
      <c r="AI649" s="49"/>
      <c r="AJ649"/>
    </row>
    <row r="650" spans="1:36" s="40" customFormat="1" ht="19.5" customHeight="1">
      <c r="A650" s="25">
        <f t="shared" si="10"/>
        <v>646</v>
      </c>
      <c r="B650" s="26">
        <v>6241217</v>
      </c>
      <c r="C650" s="27">
        <v>45989</v>
      </c>
      <c r="D650" s="28">
        <v>4124.5200000000004</v>
      </c>
      <c r="E650" s="29">
        <v>32045.46</v>
      </c>
      <c r="F650" s="30" t="s">
        <v>2396</v>
      </c>
      <c r="G650" s="27">
        <v>45992</v>
      </c>
      <c r="H650" s="32">
        <f>1538.16+2586.36</f>
        <v>4124.5200000000004</v>
      </c>
      <c r="I650" s="33">
        <v>32090.42</v>
      </c>
      <c r="J650" s="34" t="s">
        <v>33</v>
      </c>
      <c r="K650" t="s">
        <v>34</v>
      </c>
      <c r="L650" s="35">
        <v>451990996</v>
      </c>
      <c r="M650" s="36" t="s">
        <v>2397</v>
      </c>
      <c r="N650" s="37" t="s">
        <v>1346</v>
      </c>
      <c r="O650" t="s">
        <v>2398</v>
      </c>
      <c r="P650" t="s">
        <v>2399</v>
      </c>
      <c r="Q650" t="s">
        <v>1822</v>
      </c>
      <c r="R650" s="38">
        <v>46087</v>
      </c>
      <c r="S650" s="39">
        <v>46451</v>
      </c>
      <c r="T650" s="38">
        <v>46087</v>
      </c>
      <c r="U650" s="39">
        <v>46451</v>
      </c>
      <c r="V650" s="40" t="s">
        <v>458</v>
      </c>
      <c r="W650" s="41" t="s">
        <v>39</v>
      </c>
      <c r="X650" s="40" t="s">
        <v>2400</v>
      </c>
      <c r="Y650" s="40" t="s">
        <v>56</v>
      </c>
      <c r="Z650"/>
      <c r="AA650" s="62" t="s">
        <v>2401</v>
      </c>
      <c r="AB650" s="44">
        <v>45994</v>
      </c>
      <c r="AC650" s="63" t="s">
        <v>2402</v>
      </c>
      <c r="AD650" s="46">
        <v>45994</v>
      </c>
      <c r="AE650" t="s">
        <v>2403</v>
      </c>
      <c r="AF650" s="39">
        <v>46043</v>
      </c>
      <c r="AG650" s="49"/>
      <c r="AH650" s="49"/>
      <c r="AI650" s="49"/>
      <c r="AJ650"/>
    </row>
    <row r="651" spans="1:36" s="40" customFormat="1" ht="19.5" customHeight="1" thickBot="1">
      <c r="A651" s="25">
        <f t="shared" si="10"/>
        <v>647</v>
      </c>
      <c r="B651" s="26">
        <v>6241298</v>
      </c>
      <c r="C651" s="27">
        <v>45989</v>
      </c>
      <c r="D651" s="28">
        <v>4497.8999999999996</v>
      </c>
      <c r="E651" s="29">
        <v>34946.43</v>
      </c>
      <c r="F651" s="30" t="s">
        <v>2404</v>
      </c>
      <c r="G651" s="27">
        <v>45994</v>
      </c>
      <c r="H651" s="32">
        <v>4497.8999999999996</v>
      </c>
      <c r="I651" s="33">
        <v>34995.46</v>
      </c>
      <c r="J651" s="34" t="s">
        <v>33</v>
      </c>
      <c r="K651" t="s">
        <v>34</v>
      </c>
      <c r="L651" s="251">
        <v>441997203</v>
      </c>
      <c r="M651" s="36" t="s">
        <v>2149</v>
      </c>
      <c r="N651" s="37" t="s">
        <v>1346</v>
      </c>
      <c r="O651" t="s">
        <v>2405</v>
      </c>
      <c r="P651" t="s">
        <v>2406</v>
      </c>
      <c r="Q651" t="s">
        <v>2407</v>
      </c>
      <c r="R651" s="38">
        <v>45958</v>
      </c>
      <c r="S651" s="39">
        <v>46536</v>
      </c>
      <c r="T651" s="38">
        <v>46035</v>
      </c>
      <c r="U651" s="39">
        <v>46399</v>
      </c>
      <c r="V651" s="40" t="s">
        <v>51</v>
      </c>
      <c r="W651" s="41" t="s">
        <v>39</v>
      </c>
      <c r="X651" s="40" t="s">
        <v>2408</v>
      </c>
      <c r="Y651" s="40" t="s">
        <v>185</v>
      </c>
      <c r="Z651"/>
      <c r="AA651" s="62"/>
      <c r="AB651" s="44"/>
      <c r="AC651" s="63">
        <v>9999968443</v>
      </c>
      <c r="AD651" s="46">
        <v>46000</v>
      </c>
      <c r="AE651"/>
      <c r="AF651" s="39"/>
      <c r="AG651" s="49"/>
      <c r="AH651" s="49"/>
      <c r="AI651" s="49"/>
      <c r="AJ651"/>
    </row>
    <row r="652" spans="1:36" s="40" customFormat="1" ht="19.5" customHeight="1">
      <c r="A652" s="25">
        <f t="shared" si="10"/>
        <v>648</v>
      </c>
      <c r="B652" s="135">
        <v>6241311</v>
      </c>
      <c r="C652" s="136">
        <v>45989</v>
      </c>
      <c r="D652" s="176">
        <v>20298</v>
      </c>
      <c r="E652" s="177">
        <v>157705.31</v>
      </c>
      <c r="F652" s="139" t="s">
        <v>2409</v>
      </c>
      <c r="G652" s="136">
        <v>45993</v>
      </c>
      <c r="H652" s="178">
        <f>20298-2255.04</f>
        <v>18042.96</v>
      </c>
      <c r="I652" s="179">
        <f>18042.96*7.78</f>
        <v>140374.22880000001</v>
      </c>
      <c r="J652" s="140" t="s">
        <v>33</v>
      </c>
      <c r="K652" s="141" t="s">
        <v>34</v>
      </c>
      <c r="L652" s="142" t="s">
        <v>2410</v>
      </c>
      <c r="M652" s="143" t="s">
        <v>2411</v>
      </c>
      <c r="N652" s="144" t="s">
        <v>1540</v>
      </c>
      <c r="O652" s="141" t="s">
        <v>2405</v>
      </c>
      <c r="P652" s="141" t="s">
        <v>2406</v>
      </c>
      <c r="Q652" s="141" t="s">
        <v>2407</v>
      </c>
      <c r="R652" s="145">
        <v>45958</v>
      </c>
      <c r="S652" s="146">
        <v>46536</v>
      </c>
      <c r="T652" s="145">
        <v>46034</v>
      </c>
      <c r="U652" s="146">
        <v>46398</v>
      </c>
      <c r="V652" s="147" t="s">
        <v>51</v>
      </c>
      <c r="W652" s="148" t="s">
        <v>39</v>
      </c>
      <c r="X652" s="147" t="s">
        <v>2408</v>
      </c>
      <c r="Y652" s="147" t="s">
        <v>56</v>
      </c>
      <c r="Z652" s="141"/>
      <c r="AA652" s="150" t="s">
        <v>2412</v>
      </c>
      <c r="AB652" s="151">
        <v>45994</v>
      </c>
      <c r="AC652" s="152" t="s">
        <v>2413</v>
      </c>
      <c r="AD652" s="153">
        <v>45994</v>
      </c>
      <c r="AE652" s="141" t="s">
        <v>2414</v>
      </c>
      <c r="AF652" s="146">
        <v>46044</v>
      </c>
      <c r="AG652" s="49"/>
      <c r="AH652" s="49"/>
      <c r="AI652" s="49"/>
      <c r="AJ652"/>
    </row>
    <row r="653" spans="1:36" s="40" customFormat="1" ht="19.5" customHeight="1" thickBot="1">
      <c r="A653" s="25"/>
      <c r="B653" s="155">
        <v>6241311</v>
      </c>
      <c r="C653" s="156">
        <v>45989</v>
      </c>
      <c r="D653" s="157">
        <v>20298</v>
      </c>
      <c r="E653" s="158">
        <v>157705.31</v>
      </c>
      <c r="F653" s="159" t="s">
        <v>2409</v>
      </c>
      <c r="G653" s="156">
        <v>45993</v>
      </c>
      <c r="H653" s="184">
        <f>20298-18042.96</f>
        <v>2255.0400000000009</v>
      </c>
      <c r="I653" s="185">
        <f>2255.04*7.78</f>
        <v>17544.211200000002</v>
      </c>
      <c r="J653" s="160" t="s">
        <v>33</v>
      </c>
      <c r="K653" s="161" t="s">
        <v>34</v>
      </c>
      <c r="L653" s="162" t="s">
        <v>2410</v>
      </c>
      <c r="M653" s="163" t="s">
        <v>2411</v>
      </c>
      <c r="N653" s="164" t="s">
        <v>1540</v>
      </c>
      <c r="O653" s="161" t="s">
        <v>2405</v>
      </c>
      <c r="P653" s="161" t="s">
        <v>2406</v>
      </c>
      <c r="Q653" s="161" t="s">
        <v>2407</v>
      </c>
      <c r="R653" s="165">
        <v>45958</v>
      </c>
      <c r="S653" s="166">
        <v>46536</v>
      </c>
      <c r="T653" s="165">
        <v>46034</v>
      </c>
      <c r="U653" s="166">
        <v>46398</v>
      </c>
      <c r="V653" s="167" t="s">
        <v>51</v>
      </c>
      <c r="W653" s="168" t="s">
        <v>39</v>
      </c>
      <c r="X653" s="167" t="s">
        <v>2408</v>
      </c>
      <c r="Y653" s="167" t="s">
        <v>56</v>
      </c>
      <c r="Z653" s="161"/>
      <c r="AA653" s="170"/>
      <c r="AB653" s="171"/>
      <c r="AC653" s="172">
        <v>6501156768</v>
      </c>
      <c r="AD653" s="173">
        <v>46012</v>
      </c>
      <c r="AE653" s="161"/>
      <c r="AF653" s="166"/>
      <c r="AG653" s="49"/>
      <c r="AH653" s="49"/>
      <c r="AI653" s="49"/>
      <c r="AJ653"/>
    </row>
    <row r="654" spans="1:36" s="40" customFormat="1" ht="19.5" customHeight="1">
      <c r="A654" s="25">
        <f>A652+1</f>
        <v>649</v>
      </c>
      <c r="B654" s="26">
        <v>6241353</v>
      </c>
      <c r="C654" s="27">
        <v>45989</v>
      </c>
      <c r="D654" s="28">
        <v>926.12</v>
      </c>
      <c r="E654" s="29">
        <v>7195.49</v>
      </c>
      <c r="F654" s="30" t="s">
        <v>2415</v>
      </c>
      <c r="G654" s="27">
        <v>45995</v>
      </c>
      <c r="H654" s="32">
        <v>926.12</v>
      </c>
      <c r="I654" s="33">
        <v>7205.58</v>
      </c>
      <c r="J654" s="34" t="s">
        <v>103</v>
      </c>
      <c r="K654" t="s">
        <v>206</v>
      </c>
      <c r="L654" s="35" t="s">
        <v>2416</v>
      </c>
      <c r="M654" s="36" t="s">
        <v>2417</v>
      </c>
      <c r="N654" s="37" t="s">
        <v>1330</v>
      </c>
      <c r="O654" t="s">
        <v>2418</v>
      </c>
      <c r="P654" t="s">
        <v>2419</v>
      </c>
      <c r="Q654" t="s">
        <v>2420</v>
      </c>
      <c r="R654" s="38">
        <v>45989</v>
      </c>
      <c r="S654" s="39">
        <v>46353</v>
      </c>
      <c r="T654" s="38">
        <v>45980</v>
      </c>
      <c r="U654" s="39">
        <v>46354</v>
      </c>
      <c r="V654" s="40" t="s">
        <v>2207</v>
      </c>
      <c r="W654" s="41" t="s">
        <v>39</v>
      </c>
      <c r="X654" s="40" t="s">
        <v>2421</v>
      </c>
      <c r="Y654" s="40" t="s">
        <v>56</v>
      </c>
      <c r="Z654" s="40" t="s">
        <v>81</v>
      </c>
      <c r="AA654" s="62" t="s">
        <v>2422</v>
      </c>
      <c r="AB654" s="44">
        <v>46000</v>
      </c>
      <c r="AC654" s="63" t="s">
        <v>2423</v>
      </c>
      <c r="AD654" s="46">
        <v>46000</v>
      </c>
      <c r="AE654">
        <v>3209924</v>
      </c>
      <c r="AF654" s="39">
        <v>46184</v>
      </c>
      <c r="AG654" s="49"/>
      <c r="AH654" s="49"/>
      <c r="AI654" s="49"/>
      <c r="AJ654"/>
    </row>
    <row r="655" spans="1:36" s="40" customFormat="1" ht="19.5" customHeight="1">
      <c r="A655" s="25">
        <f t="shared" si="10"/>
        <v>650</v>
      </c>
      <c r="B655" s="26">
        <v>6242521</v>
      </c>
      <c r="C655" s="27">
        <v>45993</v>
      </c>
      <c r="D655" s="28">
        <v>7628.87</v>
      </c>
      <c r="E655" s="29">
        <v>59355.66</v>
      </c>
      <c r="F655" s="30" t="s">
        <v>2424</v>
      </c>
      <c r="G655" s="27">
        <v>45994</v>
      </c>
      <c r="H655" s="32">
        <v>7628.87</v>
      </c>
      <c r="I655" s="33">
        <v>59355.66</v>
      </c>
      <c r="J655" s="34" t="s">
        <v>33</v>
      </c>
      <c r="K655" t="s">
        <v>34</v>
      </c>
      <c r="L655" s="35">
        <v>292269978</v>
      </c>
      <c r="M655" s="36" t="s">
        <v>2425</v>
      </c>
      <c r="N655" s="37" t="s">
        <v>1346</v>
      </c>
      <c r="O655" t="s">
        <v>2426</v>
      </c>
      <c r="P655" t="s">
        <v>2427</v>
      </c>
      <c r="Q655" t="s">
        <v>2428</v>
      </c>
      <c r="R655" s="38">
        <v>45981</v>
      </c>
      <c r="S655" s="39">
        <v>46345</v>
      </c>
      <c r="T655" s="38">
        <v>45996</v>
      </c>
      <c r="U655" s="39">
        <v>46360</v>
      </c>
      <c r="V655" s="40" t="s">
        <v>245</v>
      </c>
      <c r="W655" s="41" t="s">
        <v>39</v>
      </c>
      <c r="X655" s="40" t="s">
        <v>2429</v>
      </c>
      <c r="Y655" s="40" t="s">
        <v>56</v>
      </c>
      <c r="Z655"/>
      <c r="AA655" s="62"/>
      <c r="AB655" s="44"/>
      <c r="AC655" s="63">
        <v>9999965042</v>
      </c>
      <c r="AD655" s="46">
        <v>45999</v>
      </c>
      <c r="AE655"/>
      <c r="AF655" s="39"/>
      <c r="AG655" s="49"/>
      <c r="AH655" s="49"/>
      <c r="AI655" s="49"/>
      <c r="AJ655"/>
    </row>
    <row r="656" spans="1:36" s="40" customFormat="1" ht="19.5" customHeight="1">
      <c r="A656" s="25">
        <f t="shared" si="10"/>
        <v>651</v>
      </c>
      <c r="B656" s="26">
        <v>6242670</v>
      </c>
      <c r="C656" s="27">
        <v>45994</v>
      </c>
      <c r="D656" s="219" t="s">
        <v>141</v>
      </c>
      <c r="E656" s="72">
        <v>8340</v>
      </c>
      <c r="F656" s="30" t="s">
        <v>2430</v>
      </c>
      <c r="G656" s="27">
        <v>45999</v>
      </c>
      <c r="H656" s="284" t="s">
        <v>141</v>
      </c>
      <c r="I656" s="74">
        <v>8340</v>
      </c>
      <c r="J656" s="34" t="s">
        <v>33</v>
      </c>
      <c r="K656" t="s">
        <v>139</v>
      </c>
      <c r="L656" s="35" t="s">
        <v>2431</v>
      </c>
      <c r="M656" s="36" t="s">
        <v>2432</v>
      </c>
      <c r="N656" s="75" t="s">
        <v>2048</v>
      </c>
      <c r="O656" t="s">
        <v>2426</v>
      </c>
      <c r="P656" t="s">
        <v>2427</v>
      </c>
      <c r="Q656" t="s">
        <v>2428</v>
      </c>
      <c r="R656" s="38">
        <v>45981</v>
      </c>
      <c r="S656" s="39">
        <v>46345</v>
      </c>
      <c r="T656" s="50" t="s">
        <v>141</v>
      </c>
      <c r="U656" s="47" t="s">
        <v>141</v>
      </c>
      <c r="V656" s="40" t="s">
        <v>245</v>
      </c>
      <c r="W656" s="41" t="s">
        <v>39</v>
      </c>
      <c r="X656" s="40" t="s">
        <v>2433</v>
      </c>
      <c r="Y656" s="40" t="s">
        <v>56</v>
      </c>
      <c r="Z656"/>
      <c r="AA656" s="62">
        <v>90007378</v>
      </c>
      <c r="AB656" s="44">
        <v>46030</v>
      </c>
      <c r="AC656" s="63">
        <v>60017146</v>
      </c>
      <c r="AD656" s="46">
        <v>46030</v>
      </c>
      <c r="AE656">
        <v>3200381</v>
      </c>
      <c r="AF656" s="39">
        <v>46112</v>
      </c>
      <c r="AG656" s="49"/>
      <c r="AH656" s="49"/>
      <c r="AI656" s="49"/>
      <c r="AJ656"/>
    </row>
    <row r="657" spans="1:36" s="40" customFormat="1" ht="19.5" customHeight="1">
      <c r="A657" s="25">
        <f t="shared" si="10"/>
        <v>652</v>
      </c>
      <c r="B657" s="26">
        <v>6244267</v>
      </c>
      <c r="C657" s="27">
        <v>45999</v>
      </c>
      <c r="D657" s="28">
        <v>4969.22</v>
      </c>
      <c r="E657" s="29">
        <v>38662.519999999997</v>
      </c>
      <c r="F657" s="30" t="s">
        <v>2434</v>
      </c>
      <c r="G657" s="27">
        <v>45999</v>
      </c>
      <c r="H657" s="32">
        <v>4969.22</v>
      </c>
      <c r="I657" s="33">
        <v>38662.519999999997</v>
      </c>
      <c r="J657" s="34" t="s">
        <v>33</v>
      </c>
      <c r="K657" t="s">
        <v>34</v>
      </c>
      <c r="L657" s="35">
        <v>431994475</v>
      </c>
      <c r="M657" s="36" t="s">
        <v>2129</v>
      </c>
      <c r="N657" s="37" t="s">
        <v>1346</v>
      </c>
      <c r="O657" t="s">
        <v>2371</v>
      </c>
      <c r="P657" t="s">
        <v>2372</v>
      </c>
      <c r="Q657" t="s">
        <v>2274</v>
      </c>
      <c r="R657" s="38">
        <v>46083</v>
      </c>
      <c r="S657" s="39">
        <v>47908</v>
      </c>
      <c r="T657" s="38">
        <v>46083</v>
      </c>
      <c r="U657" s="39">
        <v>47908</v>
      </c>
      <c r="V657" s="40" t="s">
        <v>175</v>
      </c>
      <c r="W657" s="41" t="s">
        <v>39</v>
      </c>
      <c r="X657" s="40" t="s">
        <v>2373</v>
      </c>
      <c r="Y657" s="40" t="s">
        <v>56</v>
      </c>
      <c r="Z657" s="40" t="s">
        <v>81</v>
      </c>
      <c r="AA657" s="62">
        <v>240744927</v>
      </c>
      <c r="AB657" s="44">
        <v>46010</v>
      </c>
      <c r="AC657" s="63">
        <v>9999980647</v>
      </c>
      <c r="AD657" s="46">
        <v>46003</v>
      </c>
      <c r="AE657">
        <v>3192373</v>
      </c>
      <c r="AF657" s="39">
        <v>46056</v>
      </c>
      <c r="AG657" s="49"/>
      <c r="AH657" s="49"/>
      <c r="AI657" s="49"/>
      <c r="AJ657"/>
    </row>
    <row r="658" spans="1:36" s="40" customFormat="1" ht="19.5" customHeight="1">
      <c r="A658" s="25">
        <f t="shared" si="10"/>
        <v>653</v>
      </c>
      <c r="B658" s="26">
        <v>6244539</v>
      </c>
      <c r="C658" s="27">
        <v>45999</v>
      </c>
      <c r="D658" s="71">
        <v>695</v>
      </c>
      <c r="E658" s="72">
        <v>5407.38</v>
      </c>
      <c r="F658" s="30" t="s">
        <v>2435</v>
      </c>
      <c r="G658" s="27">
        <v>46000</v>
      </c>
      <c r="H658" s="73">
        <v>695</v>
      </c>
      <c r="I658" s="74">
        <v>5407.38</v>
      </c>
      <c r="J658" s="34" t="s">
        <v>33</v>
      </c>
      <c r="K658" t="s">
        <v>1177</v>
      </c>
      <c r="L658" s="35" t="s">
        <v>2436</v>
      </c>
      <c r="M658" s="36" t="s">
        <v>2437</v>
      </c>
      <c r="N658" s="75" t="s">
        <v>2438</v>
      </c>
      <c r="O658" t="s">
        <v>2439</v>
      </c>
      <c r="P658" t="s">
        <v>2440</v>
      </c>
      <c r="Q658" t="s">
        <v>2441</v>
      </c>
      <c r="R658" s="38">
        <v>46023</v>
      </c>
      <c r="S658" s="39">
        <v>46387</v>
      </c>
      <c r="T658" s="50" t="s">
        <v>141</v>
      </c>
      <c r="U658" s="47" t="s">
        <v>141</v>
      </c>
      <c r="V658" s="40" t="s">
        <v>2207</v>
      </c>
      <c r="W658" s="41" t="s">
        <v>39</v>
      </c>
      <c r="X658" s="40" t="s">
        <v>2442</v>
      </c>
      <c r="Y658" s="40" t="s">
        <v>56</v>
      </c>
      <c r="Z658"/>
      <c r="AA658" s="62"/>
      <c r="AB658" s="44"/>
      <c r="AC658" s="63" t="s">
        <v>2443</v>
      </c>
      <c r="AD658" s="46">
        <v>46015</v>
      </c>
      <c r="AE658">
        <v>3207136</v>
      </c>
      <c r="AF658" s="39">
        <v>46163</v>
      </c>
      <c r="AG658" s="49"/>
      <c r="AH658" s="49"/>
      <c r="AI658" s="49"/>
      <c r="AJ658"/>
    </row>
    <row r="659" spans="1:36" s="40" customFormat="1" ht="19.5" customHeight="1">
      <c r="A659" s="25">
        <f t="shared" si="10"/>
        <v>654</v>
      </c>
      <c r="B659" s="26">
        <v>6245847</v>
      </c>
      <c r="C659" s="27">
        <v>46001</v>
      </c>
      <c r="D659" s="28">
        <v>2291.7399999999998</v>
      </c>
      <c r="E659" s="29">
        <v>17830.650000000001</v>
      </c>
      <c r="F659" s="30" t="s">
        <v>2444</v>
      </c>
      <c r="G659" s="27">
        <v>46002</v>
      </c>
      <c r="H659" s="32">
        <v>2291.7399999999998</v>
      </c>
      <c r="I659" s="33">
        <v>17830.650000000001</v>
      </c>
      <c r="J659" s="34" t="s">
        <v>33</v>
      </c>
      <c r="K659" t="s">
        <v>34</v>
      </c>
      <c r="L659" s="35">
        <v>312211725</v>
      </c>
      <c r="M659" s="36" t="s">
        <v>2359</v>
      </c>
      <c r="N659" s="37" t="s">
        <v>1346</v>
      </c>
      <c r="O659" t="s">
        <v>2445</v>
      </c>
      <c r="P659" t="s">
        <v>2446</v>
      </c>
      <c r="Q659" t="s">
        <v>2447</v>
      </c>
      <c r="R659" s="38">
        <v>46002</v>
      </c>
      <c r="S659" s="39">
        <v>46366</v>
      </c>
      <c r="T659" s="38">
        <v>46085</v>
      </c>
      <c r="U659" s="39">
        <v>46450</v>
      </c>
      <c r="V659" s="40" t="s">
        <v>690</v>
      </c>
      <c r="W659" s="41" t="s">
        <v>39</v>
      </c>
      <c r="X659" s="40" t="s">
        <v>2448</v>
      </c>
      <c r="Y659" s="40" t="s">
        <v>185</v>
      </c>
      <c r="Z659"/>
      <c r="AA659" s="62"/>
      <c r="AB659" s="44"/>
      <c r="AC659" s="63">
        <v>9999984735</v>
      </c>
      <c r="AD659" s="46">
        <v>46006</v>
      </c>
      <c r="AE659"/>
      <c r="AF659" s="39"/>
      <c r="AG659" s="49"/>
      <c r="AH659" s="49"/>
      <c r="AI659" s="49"/>
      <c r="AJ659"/>
    </row>
    <row r="660" spans="1:36" s="40" customFormat="1" ht="19.5" customHeight="1">
      <c r="A660" s="25">
        <f t="shared" si="10"/>
        <v>655</v>
      </c>
      <c r="B660" s="26">
        <v>6245858</v>
      </c>
      <c r="C660" s="27">
        <v>46001</v>
      </c>
      <c r="D660" s="28">
        <v>47153.04</v>
      </c>
      <c r="E660" s="29">
        <v>366869.51</v>
      </c>
      <c r="F660" s="30" t="s">
        <v>2449</v>
      </c>
      <c r="G660" s="27">
        <v>46002</v>
      </c>
      <c r="H660" s="68">
        <v>47153.04</v>
      </c>
      <c r="I660" s="29">
        <v>366869.51</v>
      </c>
      <c r="J660" s="34" t="s">
        <v>33</v>
      </c>
      <c r="K660" t="s">
        <v>34</v>
      </c>
      <c r="L660" s="35">
        <v>392203350</v>
      </c>
      <c r="M660" s="36" t="s">
        <v>2104</v>
      </c>
      <c r="N660" s="37" t="s">
        <v>1346</v>
      </c>
      <c r="O660" t="s">
        <v>2450</v>
      </c>
      <c r="P660" t="s">
        <v>2451</v>
      </c>
      <c r="Q660" t="s">
        <v>2107</v>
      </c>
      <c r="R660" s="38">
        <v>46020</v>
      </c>
      <c r="S660" s="39">
        <v>47115</v>
      </c>
      <c r="T660" s="38">
        <v>46020</v>
      </c>
      <c r="U660" s="39">
        <v>47115</v>
      </c>
      <c r="V660" s="40" t="s">
        <v>2108</v>
      </c>
      <c r="W660" s="41" t="s">
        <v>39</v>
      </c>
      <c r="X660" s="40" t="s">
        <v>2452</v>
      </c>
      <c r="Y660" s="40" t="s">
        <v>56</v>
      </c>
      <c r="Z660"/>
      <c r="AA660" s="62"/>
      <c r="AB660" s="44"/>
      <c r="AC660" s="63">
        <v>9999990302</v>
      </c>
      <c r="AD660" s="46">
        <v>46372</v>
      </c>
      <c r="AE660"/>
      <c r="AF660" s="39"/>
      <c r="AG660" s="49"/>
      <c r="AH660" s="49"/>
      <c r="AI660" s="49"/>
      <c r="AJ660"/>
    </row>
    <row r="661" spans="1:36" s="40" customFormat="1" ht="19.5" customHeight="1">
      <c r="A661" s="25">
        <f t="shared" si="10"/>
        <v>656</v>
      </c>
      <c r="B661" s="26">
        <v>6246020</v>
      </c>
      <c r="C661" s="27">
        <v>46002</v>
      </c>
      <c r="D661" s="80" t="s">
        <v>141</v>
      </c>
      <c r="E661" s="29">
        <v>30500</v>
      </c>
      <c r="F661" s="30" t="s">
        <v>2453</v>
      </c>
      <c r="G661" s="27">
        <v>46003</v>
      </c>
      <c r="H661" s="296" t="s">
        <v>141</v>
      </c>
      <c r="I661" s="33">
        <v>30500</v>
      </c>
      <c r="J661" s="34" t="s">
        <v>103</v>
      </c>
      <c r="K661" t="s">
        <v>1388</v>
      </c>
      <c r="L661" s="35" t="s">
        <v>2454</v>
      </c>
      <c r="M661" s="36" t="s">
        <v>2455</v>
      </c>
      <c r="N661" s="37" t="s">
        <v>2456</v>
      </c>
      <c r="O661" t="s">
        <v>2457</v>
      </c>
      <c r="P661" t="s">
        <v>2458</v>
      </c>
      <c r="Q661" t="s">
        <v>2459</v>
      </c>
      <c r="R661" s="38">
        <v>45961</v>
      </c>
      <c r="S661" s="39">
        <v>46325</v>
      </c>
      <c r="T661" s="38">
        <v>45960</v>
      </c>
      <c r="U661" s="39">
        <v>46326</v>
      </c>
      <c r="V661" s="40" t="s">
        <v>1654</v>
      </c>
      <c r="W661" s="41" t="s">
        <v>39</v>
      </c>
      <c r="X661" s="40" t="s">
        <v>2460</v>
      </c>
      <c r="Y661" s="40" t="s">
        <v>56</v>
      </c>
      <c r="Z661"/>
      <c r="AA661" s="62" t="s">
        <v>1394</v>
      </c>
      <c r="AB661" s="44">
        <v>46006</v>
      </c>
      <c r="AC661" s="63" t="s">
        <v>2461</v>
      </c>
      <c r="AD661" s="46">
        <v>46006</v>
      </c>
      <c r="AE661"/>
      <c r="AF661" s="39"/>
      <c r="AG661" s="49"/>
      <c r="AH661" s="49"/>
      <c r="AI661" s="49"/>
      <c r="AJ661"/>
    </row>
    <row r="662" spans="1:36" s="40" customFormat="1" ht="19.5" customHeight="1">
      <c r="A662" s="25">
        <f t="shared" si="10"/>
        <v>657</v>
      </c>
      <c r="B662" s="26">
        <v>6246121</v>
      </c>
      <c r="C662" s="27">
        <v>46002</v>
      </c>
      <c r="D662" s="28">
        <v>1987.92</v>
      </c>
      <c r="E662" s="29">
        <v>15466.81</v>
      </c>
      <c r="F662" s="30" t="s">
        <v>2462</v>
      </c>
      <c r="G662" s="27">
        <v>46003</v>
      </c>
      <c r="H662" s="68">
        <v>1987.92</v>
      </c>
      <c r="I662" s="29">
        <v>15466.81</v>
      </c>
      <c r="J662" s="34" t="s">
        <v>33</v>
      </c>
      <c r="K662" t="s">
        <v>34</v>
      </c>
      <c r="L662" s="35">
        <v>262286092</v>
      </c>
      <c r="M662" s="36" t="s">
        <v>2129</v>
      </c>
      <c r="N662" s="37" t="s">
        <v>1346</v>
      </c>
      <c r="O662" t="s">
        <v>2463</v>
      </c>
      <c r="P662" t="s">
        <v>2464</v>
      </c>
      <c r="Q662" t="s">
        <v>2465</v>
      </c>
      <c r="R662" s="38">
        <v>46023</v>
      </c>
      <c r="S662" s="39">
        <v>46387</v>
      </c>
      <c r="T662" s="38">
        <v>46100</v>
      </c>
      <c r="U662" s="39">
        <v>46464</v>
      </c>
      <c r="V662" s="40" t="s">
        <v>51</v>
      </c>
      <c r="W662" s="41" t="s">
        <v>39</v>
      </c>
      <c r="X662" s="40" t="s">
        <v>2466</v>
      </c>
      <c r="Y662" s="40" t="s">
        <v>185</v>
      </c>
      <c r="Z662" s="40" t="s">
        <v>81</v>
      </c>
      <c r="AA662" s="62"/>
      <c r="AB662" s="44"/>
      <c r="AC662" s="63">
        <v>9999993883</v>
      </c>
      <c r="AD662" s="46">
        <v>46008</v>
      </c>
      <c r="AE662"/>
      <c r="AF662" s="39"/>
      <c r="AG662" s="49"/>
      <c r="AH662" s="49"/>
      <c r="AI662" s="49"/>
      <c r="AJ662"/>
    </row>
    <row r="663" spans="1:36" s="40" customFormat="1" ht="19.5" customHeight="1">
      <c r="A663" s="25">
        <f t="shared" si="10"/>
        <v>658</v>
      </c>
      <c r="B663" s="26">
        <v>6246181</v>
      </c>
      <c r="C663" s="27">
        <v>46002</v>
      </c>
      <c r="D663" s="28">
        <v>2346.81</v>
      </c>
      <c r="E663" s="29">
        <v>18259.12</v>
      </c>
      <c r="F663" s="30" t="s">
        <v>2467</v>
      </c>
      <c r="G663" s="27">
        <v>46003</v>
      </c>
      <c r="H663" s="68">
        <v>2346.81</v>
      </c>
      <c r="I663" s="29">
        <v>18259.12</v>
      </c>
      <c r="J663" s="34" t="s">
        <v>33</v>
      </c>
      <c r="K663" t="s">
        <v>34</v>
      </c>
      <c r="L663" s="35">
        <v>431998290</v>
      </c>
      <c r="M663" s="36" t="s">
        <v>2149</v>
      </c>
      <c r="N663" s="37" t="s">
        <v>2000</v>
      </c>
      <c r="O663" t="s">
        <v>2463</v>
      </c>
      <c r="P663" t="s">
        <v>2464</v>
      </c>
      <c r="Q663" t="s">
        <v>2465</v>
      </c>
      <c r="R663" s="38">
        <v>46023</v>
      </c>
      <c r="S663" s="39">
        <v>46387</v>
      </c>
      <c r="T663" s="38">
        <v>46010</v>
      </c>
      <c r="U663" s="39">
        <v>46387</v>
      </c>
      <c r="V663" s="40" t="s">
        <v>51</v>
      </c>
      <c r="W663" s="41" t="s">
        <v>39</v>
      </c>
      <c r="X663" s="40" t="s">
        <v>2466</v>
      </c>
      <c r="Y663" s="40" t="s">
        <v>185</v>
      </c>
      <c r="Z663" s="40" t="s">
        <v>81</v>
      </c>
      <c r="AA663" s="62"/>
      <c r="AB663" s="44"/>
      <c r="AC663" s="63">
        <v>9999990283</v>
      </c>
      <c r="AD663" s="46">
        <v>46372</v>
      </c>
      <c r="AE663"/>
      <c r="AF663" s="39"/>
      <c r="AG663" s="49"/>
      <c r="AH663" s="49"/>
      <c r="AI663" s="49"/>
      <c r="AJ663"/>
    </row>
    <row r="664" spans="1:36" s="40" customFormat="1" ht="19.5" customHeight="1">
      <c r="A664" s="25">
        <f t="shared" si="10"/>
        <v>659</v>
      </c>
      <c r="B664" s="26">
        <v>6246334</v>
      </c>
      <c r="C664" s="27">
        <v>46002</v>
      </c>
      <c r="D664" s="219" t="s">
        <v>141</v>
      </c>
      <c r="E664" s="72">
        <v>3140</v>
      </c>
      <c r="F664" s="30" t="s">
        <v>2468</v>
      </c>
      <c r="G664" s="27">
        <v>46003</v>
      </c>
      <c r="H664" s="293" t="s">
        <v>141</v>
      </c>
      <c r="I664" s="72">
        <v>3140</v>
      </c>
      <c r="J664" s="34" t="s">
        <v>33</v>
      </c>
      <c r="K664" t="s">
        <v>139</v>
      </c>
      <c r="L664" s="35" t="s">
        <v>2469</v>
      </c>
      <c r="M664" s="36" t="s">
        <v>2470</v>
      </c>
      <c r="N664" s="75" t="s">
        <v>1404</v>
      </c>
      <c r="O664" t="s">
        <v>2463</v>
      </c>
      <c r="P664" t="s">
        <v>2464</v>
      </c>
      <c r="Q664" t="s">
        <v>2465</v>
      </c>
      <c r="R664" s="38">
        <v>46023</v>
      </c>
      <c r="S664" s="39">
        <v>46387</v>
      </c>
      <c r="T664" s="50" t="s">
        <v>141</v>
      </c>
      <c r="U664" s="47" t="s">
        <v>141</v>
      </c>
      <c r="V664" s="40" t="s">
        <v>51</v>
      </c>
      <c r="W664" s="41" t="s">
        <v>39</v>
      </c>
      <c r="X664" s="40" t="s">
        <v>2466</v>
      </c>
      <c r="Y664" s="40" t="s">
        <v>56</v>
      </c>
      <c r="Z664"/>
      <c r="AA664" s="62">
        <v>90007378</v>
      </c>
      <c r="AB664" s="44">
        <v>46030</v>
      </c>
      <c r="AC664" s="63">
        <v>60017147</v>
      </c>
      <c r="AD664" s="46">
        <v>46030</v>
      </c>
      <c r="AE664"/>
      <c r="AF664" s="39"/>
      <c r="AG664" s="49"/>
      <c r="AH664" s="49"/>
      <c r="AI664" s="49"/>
      <c r="AJ664"/>
    </row>
    <row r="665" spans="1:36" s="40" customFormat="1" ht="19.5" customHeight="1">
      <c r="A665" s="25">
        <f t="shared" si="10"/>
        <v>660</v>
      </c>
      <c r="B665" s="26">
        <v>6246481</v>
      </c>
      <c r="C665" s="27">
        <v>46003</v>
      </c>
      <c r="D665" s="28">
        <v>571.5</v>
      </c>
      <c r="E665" s="29">
        <v>4446.51</v>
      </c>
      <c r="F665" s="30" t="s">
        <v>2471</v>
      </c>
      <c r="G665" s="27">
        <v>46006</v>
      </c>
      <c r="H665" s="68">
        <v>571.5</v>
      </c>
      <c r="I665" s="29">
        <v>4446.51</v>
      </c>
      <c r="J665" s="34" t="s">
        <v>103</v>
      </c>
      <c r="K665" t="s">
        <v>206</v>
      </c>
      <c r="L665" s="35" t="s">
        <v>2472</v>
      </c>
      <c r="M665" s="36" t="s">
        <v>2473</v>
      </c>
      <c r="N665" s="37" t="s">
        <v>1330</v>
      </c>
      <c r="O665" t="s">
        <v>2474</v>
      </c>
      <c r="P665" t="s">
        <v>2475</v>
      </c>
      <c r="Q665" t="s">
        <v>2476</v>
      </c>
      <c r="R665" s="38">
        <v>45964</v>
      </c>
      <c r="S665" s="39">
        <v>46328</v>
      </c>
      <c r="T665" s="38">
        <v>45964</v>
      </c>
      <c r="U665" s="39">
        <v>46328</v>
      </c>
      <c r="V665" s="40" t="s">
        <v>2477</v>
      </c>
      <c r="W665" s="41" t="s">
        <v>39</v>
      </c>
      <c r="X665" s="40" t="s">
        <v>2478</v>
      </c>
      <c r="Y665" s="40" t="s">
        <v>56</v>
      </c>
      <c r="Z665" s="40" t="s">
        <v>81</v>
      </c>
      <c r="AA665" s="62" t="s">
        <v>2479</v>
      </c>
      <c r="AB665" s="44">
        <v>46013</v>
      </c>
      <c r="AC665" s="63" t="s">
        <v>2480</v>
      </c>
      <c r="AD665" s="46">
        <v>46013</v>
      </c>
      <c r="AE665">
        <v>3204650</v>
      </c>
      <c r="AF665" s="39">
        <v>46146</v>
      </c>
      <c r="AG665" s="49"/>
      <c r="AH665" s="49"/>
      <c r="AI665" s="49"/>
      <c r="AJ665"/>
    </row>
    <row r="666" spans="1:36" s="40" customFormat="1" ht="19.5" customHeight="1">
      <c r="A666" s="25">
        <f t="shared" si="10"/>
        <v>661</v>
      </c>
      <c r="B666" s="26">
        <v>6246493</v>
      </c>
      <c r="C666" s="27">
        <v>46003</v>
      </c>
      <c r="D666" s="28">
        <v>660.34</v>
      </c>
      <c r="E666" s="29">
        <v>5137.71</v>
      </c>
      <c r="F666" s="30" t="s">
        <v>2481</v>
      </c>
      <c r="G666" s="27">
        <v>46003</v>
      </c>
      <c r="H666" s="68">
        <v>660.34</v>
      </c>
      <c r="I666" s="29">
        <v>5137.71</v>
      </c>
      <c r="J666" s="34" t="s">
        <v>33</v>
      </c>
      <c r="K666" t="s">
        <v>34</v>
      </c>
      <c r="L666" s="35">
        <v>332222286</v>
      </c>
      <c r="M666" s="36" t="s">
        <v>2482</v>
      </c>
      <c r="N666" s="37" t="s">
        <v>1346</v>
      </c>
      <c r="O666" t="s">
        <v>2483</v>
      </c>
      <c r="P666" t="s">
        <v>2484</v>
      </c>
      <c r="Q666" t="s">
        <v>2136</v>
      </c>
      <c r="R666" s="38">
        <v>46059</v>
      </c>
      <c r="S666" s="39">
        <v>46423</v>
      </c>
      <c r="T666" s="38">
        <v>46059</v>
      </c>
      <c r="U666" s="39">
        <v>46423</v>
      </c>
      <c r="V666" s="40" t="s">
        <v>458</v>
      </c>
      <c r="W666" s="41" t="s">
        <v>39</v>
      </c>
      <c r="X666" s="40" t="s">
        <v>2485</v>
      </c>
      <c r="Y666" s="40" t="s">
        <v>56</v>
      </c>
      <c r="Z666"/>
      <c r="AA666" s="62"/>
      <c r="AB666" s="44"/>
      <c r="AC666" s="63">
        <v>9999993908</v>
      </c>
      <c r="AD666" s="46">
        <v>46008</v>
      </c>
      <c r="AE666"/>
      <c r="AF666" s="39"/>
      <c r="AG666" s="49"/>
      <c r="AH666" s="49"/>
      <c r="AI666" s="49"/>
      <c r="AJ666"/>
    </row>
    <row r="667" spans="1:36" s="40" customFormat="1" ht="19.5" customHeight="1">
      <c r="A667" s="25">
        <f t="shared" si="10"/>
        <v>662</v>
      </c>
      <c r="B667" s="26">
        <v>6246596</v>
      </c>
      <c r="C667" s="27">
        <v>46003</v>
      </c>
      <c r="D667" s="80" t="s">
        <v>141</v>
      </c>
      <c r="E667" s="29">
        <v>148190.28</v>
      </c>
      <c r="F667" s="30" t="s">
        <v>2486</v>
      </c>
      <c r="G667" s="27">
        <v>46008</v>
      </c>
      <c r="H667" s="80" t="s">
        <v>141</v>
      </c>
      <c r="I667" s="29">
        <v>148190.28</v>
      </c>
      <c r="J667" s="34" t="s">
        <v>159</v>
      </c>
      <c r="K667" t="s">
        <v>160</v>
      </c>
      <c r="L667" s="35" t="s">
        <v>2487</v>
      </c>
      <c r="M667" s="36" t="s">
        <v>2488</v>
      </c>
      <c r="N667" s="37" t="s">
        <v>1525</v>
      </c>
      <c r="O667" t="s">
        <v>2463</v>
      </c>
      <c r="P667" t="s">
        <v>2464</v>
      </c>
      <c r="Q667" t="s">
        <v>2465</v>
      </c>
      <c r="R667" s="38">
        <v>46023</v>
      </c>
      <c r="S667" s="39">
        <v>46387</v>
      </c>
      <c r="T667" s="50" t="s">
        <v>141</v>
      </c>
      <c r="U667" s="47" t="s">
        <v>141</v>
      </c>
      <c r="V667" s="40" t="s">
        <v>51</v>
      </c>
      <c r="W667" s="41" t="s">
        <v>39</v>
      </c>
      <c r="X667" s="40" t="s">
        <v>2466</v>
      </c>
      <c r="Y667" s="40" t="s">
        <v>56</v>
      </c>
      <c r="Z667"/>
      <c r="AA667" s="62"/>
      <c r="AB667" s="44"/>
      <c r="AC667" s="63"/>
      <c r="AD667" s="46"/>
      <c r="AE667"/>
      <c r="AF667" s="39"/>
      <c r="AG667" s="49"/>
      <c r="AH667" s="49"/>
      <c r="AI667" s="49"/>
      <c r="AJ667"/>
    </row>
    <row r="668" spans="1:36" s="40" customFormat="1" ht="19.5" customHeight="1">
      <c r="A668" s="25">
        <f t="shared" si="10"/>
        <v>663</v>
      </c>
      <c r="B668" s="26">
        <v>6246629</v>
      </c>
      <c r="C668" s="27">
        <v>46003</v>
      </c>
      <c r="D668" s="28">
        <v>275.94</v>
      </c>
      <c r="E668" s="29">
        <v>2146.92</v>
      </c>
      <c r="F668" s="30">
        <v>1570838</v>
      </c>
      <c r="G668" s="27">
        <v>46015</v>
      </c>
      <c r="H668" s="32">
        <v>275.94</v>
      </c>
      <c r="I668" s="33">
        <v>2146.92</v>
      </c>
      <c r="J668" s="34" t="s">
        <v>33</v>
      </c>
      <c r="K668" t="s">
        <v>34</v>
      </c>
      <c r="L668" s="35">
        <v>382220649</v>
      </c>
      <c r="M668" s="36" t="s">
        <v>2129</v>
      </c>
      <c r="N668" s="37" t="s">
        <v>1540</v>
      </c>
      <c r="O668" t="s">
        <v>2489</v>
      </c>
      <c r="P668" t="s">
        <v>2490</v>
      </c>
      <c r="Q668" t="s">
        <v>2491</v>
      </c>
      <c r="R668" s="38">
        <v>45982</v>
      </c>
      <c r="S668" s="39">
        <v>46460</v>
      </c>
      <c r="T668" s="38">
        <v>46091</v>
      </c>
      <c r="U668" s="39">
        <v>46455</v>
      </c>
      <c r="V668" s="40" t="s">
        <v>521</v>
      </c>
      <c r="W668" s="41" t="s">
        <v>39</v>
      </c>
      <c r="X668" s="40" t="s">
        <v>2492</v>
      </c>
      <c r="Y668" s="40" t="s">
        <v>185</v>
      </c>
      <c r="Z668"/>
      <c r="AA668" s="62"/>
      <c r="AB668" s="44"/>
      <c r="AC668" s="63">
        <v>10000021054</v>
      </c>
      <c r="AD668" s="46">
        <v>46017</v>
      </c>
      <c r="AE668">
        <v>3194092</v>
      </c>
      <c r="AF668" s="39">
        <v>46065</v>
      </c>
      <c r="AG668" s="49"/>
      <c r="AH668" s="49"/>
      <c r="AI668" s="49"/>
      <c r="AJ668"/>
    </row>
    <row r="669" spans="1:36" s="40" customFormat="1" ht="19.5" customHeight="1">
      <c r="A669" s="25">
        <f t="shared" si="10"/>
        <v>664</v>
      </c>
      <c r="B669" s="26">
        <v>6246872</v>
      </c>
      <c r="C669" s="27">
        <v>46006</v>
      </c>
      <c r="D669" s="80" t="s">
        <v>141</v>
      </c>
      <c r="E669" s="29">
        <v>83101.179999999993</v>
      </c>
      <c r="F669" s="30" t="s">
        <v>2493</v>
      </c>
      <c r="G669" s="27">
        <v>46006</v>
      </c>
      <c r="H669" s="80" t="s">
        <v>141</v>
      </c>
      <c r="I669" s="29">
        <v>83101.179999999993</v>
      </c>
      <c r="J669" s="34" t="s">
        <v>159</v>
      </c>
      <c r="K669" t="s">
        <v>160</v>
      </c>
      <c r="L669" s="35" t="s">
        <v>2494</v>
      </c>
      <c r="M669" s="36" t="s">
        <v>2495</v>
      </c>
      <c r="N669" s="37" t="s">
        <v>1651</v>
      </c>
      <c r="O669" t="s">
        <v>2496</v>
      </c>
      <c r="P669" t="s">
        <v>2497</v>
      </c>
      <c r="Q669" t="s">
        <v>2498</v>
      </c>
      <c r="R669" s="38">
        <v>45992</v>
      </c>
      <c r="S669" s="39">
        <v>46356</v>
      </c>
      <c r="T669" s="38">
        <v>45992</v>
      </c>
      <c r="U669" s="39">
        <v>46356</v>
      </c>
      <c r="V669" s="40" t="s">
        <v>245</v>
      </c>
      <c r="W669" s="41" t="s">
        <v>39</v>
      </c>
      <c r="X669" s="40" t="s">
        <v>2499</v>
      </c>
      <c r="Y669" s="40" t="s">
        <v>56</v>
      </c>
      <c r="Z669"/>
      <c r="AA669" s="62" t="s">
        <v>1230</v>
      </c>
      <c r="AB669" s="44">
        <v>46029</v>
      </c>
      <c r="AC669" s="63"/>
      <c r="AD669" s="46"/>
      <c r="AE669"/>
      <c r="AF669" s="39"/>
      <c r="AG669" s="49"/>
      <c r="AH669" s="49"/>
      <c r="AI669" s="49"/>
      <c r="AJ669"/>
    </row>
    <row r="670" spans="1:36" s="229" customFormat="1" ht="19.5" customHeight="1">
      <c r="A670" s="297">
        <f t="shared" si="10"/>
        <v>665</v>
      </c>
      <c r="B670" s="99">
        <v>6246901</v>
      </c>
      <c r="C670" s="100">
        <v>46006</v>
      </c>
      <c r="D670" s="221">
        <v>95602.27</v>
      </c>
      <c r="E670" s="222">
        <v>743823.9</v>
      </c>
      <c r="F670" s="93" t="s">
        <v>141</v>
      </c>
      <c r="G670" s="100" t="s">
        <v>141</v>
      </c>
      <c r="H670" s="223" t="s">
        <v>141</v>
      </c>
      <c r="I670" s="224" t="s">
        <v>141</v>
      </c>
      <c r="J670" s="107" t="s">
        <v>33</v>
      </c>
      <c r="K670" s="108" t="s">
        <v>34</v>
      </c>
      <c r="L670" s="225">
        <v>412000417</v>
      </c>
      <c r="M670" s="110" t="s">
        <v>2104</v>
      </c>
      <c r="N670" s="226" t="s">
        <v>1377</v>
      </c>
      <c r="O670" s="108" t="s">
        <v>2500</v>
      </c>
      <c r="P670" s="108" t="s">
        <v>2501</v>
      </c>
      <c r="Q670" s="108" t="s">
        <v>2502</v>
      </c>
      <c r="R670" s="227">
        <v>46023</v>
      </c>
      <c r="S670" s="228">
        <v>46752</v>
      </c>
      <c r="T670" s="227">
        <v>46280</v>
      </c>
      <c r="U670" s="228">
        <v>46752</v>
      </c>
      <c r="V670" s="229" t="s">
        <v>80</v>
      </c>
      <c r="W670" s="230" t="s">
        <v>39</v>
      </c>
      <c r="X670" s="229" t="s">
        <v>2503</v>
      </c>
      <c r="Y670" s="298" t="s">
        <v>185</v>
      </c>
      <c r="Z670" s="229" t="s">
        <v>81</v>
      </c>
      <c r="AA670" s="231"/>
      <c r="AB670" s="232"/>
      <c r="AC670" s="233"/>
      <c r="AD670" s="234"/>
      <c r="AE670" s="108"/>
      <c r="AF670" s="228"/>
      <c r="AG670" s="237"/>
      <c r="AH670" s="237"/>
      <c r="AI670" s="237"/>
      <c r="AJ670" s="108"/>
    </row>
    <row r="671" spans="1:36" s="40" customFormat="1" ht="19.5" customHeight="1">
      <c r="A671" s="25">
        <f t="shared" si="10"/>
        <v>666</v>
      </c>
      <c r="B671" s="26">
        <v>6246972</v>
      </c>
      <c r="C671" s="27">
        <v>46006</v>
      </c>
      <c r="D671" s="80" t="s">
        <v>141</v>
      </c>
      <c r="E671" s="65">
        <v>120688.85</v>
      </c>
      <c r="F671" s="30" t="s">
        <v>2504</v>
      </c>
      <c r="G671" s="27">
        <v>46034</v>
      </c>
      <c r="H671" s="80" t="s">
        <v>141</v>
      </c>
      <c r="I671" s="33">
        <v>120688.85</v>
      </c>
      <c r="J671" s="34" t="s">
        <v>103</v>
      </c>
      <c r="K671" t="s">
        <v>107</v>
      </c>
      <c r="L671" s="35" t="s">
        <v>2505</v>
      </c>
      <c r="M671" s="36" t="s">
        <v>2179</v>
      </c>
      <c r="N671" s="37" t="s">
        <v>2506</v>
      </c>
      <c r="O671" t="s">
        <v>2500</v>
      </c>
      <c r="P671" t="s">
        <v>2501</v>
      </c>
      <c r="Q671" t="s">
        <v>2502</v>
      </c>
      <c r="R671" s="38">
        <v>46023</v>
      </c>
      <c r="S671" s="39">
        <v>46752</v>
      </c>
      <c r="T671" s="38">
        <v>46272</v>
      </c>
      <c r="U671" s="39">
        <v>46636</v>
      </c>
      <c r="V671" s="40" t="s">
        <v>80</v>
      </c>
      <c r="W671" s="41" t="s">
        <v>39</v>
      </c>
      <c r="X671" s="40" t="s">
        <v>2503</v>
      </c>
      <c r="Y671" s="79" t="s">
        <v>2209</v>
      </c>
      <c r="Z671" s="40" t="s">
        <v>81</v>
      </c>
      <c r="AA671" s="62" t="s">
        <v>2507</v>
      </c>
      <c r="AB671" s="44">
        <v>46055</v>
      </c>
      <c r="AC671" s="63"/>
      <c r="AD671" s="46"/>
      <c r="AE671"/>
      <c r="AF671" s="39"/>
      <c r="AG671" s="49"/>
      <c r="AH671" s="49"/>
      <c r="AI671" s="49"/>
      <c r="AJ671"/>
    </row>
    <row r="672" spans="1:36" s="40" customFormat="1" ht="19.5" customHeight="1">
      <c r="A672" s="25">
        <f t="shared" si="10"/>
        <v>667</v>
      </c>
      <c r="B672" s="26">
        <v>6247101</v>
      </c>
      <c r="C672" s="27">
        <v>46006</v>
      </c>
      <c r="D672" s="80" t="s">
        <v>141</v>
      </c>
      <c r="E672" s="29">
        <v>100000</v>
      </c>
      <c r="F672" s="30" t="s">
        <v>2508</v>
      </c>
      <c r="G672" s="27">
        <v>46010</v>
      </c>
      <c r="H672" s="80" t="s">
        <v>141</v>
      </c>
      <c r="I672" s="33">
        <v>100000</v>
      </c>
      <c r="J672" s="34" t="s">
        <v>103</v>
      </c>
      <c r="K672" t="s">
        <v>2509</v>
      </c>
      <c r="L672" s="35" t="s">
        <v>2510</v>
      </c>
      <c r="M672" s="36" t="s">
        <v>2511</v>
      </c>
      <c r="N672" s="37" t="s">
        <v>2512</v>
      </c>
      <c r="O672" t="s">
        <v>2500</v>
      </c>
      <c r="P672" t="s">
        <v>2501</v>
      </c>
      <c r="Q672" t="s">
        <v>2502</v>
      </c>
      <c r="R672" s="38">
        <v>46023</v>
      </c>
      <c r="S672" s="39">
        <v>46752</v>
      </c>
      <c r="T672" s="38">
        <v>46023</v>
      </c>
      <c r="U672" s="39">
        <v>46387</v>
      </c>
      <c r="V672" s="40" t="s">
        <v>80</v>
      </c>
      <c r="W672" s="41" t="s">
        <v>39</v>
      </c>
      <c r="X672" s="40" t="s">
        <v>2503</v>
      </c>
      <c r="Y672" s="40" t="s">
        <v>56</v>
      </c>
      <c r="Z672" s="40" t="s">
        <v>81</v>
      </c>
      <c r="AA672" s="62"/>
      <c r="AB672" s="44"/>
      <c r="AC672" s="63"/>
      <c r="AD672" s="46"/>
      <c r="AE672"/>
      <c r="AF672" s="39"/>
      <c r="AG672" s="49"/>
      <c r="AH672" s="49"/>
      <c r="AI672" s="49"/>
      <c r="AJ672"/>
    </row>
    <row r="673" spans="1:36" s="280" customFormat="1" ht="19.5" customHeight="1">
      <c r="A673" s="257">
        <f t="shared" si="10"/>
        <v>668</v>
      </c>
      <c r="B673" s="299">
        <v>6247150</v>
      </c>
      <c r="C673" s="300">
        <v>46006</v>
      </c>
      <c r="D673" s="301" t="s">
        <v>141</v>
      </c>
      <c r="E673" s="302">
        <v>4470</v>
      </c>
      <c r="F673" s="30" t="s">
        <v>2513</v>
      </c>
      <c r="G673" s="300">
        <v>46010</v>
      </c>
      <c r="H673" s="301" t="s">
        <v>141</v>
      </c>
      <c r="I673" s="303">
        <v>4470</v>
      </c>
      <c r="J673" s="304" t="s">
        <v>33</v>
      </c>
      <c r="K673" s="279" t="s">
        <v>139</v>
      </c>
      <c r="L673" s="305">
        <v>80005277</v>
      </c>
      <c r="M673" s="306" t="s">
        <v>2514</v>
      </c>
      <c r="N673" s="307" t="s">
        <v>1509</v>
      </c>
      <c r="O673" s="279" t="s">
        <v>2500</v>
      </c>
      <c r="P673" s="279" t="s">
        <v>2501</v>
      </c>
      <c r="Q673" s="279" t="s">
        <v>2502</v>
      </c>
      <c r="R673" s="308">
        <v>46023</v>
      </c>
      <c r="S673" s="309">
        <v>46752</v>
      </c>
      <c r="T673" s="310" t="s">
        <v>141</v>
      </c>
      <c r="U673" s="311" t="s">
        <v>141</v>
      </c>
      <c r="V673" s="280" t="s">
        <v>80</v>
      </c>
      <c r="W673" s="312" t="s">
        <v>2331</v>
      </c>
      <c r="X673" s="280" t="s">
        <v>2503</v>
      </c>
      <c r="Y673" s="280" t="s">
        <v>56</v>
      </c>
      <c r="Z673" s="280" t="s">
        <v>81</v>
      </c>
      <c r="AA673" s="313"/>
      <c r="AB673" s="314"/>
      <c r="AC673" s="315"/>
      <c r="AD673" s="316"/>
      <c r="AE673" s="279"/>
      <c r="AF673" s="309"/>
      <c r="AG673" s="278"/>
      <c r="AH673" s="278"/>
      <c r="AI673" s="278"/>
      <c r="AJ673" s="279"/>
    </row>
    <row r="674" spans="1:36" s="40" customFormat="1" ht="19.5" customHeight="1">
      <c r="A674" s="25">
        <f t="shared" si="10"/>
        <v>669</v>
      </c>
      <c r="B674" s="26">
        <v>6247185</v>
      </c>
      <c r="C674" s="27">
        <v>46006</v>
      </c>
      <c r="D674" s="28">
        <v>227589.48</v>
      </c>
      <c r="E674" s="29">
        <v>1770737.19</v>
      </c>
      <c r="F674" s="30" t="s">
        <v>2515</v>
      </c>
      <c r="G674" s="27">
        <v>46014</v>
      </c>
      <c r="H674" s="28">
        <v>227589.48</v>
      </c>
      <c r="I674" s="29">
        <v>1770737.19</v>
      </c>
      <c r="J674" s="34" t="s">
        <v>103</v>
      </c>
      <c r="K674" t="s">
        <v>777</v>
      </c>
      <c r="L674" s="35" t="s">
        <v>2516</v>
      </c>
      <c r="M674" s="36" t="s">
        <v>2517</v>
      </c>
      <c r="N674" s="37" t="s">
        <v>2518</v>
      </c>
      <c r="O674" t="s">
        <v>2500</v>
      </c>
      <c r="P674" t="s">
        <v>2501</v>
      </c>
      <c r="Q674" t="s">
        <v>2502</v>
      </c>
      <c r="R674" s="38">
        <v>46023</v>
      </c>
      <c r="S674" s="39">
        <v>46752</v>
      </c>
      <c r="T674" s="50" t="s">
        <v>141</v>
      </c>
      <c r="U674" s="47" t="s">
        <v>141</v>
      </c>
      <c r="V674" s="40" t="s">
        <v>80</v>
      </c>
      <c r="W674" s="41" t="s">
        <v>39</v>
      </c>
      <c r="X674" s="40" t="s">
        <v>2503</v>
      </c>
      <c r="Y674" s="40" t="s">
        <v>56</v>
      </c>
      <c r="Z674" s="40" t="s">
        <v>81</v>
      </c>
      <c r="AA674" s="62" t="s">
        <v>2519</v>
      </c>
      <c r="AB674" s="44">
        <v>46022</v>
      </c>
      <c r="AC674" s="63" t="s">
        <v>2519</v>
      </c>
      <c r="AD674" s="46">
        <v>46022</v>
      </c>
      <c r="AE674"/>
      <c r="AF674" s="39"/>
      <c r="AG674" s="49"/>
      <c r="AH674" s="49"/>
      <c r="AI674" s="49"/>
      <c r="AJ674"/>
    </row>
    <row r="675" spans="1:36" s="40" customFormat="1" ht="19.5" customHeight="1">
      <c r="A675" s="25">
        <f t="shared" si="10"/>
        <v>670</v>
      </c>
      <c r="B675" s="26">
        <v>6247245</v>
      </c>
      <c r="C675" s="27">
        <v>46006</v>
      </c>
      <c r="D675" s="28">
        <v>38499.5</v>
      </c>
      <c r="E675" s="29">
        <v>299541.51</v>
      </c>
      <c r="F675" s="30" t="s">
        <v>2520</v>
      </c>
      <c r="G675" s="27">
        <v>46014</v>
      </c>
      <c r="H675" s="28">
        <v>38499.5</v>
      </c>
      <c r="I675" s="29">
        <v>299541.51</v>
      </c>
      <c r="J675" s="34" t="s">
        <v>103</v>
      </c>
      <c r="K675" t="s">
        <v>777</v>
      </c>
      <c r="L675" s="35" t="s">
        <v>2521</v>
      </c>
      <c r="M675" s="36" t="s">
        <v>2522</v>
      </c>
      <c r="N675" s="37" t="s">
        <v>2523</v>
      </c>
      <c r="O675" t="s">
        <v>2500</v>
      </c>
      <c r="P675" t="s">
        <v>2501</v>
      </c>
      <c r="Q675" t="s">
        <v>2502</v>
      </c>
      <c r="R675" s="38">
        <v>46023</v>
      </c>
      <c r="S675" s="39">
        <v>45657</v>
      </c>
      <c r="T675" s="50" t="s">
        <v>141</v>
      </c>
      <c r="U675" s="47" t="s">
        <v>141</v>
      </c>
      <c r="V675" s="40" t="s">
        <v>80</v>
      </c>
      <c r="W675" s="41" t="s">
        <v>39</v>
      </c>
      <c r="X675" s="40" t="s">
        <v>2503</v>
      </c>
      <c r="Y675" s="40" t="s">
        <v>1940</v>
      </c>
      <c r="Z675" s="40" t="s">
        <v>81</v>
      </c>
      <c r="AA675" s="62" t="s">
        <v>2524</v>
      </c>
      <c r="AB675" s="44">
        <v>46022</v>
      </c>
      <c r="AC675" s="63" t="s">
        <v>2524</v>
      </c>
      <c r="AD675" s="46">
        <v>46022</v>
      </c>
      <c r="AE675"/>
      <c r="AF675" s="39"/>
      <c r="AG675" s="49"/>
      <c r="AH675" s="49"/>
      <c r="AI675" s="49"/>
      <c r="AJ675"/>
    </row>
    <row r="676" spans="1:36" s="40" customFormat="1" ht="19.5" customHeight="1">
      <c r="A676" s="25">
        <f t="shared" si="10"/>
        <v>671</v>
      </c>
      <c r="B676" s="26">
        <v>6247274</v>
      </c>
      <c r="C676" s="27">
        <v>46006</v>
      </c>
      <c r="D676" s="28">
        <v>184.45</v>
      </c>
      <c r="E676" s="29">
        <v>1435.09</v>
      </c>
      <c r="F676" s="30" t="s">
        <v>2525</v>
      </c>
      <c r="G676" s="27">
        <v>46010</v>
      </c>
      <c r="H676" s="32">
        <v>184.45</v>
      </c>
      <c r="I676" s="33">
        <v>1435.09</v>
      </c>
      <c r="J676" s="34" t="s">
        <v>33</v>
      </c>
      <c r="K676" t="s">
        <v>34</v>
      </c>
      <c r="L676" s="35">
        <v>432000768</v>
      </c>
      <c r="M676" s="36" t="s">
        <v>2129</v>
      </c>
      <c r="N676" s="37" t="s">
        <v>1346</v>
      </c>
      <c r="O676" t="s">
        <v>2526</v>
      </c>
      <c r="P676" t="s">
        <v>2527</v>
      </c>
      <c r="Q676" t="s">
        <v>2528</v>
      </c>
      <c r="R676" s="38">
        <v>45839</v>
      </c>
      <c r="S676" s="39">
        <v>46203</v>
      </c>
      <c r="T676" s="38">
        <v>46003</v>
      </c>
      <c r="U676" s="39">
        <v>46203</v>
      </c>
      <c r="V676" s="40" t="s">
        <v>72</v>
      </c>
      <c r="W676" s="41" t="s">
        <v>39</v>
      </c>
      <c r="X676" s="40" t="s">
        <v>2529</v>
      </c>
      <c r="Y676" s="40" t="s">
        <v>56</v>
      </c>
      <c r="Z676"/>
      <c r="AA676" s="62"/>
      <c r="AB676" s="44"/>
      <c r="AC676" s="63">
        <v>10000008050</v>
      </c>
      <c r="AD676" s="46">
        <v>46013</v>
      </c>
      <c r="AE676">
        <v>3195398</v>
      </c>
      <c r="AF676" s="39">
        <v>46079</v>
      </c>
      <c r="AG676" s="49"/>
      <c r="AH676" s="49"/>
      <c r="AI676" s="49"/>
      <c r="AJ676"/>
    </row>
    <row r="677" spans="1:36" s="40" customFormat="1" ht="19.5" customHeight="1">
      <c r="A677" s="25">
        <f t="shared" si="10"/>
        <v>672</v>
      </c>
      <c r="B677" s="26">
        <v>6247617</v>
      </c>
      <c r="C677" s="27">
        <v>46007</v>
      </c>
      <c r="D677" s="317">
        <v>28668.82</v>
      </c>
      <c r="E677" s="281">
        <v>223054.89</v>
      </c>
      <c r="F677" s="30" t="s">
        <v>2530</v>
      </c>
      <c r="G677" s="27">
        <v>46009</v>
      </c>
      <c r="H677">
        <v>28668.82</v>
      </c>
      <c r="I677" s="33">
        <v>223054.89</v>
      </c>
      <c r="J677" s="318" t="s">
        <v>33</v>
      </c>
      <c r="K677" t="s">
        <v>34</v>
      </c>
      <c r="L677" s="35">
        <v>202294266</v>
      </c>
      <c r="M677" s="25" t="s">
        <v>2531</v>
      </c>
      <c r="N677" s="43" t="s">
        <v>2532</v>
      </c>
      <c r="O677" t="s">
        <v>2533</v>
      </c>
      <c r="P677" t="s">
        <v>2534</v>
      </c>
      <c r="Q677" t="s">
        <v>2535</v>
      </c>
      <c r="R677" s="38">
        <v>46023</v>
      </c>
      <c r="S677" s="39">
        <v>46387</v>
      </c>
      <c r="T677" s="38">
        <v>46023</v>
      </c>
      <c r="U677" s="39">
        <v>46387</v>
      </c>
      <c r="V677" t="s">
        <v>44</v>
      </c>
      <c r="W677" s="41" t="s">
        <v>39</v>
      </c>
      <c r="X677" t="s">
        <v>2536</v>
      </c>
      <c r="Y677" t="s">
        <v>56</v>
      </c>
      <c r="Z677"/>
      <c r="AA677" s="62"/>
      <c r="AB677" s="44"/>
      <c r="AC677" s="63">
        <v>10000008039</v>
      </c>
      <c r="AD677" s="46">
        <v>46013</v>
      </c>
      <c r="AE677">
        <v>3192315</v>
      </c>
      <c r="AF677" s="39">
        <v>46056</v>
      </c>
      <c r="AG677" s="49"/>
      <c r="AH677" s="49"/>
      <c r="AI677" s="49"/>
      <c r="AJ677"/>
    </row>
    <row r="678" spans="1:36" s="40" customFormat="1" ht="19.5" customHeight="1">
      <c r="A678" s="25">
        <f t="shared" si="10"/>
        <v>673</v>
      </c>
      <c r="B678" s="26">
        <v>6247712</v>
      </c>
      <c r="C678" s="27">
        <v>46007</v>
      </c>
      <c r="D678" s="317">
        <v>14702.97</v>
      </c>
      <c r="E678" s="281">
        <v>114394.99</v>
      </c>
      <c r="F678" s="30" t="s">
        <v>2537</v>
      </c>
      <c r="G678" s="27">
        <v>46009</v>
      </c>
      <c r="H678" s="319">
        <v>14702.97</v>
      </c>
      <c r="I678" s="33">
        <v>114394.99</v>
      </c>
      <c r="J678" s="318" t="s">
        <v>33</v>
      </c>
      <c r="K678" t="s">
        <v>34</v>
      </c>
      <c r="L678" s="35">
        <v>352202777</v>
      </c>
      <c r="M678" s="25" t="s">
        <v>2538</v>
      </c>
      <c r="N678" s="43" t="s">
        <v>2532</v>
      </c>
      <c r="O678" t="s">
        <v>2539</v>
      </c>
      <c r="P678" t="s">
        <v>2540</v>
      </c>
      <c r="Q678" t="s">
        <v>1833</v>
      </c>
      <c r="R678" s="38">
        <v>45991</v>
      </c>
      <c r="S678" s="39">
        <v>46355</v>
      </c>
      <c r="T678" s="38">
        <v>46006</v>
      </c>
      <c r="U678" s="39">
        <v>46370</v>
      </c>
      <c r="V678" t="s">
        <v>954</v>
      </c>
      <c r="W678" s="41" t="s">
        <v>39</v>
      </c>
      <c r="X678" t="s">
        <v>2541</v>
      </c>
      <c r="Y678" t="s">
        <v>56</v>
      </c>
      <c r="Z678" t="s">
        <v>81</v>
      </c>
      <c r="AA678" s="62"/>
      <c r="AB678" s="44"/>
      <c r="AC678" s="63">
        <v>10000002124</v>
      </c>
      <c r="AD678" s="46">
        <v>46010</v>
      </c>
      <c r="AE678">
        <v>3192312</v>
      </c>
      <c r="AF678" s="39">
        <v>46056</v>
      </c>
      <c r="AG678" s="49"/>
      <c r="AH678" s="49"/>
      <c r="AI678" s="49"/>
      <c r="AJ678"/>
    </row>
    <row r="679" spans="1:36" s="40" customFormat="1" ht="19.5" customHeight="1">
      <c r="A679" s="25">
        <f t="shared" si="10"/>
        <v>674</v>
      </c>
      <c r="B679" s="26">
        <v>6247792</v>
      </c>
      <c r="C679" s="27">
        <v>46007</v>
      </c>
      <c r="D679" s="317">
        <v>293793.84999999998</v>
      </c>
      <c r="E679" s="281">
        <v>2285833.67</v>
      </c>
      <c r="F679" s="30">
        <v>1572004</v>
      </c>
      <c r="G679" s="27">
        <v>46021</v>
      </c>
      <c r="H679" s="319">
        <v>293793.84999999998</v>
      </c>
      <c r="I679" s="33">
        <v>2285833.67</v>
      </c>
      <c r="J679" s="318" t="s">
        <v>33</v>
      </c>
      <c r="K679" t="s">
        <v>34</v>
      </c>
      <c r="L679" s="35">
        <v>302213556</v>
      </c>
      <c r="M679" s="25" t="s">
        <v>2542</v>
      </c>
      <c r="N679" s="43" t="s">
        <v>2543</v>
      </c>
      <c r="O679" t="s">
        <v>2544</v>
      </c>
      <c r="P679" t="s">
        <v>2545</v>
      </c>
      <c r="Q679" t="s">
        <v>1973</v>
      </c>
      <c r="R679" s="38">
        <v>46023</v>
      </c>
      <c r="S679" s="39">
        <v>46387</v>
      </c>
      <c r="T679" s="38">
        <v>46023</v>
      </c>
      <c r="U679" s="39">
        <v>46387</v>
      </c>
      <c r="V679" t="s">
        <v>51</v>
      </c>
      <c r="W679" s="41" t="s">
        <v>39</v>
      </c>
      <c r="X679" t="s">
        <v>2466</v>
      </c>
      <c r="Y679" t="s">
        <v>56</v>
      </c>
      <c r="Z679" t="s">
        <v>81</v>
      </c>
      <c r="AA679" s="62"/>
      <c r="AB679" s="44"/>
      <c r="AC679" s="63">
        <v>10000031519</v>
      </c>
      <c r="AD679" s="46">
        <v>46022</v>
      </c>
      <c r="AE679">
        <v>3194080</v>
      </c>
      <c r="AF679" s="39">
        <v>46065</v>
      </c>
      <c r="AG679" s="49"/>
      <c r="AH679" s="49"/>
      <c r="AI679" s="49"/>
      <c r="AJ679"/>
    </row>
    <row r="680" spans="1:36" s="280" customFormat="1" ht="19.5" customHeight="1">
      <c r="A680" s="257">
        <f t="shared" si="10"/>
        <v>675</v>
      </c>
      <c r="B680" s="299">
        <v>6247796</v>
      </c>
      <c r="C680" s="300">
        <v>46007</v>
      </c>
      <c r="D680" s="320" t="s">
        <v>141</v>
      </c>
      <c r="E680" s="321">
        <v>2640</v>
      </c>
      <c r="F680" s="30" t="s">
        <v>2546</v>
      </c>
      <c r="G680" s="300">
        <v>46008</v>
      </c>
      <c r="H680" s="301" t="s">
        <v>141</v>
      </c>
      <c r="I680" s="303">
        <f>1770+870</f>
        <v>2640</v>
      </c>
      <c r="J680" s="304" t="s">
        <v>33</v>
      </c>
      <c r="K680" s="279" t="s">
        <v>139</v>
      </c>
      <c r="L680" s="322">
        <v>80005276</v>
      </c>
      <c r="M680" s="306" t="s">
        <v>2547</v>
      </c>
      <c r="N680" s="307" t="s">
        <v>1404</v>
      </c>
      <c r="O680" s="279" t="s">
        <v>2539</v>
      </c>
      <c r="P680" s="279" t="s">
        <v>2540</v>
      </c>
      <c r="Q680" s="279" t="s">
        <v>1833</v>
      </c>
      <c r="R680" s="308">
        <v>45991</v>
      </c>
      <c r="S680" s="309">
        <v>46355</v>
      </c>
      <c r="T680" s="308">
        <v>46006</v>
      </c>
      <c r="U680" s="309">
        <v>46370</v>
      </c>
      <c r="V680" s="279" t="s">
        <v>954</v>
      </c>
      <c r="W680" s="312" t="s">
        <v>114</v>
      </c>
      <c r="X680" s="323" t="s">
        <v>2541</v>
      </c>
      <c r="Y680" s="280" t="s">
        <v>56</v>
      </c>
      <c r="Z680" s="280" t="s">
        <v>81</v>
      </c>
      <c r="AA680" s="313"/>
      <c r="AB680" s="314"/>
      <c r="AC680" s="315"/>
      <c r="AD680" s="316"/>
      <c r="AE680" s="279"/>
      <c r="AF680" s="309"/>
      <c r="AG680" s="278"/>
      <c r="AH680" s="278"/>
      <c r="AI680" s="278"/>
      <c r="AJ680" s="279"/>
    </row>
    <row r="681" spans="1:36" s="40" customFormat="1" ht="19.5" customHeight="1">
      <c r="A681" s="25">
        <f t="shared" si="10"/>
        <v>676</v>
      </c>
      <c r="B681" s="26">
        <v>6247943</v>
      </c>
      <c r="C681" s="27">
        <v>46008</v>
      </c>
      <c r="D681" s="28">
        <v>10903.35</v>
      </c>
      <c r="E681" s="29">
        <v>84832.42</v>
      </c>
      <c r="F681" s="30">
        <v>1571509</v>
      </c>
      <c r="G681" s="27">
        <v>46015</v>
      </c>
      <c r="H681" s="32">
        <v>10903.35</v>
      </c>
      <c r="I681" s="33">
        <v>84832.42</v>
      </c>
      <c r="J681" s="34" t="s">
        <v>33</v>
      </c>
      <c r="K681" t="s">
        <v>34</v>
      </c>
      <c r="L681" s="35">
        <v>242286880</v>
      </c>
      <c r="M681" s="36" t="s">
        <v>2548</v>
      </c>
      <c r="N681" s="37" t="s">
        <v>1346</v>
      </c>
      <c r="O681" t="s">
        <v>2544</v>
      </c>
      <c r="P681" t="s">
        <v>2545</v>
      </c>
      <c r="Q681" t="s">
        <v>1973</v>
      </c>
      <c r="R681" s="38">
        <v>46023</v>
      </c>
      <c r="S681" s="39" t="s">
        <v>2549</v>
      </c>
      <c r="T681" s="38">
        <v>46023</v>
      </c>
      <c r="U681" s="39">
        <v>46387</v>
      </c>
      <c r="V681" s="40" t="s">
        <v>51</v>
      </c>
      <c r="W681" s="41" t="s">
        <v>39</v>
      </c>
      <c r="X681" s="40" t="s">
        <v>2466</v>
      </c>
      <c r="Y681" s="40" t="s">
        <v>1940</v>
      </c>
      <c r="Z681" t="s">
        <v>81</v>
      </c>
      <c r="AA681" s="62"/>
      <c r="AB681" s="44"/>
      <c r="AC681" s="63">
        <v>10000019646</v>
      </c>
      <c r="AD681" s="46">
        <v>46015</v>
      </c>
      <c r="AE681">
        <v>3194102</v>
      </c>
      <c r="AF681" s="39">
        <v>46065</v>
      </c>
      <c r="AG681" s="49"/>
      <c r="AH681" s="49"/>
      <c r="AI681" s="49"/>
      <c r="AJ681"/>
    </row>
    <row r="682" spans="1:36" s="40" customFormat="1" ht="19.5" customHeight="1">
      <c r="A682" s="25">
        <f t="shared" si="10"/>
        <v>677</v>
      </c>
      <c r="B682" s="26">
        <v>6247984</v>
      </c>
      <c r="C682" s="27">
        <v>46008</v>
      </c>
      <c r="D682" s="28">
        <v>6928.2</v>
      </c>
      <c r="E682" s="29">
        <v>53904.17</v>
      </c>
      <c r="F682" s="30">
        <v>1571510</v>
      </c>
      <c r="G682" s="27">
        <v>46015</v>
      </c>
      <c r="H682" s="32">
        <v>6928.2</v>
      </c>
      <c r="I682" s="33">
        <v>53904.17</v>
      </c>
      <c r="J682" s="34" t="s">
        <v>33</v>
      </c>
      <c r="K682" t="s">
        <v>34</v>
      </c>
      <c r="L682" s="35">
        <v>312219465</v>
      </c>
      <c r="M682" s="36" t="s">
        <v>2550</v>
      </c>
      <c r="N682" s="37" t="s">
        <v>1377</v>
      </c>
      <c r="O682" t="s">
        <v>2544</v>
      </c>
      <c r="P682" t="s">
        <v>2545</v>
      </c>
      <c r="Q682" t="s">
        <v>1973</v>
      </c>
      <c r="R682" s="38">
        <v>46023</v>
      </c>
      <c r="S682" s="39">
        <v>46387</v>
      </c>
      <c r="T682" s="38">
        <v>46023</v>
      </c>
      <c r="U682" s="39">
        <v>46387</v>
      </c>
      <c r="V682" s="40" t="s">
        <v>51</v>
      </c>
      <c r="W682" s="41" t="s">
        <v>39</v>
      </c>
      <c r="X682" s="40" t="s">
        <v>2466</v>
      </c>
      <c r="Y682" s="40" t="s">
        <v>56</v>
      </c>
      <c r="Z682" t="s">
        <v>81</v>
      </c>
      <c r="AA682" s="62"/>
      <c r="AB682" s="44"/>
      <c r="AC682" s="63">
        <v>10000031596</v>
      </c>
      <c r="AD682" s="46">
        <v>46022</v>
      </c>
      <c r="AE682">
        <v>3194081</v>
      </c>
      <c r="AF682" s="39">
        <v>46065</v>
      </c>
      <c r="AG682" s="49"/>
      <c r="AH682" s="49"/>
      <c r="AI682" s="49"/>
      <c r="AJ682"/>
    </row>
    <row r="683" spans="1:36" s="40" customFormat="1" ht="19.5" customHeight="1">
      <c r="A683" s="25">
        <f t="shared" si="10"/>
        <v>678</v>
      </c>
      <c r="B683" s="26">
        <v>6248011</v>
      </c>
      <c r="C683" s="27">
        <v>46008</v>
      </c>
      <c r="D683" s="28">
        <v>643.04999999999995</v>
      </c>
      <c r="E683" s="29">
        <v>5003.1899999999996</v>
      </c>
      <c r="F683" s="30">
        <v>1571511</v>
      </c>
      <c r="G683" s="27">
        <v>46015</v>
      </c>
      <c r="H683" s="32">
        <v>643.04999999999995</v>
      </c>
      <c r="I683" s="33">
        <v>5003.1899999999996</v>
      </c>
      <c r="J683" s="34" t="s">
        <v>33</v>
      </c>
      <c r="K683" t="s">
        <v>34</v>
      </c>
      <c r="L683" s="35">
        <v>302213631</v>
      </c>
      <c r="M683" s="36" t="s">
        <v>2550</v>
      </c>
      <c r="N683" s="37" t="s">
        <v>2000</v>
      </c>
      <c r="O683" t="s">
        <v>2544</v>
      </c>
      <c r="P683" t="s">
        <v>2545</v>
      </c>
      <c r="Q683" t="s">
        <v>1973</v>
      </c>
      <c r="R683" s="38">
        <v>46023</v>
      </c>
      <c r="S683" s="39">
        <v>46387</v>
      </c>
      <c r="T683" s="38">
        <v>46023</v>
      </c>
      <c r="U683" s="39">
        <v>46387</v>
      </c>
      <c r="V683" s="40" t="s">
        <v>51</v>
      </c>
      <c r="W683" s="41" t="s">
        <v>39</v>
      </c>
      <c r="X683" s="40" t="s">
        <v>2466</v>
      </c>
      <c r="Y683" s="40" t="s">
        <v>56</v>
      </c>
      <c r="Z683" t="s">
        <v>81</v>
      </c>
      <c r="AA683" s="62"/>
      <c r="AB683" s="44"/>
      <c r="AC683" s="63">
        <v>10000019580</v>
      </c>
      <c r="AD683" s="46">
        <v>46015</v>
      </c>
      <c r="AE683">
        <v>3194097</v>
      </c>
      <c r="AF683" s="39">
        <v>46065</v>
      </c>
      <c r="AG683" s="49"/>
      <c r="AH683" s="49"/>
      <c r="AI683" s="49"/>
      <c r="AJ683"/>
    </row>
    <row r="684" spans="1:36" s="40" customFormat="1" ht="19.5" customHeight="1">
      <c r="A684" s="25">
        <f t="shared" si="10"/>
        <v>679</v>
      </c>
      <c r="B684" s="26">
        <v>6248070</v>
      </c>
      <c r="C684" s="27">
        <v>46008</v>
      </c>
      <c r="D684" s="28">
        <v>42517.18</v>
      </c>
      <c r="E684" s="29">
        <v>330800.67</v>
      </c>
      <c r="F684" s="30">
        <v>1570511</v>
      </c>
      <c r="G684" s="27">
        <v>46015</v>
      </c>
      <c r="H684" s="32">
        <v>42517.18</v>
      </c>
      <c r="I684" s="33">
        <v>330800.67</v>
      </c>
      <c r="J684" s="34" t="s">
        <v>33</v>
      </c>
      <c r="K684" t="s">
        <v>34</v>
      </c>
      <c r="L684" s="35">
        <v>362212399</v>
      </c>
      <c r="M684" s="36" t="s">
        <v>2550</v>
      </c>
      <c r="N684" s="37" t="s">
        <v>1674</v>
      </c>
      <c r="O684" t="s">
        <v>2544</v>
      </c>
      <c r="P684" t="s">
        <v>2545</v>
      </c>
      <c r="Q684" t="s">
        <v>1973</v>
      </c>
      <c r="R684" s="38">
        <v>46023</v>
      </c>
      <c r="S684" s="39">
        <v>46387</v>
      </c>
      <c r="T684" s="38">
        <v>46023</v>
      </c>
      <c r="U684" s="39">
        <v>46387</v>
      </c>
      <c r="V684" s="40" t="s">
        <v>51</v>
      </c>
      <c r="W684" s="41" t="s">
        <v>39</v>
      </c>
      <c r="X684" s="40" t="s">
        <v>2466</v>
      </c>
      <c r="Y684" s="40" t="s">
        <v>56</v>
      </c>
      <c r="Z684" t="s">
        <v>81</v>
      </c>
      <c r="AA684" s="62"/>
      <c r="AB684" s="44"/>
      <c r="AC684" s="63">
        <v>10000019647</v>
      </c>
      <c r="AD684" s="46">
        <v>46015</v>
      </c>
      <c r="AE684">
        <v>3194112</v>
      </c>
      <c r="AF684" s="39">
        <v>46065</v>
      </c>
      <c r="AG684" s="49"/>
      <c r="AH684" s="49"/>
      <c r="AI684" s="49"/>
      <c r="AJ684"/>
    </row>
    <row r="685" spans="1:36" s="40" customFormat="1" ht="19.5" customHeight="1">
      <c r="A685" s="25">
        <f t="shared" si="10"/>
        <v>680</v>
      </c>
      <c r="B685" s="26">
        <v>6248075</v>
      </c>
      <c r="C685" s="27">
        <v>46008</v>
      </c>
      <c r="D685" s="28">
        <v>16147.54</v>
      </c>
      <c r="E685" s="29">
        <v>125634.32</v>
      </c>
      <c r="F685" s="30">
        <v>1570514</v>
      </c>
      <c r="G685" s="27">
        <v>46015</v>
      </c>
      <c r="H685" s="32">
        <v>16147.54</v>
      </c>
      <c r="I685" s="33">
        <v>125634.32</v>
      </c>
      <c r="J685" s="34" t="s">
        <v>33</v>
      </c>
      <c r="K685" t="s">
        <v>34</v>
      </c>
      <c r="L685" s="35">
        <v>342212381</v>
      </c>
      <c r="M685" s="36" t="s">
        <v>2550</v>
      </c>
      <c r="N685" s="37" t="s">
        <v>1684</v>
      </c>
      <c r="O685" t="s">
        <v>2544</v>
      </c>
      <c r="P685" t="s">
        <v>2545</v>
      </c>
      <c r="Q685" t="s">
        <v>1973</v>
      </c>
      <c r="R685" s="38">
        <v>46023</v>
      </c>
      <c r="S685" s="39">
        <v>46387</v>
      </c>
      <c r="T685" s="38">
        <v>46023</v>
      </c>
      <c r="U685" s="39">
        <v>46387</v>
      </c>
      <c r="V685" s="40" t="s">
        <v>51</v>
      </c>
      <c r="W685" s="41" t="s">
        <v>39</v>
      </c>
      <c r="X685" s="40" t="s">
        <v>2466</v>
      </c>
      <c r="Y685" s="40" t="s">
        <v>56</v>
      </c>
      <c r="Z685" t="s">
        <v>81</v>
      </c>
      <c r="AA685" s="62"/>
      <c r="AB685" s="44"/>
      <c r="AC685" s="63">
        <v>10000019505</v>
      </c>
      <c r="AD685" s="46">
        <v>46015</v>
      </c>
      <c r="AE685">
        <v>3194110</v>
      </c>
      <c r="AF685" s="39">
        <v>46065</v>
      </c>
      <c r="AG685" s="49"/>
      <c r="AH685" s="49"/>
      <c r="AI685" s="49"/>
      <c r="AJ685"/>
    </row>
    <row r="686" spans="1:36" s="40" customFormat="1" ht="19.5" customHeight="1">
      <c r="A686" s="25">
        <f t="shared" si="10"/>
        <v>681</v>
      </c>
      <c r="B686" s="26">
        <v>6248083</v>
      </c>
      <c r="C686" s="27">
        <v>46008</v>
      </c>
      <c r="D686" s="28">
        <v>58664.72</v>
      </c>
      <c r="E686" s="29">
        <v>456434.99</v>
      </c>
      <c r="F686" s="30">
        <v>1570800</v>
      </c>
      <c r="G686" s="27">
        <v>46014</v>
      </c>
      <c r="H686" s="32">
        <v>58664.72</v>
      </c>
      <c r="I686" s="33">
        <v>456434.99</v>
      </c>
      <c r="J686" s="34" t="s">
        <v>33</v>
      </c>
      <c r="K686" t="s">
        <v>34</v>
      </c>
      <c r="L686" s="35">
        <v>382212245</v>
      </c>
      <c r="M686" s="36" t="s">
        <v>2550</v>
      </c>
      <c r="N686" s="37" t="s">
        <v>2551</v>
      </c>
      <c r="O686" t="s">
        <v>2544</v>
      </c>
      <c r="P686" t="s">
        <v>2545</v>
      </c>
      <c r="Q686" t="s">
        <v>1973</v>
      </c>
      <c r="R686" s="38">
        <v>46023</v>
      </c>
      <c r="S686" s="39">
        <v>46387</v>
      </c>
      <c r="T686" s="38">
        <v>46023</v>
      </c>
      <c r="U686" s="39">
        <v>46387</v>
      </c>
      <c r="V686" s="40" t="s">
        <v>51</v>
      </c>
      <c r="W686" s="41" t="s">
        <v>39</v>
      </c>
      <c r="X686" s="40" t="s">
        <v>2466</v>
      </c>
      <c r="Y686" s="40" t="s">
        <v>56</v>
      </c>
      <c r="Z686" t="s">
        <v>81</v>
      </c>
      <c r="AA686" s="62"/>
      <c r="AB686" s="44"/>
      <c r="AC686" s="63">
        <v>10000019577</v>
      </c>
      <c r="AD686" s="46">
        <v>46015</v>
      </c>
      <c r="AE686">
        <v>3194108</v>
      </c>
      <c r="AF686" s="39">
        <v>46065</v>
      </c>
      <c r="AG686" s="49"/>
      <c r="AH686" s="49"/>
      <c r="AI686" s="49"/>
      <c r="AJ686"/>
    </row>
    <row r="687" spans="1:36" s="40" customFormat="1" ht="19.5" customHeight="1">
      <c r="A687" s="25">
        <f t="shared" si="10"/>
        <v>682</v>
      </c>
      <c r="B687" s="26">
        <v>6248094</v>
      </c>
      <c r="C687" s="27">
        <v>46008</v>
      </c>
      <c r="D687" s="28">
        <v>85408.08</v>
      </c>
      <c r="E687" s="29">
        <v>664509.03</v>
      </c>
      <c r="F687" s="30" t="s">
        <v>2552</v>
      </c>
      <c r="G687" s="27">
        <v>46014</v>
      </c>
      <c r="H687" s="32">
        <v>85408.08</v>
      </c>
      <c r="I687" s="33">
        <v>664509.03</v>
      </c>
      <c r="J687" s="34" t="s">
        <v>33</v>
      </c>
      <c r="K687" t="s">
        <v>34</v>
      </c>
      <c r="L687" s="35">
        <v>352211859</v>
      </c>
      <c r="M687" s="36" t="s">
        <v>2553</v>
      </c>
      <c r="N687" s="37" t="s">
        <v>1449</v>
      </c>
      <c r="O687" t="s">
        <v>2544</v>
      </c>
      <c r="P687" t="s">
        <v>2545</v>
      </c>
      <c r="Q687" t="s">
        <v>1973</v>
      </c>
      <c r="R687" s="38">
        <v>46023</v>
      </c>
      <c r="S687" s="39">
        <v>46387</v>
      </c>
      <c r="T687" s="38">
        <v>46023</v>
      </c>
      <c r="U687" s="39">
        <v>46387</v>
      </c>
      <c r="V687" s="40" t="s">
        <v>51</v>
      </c>
      <c r="W687" s="41" t="s">
        <v>39</v>
      </c>
      <c r="X687" s="40" t="s">
        <v>2466</v>
      </c>
      <c r="Y687" s="40" t="s">
        <v>1940</v>
      </c>
      <c r="Z687" t="s">
        <v>81</v>
      </c>
      <c r="AA687" s="62"/>
      <c r="AB687" s="44"/>
      <c r="AC687" s="63">
        <v>10000019459</v>
      </c>
      <c r="AD687" s="46">
        <v>46015</v>
      </c>
      <c r="AE687">
        <v>3194111</v>
      </c>
      <c r="AF687" s="39">
        <v>46065</v>
      </c>
      <c r="AG687" s="49"/>
      <c r="AH687" s="49"/>
      <c r="AI687" s="49"/>
      <c r="AJ687"/>
    </row>
    <row r="688" spans="1:36" s="280" customFormat="1" ht="19.5" customHeight="1">
      <c r="A688" s="257">
        <f t="shared" si="10"/>
        <v>683</v>
      </c>
      <c r="B688" s="299">
        <v>6248124</v>
      </c>
      <c r="C688" s="300">
        <v>46008</v>
      </c>
      <c r="D688" s="320" t="s">
        <v>141</v>
      </c>
      <c r="E688" s="321">
        <v>7340</v>
      </c>
      <c r="F688" s="30" t="s">
        <v>2554</v>
      </c>
      <c r="G688" s="300">
        <v>46009</v>
      </c>
      <c r="H688" s="320" t="s">
        <v>141</v>
      </c>
      <c r="I688" s="324">
        <v>4940</v>
      </c>
      <c r="J688" s="304" t="s">
        <v>33</v>
      </c>
      <c r="K688" s="279" t="s">
        <v>139</v>
      </c>
      <c r="L688" s="322">
        <v>80005278</v>
      </c>
      <c r="M688" s="306" t="s">
        <v>2555</v>
      </c>
      <c r="N688" s="307" t="s">
        <v>1404</v>
      </c>
      <c r="O688" s="279" t="s">
        <v>2533</v>
      </c>
      <c r="P688" s="279" t="s">
        <v>2556</v>
      </c>
      <c r="Q688" s="279" t="s">
        <v>2557</v>
      </c>
      <c r="R688" s="308">
        <v>46023</v>
      </c>
      <c r="S688" s="309">
        <v>46387</v>
      </c>
      <c r="T688" s="308" t="s">
        <v>2558</v>
      </c>
      <c r="U688" s="309">
        <v>46387</v>
      </c>
      <c r="V688" s="280" t="s">
        <v>44</v>
      </c>
      <c r="W688" s="312" t="s">
        <v>114</v>
      </c>
      <c r="X688" s="280" t="s">
        <v>2559</v>
      </c>
      <c r="Y688" s="280" t="s">
        <v>1940</v>
      </c>
      <c r="Z688" s="279"/>
      <c r="AA688" s="313"/>
      <c r="AB688" s="314"/>
      <c r="AC688" s="315"/>
      <c r="AD688" s="316"/>
      <c r="AE688" s="279"/>
      <c r="AF688" s="309">
        <v>46058</v>
      </c>
      <c r="AG688" s="278"/>
      <c r="AH688" s="278"/>
      <c r="AI688" s="278"/>
      <c r="AJ688" s="279"/>
    </row>
    <row r="689" spans="1:36" s="40" customFormat="1" ht="19.5" customHeight="1">
      <c r="A689" s="25">
        <f t="shared" si="10"/>
        <v>684</v>
      </c>
      <c r="B689" s="26">
        <v>6248130</v>
      </c>
      <c r="C689" s="27">
        <v>46008</v>
      </c>
      <c r="D689" s="28" t="s">
        <v>141</v>
      </c>
      <c r="E689" s="29">
        <v>700</v>
      </c>
      <c r="F689" s="30" t="s">
        <v>2560</v>
      </c>
      <c r="G689" s="27">
        <v>46009</v>
      </c>
      <c r="H689" s="28" t="s">
        <v>141</v>
      </c>
      <c r="I689" s="33">
        <v>700</v>
      </c>
      <c r="J689" s="34" t="s">
        <v>33</v>
      </c>
      <c r="K689" t="s">
        <v>139</v>
      </c>
      <c r="L689" s="35">
        <v>80005279</v>
      </c>
      <c r="M689" s="36" t="s">
        <v>2561</v>
      </c>
      <c r="N689" s="37" t="s">
        <v>1404</v>
      </c>
      <c r="O689" t="s">
        <v>2533</v>
      </c>
      <c r="P689" t="s">
        <v>2556</v>
      </c>
      <c r="Q689" t="s">
        <v>2557</v>
      </c>
      <c r="R689" s="308">
        <v>46023</v>
      </c>
      <c r="S689" s="39">
        <v>46387</v>
      </c>
      <c r="T689" s="38" t="s">
        <v>2558</v>
      </c>
      <c r="U689" s="39">
        <v>46387</v>
      </c>
      <c r="V689" s="40" t="s">
        <v>44</v>
      </c>
      <c r="W689" s="41" t="s">
        <v>114</v>
      </c>
      <c r="X689" s="40" t="s">
        <v>2559</v>
      </c>
      <c r="Y689" s="40" t="s">
        <v>1940</v>
      </c>
      <c r="Z689"/>
      <c r="AA689" s="62" t="s">
        <v>2562</v>
      </c>
      <c r="AB689" s="44">
        <v>46024</v>
      </c>
      <c r="AC689" s="63">
        <v>60017088</v>
      </c>
      <c r="AD689" s="46">
        <v>46024</v>
      </c>
      <c r="AE689"/>
      <c r="AF689" s="39"/>
      <c r="AG689" s="49"/>
      <c r="AH689" s="49"/>
      <c r="AI689" s="49"/>
      <c r="AJ689"/>
    </row>
    <row r="690" spans="1:36" s="280" customFormat="1" ht="19.5" customHeight="1">
      <c r="A690" s="257">
        <f t="shared" si="10"/>
        <v>685</v>
      </c>
      <c r="B690" s="299">
        <v>6248342</v>
      </c>
      <c r="C690" s="300">
        <v>46008</v>
      </c>
      <c r="D690" s="320" t="s">
        <v>141</v>
      </c>
      <c r="E690" s="321">
        <v>89270</v>
      </c>
      <c r="F690" s="30" t="s">
        <v>2563</v>
      </c>
      <c r="G690" s="300">
        <v>46022</v>
      </c>
      <c r="H690" s="320" t="s">
        <v>141</v>
      </c>
      <c r="I690" s="321">
        <v>89270</v>
      </c>
      <c r="J690" s="304" t="s">
        <v>33</v>
      </c>
      <c r="K690" s="279" t="s">
        <v>139</v>
      </c>
      <c r="L690" s="322">
        <v>80005280</v>
      </c>
      <c r="M690" s="306" t="s">
        <v>2564</v>
      </c>
      <c r="N690" s="307" t="s">
        <v>1404</v>
      </c>
      <c r="O690" s="279" t="s">
        <v>2565</v>
      </c>
      <c r="P690" s="279" t="s">
        <v>2566</v>
      </c>
      <c r="Q690" s="279" t="s">
        <v>2441</v>
      </c>
      <c r="R690" s="308">
        <v>46023</v>
      </c>
      <c r="S690" s="309">
        <v>46387</v>
      </c>
      <c r="T690" s="308" t="s">
        <v>2558</v>
      </c>
      <c r="U690" s="309">
        <v>46387</v>
      </c>
      <c r="V690" s="280" t="s">
        <v>2567</v>
      </c>
      <c r="W690" s="312" t="s">
        <v>114</v>
      </c>
      <c r="X690" s="280" t="s">
        <v>2568</v>
      </c>
      <c r="Y690" s="280" t="s">
        <v>2209</v>
      </c>
      <c r="Z690" s="279"/>
      <c r="AA690" s="313"/>
      <c r="AB690" s="314"/>
      <c r="AC690" s="315"/>
      <c r="AD690" s="316"/>
      <c r="AE690" s="279"/>
      <c r="AF690" s="309"/>
      <c r="AG690" s="278"/>
      <c r="AH690" s="278"/>
      <c r="AI690" s="278"/>
      <c r="AJ690" s="279"/>
    </row>
    <row r="691" spans="1:36" s="40" customFormat="1" ht="19.5" customHeight="1">
      <c r="A691" s="25">
        <f t="shared" si="10"/>
        <v>686</v>
      </c>
      <c r="B691" s="26">
        <v>6248337</v>
      </c>
      <c r="C691" s="27">
        <v>46008</v>
      </c>
      <c r="D691" s="28">
        <v>58595.23</v>
      </c>
      <c r="E691" s="29">
        <v>455894.33</v>
      </c>
      <c r="F691" s="30">
        <v>1570801</v>
      </c>
      <c r="G691" s="27">
        <v>46014</v>
      </c>
      <c r="H691" s="32">
        <v>58595.23</v>
      </c>
      <c r="I691" s="33">
        <v>455894.33</v>
      </c>
      <c r="J691" s="34" t="s">
        <v>33</v>
      </c>
      <c r="K691" t="s">
        <v>34</v>
      </c>
      <c r="L691" s="35">
        <v>372210884</v>
      </c>
      <c r="M691" s="36" t="s">
        <v>2553</v>
      </c>
      <c r="N691" s="37" t="s">
        <v>2569</v>
      </c>
      <c r="O691" t="s">
        <v>2544</v>
      </c>
      <c r="P691" t="s">
        <v>2545</v>
      </c>
      <c r="Q691" t="s">
        <v>1973</v>
      </c>
      <c r="R691" s="38">
        <v>46023</v>
      </c>
      <c r="S691" s="39">
        <v>46387</v>
      </c>
      <c r="T691" s="38">
        <v>46023</v>
      </c>
      <c r="U691" s="39">
        <v>46387</v>
      </c>
      <c r="V691" s="40" t="s">
        <v>51</v>
      </c>
      <c r="W691" s="41" t="s">
        <v>39</v>
      </c>
      <c r="X691" s="40" t="s">
        <v>2466</v>
      </c>
      <c r="Y691" s="40" t="s">
        <v>56</v>
      </c>
      <c r="Z691" t="s">
        <v>81</v>
      </c>
      <c r="AA691" s="62"/>
      <c r="AB691" s="44"/>
      <c r="AC691" s="63">
        <v>10000019567</v>
      </c>
      <c r="AD691" s="46">
        <v>46015</v>
      </c>
      <c r="AE691">
        <v>3194106</v>
      </c>
      <c r="AF691" s="39">
        <v>46065</v>
      </c>
      <c r="AG691" s="49"/>
      <c r="AH691" s="49"/>
      <c r="AI691" s="49"/>
      <c r="AJ691"/>
    </row>
    <row r="692" spans="1:36" s="40" customFormat="1" ht="19.5" customHeight="1">
      <c r="A692" s="25">
        <f t="shared" si="10"/>
        <v>687</v>
      </c>
      <c r="B692" s="26">
        <v>6248357</v>
      </c>
      <c r="C692" s="27">
        <v>46008</v>
      </c>
      <c r="D692" s="28">
        <v>5297.68</v>
      </c>
      <c r="E692" s="29">
        <v>41218.07</v>
      </c>
      <c r="F692" s="30">
        <v>1571512</v>
      </c>
      <c r="G692" s="27">
        <v>46015</v>
      </c>
      <c r="H692" s="32">
        <v>5297.68</v>
      </c>
      <c r="I692" s="33">
        <v>41218.07</v>
      </c>
      <c r="J692" s="34" t="s">
        <v>33</v>
      </c>
      <c r="K692" t="s">
        <v>34</v>
      </c>
      <c r="L692" s="35">
        <v>362219593</v>
      </c>
      <c r="M692" s="36" t="s">
        <v>2570</v>
      </c>
      <c r="N692" s="37" t="s">
        <v>2571</v>
      </c>
      <c r="O692" t="s">
        <v>2544</v>
      </c>
      <c r="P692" t="s">
        <v>2545</v>
      </c>
      <c r="Q692" t="s">
        <v>1973</v>
      </c>
      <c r="R692" s="38">
        <v>46023</v>
      </c>
      <c r="S692" s="39">
        <v>46387</v>
      </c>
      <c r="T692" s="38">
        <v>46023</v>
      </c>
      <c r="U692" s="39">
        <v>46387</v>
      </c>
      <c r="V692" s="40" t="s">
        <v>51</v>
      </c>
      <c r="W692" s="41" t="s">
        <v>39</v>
      </c>
      <c r="X692" s="40" t="s">
        <v>2466</v>
      </c>
      <c r="Y692" s="40" t="s">
        <v>56</v>
      </c>
      <c r="Z692" t="s">
        <v>81</v>
      </c>
      <c r="AA692" s="62"/>
      <c r="AB692" s="44"/>
      <c r="AC692" s="63">
        <v>10000019649</v>
      </c>
      <c r="AD692" s="46">
        <v>46015</v>
      </c>
      <c r="AE692">
        <v>3194100</v>
      </c>
      <c r="AF692" s="39">
        <v>46065</v>
      </c>
      <c r="AG692" s="49"/>
      <c r="AH692" s="49"/>
      <c r="AI692" s="49"/>
      <c r="AJ692"/>
    </row>
    <row r="693" spans="1:36" s="40" customFormat="1" ht="19.5" customHeight="1">
      <c r="A693" s="25">
        <f t="shared" si="10"/>
        <v>688</v>
      </c>
      <c r="B693" s="26">
        <v>6248368</v>
      </c>
      <c r="C693" s="27">
        <v>46008</v>
      </c>
      <c r="D693" s="28">
        <v>27358.28</v>
      </c>
      <c r="E693" s="29">
        <v>212858.36</v>
      </c>
      <c r="F693" s="30" t="s">
        <v>2572</v>
      </c>
      <c r="G693" s="27">
        <v>46015</v>
      </c>
      <c r="H693" s="32">
        <v>27358.28</v>
      </c>
      <c r="I693" s="33">
        <v>212858.36</v>
      </c>
      <c r="J693" s="34" t="s">
        <v>33</v>
      </c>
      <c r="K693" t="s">
        <v>34</v>
      </c>
      <c r="L693" s="35">
        <v>421944445</v>
      </c>
      <c r="M693" s="36" t="s">
        <v>2411</v>
      </c>
      <c r="N693" s="37" t="s">
        <v>2573</v>
      </c>
      <c r="O693" t="s">
        <v>2544</v>
      </c>
      <c r="P693" t="s">
        <v>2545</v>
      </c>
      <c r="Q693" t="s">
        <v>1973</v>
      </c>
      <c r="R693" s="38">
        <v>46023</v>
      </c>
      <c r="S693" s="39">
        <v>46387</v>
      </c>
      <c r="T693" s="38">
        <v>46023</v>
      </c>
      <c r="U693" s="39">
        <v>46387</v>
      </c>
      <c r="V693" s="40" t="s">
        <v>51</v>
      </c>
      <c r="W693" s="41" t="s">
        <v>39</v>
      </c>
      <c r="X693" s="40" t="s">
        <v>2466</v>
      </c>
      <c r="Y693" s="40" t="s">
        <v>56</v>
      </c>
      <c r="Z693" t="s">
        <v>81</v>
      </c>
      <c r="AA693" s="62" t="s">
        <v>2574</v>
      </c>
      <c r="AB693" s="44">
        <v>46015</v>
      </c>
      <c r="AC693" s="63">
        <v>6501158385</v>
      </c>
      <c r="AD693" s="46">
        <v>46015</v>
      </c>
      <c r="AE693">
        <v>3192317</v>
      </c>
      <c r="AF693" s="39">
        <v>46056</v>
      </c>
      <c r="AG693" s="49"/>
      <c r="AH693" s="49"/>
      <c r="AI693" s="49"/>
      <c r="AJ693"/>
    </row>
    <row r="694" spans="1:36" s="40" customFormat="1" ht="19.5" customHeight="1">
      <c r="A694" s="25">
        <f t="shared" si="10"/>
        <v>689</v>
      </c>
      <c r="B694" s="26">
        <v>6248376</v>
      </c>
      <c r="C694" s="27">
        <v>46008</v>
      </c>
      <c r="D694" s="28">
        <v>17983.7</v>
      </c>
      <c r="E694" s="29">
        <v>139920.38</v>
      </c>
      <c r="F694" s="30">
        <v>1570707</v>
      </c>
      <c r="G694" s="27">
        <v>46015</v>
      </c>
      <c r="H694" s="32">
        <v>17983.7</v>
      </c>
      <c r="I694" s="33">
        <v>139920.38</v>
      </c>
      <c r="J694" s="34" t="s">
        <v>33</v>
      </c>
      <c r="K694" t="s">
        <v>34</v>
      </c>
      <c r="L694" s="35">
        <v>471995317</v>
      </c>
      <c r="M694" s="36" t="s">
        <v>2575</v>
      </c>
      <c r="N694" s="37" t="s">
        <v>2576</v>
      </c>
      <c r="O694" t="s">
        <v>2544</v>
      </c>
      <c r="P694" t="s">
        <v>2545</v>
      </c>
      <c r="Q694" t="s">
        <v>1973</v>
      </c>
      <c r="R694" s="38">
        <v>46023</v>
      </c>
      <c r="S694" s="39">
        <v>46387</v>
      </c>
      <c r="T694" s="38">
        <v>46023</v>
      </c>
      <c r="U694" s="39">
        <v>46387</v>
      </c>
      <c r="V694" s="40" t="s">
        <v>51</v>
      </c>
      <c r="W694" s="41" t="s">
        <v>39</v>
      </c>
      <c r="X694" s="40" t="s">
        <v>2466</v>
      </c>
      <c r="Y694" s="40" t="s">
        <v>56</v>
      </c>
      <c r="Z694" t="s">
        <v>81</v>
      </c>
      <c r="AA694" s="62"/>
      <c r="AB694" s="44"/>
      <c r="AC694" s="63">
        <v>10000019506</v>
      </c>
      <c r="AD694" s="46">
        <v>46015</v>
      </c>
      <c r="AE694">
        <v>3194109</v>
      </c>
      <c r="AF694" s="39">
        <v>46065</v>
      </c>
      <c r="AG694" s="49"/>
      <c r="AH694" s="49"/>
      <c r="AI694" s="49"/>
      <c r="AJ694"/>
    </row>
    <row r="695" spans="1:36" s="40" customFormat="1" ht="19.5" customHeight="1">
      <c r="A695" s="25">
        <f t="shared" si="10"/>
        <v>690</v>
      </c>
      <c r="B695" s="26">
        <v>6248529</v>
      </c>
      <c r="C695" s="27">
        <v>46009</v>
      </c>
      <c r="D695" s="28">
        <v>55223.47</v>
      </c>
      <c r="E695" s="29">
        <v>429660.69</v>
      </c>
      <c r="F695" s="30">
        <v>1570803</v>
      </c>
      <c r="G695" s="27">
        <v>46014</v>
      </c>
      <c r="H695" s="32">
        <v>55223.47</v>
      </c>
      <c r="I695" s="33">
        <v>429660.69</v>
      </c>
      <c r="J695" s="34" t="s">
        <v>33</v>
      </c>
      <c r="K695" t="s">
        <v>34</v>
      </c>
      <c r="L695" s="35">
        <v>481993952</v>
      </c>
      <c r="M695" s="36" t="s">
        <v>2104</v>
      </c>
      <c r="N695" s="37" t="s">
        <v>2577</v>
      </c>
      <c r="O695" t="s">
        <v>2544</v>
      </c>
      <c r="P695" t="s">
        <v>2545</v>
      </c>
      <c r="Q695" t="s">
        <v>1973</v>
      </c>
      <c r="R695" s="38">
        <v>46023</v>
      </c>
      <c r="S695" s="39" t="s">
        <v>2549</v>
      </c>
      <c r="T695" s="38">
        <v>46023</v>
      </c>
      <c r="U695" s="39">
        <v>46387</v>
      </c>
      <c r="V695" s="40" t="s">
        <v>51</v>
      </c>
      <c r="W695" s="41" t="s">
        <v>39</v>
      </c>
      <c r="X695" s="40" t="s">
        <v>2466</v>
      </c>
      <c r="Y695" s="40" t="s">
        <v>56</v>
      </c>
      <c r="Z695" t="s">
        <v>81</v>
      </c>
      <c r="AA695" s="62"/>
      <c r="AB695" s="44"/>
      <c r="AC695" s="63">
        <v>10000019499</v>
      </c>
      <c r="AD695" s="46">
        <v>46015</v>
      </c>
      <c r="AE695">
        <v>3194104</v>
      </c>
      <c r="AF695" s="39">
        <v>46065</v>
      </c>
      <c r="AG695" s="49"/>
      <c r="AH695" s="49"/>
      <c r="AI695" s="49"/>
      <c r="AJ695"/>
    </row>
    <row r="696" spans="1:36" s="40" customFormat="1" ht="19.5" customHeight="1">
      <c r="A696" s="25">
        <f t="shared" si="10"/>
        <v>691</v>
      </c>
      <c r="B696" s="26">
        <v>6248731</v>
      </c>
      <c r="C696" s="27">
        <v>46009</v>
      </c>
      <c r="D696" s="28">
        <v>496.5</v>
      </c>
      <c r="E696" s="29">
        <v>3897.53</v>
      </c>
      <c r="F696" s="30" t="s">
        <v>2578</v>
      </c>
      <c r="G696" s="27">
        <v>46013</v>
      </c>
      <c r="H696" s="28">
        <v>496.5</v>
      </c>
      <c r="I696" s="29">
        <v>3897.53</v>
      </c>
      <c r="J696" s="34" t="s">
        <v>103</v>
      </c>
      <c r="K696" t="s">
        <v>206</v>
      </c>
      <c r="L696" s="35" t="s">
        <v>2579</v>
      </c>
      <c r="M696" s="36" t="s">
        <v>2580</v>
      </c>
      <c r="N696" s="37" t="s">
        <v>1330</v>
      </c>
      <c r="O696" t="s">
        <v>2581</v>
      </c>
      <c r="P696" t="s">
        <v>2582</v>
      </c>
      <c r="Q696" t="s">
        <v>2583</v>
      </c>
      <c r="R696" s="38">
        <v>46018</v>
      </c>
      <c r="S696" s="39">
        <v>46382</v>
      </c>
      <c r="T696" s="38">
        <v>46018</v>
      </c>
      <c r="U696" s="39">
        <v>46382</v>
      </c>
      <c r="V696" s="40" t="s">
        <v>1333</v>
      </c>
      <c r="W696" s="41" t="s">
        <v>114</v>
      </c>
      <c r="X696" s="40" t="s">
        <v>2584</v>
      </c>
      <c r="Y696" s="40" t="s">
        <v>56</v>
      </c>
      <c r="Z696" t="s">
        <v>81</v>
      </c>
      <c r="AA696" s="62" t="s">
        <v>2585</v>
      </c>
      <c r="AB696" s="44">
        <v>46022</v>
      </c>
      <c r="AC696" s="63" t="s">
        <v>2586</v>
      </c>
      <c r="AD696" s="46">
        <v>46022</v>
      </c>
      <c r="AE696">
        <v>3204647</v>
      </c>
      <c r="AF696" s="39">
        <v>46146</v>
      </c>
      <c r="AG696" s="49"/>
      <c r="AH696" s="49"/>
      <c r="AI696" s="49"/>
      <c r="AJ696"/>
    </row>
    <row r="697" spans="1:36" s="40" customFormat="1" ht="19.5" customHeight="1">
      <c r="A697" s="25">
        <f t="shared" si="10"/>
        <v>692</v>
      </c>
      <c r="B697" s="26">
        <v>6248754</v>
      </c>
      <c r="C697" s="27">
        <v>46009</v>
      </c>
      <c r="D697" s="28">
        <v>2119.77</v>
      </c>
      <c r="E697" s="29">
        <v>16492.66</v>
      </c>
      <c r="F697" s="30" t="s">
        <v>2587</v>
      </c>
      <c r="G697" s="27">
        <v>46010</v>
      </c>
      <c r="H697" s="32">
        <v>2119.77</v>
      </c>
      <c r="I697" s="33">
        <v>16492.66</v>
      </c>
      <c r="J697" s="34" t="s">
        <v>33</v>
      </c>
      <c r="K697" t="s">
        <v>34</v>
      </c>
      <c r="L697" s="35">
        <v>401996529</v>
      </c>
      <c r="M697" s="36" t="s">
        <v>2149</v>
      </c>
      <c r="N697" s="37" t="s">
        <v>1346</v>
      </c>
      <c r="O697" t="s">
        <v>2588</v>
      </c>
      <c r="P697" t="s">
        <v>2589</v>
      </c>
      <c r="Q697" t="s">
        <v>2590</v>
      </c>
      <c r="R697" s="38">
        <v>46023</v>
      </c>
      <c r="S697" s="39">
        <v>46387</v>
      </c>
      <c r="T697" s="38">
        <v>46023</v>
      </c>
      <c r="U697" s="39">
        <v>46387</v>
      </c>
      <c r="V697" s="40" t="s">
        <v>55</v>
      </c>
      <c r="W697" s="41" t="s">
        <v>39</v>
      </c>
      <c r="X697" s="40" t="s">
        <v>2591</v>
      </c>
      <c r="Y697" s="40" t="s">
        <v>1940</v>
      </c>
      <c r="Z697"/>
      <c r="AA697" s="62"/>
      <c r="AB697" s="44"/>
      <c r="AC697" s="63">
        <v>10000007978</v>
      </c>
      <c r="AD697" s="46">
        <v>46013</v>
      </c>
      <c r="AE697">
        <v>3191945</v>
      </c>
      <c r="AF697" s="39">
        <v>46052</v>
      </c>
      <c r="AG697" s="49"/>
      <c r="AH697" s="49"/>
      <c r="AI697" s="49"/>
      <c r="AJ697"/>
    </row>
    <row r="698" spans="1:36" s="40" customFormat="1" ht="19.5" customHeight="1">
      <c r="A698" s="25">
        <f t="shared" si="10"/>
        <v>693</v>
      </c>
      <c r="B698" s="26">
        <v>6248807</v>
      </c>
      <c r="C698" s="27">
        <v>46009</v>
      </c>
      <c r="D698" s="28">
        <v>97.94</v>
      </c>
      <c r="E698" s="29">
        <v>762.01</v>
      </c>
      <c r="F698" s="30" t="s">
        <v>2592</v>
      </c>
      <c r="G698" s="27">
        <v>46010</v>
      </c>
      <c r="H698" s="28">
        <v>97.94</v>
      </c>
      <c r="I698" s="29">
        <v>762.01</v>
      </c>
      <c r="J698" s="34" t="s">
        <v>33</v>
      </c>
      <c r="K698" t="s">
        <v>34</v>
      </c>
      <c r="L698" s="35">
        <v>492001696</v>
      </c>
      <c r="M698" s="36" t="s">
        <v>2129</v>
      </c>
      <c r="N698" s="37" t="s">
        <v>1540</v>
      </c>
      <c r="O698" t="s">
        <v>2526</v>
      </c>
      <c r="P698" t="s">
        <v>2593</v>
      </c>
      <c r="Q698" t="s">
        <v>2594</v>
      </c>
      <c r="R698" s="38">
        <v>45839</v>
      </c>
      <c r="S698" s="39">
        <v>46203</v>
      </c>
      <c r="T698" s="38">
        <v>46003</v>
      </c>
      <c r="U698" s="39">
        <v>46203</v>
      </c>
      <c r="V698" s="40" t="s">
        <v>72</v>
      </c>
      <c r="W698" s="41" t="s">
        <v>39</v>
      </c>
      <c r="X698" s="40" t="s">
        <v>2595</v>
      </c>
      <c r="Y698" s="40" t="s">
        <v>56</v>
      </c>
      <c r="Z698"/>
      <c r="AA698" s="62"/>
      <c r="AB698" s="44"/>
      <c r="AC698" s="63">
        <v>10000007617</v>
      </c>
      <c r="AD698" s="46">
        <v>46013</v>
      </c>
      <c r="AE698">
        <v>3195406</v>
      </c>
      <c r="AF698" s="39">
        <v>46079</v>
      </c>
      <c r="AG698" s="49"/>
      <c r="AH698" s="49"/>
      <c r="AI698" s="49"/>
      <c r="AJ698"/>
    </row>
    <row r="699" spans="1:36" s="40" customFormat="1" ht="19.5" customHeight="1">
      <c r="A699" s="25">
        <f t="shared" si="10"/>
        <v>694</v>
      </c>
      <c r="B699" s="26">
        <v>6248916</v>
      </c>
      <c r="C699" s="27">
        <v>46009</v>
      </c>
      <c r="D699" s="28">
        <v>2979.1</v>
      </c>
      <c r="E699" s="29">
        <v>23178.59</v>
      </c>
      <c r="F699" s="30">
        <v>1570798</v>
      </c>
      <c r="G699" s="27">
        <v>46015</v>
      </c>
      <c r="H699" s="32">
        <v>2979.1</v>
      </c>
      <c r="I699" s="33">
        <v>23178.59</v>
      </c>
      <c r="J699" s="34" t="s">
        <v>33</v>
      </c>
      <c r="K699" t="s">
        <v>34</v>
      </c>
      <c r="L699" s="35">
        <v>411997953</v>
      </c>
      <c r="M699" s="36" t="s">
        <v>2129</v>
      </c>
      <c r="N699" s="37" t="s">
        <v>1346</v>
      </c>
      <c r="O699" t="s">
        <v>2596</v>
      </c>
      <c r="P699" t="s">
        <v>2597</v>
      </c>
      <c r="Q699" t="s">
        <v>2598</v>
      </c>
      <c r="R699" s="38">
        <v>46035</v>
      </c>
      <c r="S699" s="39">
        <v>46399</v>
      </c>
      <c r="T699" s="38">
        <v>46035</v>
      </c>
      <c r="U699" s="39">
        <v>46399</v>
      </c>
      <c r="V699" s="40" t="s">
        <v>38</v>
      </c>
      <c r="W699" s="41" t="s">
        <v>39</v>
      </c>
      <c r="X699" s="40" t="s">
        <v>2599</v>
      </c>
      <c r="Y699" s="40" t="s">
        <v>56</v>
      </c>
      <c r="Z699"/>
      <c r="AA699" s="62"/>
      <c r="AB699" s="44"/>
      <c r="AC699" s="63">
        <v>10000019601</v>
      </c>
      <c r="AD699" s="46">
        <v>46015</v>
      </c>
      <c r="AE699">
        <v>3195432</v>
      </c>
      <c r="AF699" s="39">
        <v>46079</v>
      </c>
      <c r="AG699" s="49"/>
      <c r="AH699" s="49"/>
      <c r="AI699" s="49"/>
      <c r="AJ699"/>
    </row>
    <row r="700" spans="1:36" s="40" customFormat="1" ht="19.5" customHeight="1">
      <c r="A700" s="25">
        <f t="shared" si="10"/>
        <v>695</v>
      </c>
      <c r="B700" s="26">
        <v>6248921</v>
      </c>
      <c r="C700" s="27">
        <v>46009</v>
      </c>
      <c r="D700" s="28">
        <v>7312.56</v>
      </c>
      <c r="E700" s="29">
        <v>56894.64</v>
      </c>
      <c r="F700" s="30">
        <v>1570799</v>
      </c>
      <c r="G700" s="27">
        <v>46015</v>
      </c>
      <c r="H700" s="32">
        <v>7312.56</v>
      </c>
      <c r="I700" s="33">
        <v>56894.64</v>
      </c>
      <c r="J700" s="34" t="s">
        <v>33</v>
      </c>
      <c r="K700" t="s">
        <v>34</v>
      </c>
      <c r="L700" s="35">
        <v>302194934</v>
      </c>
      <c r="M700" s="36" t="s">
        <v>2129</v>
      </c>
      <c r="N700" s="37" t="s">
        <v>1540</v>
      </c>
      <c r="O700" t="s">
        <v>2600</v>
      </c>
      <c r="P700" t="s">
        <v>2601</v>
      </c>
      <c r="Q700" t="s">
        <v>903</v>
      </c>
      <c r="R700" s="38">
        <v>45986</v>
      </c>
      <c r="S700" s="39">
        <v>47081</v>
      </c>
      <c r="T700" s="38">
        <v>45986</v>
      </c>
      <c r="U700" s="39">
        <v>47081</v>
      </c>
      <c r="V700" s="40" t="s">
        <v>245</v>
      </c>
      <c r="W700" s="41" t="s">
        <v>39</v>
      </c>
      <c r="X700" s="40" t="s">
        <v>2602</v>
      </c>
      <c r="Y700" s="40" t="s">
        <v>56</v>
      </c>
      <c r="Z700"/>
      <c r="AA700" s="62"/>
      <c r="AB700" s="44"/>
      <c r="AC700" s="63">
        <v>10000021154</v>
      </c>
      <c r="AD700" s="46">
        <v>46017</v>
      </c>
      <c r="AE700">
        <v>3194094</v>
      </c>
      <c r="AF700" s="39">
        <v>46065</v>
      </c>
      <c r="AG700" s="49"/>
      <c r="AH700" s="49"/>
      <c r="AI700" s="49"/>
      <c r="AJ700"/>
    </row>
    <row r="701" spans="1:36" s="40" customFormat="1" ht="19.5" customHeight="1">
      <c r="A701" s="25">
        <f t="shared" si="10"/>
        <v>696</v>
      </c>
      <c r="B701" s="26">
        <v>6249027</v>
      </c>
      <c r="C701" s="27">
        <v>46010</v>
      </c>
      <c r="D701" s="68" t="s">
        <v>141</v>
      </c>
      <c r="E701" s="29">
        <v>830</v>
      </c>
      <c r="F701" s="30" t="s">
        <v>2603</v>
      </c>
      <c r="G701" s="27">
        <v>46010</v>
      </c>
      <c r="H701" s="68" t="s">
        <v>141</v>
      </c>
      <c r="I701" s="29">
        <v>830</v>
      </c>
      <c r="J701" s="34" t="s">
        <v>33</v>
      </c>
      <c r="K701" t="s">
        <v>139</v>
      </c>
      <c r="L701" s="35">
        <v>80005286</v>
      </c>
      <c r="M701" s="36" t="s">
        <v>2604</v>
      </c>
      <c r="N701" s="37" t="s">
        <v>1383</v>
      </c>
      <c r="O701" t="s">
        <v>2600</v>
      </c>
      <c r="P701" t="s">
        <v>2601</v>
      </c>
      <c r="Q701" t="s">
        <v>903</v>
      </c>
      <c r="R701" s="38">
        <v>45986</v>
      </c>
      <c r="S701" s="39">
        <v>47081</v>
      </c>
      <c r="T701" s="38">
        <v>45986</v>
      </c>
      <c r="U701" s="39">
        <v>47081</v>
      </c>
      <c r="V701" s="40" t="s">
        <v>245</v>
      </c>
      <c r="W701" s="41" t="s">
        <v>114</v>
      </c>
      <c r="X701" s="40" t="s">
        <v>2602</v>
      </c>
      <c r="Y701" s="40" t="s">
        <v>56</v>
      </c>
      <c r="Z701"/>
      <c r="AA701" s="62">
        <v>90007377</v>
      </c>
      <c r="AB701" s="44">
        <v>46030</v>
      </c>
      <c r="AC701" s="63">
        <v>60017144</v>
      </c>
      <c r="AD701" s="46">
        <v>46030</v>
      </c>
      <c r="AE701"/>
      <c r="AF701" s="39"/>
      <c r="AG701" s="49"/>
      <c r="AH701" s="49"/>
      <c r="AI701" s="49"/>
      <c r="AJ701"/>
    </row>
    <row r="702" spans="1:36" s="40" customFormat="1" ht="19.5" customHeight="1">
      <c r="A702" s="25">
        <f t="shared" si="10"/>
        <v>697</v>
      </c>
      <c r="B702" s="26">
        <v>6249041</v>
      </c>
      <c r="C702" s="27">
        <v>46010</v>
      </c>
      <c r="D702" s="28">
        <v>657.94</v>
      </c>
      <c r="E702" s="29">
        <v>5119.04</v>
      </c>
      <c r="F702" s="30">
        <v>1571245</v>
      </c>
      <c r="G702" s="27">
        <v>46020</v>
      </c>
      <c r="H702" s="32">
        <v>657.94</v>
      </c>
      <c r="I702" s="33">
        <v>5119.04</v>
      </c>
      <c r="J702" s="34" t="s">
        <v>33</v>
      </c>
      <c r="K702" t="s">
        <v>34</v>
      </c>
      <c r="L702" s="35">
        <v>282286691</v>
      </c>
      <c r="M702" s="36" t="s">
        <v>2605</v>
      </c>
      <c r="N702" s="37" t="s">
        <v>1346</v>
      </c>
      <c r="O702" t="s">
        <v>2606</v>
      </c>
      <c r="P702" t="s">
        <v>2607</v>
      </c>
      <c r="Q702" t="s">
        <v>2608</v>
      </c>
      <c r="R702" s="38">
        <v>46024</v>
      </c>
      <c r="S702" s="39">
        <v>46418</v>
      </c>
      <c r="T702" s="38">
        <v>46058</v>
      </c>
      <c r="U702" s="39">
        <v>46422</v>
      </c>
      <c r="V702" s="40" t="s">
        <v>521</v>
      </c>
      <c r="W702" s="41" t="s">
        <v>39</v>
      </c>
      <c r="X702" s="40" t="s">
        <v>2609</v>
      </c>
      <c r="Y702" s="40" t="s">
        <v>185</v>
      </c>
      <c r="Z702"/>
      <c r="AA702" s="62"/>
      <c r="AB702" s="44"/>
      <c r="AC702" s="63">
        <v>10000029198</v>
      </c>
      <c r="AD702" s="46">
        <v>46021</v>
      </c>
      <c r="AE702"/>
      <c r="AF702" s="39"/>
      <c r="AG702" s="49"/>
      <c r="AH702" s="49"/>
      <c r="AI702" s="49"/>
      <c r="AJ702"/>
    </row>
    <row r="703" spans="1:36" s="40" customFormat="1" ht="19.5" customHeight="1">
      <c r="A703" s="25">
        <f t="shared" si="10"/>
        <v>698</v>
      </c>
      <c r="B703" s="26">
        <v>6249066</v>
      </c>
      <c r="C703" s="27">
        <v>46010</v>
      </c>
      <c r="D703" s="28" t="s">
        <v>141</v>
      </c>
      <c r="E703" s="29">
        <v>249533</v>
      </c>
      <c r="F703" s="30" t="s">
        <v>2610</v>
      </c>
      <c r="G703" s="27">
        <v>46020</v>
      </c>
      <c r="H703" s="28" t="s">
        <v>141</v>
      </c>
      <c r="I703" s="29">
        <v>249533</v>
      </c>
      <c r="J703" s="34" t="s">
        <v>103</v>
      </c>
      <c r="K703" t="s">
        <v>1190</v>
      </c>
      <c r="L703" s="35" t="s">
        <v>2611</v>
      </c>
      <c r="M703" s="36" t="s">
        <v>2612</v>
      </c>
      <c r="N703" s="37" t="s">
        <v>2613</v>
      </c>
      <c r="O703" t="s">
        <v>2614</v>
      </c>
      <c r="P703" t="s">
        <v>2615</v>
      </c>
      <c r="Q703" t="s">
        <v>2616</v>
      </c>
      <c r="R703" s="38">
        <v>46023</v>
      </c>
      <c r="S703" s="39">
        <v>47118</v>
      </c>
      <c r="T703" s="38">
        <v>46036</v>
      </c>
      <c r="U703" s="39">
        <v>47131</v>
      </c>
      <c r="V703" s="40" t="s">
        <v>80</v>
      </c>
      <c r="W703" s="41" t="s">
        <v>114</v>
      </c>
      <c r="X703" s="40" t="s">
        <v>2617</v>
      </c>
      <c r="Y703" s="40" t="s">
        <v>56</v>
      </c>
      <c r="Z703" s="40" t="s">
        <v>81</v>
      </c>
      <c r="AA703" s="62" t="s">
        <v>2618</v>
      </c>
      <c r="AB703" s="44">
        <v>46024</v>
      </c>
      <c r="AC703" s="63"/>
      <c r="AD703" s="46"/>
      <c r="AE703"/>
      <c r="AF703" s="39"/>
      <c r="AG703" s="49"/>
      <c r="AH703" s="49"/>
      <c r="AI703" s="49"/>
      <c r="AJ703"/>
    </row>
    <row r="704" spans="1:36" s="40" customFormat="1" ht="19.5" customHeight="1">
      <c r="A704" s="25">
        <f t="shared" si="10"/>
        <v>699</v>
      </c>
      <c r="B704" s="26">
        <v>6249058</v>
      </c>
      <c r="C704" s="27">
        <v>46010</v>
      </c>
      <c r="D704" s="28">
        <v>18414.37</v>
      </c>
      <c r="E704" s="29">
        <v>143271.16</v>
      </c>
      <c r="F704" s="30">
        <v>1571338</v>
      </c>
      <c r="G704" s="27">
        <v>46020</v>
      </c>
      <c r="H704" s="32">
        <v>18414.37</v>
      </c>
      <c r="I704" s="33">
        <v>143271.16</v>
      </c>
      <c r="J704" s="34" t="s">
        <v>33</v>
      </c>
      <c r="K704" t="s">
        <v>34</v>
      </c>
      <c r="L704" s="35">
        <v>312223098</v>
      </c>
      <c r="M704" s="36" t="s">
        <v>2359</v>
      </c>
      <c r="N704" s="37" t="s">
        <v>1346</v>
      </c>
      <c r="O704" t="s">
        <v>2439</v>
      </c>
      <c r="P704" t="s">
        <v>2440</v>
      </c>
      <c r="Q704" t="s">
        <v>2619</v>
      </c>
      <c r="R704" s="38">
        <v>46023</v>
      </c>
      <c r="S704" s="39">
        <v>46387</v>
      </c>
      <c r="T704" s="38">
        <v>46018</v>
      </c>
      <c r="U704" s="39">
        <v>46382</v>
      </c>
      <c r="V704" s="40" t="s">
        <v>2620</v>
      </c>
      <c r="W704" s="41" t="s">
        <v>39</v>
      </c>
      <c r="X704" s="40" t="s">
        <v>2442</v>
      </c>
      <c r="Y704" s="40" t="s">
        <v>185</v>
      </c>
      <c r="Z704"/>
      <c r="AA704" s="62"/>
      <c r="AB704" s="44"/>
      <c r="AC704" s="63">
        <v>10000031614</v>
      </c>
      <c r="AD704" s="46">
        <v>46022</v>
      </c>
      <c r="AE704"/>
      <c r="AF704" s="39"/>
      <c r="AG704" s="49"/>
      <c r="AH704" s="49"/>
      <c r="AI704" s="49"/>
      <c r="AJ704"/>
    </row>
    <row r="705" spans="1:36" s="40" customFormat="1" ht="19.5" customHeight="1">
      <c r="A705" s="25">
        <f t="shared" si="10"/>
        <v>700</v>
      </c>
      <c r="B705" s="26">
        <v>6249092</v>
      </c>
      <c r="C705" s="27">
        <v>46010</v>
      </c>
      <c r="D705" s="28" t="s">
        <v>141</v>
      </c>
      <c r="E705" s="29">
        <v>197237.74</v>
      </c>
      <c r="F705" s="30" t="s">
        <v>2621</v>
      </c>
      <c r="G705" s="27">
        <v>46013</v>
      </c>
      <c r="H705" s="28" t="s">
        <v>141</v>
      </c>
      <c r="I705" s="29">
        <v>197237.74</v>
      </c>
      <c r="J705" s="34" t="s">
        <v>103</v>
      </c>
      <c r="K705" t="s">
        <v>107</v>
      </c>
      <c r="L705" s="35" t="s">
        <v>2622</v>
      </c>
      <c r="M705" s="36" t="s">
        <v>2623</v>
      </c>
      <c r="N705" s="37" t="s">
        <v>2624</v>
      </c>
      <c r="O705" t="s">
        <v>2614</v>
      </c>
      <c r="P705" t="s">
        <v>2615</v>
      </c>
      <c r="Q705" t="s">
        <v>2616</v>
      </c>
      <c r="R705" s="38">
        <v>46023</v>
      </c>
      <c r="S705" s="39">
        <v>47118</v>
      </c>
      <c r="T705" s="38">
        <v>46023</v>
      </c>
      <c r="U705" s="39">
        <v>47118</v>
      </c>
      <c r="V705" s="40" t="s">
        <v>80</v>
      </c>
      <c r="W705" s="41" t="s">
        <v>114</v>
      </c>
      <c r="X705" s="40" t="s">
        <v>2625</v>
      </c>
      <c r="Y705" s="40" t="s">
        <v>56</v>
      </c>
      <c r="Z705" s="40" t="s">
        <v>81</v>
      </c>
      <c r="AA705" s="62"/>
      <c r="AB705" s="44"/>
      <c r="AC705" s="63"/>
      <c r="AD705" s="46"/>
      <c r="AE705"/>
      <c r="AF705" s="39"/>
      <c r="AG705" s="49"/>
      <c r="AH705" s="49"/>
      <c r="AI705" s="49"/>
      <c r="AJ705"/>
    </row>
    <row r="706" spans="1:36" s="40" customFormat="1" ht="19.5" customHeight="1">
      <c r="A706" s="25">
        <f t="shared" si="10"/>
        <v>701</v>
      </c>
      <c r="B706" s="26">
        <v>6249088</v>
      </c>
      <c r="C706" s="27">
        <v>46010</v>
      </c>
      <c r="D706" s="80" t="s">
        <v>141</v>
      </c>
      <c r="E706" s="29">
        <v>7766.82</v>
      </c>
      <c r="F706" s="30" t="s">
        <v>2626</v>
      </c>
      <c r="G706" s="27">
        <v>46015</v>
      </c>
      <c r="H706" s="80" t="s">
        <v>141</v>
      </c>
      <c r="I706" s="29">
        <v>7766.82</v>
      </c>
      <c r="J706" s="34" t="s">
        <v>159</v>
      </c>
      <c r="K706" t="s">
        <v>160</v>
      </c>
      <c r="L706" s="35" t="s">
        <v>2627</v>
      </c>
      <c r="M706" s="36" t="s">
        <v>2628</v>
      </c>
      <c r="N706" s="37" t="s">
        <v>1651</v>
      </c>
      <c r="O706" t="s">
        <v>2629</v>
      </c>
      <c r="P706" t="s">
        <v>2630</v>
      </c>
      <c r="Q706" t="s">
        <v>2631</v>
      </c>
      <c r="R706" s="38">
        <v>46049</v>
      </c>
      <c r="S706" s="39">
        <v>46387</v>
      </c>
      <c r="T706" s="38">
        <v>46049</v>
      </c>
      <c r="U706" s="39">
        <v>46387</v>
      </c>
      <c r="V706" s="40" t="s">
        <v>245</v>
      </c>
      <c r="W706" s="41" t="s">
        <v>39</v>
      </c>
      <c r="X706" s="40" t="s">
        <v>2632</v>
      </c>
      <c r="Y706" s="40" t="s">
        <v>56</v>
      </c>
      <c r="Z706"/>
      <c r="AA706" s="62"/>
      <c r="AB706" s="44"/>
      <c r="AC706" s="63" t="s">
        <v>2633</v>
      </c>
      <c r="AD706" s="46">
        <v>46027</v>
      </c>
      <c r="AE706">
        <v>3195357</v>
      </c>
      <c r="AF706" s="39">
        <v>46079</v>
      </c>
      <c r="AG706" s="49"/>
      <c r="AH706" s="49"/>
      <c r="AI706" s="49"/>
      <c r="AJ706"/>
    </row>
    <row r="707" spans="1:36" s="40" customFormat="1" ht="19.5" customHeight="1">
      <c r="A707" s="25">
        <f t="shared" si="10"/>
        <v>702</v>
      </c>
      <c r="B707" s="26">
        <v>6249095</v>
      </c>
      <c r="C707" s="27">
        <v>46010</v>
      </c>
      <c r="D707" s="80" t="s">
        <v>141</v>
      </c>
      <c r="E707" s="29">
        <v>203180.85</v>
      </c>
      <c r="F707" s="30" t="s">
        <v>2634</v>
      </c>
      <c r="G707" s="27">
        <v>46015</v>
      </c>
      <c r="H707" s="80" t="s">
        <v>141</v>
      </c>
      <c r="I707" s="29">
        <v>203180.85</v>
      </c>
      <c r="J707" s="34" t="s">
        <v>103</v>
      </c>
      <c r="K707" t="s">
        <v>107</v>
      </c>
      <c r="L707" s="35" t="s">
        <v>2635</v>
      </c>
      <c r="M707" s="36" t="s">
        <v>2636</v>
      </c>
      <c r="N707" s="37" t="s">
        <v>2637</v>
      </c>
      <c r="O707" t="s">
        <v>2614</v>
      </c>
      <c r="P707" t="s">
        <v>2615</v>
      </c>
      <c r="Q707" t="s">
        <v>2616</v>
      </c>
      <c r="R707" s="38">
        <v>46023</v>
      </c>
      <c r="S707" s="39">
        <v>47118</v>
      </c>
      <c r="T707" s="38">
        <v>46023</v>
      </c>
      <c r="U707" s="39">
        <v>46387</v>
      </c>
      <c r="V707" s="40" t="s">
        <v>80</v>
      </c>
      <c r="W707" s="41" t="s">
        <v>114</v>
      </c>
      <c r="X707" s="40" t="s">
        <v>2638</v>
      </c>
      <c r="Y707" s="40" t="s">
        <v>56</v>
      </c>
      <c r="Z707" s="40" t="s">
        <v>81</v>
      </c>
      <c r="AA707" s="62" t="s">
        <v>2639</v>
      </c>
      <c r="AB707" s="44">
        <v>46051</v>
      </c>
      <c r="AC707" s="63"/>
      <c r="AD707" s="46"/>
      <c r="AE707"/>
      <c r="AF707" s="39"/>
      <c r="AG707" s="49"/>
      <c r="AH707" s="49"/>
      <c r="AI707" s="49"/>
      <c r="AJ707"/>
    </row>
    <row r="708" spans="1:36" s="280" customFormat="1" ht="19.5" customHeight="1">
      <c r="A708" s="257">
        <f t="shared" ref="A708:A771" si="11">A707+1</f>
        <v>703</v>
      </c>
      <c r="B708" s="299">
        <v>6249101</v>
      </c>
      <c r="C708" s="300">
        <v>46010</v>
      </c>
      <c r="D708" s="301" t="s">
        <v>141</v>
      </c>
      <c r="E708" s="321">
        <v>7630</v>
      </c>
      <c r="F708" s="30" t="s">
        <v>2640</v>
      </c>
      <c r="G708" s="300">
        <v>46022</v>
      </c>
      <c r="H708" s="301" t="s">
        <v>141</v>
      </c>
      <c r="I708" s="302">
        <f>1770+1770+1770</f>
        <v>5310</v>
      </c>
      <c r="J708" s="304" t="s">
        <v>33</v>
      </c>
      <c r="K708" s="279" t="s">
        <v>139</v>
      </c>
      <c r="L708" s="322" t="s">
        <v>2641</v>
      </c>
      <c r="M708" s="306" t="s">
        <v>2642</v>
      </c>
      <c r="N708" s="307" t="s">
        <v>2643</v>
      </c>
      <c r="O708" s="279" t="s">
        <v>2614</v>
      </c>
      <c r="P708" s="279" t="s">
        <v>2615</v>
      </c>
      <c r="Q708" s="279" t="s">
        <v>2616</v>
      </c>
      <c r="R708" s="308">
        <v>46023</v>
      </c>
      <c r="S708" s="309">
        <v>47118</v>
      </c>
      <c r="T708" s="308">
        <v>46023</v>
      </c>
      <c r="U708" s="309">
        <v>47118</v>
      </c>
      <c r="V708" s="280" t="s">
        <v>80</v>
      </c>
      <c r="W708" s="312" t="s">
        <v>114</v>
      </c>
      <c r="X708" s="280" t="s">
        <v>2644</v>
      </c>
      <c r="Y708" s="280" t="s">
        <v>56</v>
      </c>
      <c r="Z708" s="280" t="s">
        <v>81</v>
      </c>
      <c r="AA708" s="313"/>
      <c r="AB708" s="314"/>
      <c r="AC708" s="315"/>
      <c r="AD708" s="316"/>
      <c r="AE708" s="279"/>
      <c r="AF708" s="309"/>
      <c r="AG708" s="278" t="s">
        <v>2645</v>
      </c>
      <c r="AH708" s="278"/>
      <c r="AI708" s="278"/>
      <c r="AJ708" s="279"/>
    </row>
    <row r="709" spans="1:36" s="40" customFormat="1" ht="19.5" customHeight="1">
      <c r="A709" s="25">
        <f t="shared" si="11"/>
        <v>704</v>
      </c>
      <c r="B709" s="26">
        <v>6249119</v>
      </c>
      <c r="C709" s="27">
        <v>46010</v>
      </c>
      <c r="D709" s="28">
        <v>4744.84</v>
      </c>
      <c r="E709" s="29">
        <v>36916.6</v>
      </c>
      <c r="F709" s="30">
        <v>1571547</v>
      </c>
      <c r="G709" s="27">
        <v>46015</v>
      </c>
      <c r="H709" s="28">
        <f>4744.84-2800</f>
        <v>1944.8400000000001</v>
      </c>
      <c r="I709" s="29">
        <v>36916.6</v>
      </c>
      <c r="J709" s="34" t="s">
        <v>103</v>
      </c>
      <c r="K709" t="s">
        <v>104</v>
      </c>
      <c r="L709" s="35" t="s">
        <v>2646</v>
      </c>
      <c r="M709" s="36" t="s">
        <v>2647</v>
      </c>
      <c r="N709" s="37" t="s">
        <v>2648</v>
      </c>
      <c r="O709" t="s">
        <v>2614</v>
      </c>
      <c r="P709" t="s">
        <v>2615</v>
      </c>
      <c r="Q709" t="s">
        <v>2616</v>
      </c>
      <c r="R709" s="38">
        <v>46023</v>
      </c>
      <c r="S709" s="39">
        <v>47118</v>
      </c>
      <c r="T709" s="38">
        <v>46023</v>
      </c>
      <c r="U709" s="39">
        <v>46387</v>
      </c>
      <c r="V709" s="40" t="s">
        <v>80</v>
      </c>
      <c r="W709" s="41" t="s">
        <v>114</v>
      </c>
      <c r="X709" s="40" t="s">
        <v>2649</v>
      </c>
      <c r="Y709" s="40" t="s">
        <v>56</v>
      </c>
      <c r="Z709" s="40" t="s">
        <v>81</v>
      </c>
      <c r="AA709" s="62">
        <v>2025507830</v>
      </c>
      <c r="AB709" s="44">
        <v>46022</v>
      </c>
      <c r="AC709" s="63">
        <v>2025507830</v>
      </c>
      <c r="AD709" s="44">
        <v>46022</v>
      </c>
      <c r="AE709" s="325" t="s">
        <v>2650</v>
      </c>
      <c r="AF709" s="39">
        <v>46106</v>
      </c>
      <c r="AG709" s="49"/>
      <c r="AH709" s="49"/>
      <c r="AI709" s="49"/>
      <c r="AJ709"/>
    </row>
    <row r="710" spans="1:36" s="40" customFormat="1" ht="19.5" customHeight="1">
      <c r="A710" s="25">
        <f t="shared" si="11"/>
        <v>705</v>
      </c>
      <c r="B710" s="26">
        <v>6249098</v>
      </c>
      <c r="C710" s="27">
        <v>46010</v>
      </c>
      <c r="D710" s="80" t="s">
        <v>141</v>
      </c>
      <c r="E710" s="29">
        <v>6178.16</v>
      </c>
      <c r="F710" s="30" t="s">
        <v>2651</v>
      </c>
      <c r="G710" s="27">
        <v>46015</v>
      </c>
      <c r="H710" s="80" t="s">
        <v>141</v>
      </c>
      <c r="I710" s="29">
        <v>6178.16</v>
      </c>
      <c r="J710" s="34" t="s">
        <v>159</v>
      </c>
      <c r="K710" t="s">
        <v>160</v>
      </c>
      <c r="L710" s="35" t="s">
        <v>2652</v>
      </c>
      <c r="M710" s="36" t="s">
        <v>2653</v>
      </c>
      <c r="N710" s="37" t="s">
        <v>1615</v>
      </c>
      <c r="O710" t="s">
        <v>2629</v>
      </c>
      <c r="P710" t="s">
        <v>2630</v>
      </c>
      <c r="Q710" t="s">
        <v>2631</v>
      </c>
      <c r="R710" s="38">
        <v>46049</v>
      </c>
      <c r="S710" s="39">
        <v>46387</v>
      </c>
      <c r="T710" s="38">
        <v>46049</v>
      </c>
      <c r="U710" s="39">
        <v>46387</v>
      </c>
      <c r="V710" s="40" t="s">
        <v>245</v>
      </c>
      <c r="W710" s="41" t="s">
        <v>39</v>
      </c>
      <c r="X710" s="40" t="s">
        <v>2632</v>
      </c>
      <c r="Y710" s="40" t="s">
        <v>56</v>
      </c>
      <c r="Z710"/>
      <c r="AA710" s="62"/>
      <c r="AB710" s="44"/>
      <c r="AC710" s="63" t="s">
        <v>2654</v>
      </c>
      <c r="AD710" s="46">
        <v>46143</v>
      </c>
      <c r="AE710">
        <v>3195386</v>
      </c>
      <c r="AF710" s="39">
        <v>46079</v>
      </c>
      <c r="AG710" s="49"/>
      <c r="AH710" s="49"/>
      <c r="AI710" s="49"/>
      <c r="AJ710"/>
    </row>
    <row r="711" spans="1:36" s="40" customFormat="1" ht="19.5" customHeight="1">
      <c r="A711" s="25">
        <f t="shared" si="11"/>
        <v>706</v>
      </c>
      <c r="B711" s="26">
        <v>6249133</v>
      </c>
      <c r="C711" s="27">
        <v>46010</v>
      </c>
      <c r="D711" s="28">
        <v>19077.810000000001</v>
      </c>
      <c r="E711" s="29">
        <v>148432.99</v>
      </c>
      <c r="F711" s="30">
        <v>1570985</v>
      </c>
      <c r="G711" s="27">
        <v>46013</v>
      </c>
      <c r="H711" s="28">
        <v>19077.810000000001</v>
      </c>
      <c r="I711" s="29">
        <v>148432.99</v>
      </c>
      <c r="J711" s="34" t="s">
        <v>33</v>
      </c>
      <c r="K711" t="s">
        <v>34</v>
      </c>
      <c r="L711" s="35">
        <v>451990399</v>
      </c>
      <c r="M711" s="36" t="s">
        <v>2118</v>
      </c>
      <c r="N711" s="37" t="s">
        <v>1346</v>
      </c>
      <c r="O711" t="s">
        <v>2614</v>
      </c>
      <c r="P711" t="s">
        <v>2615</v>
      </c>
      <c r="Q711" t="s">
        <v>2616</v>
      </c>
      <c r="R711" s="38">
        <v>46023</v>
      </c>
      <c r="S711" s="39">
        <v>47118</v>
      </c>
      <c r="T711" s="38">
        <v>46023</v>
      </c>
      <c r="U711" s="39">
        <v>46387</v>
      </c>
      <c r="V711" s="40" t="s">
        <v>80</v>
      </c>
      <c r="W711" s="41" t="s">
        <v>114</v>
      </c>
      <c r="X711" s="40" t="s">
        <v>2655</v>
      </c>
      <c r="Y711" s="40" t="s">
        <v>56</v>
      </c>
      <c r="Z711" s="40" t="s">
        <v>81</v>
      </c>
      <c r="AA711" s="62"/>
      <c r="AB711" s="44"/>
      <c r="AC711" s="63">
        <v>10000014651</v>
      </c>
      <c r="AD711" s="46">
        <v>46014</v>
      </c>
      <c r="AE711">
        <v>3189401</v>
      </c>
      <c r="AF711" s="39">
        <v>46037</v>
      </c>
      <c r="AG711" s="49"/>
      <c r="AH711" s="49"/>
      <c r="AI711" s="49"/>
      <c r="AJ711"/>
    </row>
    <row r="712" spans="1:36" s="40" customFormat="1" ht="19.5" customHeight="1">
      <c r="A712" s="25">
        <f t="shared" si="11"/>
        <v>707</v>
      </c>
      <c r="B712" s="26">
        <v>6249141</v>
      </c>
      <c r="C712" s="27">
        <v>46010</v>
      </c>
      <c r="D712" s="28">
        <v>2672.44</v>
      </c>
      <c r="E712" s="29">
        <v>20792.650000000001</v>
      </c>
      <c r="F712" s="30">
        <v>1570990</v>
      </c>
      <c r="G712" s="27">
        <v>46013</v>
      </c>
      <c r="H712" s="28">
        <v>2672.44</v>
      </c>
      <c r="I712" s="29">
        <v>20792.650000000001</v>
      </c>
      <c r="J712" s="34" t="s">
        <v>33</v>
      </c>
      <c r="K712" t="s">
        <v>34</v>
      </c>
      <c r="L712" s="35">
        <v>262283257</v>
      </c>
      <c r="M712" s="36" t="s">
        <v>2149</v>
      </c>
      <c r="N712" s="37" t="s">
        <v>1540</v>
      </c>
      <c r="O712" t="s">
        <v>2614</v>
      </c>
      <c r="P712" t="s">
        <v>2615</v>
      </c>
      <c r="Q712" t="s">
        <v>2616</v>
      </c>
      <c r="R712" s="38">
        <v>46023</v>
      </c>
      <c r="S712" s="39">
        <v>47118</v>
      </c>
      <c r="T712" s="38">
        <v>46023</v>
      </c>
      <c r="U712" s="39">
        <v>46387</v>
      </c>
      <c r="V712" s="40" t="s">
        <v>80</v>
      </c>
      <c r="W712" s="41" t="s">
        <v>114</v>
      </c>
      <c r="X712" s="40" t="s">
        <v>2656</v>
      </c>
      <c r="Y712" s="40" t="s">
        <v>56</v>
      </c>
      <c r="Z712" s="40" t="s">
        <v>81</v>
      </c>
      <c r="AA712" s="62"/>
      <c r="AB712" s="44"/>
      <c r="AC712" s="63">
        <v>10000014630</v>
      </c>
      <c r="AD712" s="46">
        <v>46014</v>
      </c>
      <c r="AE712"/>
      <c r="AF712" s="39"/>
      <c r="AG712" s="49"/>
      <c r="AH712" s="49"/>
      <c r="AI712" s="49"/>
      <c r="AJ712"/>
    </row>
    <row r="713" spans="1:36" s="40" customFormat="1" ht="19.5" customHeight="1">
      <c r="A713" s="25">
        <f t="shared" si="11"/>
        <v>708</v>
      </c>
      <c r="B713" s="26">
        <v>6249143</v>
      </c>
      <c r="C713" s="27">
        <v>46010</v>
      </c>
      <c r="D713" s="28">
        <v>1059.08</v>
      </c>
      <c r="E713" s="29">
        <v>8240.07</v>
      </c>
      <c r="F713" s="30">
        <v>1570989</v>
      </c>
      <c r="G713" s="27">
        <v>46013</v>
      </c>
      <c r="H713" s="28">
        <v>1059.08</v>
      </c>
      <c r="I713" s="29">
        <v>8240.07</v>
      </c>
      <c r="J713" s="34" t="s">
        <v>33</v>
      </c>
      <c r="K713" t="s">
        <v>34</v>
      </c>
      <c r="L713" s="35">
        <v>252287194</v>
      </c>
      <c r="M713" s="36" t="s">
        <v>2149</v>
      </c>
      <c r="N713" s="37" t="s">
        <v>1377</v>
      </c>
      <c r="O713" t="s">
        <v>2614</v>
      </c>
      <c r="P713" t="s">
        <v>2615</v>
      </c>
      <c r="Q713" t="s">
        <v>2616</v>
      </c>
      <c r="R713" s="38">
        <v>46023</v>
      </c>
      <c r="S713" s="39">
        <v>47118</v>
      </c>
      <c r="T713" s="38">
        <v>46023</v>
      </c>
      <c r="U713" s="39">
        <v>46752</v>
      </c>
      <c r="V713" s="40" t="s">
        <v>80</v>
      </c>
      <c r="W713" s="41" t="s">
        <v>114</v>
      </c>
      <c r="X713" s="40" t="s">
        <v>2657</v>
      </c>
      <c r="Y713" s="40" t="s">
        <v>56</v>
      </c>
      <c r="Z713" s="40" t="s">
        <v>81</v>
      </c>
      <c r="AA713" s="62"/>
      <c r="AB713" s="44"/>
      <c r="AC713" s="63">
        <v>10000014631</v>
      </c>
      <c r="AD713" s="46">
        <v>46014</v>
      </c>
      <c r="AE713">
        <v>3191228</v>
      </c>
      <c r="AF713" s="39">
        <v>46050</v>
      </c>
      <c r="AG713" s="49"/>
      <c r="AH713" s="49"/>
      <c r="AI713" s="49"/>
      <c r="AJ713"/>
    </row>
    <row r="714" spans="1:36" s="40" customFormat="1" ht="19.5" customHeight="1">
      <c r="A714" s="25">
        <f t="shared" si="11"/>
        <v>709</v>
      </c>
      <c r="B714" s="26">
        <v>6249140</v>
      </c>
      <c r="C714" s="27">
        <v>46010</v>
      </c>
      <c r="D714" s="28">
        <v>2964.74</v>
      </c>
      <c r="E714" s="29">
        <v>23066.86</v>
      </c>
      <c r="F714" s="30">
        <v>1570995</v>
      </c>
      <c r="G714" s="27">
        <v>46015</v>
      </c>
      <c r="H714" s="32">
        <v>2964.74</v>
      </c>
      <c r="I714" s="33">
        <v>23066.86</v>
      </c>
      <c r="J714" s="34" t="s">
        <v>33</v>
      </c>
      <c r="K714" t="s">
        <v>34</v>
      </c>
      <c r="L714" s="35">
        <v>392223118</v>
      </c>
      <c r="M714" s="36" t="s">
        <v>2658</v>
      </c>
      <c r="N714" s="37" t="s">
        <v>1674</v>
      </c>
      <c r="O714" t="s">
        <v>2659</v>
      </c>
      <c r="P714" t="s">
        <v>2660</v>
      </c>
      <c r="Q714" t="s">
        <v>2661</v>
      </c>
      <c r="R714" s="38">
        <v>46023</v>
      </c>
      <c r="S714" s="39">
        <v>46387</v>
      </c>
      <c r="T714" s="38">
        <v>46023</v>
      </c>
      <c r="U714" s="39">
        <v>46387</v>
      </c>
      <c r="V714" s="40" t="s">
        <v>2662</v>
      </c>
      <c r="W714" s="41" t="s">
        <v>39</v>
      </c>
      <c r="X714" s="40" t="s">
        <v>2663</v>
      </c>
      <c r="Y714" s="40" t="s">
        <v>56</v>
      </c>
      <c r="Z714"/>
      <c r="AA714" s="62"/>
      <c r="AB714" s="44"/>
      <c r="AC714" s="63">
        <v>10000019650</v>
      </c>
      <c r="AD714" s="46">
        <v>46015</v>
      </c>
      <c r="AE714">
        <v>3194103</v>
      </c>
      <c r="AF714" s="39">
        <v>46065</v>
      </c>
      <c r="AG714" s="49"/>
      <c r="AH714" s="49"/>
      <c r="AI714" s="49"/>
      <c r="AJ714"/>
    </row>
    <row r="715" spans="1:36" s="40" customFormat="1" ht="19.5" customHeight="1">
      <c r="A715" s="25">
        <f t="shared" si="11"/>
        <v>710</v>
      </c>
      <c r="B715" s="26">
        <v>6249149</v>
      </c>
      <c r="C715" s="27">
        <v>46010</v>
      </c>
      <c r="D715" s="28">
        <f>1968.37+741.61</f>
        <v>2709.98</v>
      </c>
      <c r="E715" s="29">
        <v>21084.73</v>
      </c>
      <c r="F715" s="30">
        <v>1570960</v>
      </c>
      <c r="G715" s="27">
        <v>46013</v>
      </c>
      <c r="H715" s="28">
        <f>1968.37+741.61</f>
        <v>2709.98</v>
      </c>
      <c r="I715" s="29">
        <v>21084.73</v>
      </c>
      <c r="J715" s="34" t="s">
        <v>384</v>
      </c>
      <c r="K715" t="s">
        <v>34</v>
      </c>
      <c r="L715" s="249" t="s">
        <v>2664</v>
      </c>
      <c r="M715" s="36" t="s">
        <v>2665</v>
      </c>
      <c r="N715" s="37" t="s">
        <v>2000</v>
      </c>
      <c r="O715" t="s">
        <v>2614</v>
      </c>
      <c r="P715" t="s">
        <v>2615</v>
      </c>
      <c r="Q715" t="s">
        <v>2616</v>
      </c>
      <c r="R715" s="38">
        <v>46023</v>
      </c>
      <c r="S715" s="39">
        <v>47118</v>
      </c>
      <c r="T715" s="38">
        <v>46023</v>
      </c>
      <c r="U715" s="39">
        <v>46387</v>
      </c>
      <c r="V715" s="40" t="s">
        <v>80</v>
      </c>
      <c r="W715" s="41" t="s">
        <v>114</v>
      </c>
      <c r="X715" s="40" t="s">
        <v>2666</v>
      </c>
      <c r="Y715" s="40" t="s">
        <v>56</v>
      </c>
      <c r="Z715" s="40" t="s">
        <v>81</v>
      </c>
      <c r="AA715" s="62"/>
      <c r="AB715" s="44"/>
      <c r="AC715" s="63" t="s">
        <v>2667</v>
      </c>
      <c r="AD715" s="46">
        <v>46023</v>
      </c>
      <c r="AE715" t="s">
        <v>2668</v>
      </c>
      <c r="AF715" s="39">
        <v>46065</v>
      </c>
      <c r="AG715" s="49"/>
      <c r="AH715" s="49"/>
      <c r="AI715" s="49"/>
      <c r="AJ715"/>
    </row>
    <row r="716" spans="1:36" s="40" customFormat="1" ht="19.5" customHeight="1">
      <c r="A716" s="25">
        <f t="shared" si="11"/>
        <v>711</v>
      </c>
      <c r="B716" s="26">
        <v>6249152</v>
      </c>
      <c r="C716" s="27">
        <v>46010</v>
      </c>
      <c r="D716" s="28">
        <v>410.71</v>
      </c>
      <c r="E716" s="29">
        <v>3195.49</v>
      </c>
      <c r="F716" s="30">
        <v>1570987</v>
      </c>
      <c r="G716" s="27">
        <v>46014</v>
      </c>
      <c r="H716" s="28">
        <v>410.71</v>
      </c>
      <c r="I716" s="29">
        <v>3195.49</v>
      </c>
      <c r="J716" s="34" t="s">
        <v>33</v>
      </c>
      <c r="K716" t="s">
        <v>34</v>
      </c>
      <c r="L716" s="35">
        <v>292282916</v>
      </c>
      <c r="M716" s="36" t="s">
        <v>2149</v>
      </c>
      <c r="N716" s="37" t="s">
        <v>1674</v>
      </c>
      <c r="O716" t="s">
        <v>2614</v>
      </c>
      <c r="P716" t="s">
        <v>2615</v>
      </c>
      <c r="Q716" t="s">
        <v>2616</v>
      </c>
      <c r="R716" s="38">
        <v>46023</v>
      </c>
      <c r="S716" s="39">
        <v>47118</v>
      </c>
      <c r="T716" s="38">
        <v>46135</v>
      </c>
      <c r="U716" s="39">
        <v>46590</v>
      </c>
      <c r="V716" s="40" t="s">
        <v>80</v>
      </c>
      <c r="W716" s="41" t="s">
        <v>114</v>
      </c>
      <c r="X716" s="40" t="s">
        <v>2669</v>
      </c>
      <c r="Y716" s="40" t="s">
        <v>56</v>
      </c>
      <c r="Z716" s="40" t="s">
        <v>81</v>
      </c>
      <c r="AA716" s="62"/>
      <c r="AB716" s="44"/>
      <c r="AC716" s="63">
        <v>10000019576</v>
      </c>
      <c r="AD716" s="46">
        <v>46015</v>
      </c>
      <c r="AE716">
        <v>3189404</v>
      </c>
      <c r="AF716" s="39">
        <v>46037</v>
      </c>
      <c r="AG716" s="49"/>
      <c r="AH716" s="49"/>
      <c r="AI716" s="49"/>
      <c r="AJ716"/>
    </row>
    <row r="717" spans="1:36" s="40" customFormat="1" ht="19.5" customHeight="1">
      <c r="A717" s="25">
        <f t="shared" si="11"/>
        <v>712</v>
      </c>
      <c r="B717" s="26">
        <v>6249150</v>
      </c>
      <c r="C717" s="27">
        <v>46010</v>
      </c>
      <c r="D717" s="28">
        <v>11260.76</v>
      </c>
      <c r="E717" s="29">
        <v>87613.22</v>
      </c>
      <c r="F717" s="30">
        <v>1571339</v>
      </c>
      <c r="G717" s="27">
        <v>46020</v>
      </c>
      <c r="H717" s="32">
        <v>11260.76</v>
      </c>
      <c r="I717" s="33">
        <v>87613.22</v>
      </c>
      <c r="J717" s="34" t="s">
        <v>33</v>
      </c>
      <c r="K717" t="s">
        <v>34</v>
      </c>
      <c r="L717" s="35">
        <v>332185364</v>
      </c>
      <c r="M717" s="36" t="s">
        <v>2149</v>
      </c>
      <c r="N717" s="37" t="s">
        <v>1684</v>
      </c>
      <c r="O717" t="s">
        <v>2659</v>
      </c>
      <c r="P717" t="s">
        <v>2660</v>
      </c>
      <c r="Q717" t="s">
        <v>2661</v>
      </c>
      <c r="R717" s="38">
        <v>46023</v>
      </c>
      <c r="S717" s="39">
        <v>46387</v>
      </c>
      <c r="T717" s="38">
        <v>46054</v>
      </c>
      <c r="U717" s="39">
        <v>46418</v>
      </c>
      <c r="V717" s="40" t="s">
        <v>1654</v>
      </c>
      <c r="W717" s="41" t="s">
        <v>39</v>
      </c>
      <c r="X717" s="40" t="s">
        <v>2670</v>
      </c>
      <c r="Y717" s="40" t="s">
        <v>185</v>
      </c>
      <c r="Z717"/>
      <c r="AA717" s="62"/>
      <c r="AB717" s="44"/>
      <c r="AC717" s="63">
        <v>10000029269</v>
      </c>
      <c r="AD717" s="46">
        <v>46021</v>
      </c>
      <c r="AE717">
        <v>3194089</v>
      </c>
      <c r="AF717" s="39">
        <v>46065</v>
      </c>
      <c r="AG717" s="49"/>
      <c r="AH717" s="49"/>
      <c r="AI717" s="49"/>
      <c r="AJ717"/>
    </row>
    <row r="718" spans="1:36" s="40" customFormat="1" ht="19.5" customHeight="1">
      <c r="A718" s="25">
        <f t="shared" si="11"/>
        <v>713</v>
      </c>
      <c r="B718" s="26">
        <v>6249157</v>
      </c>
      <c r="C718" s="27">
        <v>46010</v>
      </c>
      <c r="D718" s="28">
        <v>6982.07</v>
      </c>
      <c r="E718" s="29">
        <v>54323.3</v>
      </c>
      <c r="F718" s="30">
        <v>1570986</v>
      </c>
      <c r="G718" s="27">
        <v>46014</v>
      </c>
      <c r="H718" s="28">
        <v>6982.07</v>
      </c>
      <c r="I718" s="29">
        <v>54323.3</v>
      </c>
      <c r="J718" s="34" t="s">
        <v>33</v>
      </c>
      <c r="K718" t="s">
        <v>34</v>
      </c>
      <c r="L718" s="35">
        <v>282286945</v>
      </c>
      <c r="M718" s="36" t="s">
        <v>2149</v>
      </c>
      <c r="N718" s="37" t="s">
        <v>1684</v>
      </c>
      <c r="O718" t="s">
        <v>2614</v>
      </c>
      <c r="P718" t="s">
        <v>2615</v>
      </c>
      <c r="Q718" t="s">
        <v>2616</v>
      </c>
      <c r="R718" s="38">
        <v>46023</v>
      </c>
      <c r="S718" s="39">
        <v>47118</v>
      </c>
      <c r="T718" s="38">
        <v>46135</v>
      </c>
      <c r="U718" s="39">
        <v>46590</v>
      </c>
      <c r="V718" s="40" t="s">
        <v>80</v>
      </c>
      <c r="W718" s="41" t="s">
        <v>114</v>
      </c>
      <c r="X718" s="40" t="s">
        <v>2671</v>
      </c>
      <c r="Y718" s="40" t="s">
        <v>56</v>
      </c>
      <c r="Z718"/>
      <c r="AA718" s="62"/>
      <c r="AB718" s="44"/>
      <c r="AC718" s="63">
        <v>10000019609</v>
      </c>
      <c r="AD718" s="46">
        <v>46015</v>
      </c>
      <c r="AE718">
        <v>3194096</v>
      </c>
      <c r="AF718" s="39">
        <v>46065</v>
      </c>
      <c r="AG718" s="49"/>
      <c r="AH718" s="49"/>
      <c r="AI718" s="49"/>
      <c r="AJ718"/>
    </row>
    <row r="719" spans="1:36" s="40" customFormat="1" ht="19.5" customHeight="1">
      <c r="A719" s="25">
        <f t="shared" si="11"/>
        <v>714</v>
      </c>
      <c r="B719" s="26">
        <v>6249161</v>
      </c>
      <c r="C719" s="27">
        <v>46045</v>
      </c>
      <c r="D719" s="28">
        <v>581.37</v>
      </c>
      <c r="E719" s="29">
        <v>4523.29</v>
      </c>
      <c r="F719" s="30" t="s">
        <v>2672</v>
      </c>
      <c r="G719" s="27">
        <v>46048</v>
      </c>
      <c r="H719" s="68">
        <v>581.37</v>
      </c>
      <c r="I719" s="326">
        <v>4519.74</v>
      </c>
      <c r="J719" s="34" t="s">
        <v>33</v>
      </c>
      <c r="K719" t="s">
        <v>34</v>
      </c>
      <c r="L719" s="35">
        <v>302235054</v>
      </c>
      <c r="M719" s="36" t="s">
        <v>2129</v>
      </c>
      <c r="N719" s="37" t="s">
        <v>2571</v>
      </c>
      <c r="O719" t="s">
        <v>2614</v>
      </c>
      <c r="P719" t="s">
        <v>2615</v>
      </c>
      <c r="Q719" t="s">
        <v>2616</v>
      </c>
      <c r="R719" s="38">
        <v>46023</v>
      </c>
      <c r="S719" s="39">
        <v>47118</v>
      </c>
      <c r="T719" s="38">
        <v>46023</v>
      </c>
      <c r="U719" s="39">
        <v>46387</v>
      </c>
      <c r="V719" s="40" t="s">
        <v>80</v>
      </c>
      <c r="W719" s="41" t="s">
        <v>114</v>
      </c>
      <c r="X719" s="40" t="s">
        <v>2673</v>
      </c>
      <c r="Y719" s="40" t="s">
        <v>56</v>
      </c>
      <c r="Z719"/>
      <c r="AA719" s="62"/>
      <c r="AB719" s="44"/>
      <c r="AC719" s="63">
        <v>10000092771</v>
      </c>
      <c r="AD719" s="46">
        <v>46049</v>
      </c>
      <c r="AE719">
        <v>3197624</v>
      </c>
      <c r="AF719" s="39">
        <v>46092</v>
      </c>
      <c r="AG719" s="49"/>
      <c r="AH719" s="49"/>
      <c r="AI719" s="49"/>
      <c r="AJ719"/>
    </row>
    <row r="720" spans="1:36" s="40" customFormat="1" ht="19.5" customHeight="1">
      <c r="A720" s="25">
        <f t="shared" si="11"/>
        <v>715</v>
      </c>
      <c r="B720" s="26">
        <v>6249167</v>
      </c>
      <c r="C720" s="27">
        <v>46010</v>
      </c>
      <c r="D720" s="28">
        <v>171.46</v>
      </c>
      <c r="E720" s="29">
        <v>1334.03</v>
      </c>
      <c r="F720" s="30" t="s">
        <v>2674</v>
      </c>
      <c r="G720" s="27">
        <v>46015</v>
      </c>
      <c r="H720" s="28">
        <v>171.46</v>
      </c>
      <c r="I720" s="29">
        <v>1334.03</v>
      </c>
      <c r="J720" s="34" t="s">
        <v>33</v>
      </c>
      <c r="K720" t="s">
        <v>34</v>
      </c>
      <c r="L720" s="35">
        <v>421984301</v>
      </c>
      <c r="M720" s="36" t="s">
        <v>2149</v>
      </c>
      <c r="N720" s="37" t="s">
        <v>2573</v>
      </c>
      <c r="O720" t="s">
        <v>2614</v>
      </c>
      <c r="P720" t="s">
        <v>2615</v>
      </c>
      <c r="Q720" t="s">
        <v>2616</v>
      </c>
      <c r="R720" s="38">
        <v>46023</v>
      </c>
      <c r="S720" s="39">
        <v>47118</v>
      </c>
      <c r="T720" s="38">
        <v>46231</v>
      </c>
      <c r="U720" s="39">
        <v>46595</v>
      </c>
      <c r="V720" s="40" t="s">
        <v>80</v>
      </c>
      <c r="W720" s="41" t="s">
        <v>114</v>
      </c>
      <c r="X720" s="40" t="s">
        <v>2675</v>
      </c>
      <c r="Y720" s="40" t="s">
        <v>56</v>
      </c>
      <c r="Z720"/>
      <c r="AA720" s="62"/>
      <c r="AB720" s="44"/>
      <c r="AC720" s="63">
        <v>10000021055</v>
      </c>
      <c r="AD720" s="46">
        <v>46017</v>
      </c>
      <c r="AE720">
        <v>3189402</v>
      </c>
      <c r="AF720" s="39">
        <v>46037</v>
      </c>
      <c r="AG720" s="49"/>
      <c r="AH720" s="49"/>
      <c r="AI720" s="49"/>
      <c r="AJ720"/>
    </row>
    <row r="721" spans="1:36" s="40" customFormat="1" ht="19.5" customHeight="1">
      <c r="A721" s="25">
        <f t="shared" si="11"/>
        <v>716</v>
      </c>
      <c r="B721" s="26">
        <v>6249163</v>
      </c>
      <c r="C721" s="27">
        <v>46010</v>
      </c>
      <c r="D721" s="28">
        <v>2119.7600000000002</v>
      </c>
      <c r="E721" s="29">
        <v>16492.580000000002</v>
      </c>
      <c r="F721" s="30" t="s">
        <v>2676</v>
      </c>
      <c r="G721" s="27">
        <v>46015</v>
      </c>
      <c r="H721" s="32">
        <v>2119.7600000000002</v>
      </c>
      <c r="I721" s="33">
        <v>16492.580000000002</v>
      </c>
      <c r="J721" s="34" t="s">
        <v>33</v>
      </c>
      <c r="K721" t="s">
        <v>34</v>
      </c>
      <c r="L721" s="35">
        <v>272285944</v>
      </c>
      <c r="M721" s="36" t="s">
        <v>2149</v>
      </c>
      <c r="N721" s="37" t="s">
        <v>1346</v>
      </c>
      <c r="O721" t="s">
        <v>2677</v>
      </c>
      <c r="P721" t="s">
        <v>2678</v>
      </c>
      <c r="Q721" t="s">
        <v>2213</v>
      </c>
      <c r="R721" s="38">
        <v>46082</v>
      </c>
      <c r="S721" s="39">
        <v>46446</v>
      </c>
      <c r="T721" s="38">
        <v>46190</v>
      </c>
      <c r="U721" s="39">
        <v>46554</v>
      </c>
      <c r="V721" s="40" t="s">
        <v>60</v>
      </c>
      <c r="W721" s="41" t="s">
        <v>39</v>
      </c>
      <c r="X721" s="40" t="s">
        <v>2679</v>
      </c>
      <c r="Y721" s="40" t="s">
        <v>56</v>
      </c>
      <c r="Z721" t="s">
        <v>81</v>
      </c>
      <c r="AA721" s="62"/>
      <c r="AB721" s="44"/>
      <c r="AC721" s="63">
        <v>10000023724</v>
      </c>
      <c r="AD721" s="46">
        <v>46020</v>
      </c>
      <c r="AE721">
        <v>3195397</v>
      </c>
      <c r="AF721" s="39">
        <v>46079</v>
      </c>
      <c r="AG721" s="49"/>
      <c r="AH721" s="49"/>
      <c r="AI721" s="49"/>
      <c r="AJ721"/>
    </row>
    <row r="722" spans="1:36" s="40" customFormat="1" ht="19.5" customHeight="1">
      <c r="A722" s="25">
        <f t="shared" si="11"/>
        <v>717</v>
      </c>
      <c r="B722" s="26">
        <v>6249185</v>
      </c>
      <c r="C722" s="27">
        <v>46010</v>
      </c>
      <c r="D722" s="80" t="s">
        <v>141</v>
      </c>
      <c r="E722" s="29">
        <v>1647.52</v>
      </c>
      <c r="F722" s="30" t="s">
        <v>2680</v>
      </c>
      <c r="G722" s="27">
        <v>46015</v>
      </c>
      <c r="H722" s="80" t="s">
        <v>141</v>
      </c>
      <c r="I722" s="29">
        <v>1647.52</v>
      </c>
      <c r="J722" s="34" t="s">
        <v>159</v>
      </c>
      <c r="K722" t="s">
        <v>160</v>
      </c>
      <c r="L722" s="35" t="s">
        <v>2681</v>
      </c>
      <c r="M722" s="36" t="s">
        <v>2682</v>
      </c>
      <c r="N722" s="37" t="s">
        <v>1651</v>
      </c>
      <c r="O722" t="s">
        <v>2683</v>
      </c>
      <c r="P722" t="s">
        <v>2684</v>
      </c>
      <c r="Q722" t="s">
        <v>2685</v>
      </c>
      <c r="R722" s="38">
        <v>46023</v>
      </c>
      <c r="S722" s="39">
        <v>46387</v>
      </c>
      <c r="T722" s="50" t="s">
        <v>141</v>
      </c>
      <c r="U722" s="47" t="s">
        <v>141</v>
      </c>
      <c r="V722" s="40" t="s">
        <v>521</v>
      </c>
      <c r="W722" s="41" t="s">
        <v>39</v>
      </c>
      <c r="X722" s="40" t="s">
        <v>2686</v>
      </c>
      <c r="Y722" s="40" t="s">
        <v>56</v>
      </c>
      <c r="Z722"/>
      <c r="AA722" s="62"/>
      <c r="AB722" s="44"/>
      <c r="AC722" s="63" t="s">
        <v>2687</v>
      </c>
      <c r="AD722" s="46">
        <v>46020</v>
      </c>
      <c r="AE722">
        <v>3193906</v>
      </c>
      <c r="AF722" s="39">
        <v>46065</v>
      </c>
      <c r="AG722" s="49"/>
      <c r="AH722" s="49"/>
      <c r="AI722" s="49"/>
      <c r="AJ722"/>
    </row>
    <row r="723" spans="1:36" s="40" customFormat="1" ht="19.5" customHeight="1">
      <c r="A723" s="25">
        <f t="shared" si="11"/>
        <v>718</v>
      </c>
      <c r="B723" s="26">
        <v>6249206</v>
      </c>
      <c r="C723" s="27">
        <v>46010</v>
      </c>
      <c r="D723" s="28">
        <v>556.66</v>
      </c>
      <c r="E723" s="29">
        <v>4331.04</v>
      </c>
      <c r="F723" s="30" t="s">
        <v>2688</v>
      </c>
      <c r="G723" s="27">
        <v>46015</v>
      </c>
      <c r="H723" s="32">
        <v>556.66</v>
      </c>
      <c r="I723" s="33">
        <v>4331.04</v>
      </c>
      <c r="J723" s="34" t="s">
        <v>33</v>
      </c>
      <c r="K723" t="s">
        <v>34</v>
      </c>
      <c r="L723" s="35">
        <v>252295215</v>
      </c>
      <c r="M723" s="36" t="s">
        <v>2129</v>
      </c>
      <c r="N723" s="37" t="s">
        <v>1346</v>
      </c>
      <c r="O723" t="s">
        <v>2689</v>
      </c>
      <c r="P723" t="s">
        <v>2690</v>
      </c>
      <c r="Q723" t="s">
        <v>2691</v>
      </c>
      <c r="R723" s="38">
        <v>46026</v>
      </c>
      <c r="S723" s="39">
        <v>46390</v>
      </c>
      <c r="T723" s="38">
        <v>46142</v>
      </c>
      <c r="U723" s="39">
        <v>46506</v>
      </c>
      <c r="V723" s="40" t="s">
        <v>38</v>
      </c>
      <c r="W723" s="41" t="s">
        <v>39</v>
      </c>
      <c r="X723" s="40" t="s">
        <v>2692</v>
      </c>
      <c r="Y723" s="40" t="s">
        <v>56</v>
      </c>
      <c r="Z723"/>
      <c r="AA723" s="62"/>
      <c r="AB723" s="44"/>
      <c r="AC723" s="63">
        <v>10000021053</v>
      </c>
      <c r="AD723" s="46">
        <v>46017</v>
      </c>
      <c r="AE723">
        <v>3195393</v>
      </c>
      <c r="AF723" s="39">
        <v>46079</v>
      </c>
      <c r="AG723" s="49"/>
      <c r="AH723" s="49"/>
      <c r="AI723" s="49"/>
      <c r="AJ723"/>
    </row>
    <row r="724" spans="1:36" s="280" customFormat="1" ht="19.5" customHeight="1">
      <c r="A724" s="257">
        <f t="shared" si="11"/>
        <v>719</v>
      </c>
      <c r="B724" s="299">
        <v>6249572</v>
      </c>
      <c r="C724" s="300">
        <v>46013</v>
      </c>
      <c r="D724" s="301" t="s">
        <v>141</v>
      </c>
      <c r="E724" s="321">
        <v>4670</v>
      </c>
      <c r="F724" s="30" t="s">
        <v>2693</v>
      </c>
      <c r="G724" s="300">
        <v>46014</v>
      </c>
      <c r="H724" s="301" t="s">
        <v>141</v>
      </c>
      <c r="I724" s="321">
        <v>4670</v>
      </c>
      <c r="J724" s="304" t="s">
        <v>33</v>
      </c>
      <c r="K724" s="279" t="s">
        <v>139</v>
      </c>
      <c r="L724" s="322">
        <v>80005287</v>
      </c>
      <c r="M724" s="306" t="s">
        <v>2694</v>
      </c>
      <c r="N724" s="307" t="s">
        <v>1383</v>
      </c>
      <c r="O724" s="279" t="s">
        <v>2695</v>
      </c>
      <c r="P724" s="279" t="s">
        <v>2696</v>
      </c>
      <c r="Q724" s="279" t="s">
        <v>1833</v>
      </c>
      <c r="R724" s="308">
        <v>45925</v>
      </c>
      <c r="S724" s="309">
        <v>46350</v>
      </c>
      <c r="T724" s="310" t="s">
        <v>141</v>
      </c>
      <c r="U724" s="311" t="s">
        <v>141</v>
      </c>
      <c r="V724" s="280" t="s">
        <v>954</v>
      </c>
      <c r="W724" s="312" t="s">
        <v>39</v>
      </c>
      <c r="X724" s="280" t="s">
        <v>2697</v>
      </c>
      <c r="Y724" s="280" t="s">
        <v>1940</v>
      </c>
      <c r="Z724" s="279" t="s">
        <v>81</v>
      </c>
      <c r="AA724" s="313"/>
      <c r="AB724" s="314"/>
      <c r="AC724" s="315"/>
      <c r="AD724" s="316"/>
      <c r="AE724" s="279"/>
      <c r="AF724" s="309"/>
      <c r="AG724" s="278"/>
      <c r="AH724" s="278"/>
      <c r="AI724" s="278"/>
      <c r="AJ724" s="279"/>
    </row>
    <row r="725" spans="1:36" s="40" customFormat="1" ht="19.5" customHeight="1">
      <c r="A725" s="25">
        <f t="shared" si="11"/>
        <v>720</v>
      </c>
      <c r="B725" s="26">
        <v>6249596</v>
      </c>
      <c r="C725" s="27">
        <v>46013</v>
      </c>
      <c r="D725" s="219" t="s">
        <v>141</v>
      </c>
      <c r="E725" s="72">
        <v>31160</v>
      </c>
      <c r="F725" s="30" t="s">
        <v>2698</v>
      </c>
      <c r="G725" s="27">
        <v>46020</v>
      </c>
      <c r="H725" s="219" t="s">
        <v>141</v>
      </c>
      <c r="I725" s="74">
        <v>31160</v>
      </c>
      <c r="J725" s="34" t="s">
        <v>33</v>
      </c>
      <c r="K725" t="s">
        <v>733</v>
      </c>
      <c r="L725" s="35" t="s">
        <v>2699</v>
      </c>
      <c r="M725" s="36" t="s">
        <v>2700</v>
      </c>
      <c r="N725" s="75" t="s">
        <v>2701</v>
      </c>
      <c r="O725" t="s">
        <v>2659</v>
      </c>
      <c r="P725" t="s">
        <v>2660</v>
      </c>
      <c r="Q725" t="s">
        <v>2702</v>
      </c>
      <c r="R725" s="38">
        <v>46023</v>
      </c>
      <c r="S725" s="39">
        <v>46387</v>
      </c>
      <c r="T725" s="50" t="s">
        <v>141</v>
      </c>
      <c r="U725" s="47" t="s">
        <v>141</v>
      </c>
      <c r="V725" s="40" t="s">
        <v>1654</v>
      </c>
      <c r="W725" s="41" t="s">
        <v>39</v>
      </c>
      <c r="X725" s="40" t="s">
        <v>2670</v>
      </c>
      <c r="Y725" s="40" t="s">
        <v>185</v>
      </c>
      <c r="Z725"/>
      <c r="AA725" s="62" t="s">
        <v>2703</v>
      </c>
      <c r="AB725" s="44" t="s">
        <v>2704</v>
      </c>
      <c r="AC725" s="63" t="s">
        <v>2705</v>
      </c>
      <c r="AD725" s="46">
        <v>46142</v>
      </c>
      <c r="AE725">
        <v>3205435</v>
      </c>
      <c r="AF725" s="39">
        <v>46153</v>
      </c>
      <c r="AG725" s="49"/>
      <c r="AH725" s="49"/>
      <c r="AI725" s="49"/>
      <c r="AJ725"/>
    </row>
    <row r="726" spans="1:36" s="40" customFormat="1" ht="19.5" customHeight="1">
      <c r="A726" s="25">
        <f t="shared" si="11"/>
        <v>721</v>
      </c>
      <c r="B726" s="26">
        <v>6249664</v>
      </c>
      <c r="C726" s="27">
        <v>46013</v>
      </c>
      <c r="D726" s="80" t="s">
        <v>141</v>
      </c>
      <c r="E726" s="29">
        <v>23534.78</v>
      </c>
      <c r="F726" s="30" t="s">
        <v>2706</v>
      </c>
      <c r="G726" s="27">
        <v>46021</v>
      </c>
      <c r="H726" s="80" t="s">
        <v>141</v>
      </c>
      <c r="I726" s="33">
        <v>23534.78</v>
      </c>
      <c r="J726" s="34" t="s">
        <v>159</v>
      </c>
      <c r="K726" t="s">
        <v>160</v>
      </c>
      <c r="L726" s="35" t="s">
        <v>2707</v>
      </c>
      <c r="M726" s="36" t="s">
        <v>2708</v>
      </c>
      <c r="N726" s="37" t="s">
        <v>1651</v>
      </c>
      <c r="O726" t="s">
        <v>2709</v>
      </c>
      <c r="P726" t="s">
        <v>2710</v>
      </c>
      <c r="Q726" t="s">
        <v>2491</v>
      </c>
      <c r="R726" s="38">
        <v>45863</v>
      </c>
      <c r="S726" s="39">
        <v>46227</v>
      </c>
      <c r="T726" s="50" t="s">
        <v>141</v>
      </c>
      <c r="U726" s="47" t="s">
        <v>141</v>
      </c>
      <c r="V726" s="40" t="s">
        <v>521</v>
      </c>
      <c r="W726" s="41" t="s">
        <v>39</v>
      </c>
      <c r="X726" s="40" t="s">
        <v>2711</v>
      </c>
      <c r="Y726" s="40" t="s">
        <v>185</v>
      </c>
      <c r="Z726"/>
      <c r="AA726" s="62"/>
      <c r="AB726" s="44"/>
      <c r="AC726" s="63"/>
      <c r="AD726" s="46"/>
      <c r="AE726">
        <v>3200371</v>
      </c>
      <c r="AF726" s="39">
        <v>46112</v>
      </c>
      <c r="AG726" s="49"/>
      <c r="AH726" s="49"/>
      <c r="AI726" s="49"/>
      <c r="AJ726"/>
    </row>
    <row r="727" spans="1:36" s="40" customFormat="1" ht="19.5" customHeight="1">
      <c r="A727" s="25">
        <f t="shared" si="11"/>
        <v>722</v>
      </c>
      <c r="B727" s="26">
        <v>6249682</v>
      </c>
      <c r="C727" s="27">
        <v>46013</v>
      </c>
      <c r="D727" s="28">
        <v>1420.36</v>
      </c>
      <c r="E727" s="29">
        <v>11050.97</v>
      </c>
      <c r="F727" s="30" t="s">
        <v>2712</v>
      </c>
      <c r="G727" s="27">
        <v>46020</v>
      </c>
      <c r="H727" s="28">
        <v>1420.36</v>
      </c>
      <c r="I727" s="29">
        <v>11050.97</v>
      </c>
      <c r="J727" s="34" t="s">
        <v>33</v>
      </c>
      <c r="K727" t="s">
        <v>34</v>
      </c>
      <c r="L727" s="35">
        <v>302218476</v>
      </c>
      <c r="M727" s="36" t="s">
        <v>2149</v>
      </c>
      <c r="N727" s="37" t="s">
        <v>1346</v>
      </c>
      <c r="O727" t="s">
        <v>2713</v>
      </c>
      <c r="P727" t="s">
        <v>2714</v>
      </c>
      <c r="Q727" t="s">
        <v>2715</v>
      </c>
      <c r="R727" s="38">
        <v>46040</v>
      </c>
      <c r="S727" s="39">
        <v>46409</v>
      </c>
      <c r="T727" s="38">
        <v>46045</v>
      </c>
      <c r="U727" s="39">
        <v>46409</v>
      </c>
      <c r="V727" s="40" t="s">
        <v>51</v>
      </c>
      <c r="W727" s="41" t="s">
        <v>39</v>
      </c>
      <c r="X727" s="40" t="s">
        <v>2716</v>
      </c>
      <c r="Y727" s="40" t="s">
        <v>56</v>
      </c>
      <c r="Z727"/>
      <c r="AA727" s="62"/>
      <c r="AB727" s="44"/>
      <c r="AC727" s="63">
        <v>10000029268</v>
      </c>
      <c r="AD727" s="46">
        <v>46021</v>
      </c>
      <c r="AE727" s="327">
        <v>3195390</v>
      </c>
      <c r="AF727" s="39">
        <v>46079</v>
      </c>
      <c r="AG727" s="49"/>
      <c r="AH727" s="49"/>
      <c r="AI727" s="49"/>
      <c r="AJ727"/>
    </row>
    <row r="728" spans="1:36" s="40" customFormat="1" ht="19.5" customHeight="1">
      <c r="A728" s="25">
        <f t="shared" si="11"/>
        <v>723</v>
      </c>
      <c r="B728" s="26">
        <v>6249737</v>
      </c>
      <c r="C728" s="27">
        <v>46013</v>
      </c>
      <c r="D728" s="80" t="s">
        <v>141</v>
      </c>
      <c r="E728" s="29">
        <v>3911.48</v>
      </c>
      <c r="F728" s="30" t="s">
        <v>2717</v>
      </c>
      <c r="G728" s="27">
        <v>46021</v>
      </c>
      <c r="H728" s="80" t="s">
        <v>141</v>
      </c>
      <c r="I728" s="29">
        <v>3911.48</v>
      </c>
      <c r="J728" s="34" t="s">
        <v>159</v>
      </c>
      <c r="K728" t="s">
        <v>398</v>
      </c>
      <c r="L728" s="35" t="s">
        <v>2718</v>
      </c>
      <c r="M728" s="36" t="s">
        <v>2719</v>
      </c>
      <c r="N728" s="37" t="s">
        <v>2720</v>
      </c>
      <c r="O728" t="s">
        <v>2721</v>
      </c>
      <c r="P728" t="s">
        <v>2722</v>
      </c>
      <c r="Q728" t="s">
        <v>2723</v>
      </c>
      <c r="R728" s="38">
        <v>45976</v>
      </c>
      <c r="S728" s="39">
        <v>46340</v>
      </c>
      <c r="T728" s="38">
        <v>46002</v>
      </c>
      <c r="U728" s="39">
        <v>46366</v>
      </c>
      <c r="V728" s="40" t="s">
        <v>1306</v>
      </c>
      <c r="W728" s="41" t="s">
        <v>39</v>
      </c>
      <c r="X728" s="286" t="s">
        <v>141</v>
      </c>
      <c r="Y728" s="40" t="s">
        <v>185</v>
      </c>
      <c r="Z728"/>
      <c r="AA728" s="62" t="s">
        <v>2724</v>
      </c>
      <c r="AB728" s="44">
        <v>46027</v>
      </c>
      <c r="AC728" s="62" t="s">
        <v>2724</v>
      </c>
      <c r="AD728" s="44">
        <v>46027</v>
      </c>
      <c r="AE728"/>
      <c r="AF728" s="39"/>
      <c r="AG728" s="49"/>
      <c r="AH728" s="49"/>
      <c r="AI728" s="49"/>
      <c r="AJ728"/>
    </row>
    <row r="729" spans="1:36" s="40" customFormat="1" ht="19.5" customHeight="1">
      <c r="A729" s="25">
        <f t="shared" si="11"/>
        <v>724</v>
      </c>
      <c r="B729" s="26">
        <v>6250004</v>
      </c>
      <c r="C729" s="27">
        <v>46014</v>
      </c>
      <c r="D729" s="28">
        <v>3614.28</v>
      </c>
      <c r="E729" s="29">
        <v>28120.54</v>
      </c>
      <c r="F729" s="30" t="s">
        <v>2725</v>
      </c>
      <c r="G729" s="27">
        <v>46020</v>
      </c>
      <c r="H729" s="32">
        <v>3614.28</v>
      </c>
      <c r="I729" s="33">
        <v>28120.54</v>
      </c>
      <c r="J729" s="34" t="s">
        <v>33</v>
      </c>
      <c r="K729" t="s">
        <v>34</v>
      </c>
      <c r="L729" s="35">
        <v>421996917</v>
      </c>
      <c r="M729" s="36" t="s">
        <v>2129</v>
      </c>
      <c r="N729" s="37" t="s">
        <v>1346</v>
      </c>
      <c r="O729" t="s">
        <v>2726</v>
      </c>
      <c r="P729" t="s">
        <v>2727</v>
      </c>
      <c r="Q729" t="s">
        <v>2728</v>
      </c>
      <c r="R729" s="38">
        <v>46023</v>
      </c>
      <c r="S729" s="39">
        <v>46387</v>
      </c>
      <c r="T729" s="38">
        <v>46023</v>
      </c>
      <c r="U729" s="39">
        <v>46387</v>
      </c>
      <c r="V729" s="40" t="s">
        <v>51</v>
      </c>
      <c r="W729" s="41" t="s">
        <v>39</v>
      </c>
      <c r="X729" s="40" t="s">
        <v>2729</v>
      </c>
      <c r="Y729" s="40" t="s">
        <v>56</v>
      </c>
      <c r="Z729"/>
      <c r="AA729" s="62"/>
      <c r="AB729" s="44"/>
      <c r="AC729" s="63">
        <v>10000029199</v>
      </c>
      <c r="AD729" s="46">
        <v>46021</v>
      </c>
      <c r="AE729">
        <v>3195389</v>
      </c>
      <c r="AF729" s="39">
        <v>46079</v>
      </c>
      <c r="AG729" s="49"/>
      <c r="AH729" s="49"/>
      <c r="AI729" s="49"/>
      <c r="AJ729"/>
    </row>
    <row r="730" spans="1:36" s="40" customFormat="1" ht="19.5" customHeight="1">
      <c r="A730" s="25">
        <f t="shared" si="11"/>
        <v>725</v>
      </c>
      <c r="B730" s="26">
        <v>6250030</v>
      </c>
      <c r="C730" s="27">
        <v>46014</v>
      </c>
      <c r="D730" s="28">
        <v>2480.65</v>
      </c>
      <c r="E730" s="29">
        <v>19300.45</v>
      </c>
      <c r="F730" s="30">
        <v>1571656</v>
      </c>
      <c r="G730" s="27">
        <v>46020</v>
      </c>
      <c r="H730" s="32">
        <v>2480.65</v>
      </c>
      <c r="I730" s="33">
        <v>19300.45</v>
      </c>
      <c r="J730" s="34" t="s">
        <v>33</v>
      </c>
      <c r="K730" t="s">
        <v>34</v>
      </c>
      <c r="L730" s="35">
        <v>262291174</v>
      </c>
      <c r="M730" s="36" t="s">
        <v>2149</v>
      </c>
      <c r="N730" s="37" t="s">
        <v>1540</v>
      </c>
      <c r="O730" t="s">
        <v>2730</v>
      </c>
      <c r="P730" t="s">
        <v>2731</v>
      </c>
      <c r="Q730" t="s">
        <v>2732</v>
      </c>
      <c r="R730" s="38">
        <v>46023</v>
      </c>
      <c r="S730" s="39">
        <v>46387</v>
      </c>
      <c r="T730" s="38">
        <v>46023</v>
      </c>
      <c r="U730" s="39">
        <v>46387</v>
      </c>
      <c r="V730" s="40" t="s">
        <v>590</v>
      </c>
      <c r="W730" s="41" t="s">
        <v>39</v>
      </c>
      <c r="X730" s="40" t="s">
        <v>2733</v>
      </c>
      <c r="Y730" s="40" t="s">
        <v>56</v>
      </c>
      <c r="Z730"/>
      <c r="AA730" s="62"/>
      <c r="AB730" s="44"/>
      <c r="AC730" s="63">
        <v>10000029347</v>
      </c>
      <c r="AD730" s="46">
        <v>46021</v>
      </c>
      <c r="AE730">
        <v>3194083</v>
      </c>
      <c r="AF730" s="39">
        <v>46065</v>
      </c>
      <c r="AG730" s="49"/>
      <c r="AH730" s="49"/>
      <c r="AI730" s="49"/>
      <c r="AJ730"/>
    </row>
    <row r="731" spans="1:36" s="40" customFormat="1" ht="19.5" customHeight="1">
      <c r="A731" s="25">
        <f t="shared" si="11"/>
        <v>726</v>
      </c>
      <c r="B731" s="26">
        <v>6250060</v>
      </c>
      <c r="C731" s="27">
        <v>46014</v>
      </c>
      <c r="D731" s="80" t="s">
        <v>141</v>
      </c>
      <c r="E731" s="29">
        <v>65624.83</v>
      </c>
      <c r="F731" s="248" t="s">
        <v>2734</v>
      </c>
      <c r="G731" s="27">
        <v>46141</v>
      </c>
      <c r="H731" s="80" t="s">
        <v>141</v>
      </c>
      <c r="I731" s="29">
        <v>65624.83</v>
      </c>
      <c r="J731" s="34" t="s">
        <v>159</v>
      </c>
      <c r="K731" t="s">
        <v>2735</v>
      </c>
      <c r="L731" s="35" t="s">
        <v>2736</v>
      </c>
      <c r="M731" s="36" t="s">
        <v>2737</v>
      </c>
      <c r="N731" s="37" t="s">
        <v>1525</v>
      </c>
      <c r="O731" t="s">
        <v>2496</v>
      </c>
      <c r="P731" t="s">
        <v>2497</v>
      </c>
      <c r="Q731" t="s">
        <v>2498</v>
      </c>
      <c r="R731" s="38">
        <v>45992</v>
      </c>
      <c r="S731" s="39">
        <v>46356</v>
      </c>
      <c r="T731" s="50" t="s">
        <v>141</v>
      </c>
      <c r="U731" s="47" t="s">
        <v>141</v>
      </c>
      <c r="V731" s="40" t="s">
        <v>245</v>
      </c>
      <c r="W731" s="41" t="s">
        <v>39</v>
      </c>
      <c r="X731" s="40" t="s">
        <v>2499</v>
      </c>
      <c r="Y731" s="40" t="s">
        <v>56</v>
      </c>
      <c r="Z731"/>
      <c r="AA731" s="62" t="s">
        <v>2738</v>
      </c>
      <c r="AB731" s="44"/>
      <c r="AC731" s="63" t="s">
        <v>2739</v>
      </c>
      <c r="AD731" s="46">
        <v>46161</v>
      </c>
      <c r="AE731"/>
      <c r="AF731" s="39"/>
      <c r="AG731" s="49"/>
      <c r="AH731" s="49"/>
      <c r="AI731" s="49"/>
      <c r="AJ731"/>
    </row>
    <row r="732" spans="1:36" s="40" customFormat="1" ht="19.5" customHeight="1">
      <c r="A732" s="25">
        <f t="shared" si="11"/>
        <v>727</v>
      </c>
      <c r="B732" s="26">
        <v>6250304</v>
      </c>
      <c r="C732" s="27">
        <v>46014</v>
      </c>
      <c r="D732" s="28">
        <v>18489.439999999999</v>
      </c>
      <c r="E732" s="29">
        <v>143855.24</v>
      </c>
      <c r="F732" s="30">
        <v>1571652</v>
      </c>
      <c r="G732" s="27">
        <v>46020</v>
      </c>
      <c r="H732" s="28">
        <v>18489.439999999999</v>
      </c>
      <c r="I732" s="29">
        <v>143855.24</v>
      </c>
      <c r="J732" s="34" t="s">
        <v>33</v>
      </c>
      <c r="K732" t="s">
        <v>34</v>
      </c>
      <c r="L732" s="35">
        <v>432003569</v>
      </c>
      <c r="M732" s="36" t="s">
        <v>2104</v>
      </c>
      <c r="N732" s="37" t="s">
        <v>2740</v>
      </c>
      <c r="O732" t="s">
        <v>2500</v>
      </c>
      <c r="P732" t="s">
        <v>2501</v>
      </c>
      <c r="Q732" t="s">
        <v>2502</v>
      </c>
      <c r="R732" s="38">
        <v>46023</v>
      </c>
      <c r="S732" s="39">
        <v>46752</v>
      </c>
      <c r="T732" s="38">
        <v>46280</v>
      </c>
      <c r="U732" s="39">
        <v>46752</v>
      </c>
      <c r="V732" s="40" t="s">
        <v>2741</v>
      </c>
      <c r="W732" s="41" t="s">
        <v>39</v>
      </c>
      <c r="X732" s="40" t="s">
        <v>2503</v>
      </c>
      <c r="Y732" s="79" t="s">
        <v>185</v>
      </c>
      <c r="Z732" s="40" t="s">
        <v>81</v>
      </c>
      <c r="AA732" s="62"/>
      <c r="AB732" s="44"/>
      <c r="AC732" s="63">
        <v>10000029224</v>
      </c>
      <c r="AD732" s="46">
        <v>46021</v>
      </c>
      <c r="AE732">
        <v>3194088</v>
      </c>
      <c r="AF732" s="39">
        <v>46065</v>
      </c>
      <c r="AG732" s="49"/>
      <c r="AH732" s="49"/>
      <c r="AI732" s="49"/>
      <c r="AJ732"/>
    </row>
    <row r="733" spans="1:36" s="40" customFormat="1" ht="19.5" customHeight="1">
      <c r="A733" s="25">
        <f t="shared" si="11"/>
        <v>728</v>
      </c>
      <c r="B733" s="26">
        <v>6250314</v>
      </c>
      <c r="C733" s="27">
        <v>46014</v>
      </c>
      <c r="D733" s="28">
        <v>18375.54</v>
      </c>
      <c r="E733" s="29">
        <v>142969.04999999999</v>
      </c>
      <c r="F733" s="30">
        <v>1571653</v>
      </c>
      <c r="G733" s="27">
        <v>46020</v>
      </c>
      <c r="H733" s="28">
        <v>18375.54</v>
      </c>
      <c r="I733" s="29">
        <v>142969.04999999999</v>
      </c>
      <c r="J733" s="34" t="s">
        <v>33</v>
      </c>
      <c r="K733" t="s">
        <v>34</v>
      </c>
      <c r="L733" s="35">
        <v>482002725</v>
      </c>
      <c r="M733" s="36" t="s">
        <v>2104</v>
      </c>
      <c r="N733" s="37" t="s">
        <v>2742</v>
      </c>
      <c r="O733" t="s">
        <v>2500</v>
      </c>
      <c r="P733" t="s">
        <v>2501</v>
      </c>
      <c r="Q733" t="s">
        <v>2502</v>
      </c>
      <c r="R733" s="38">
        <v>46023</v>
      </c>
      <c r="S733" s="39">
        <v>46752</v>
      </c>
      <c r="T733" s="38">
        <v>46306</v>
      </c>
      <c r="U733" s="39">
        <v>46752</v>
      </c>
      <c r="V733" s="40" t="s">
        <v>2741</v>
      </c>
      <c r="W733" s="41" t="s">
        <v>39</v>
      </c>
      <c r="X733" s="40" t="s">
        <v>2503</v>
      </c>
      <c r="Y733" s="79" t="s">
        <v>185</v>
      </c>
      <c r="Z733" s="40" t="s">
        <v>81</v>
      </c>
      <c r="AA733" s="62"/>
      <c r="AB733" s="44"/>
      <c r="AC733" s="63">
        <v>10000029364</v>
      </c>
      <c r="AD733" s="46">
        <v>46021</v>
      </c>
      <c r="AE733">
        <v>3194087</v>
      </c>
      <c r="AF733" s="39">
        <v>46065</v>
      </c>
      <c r="AG733" s="49"/>
      <c r="AH733" s="49"/>
      <c r="AI733" s="49"/>
      <c r="AJ733"/>
    </row>
    <row r="734" spans="1:36" s="40" customFormat="1" ht="19.5" customHeight="1">
      <c r="A734" s="25">
        <f t="shared" si="11"/>
        <v>729</v>
      </c>
      <c r="B734" s="26">
        <v>6250321</v>
      </c>
      <c r="C734" s="27">
        <v>46014</v>
      </c>
      <c r="D734" s="28">
        <v>13369.24</v>
      </c>
      <c r="E734" s="29">
        <v>104018.03</v>
      </c>
      <c r="F734" s="30">
        <v>1571654</v>
      </c>
      <c r="G734" s="27">
        <v>46020</v>
      </c>
      <c r="H734" s="28">
        <v>13369.24</v>
      </c>
      <c r="I734" s="29">
        <v>104018.03</v>
      </c>
      <c r="J734" s="34" t="s">
        <v>33</v>
      </c>
      <c r="K734" t="s">
        <v>34</v>
      </c>
      <c r="L734" s="35">
        <v>492004624</v>
      </c>
      <c r="M734" s="36" t="s">
        <v>2104</v>
      </c>
      <c r="N734" s="37" t="s">
        <v>2743</v>
      </c>
      <c r="O734" t="s">
        <v>2500</v>
      </c>
      <c r="P734" t="s">
        <v>2501</v>
      </c>
      <c r="Q734" t="s">
        <v>2502</v>
      </c>
      <c r="R734" s="38">
        <v>46023</v>
      </c>
      <c r="S734" s="39">
        <v>46752</v>
      </c>
      <c r="T734" s="38">
        <v>46197</v>
      </c>
      <c r="U734" s="39">
        <v>46387</v>
      </c>
      <c r="V734" s="40" t="s">
        <v>2741</v>
      </c>
      <c r="W734" s="41" t="s">
        <v>39</v>
      </c>
      <c r="X734" s="40" t="s">
        <v>2503</v>
      </c>
      <c r="Y734" s="79" t="s">
        <v>185</v>
      </c>
      <c r="Z734" s="40" t="s">
        <v>81</v>
      </c>
      <c r="AA734" s="62"/>
      <c r="AB734" s="44"/>
      <c r="AC734" s="63">
        <v>10000029328</v>
      </c>
      <c r="AD734" s="46">
        <v>46021</v>
      </c>
      <c r="AE734">
        <v>3194085</v>
      </c>
      <c r="AF734" s="39">
        <v>46065</v>
      </c>
      <c r="AG734" s="49"/>
      <c r="AH734" s="49"/>
      <c r="AI734" s="49"/>
      <c r="AJ734"/>
    </row>
    <row r="735" spans="1:36" s="40" customFormat="1" ht="13">
      <c r="A735" s="25">
        <f t="shared" si="11"/>
        <v>730</v>
      </c>
      <c r="B735" s="26">
        <v>6250210</v>
      </c>
      <c r="C735" s="27">
        <v>46014</v>
      </c>
      <c r="D735" s="219" t="s">
        <v>141</v>
      </c>
      <c r="E735" s="72">
        <v>69030</v>
      </c>
      <c r="F735" s="30" t="s">
        <v>2744</v>
      </c>
      <c r="G735" s="27">
        <v>46028</v>
      </c>
      <c r="H735" s="219" t="s">
        <v>141</v>
      </c>
      <c r="I735" s="295">
        <v>63507.6</v>
      </c>
      <c r="J735" s="34" t="s">
        <v>33</v>
      </c>
      <c r="K735" t="s">
        <v>139</v>
      </c>
      <c r="L735" s="86" t="s">
        <v>141</v>
      </c>
      <c r="M735" s="36" t="s">
        <v>2745</v>
      </c>
      <c r="N735" s="75" t="s">
        <v>2746</v>
      </c>
      <c r="O735" t="s">
        <v>2659</v>
      </c>
      <c r="P735" t="s">
        <v>2747</v>
      </c>
      <c r="Q735" t="s">
        <v>2748</v>
      </c>
      <c r="R735" s="38">
        <v>46023</v>
      </c>
      <c r="S735" s="39">
        <v>46387</v>
      </c>
      <c r="T735" s="50" t="s">
        <v>141</v>
      </c>
      <c r="U735" s="47" t="s">
        <v>141</v>
      </c>
      <c r="V735" s="40" t="s">
        <v>1654</v>
      </c>
      <c r="W735" s="41" t="s">
        <v>39</v>
      </c>
      <c r="X735" s="40" t="s">
        <v>2749</v>
      </c>
      <c r="Y735" s="40" t="s">
        <v>185</v>
      </c>
      <c r="Z735"/>
      <c r="AA735" s="62">
        <v>90007655</v>
      </c>
      <c r="AB735" s="44">
        <v>46136</v>
      </c>
      <c r="AC735" s="63">
        <v>60017615</v>
      </c>
      <c r="AD735" s="46">
        <v>46136</v>
      </c>
      <c r="AE735">
        <v>3205433</v>
      </c>
      <c r="AF735" s="39">
        <v>46153</v>
      </c>
      <c r="AG735" s="49"/>
      <c r="AH735" s="49"/>
      <c r="AI735" s="49"/>
      <c r="AJ735"/>
    </row>
    <row r="736" spans="1:36" s="40" customFormat="1" ht="19.5" customHeight="1">
      <c r="A736" s="25">
        <f t="shared" si="11"/>
        <v>731</v>
      </c>
      <c r="B736" s="26">
        <v>6250333</v>
      </c>
      <c r="C736" s="27">
        <v>46014</v>
      </c>
      <c r="D736" s="80" t="s">
        <v>141</v>
      </c>
      <c r="E736" s="29">
        <v>245856.27</v>
      </c>
      <c r="F736" s="30" t="s">
        <v>2750</v>
      </c>
      <c r="G736" s="27">
        <v>46024</v>
      </c>
      <c r="H736" s="80" t="s">
        <v>141</v>
      </c>
      <c r="I736" s="29">
        <v>245856.27</v>
      </c>
      <c r="J736" s="34" t="s">
        <v>103</v>
      </c>
      <c r="K736" t="s">
        <v>107</v>
      </c>
      <c r="L736" s="35" t="s">
        <v>2751</v>
      </c>
      <c r="M736" s="36" t="s">
        <v>2752</v>
      </c>
      <c r="N736" s="37" t="s">
        <v>1458</v>
      </c>
      <c r="O736" t="s">
        <v>2753</v>
      </c>
      <c r="P736" t="s">
        <v>2754</v>
      </c>
      <c r="Q736" t="s">
        <v>2755</v>
      </c>
      <c r="R736" s="38">
        <v>46054</v>
      </c>
      <c r="S736" s="39">
        <v>46418</v>
      </c>
      <c r="T736" s="38">
        <v>46054</v>
      </c>
      <c r="U736" s="39">
        <v>46418</v>
      </c>
      <c r="V736" s="40" t="s">
        <v>64</v>
      </c>
      <c r="W736" s="41" t="s">
        <v>39</v>
      </c>
      <c r="X736" s="40" t="s">
        <v>2756</v>
      </c>
      <c r="Y736" s="40" t="s">
        <v>1940</v>
      </c>
      <c r="Z736"/>
      <c r="AA736" s="62" t="s">
        <v>2757</v>
      </c>
      <c r="AB736" s="44">
        <v>46051</v>
      </c>
      <c r="AC736" s="63" t="s">
        <v>2758</v>
      </c>
      <c r="AD736" s="46">
        <v>46051</v>
      </c>
      <c r="AE736"/>
      <c r="AF736" s="39"/>
      <c r="AG736" s="49"/>
      <c r="AH736" s="49"/>
      <c r="AI736" s="49"/>
      <c r="AJ736"/>
    </row>
    <row r="737" spans="1:36" s="40" customFormat="1" ht="19.5" customHeight="1">
      <c r="A737" s="25">
        <f t="shared" si="11"/>
        <v>732</v>
      </c>
      <c r="B737" s="26">
        <v>6250493</v>
      </c>
      <c r="C737" s="27">
        <v>46015</v>
      </c>
      <c r="D737" s="293" t="s">
        <v>141</v>
      </c>
      <c r="E737" s="72">
        <v>5770</v>
      </c>
      <c r="F737" s="30" t="s">
        <v>2759</v>
      </c>
      <c r="G737" s="27">
        <v>46020</v>
      </c>
      <c r="H737" s="293" t="s">
        <v>141</v>
      </c>
      <c r="I737" s="220">
        <v>5366.1</v>
      </c>
      <c r="J737" s="34" t="s">
        <v>33</v>
      </c>
      <c r="K737" t="s">
        <v>139</v>
      </c>
      <c r="L737" s="35">
        <v>80005283</v>
      </c>
      <c r="M737" s="36" t="s">
        <v>2760</v>
      </c>
      <c r="N737" s="75" t="s">
        <v>1404</v>
      </c>
      <c r="O737" t="s">
        <v>2761</v>
      </c>
      <c r="P737" t="s">
        <v>2762</v>
      </c>
      <c r="Q737" t="s">
        <v>2763</v>
      </c>
      <c r="R737" s="38">
        <v>46023</v>
      </c>
      <c r="S737" s="39">
        <v>46387</v>
      </c>
      <c r="T737" s="50" t="s">
        <v>141</v>
      </c>
      <c r="U737" s="47" t="s">
        <v>141</v>
      </c>
      <c r="V737" s="40" t="s">
        <v>1654</v>
      </c>
      <c r="W737" s="41" t="s">
        <v>39</v>
      </c>
      <c r="X737" s="40" t="s">
        <v>2764</v>
      </c>
      <c r="Y737" s="40" t="s">
        <v>56</v>
      </c>
      <c r="Z737"/>
      <c r="AA737" s="62">
        <v>90007445</v>
      </c>
      <c r="AB737" s="44">
        <v>46049</v>
      </c>
      <c r="AC737" s="63">
        <v>60017261</v>
      </c>
      <c r="AD737" s="46">
        <v>46049</v>
      </c>
      <c r="AE737">
        <v>3202022</v>
      </c>
      <c r="AF737" s="39">
        <v>46127</v>
      </c>
      <c r="AG737" s="49"/>
      <c r="AH737" s="49"/>
      <c r="AI737" s="49"/>
      <c r="AJ737"/>
    </row>
    <row r="738" spans="1:36" s="40" customFormat="1" ht="19.5" customHeight="1">
      <c r="A738" s="25">
        <f t="shared" si="11"/>
        <v>733</v>
      </c>
      <c r="B738" s="26">
        <v>6250546</v>
      </c>
      <c r="C738" s="27">
        <v>46015</v>
      </c>
      <c r="D738" s="80" t="s">
        <v>141</v>
      </c>
      <c r="E738" s="29">
        <v>14140</v>
      </c>
      <c r="F738" s="30" t="s">
        <v>2765</v>
      </c>
      <c r="G738" s="27">
        <v>46020</v>
      </c>
      <c r="H738" s="80" t="s">
        <v>141</v>
      </c>
      <c r="I738" s="29">
        <v>14140</v>
      </c>
      <c r="J738" s="34" t="s">
        <v>159</v>
      </c>
      <c r="K738" t="s">
        <v>212</v>
      </c>
      <c r="L738" s="35" t="s">
        <v>2766</v>
      </c>
      <c r="M738" s="36" t="s">
        <v>2767</v>
      </c>
      <c r="N738" s="37" t="s">
        <v>2768</v>
      </c>
      <c r="O738" t="s">
        <v>2726</v>
      </c>
      <c r="P738" t="s">
        <v>2769</v>
      </c>
      <c r="Q738" t="s">
        <v>2728</v>
      </c>
      <c r="R738" s="38">
        <v>46023</v>
      </c>
      <c r="S738" s="39">
        <v>46387</v>
      </c>
      <c r="T738" s="38">
        <v>46023</v>
      </c>
      <c r="U738" s="39">
        <v>46387</v>
      </c>
      <c r="V738" s="40" t="s">
        <v>51</v>
      </c>
      <c r="W738" s="41" t="s">
        <v>39</v>
      </c>
      <c r="X738" s="40" t="s">
        <v>2729</v>
      </c>
      <c r="Y738" s="40" t="s">
        <v>56</v>
      </c>
      <c r="Z738"/>
      <c r="AA738" s="62"/>
      <c r="AB738" s="44"/>
      <c r="AC738" s="63"/>
      <c r="AD738" s="46"/>
      <c r="AE738">
        <v>3199672</v>
      </c>
      <c r="AF738" s="39">
        <v>46106</v>
      </c>
      <c r="AG738" s="49"/>
      <c r="AH738" s="49"/>
      <c r="AI738" s="49"/>
      <c r="AJ738"/>
    </row>
    <row r="739" spans="1:36" s="40" customFormat="1" ht="19.5" customHeight="1">
      <c r="A739" s="25">
        <f t="shared" si="11"/>
        <v>734</v>
      </c>
      <c r="B739" s="26">
        <v>6250652</v>
      </c>
      <c r="C739" s="27">
        <v>46015</v>
      </c>
      <c r="D739" s="80" t="s">
        <v>141</v>
      </c>
      <c r="E739" s="29">
        <v>3760</v>
      </c>
      <c r="F739" s="30" t="s">
        <v>2770</v>
      </c>
      <c r="G739" s="27">
        <v>46020</v>
      </c>
      <c r="H739" s="80" t="s">
        <v>141</v>
      </c>
      <c r="I739" s="29">
        <v>3760</v>
      </c>
      <c r="J739" s="34" t="s">
        <v>159</v>
      </c>
      <c r="K739" t="s">
        <v>212</v>
      </c>
      <c r="L739" s="35" t="s">
        <v>2771</v>
      </c>
      <c r="M739" s="36" t="s">
        <v>2767</v>
      </c>
      <c r="N739" s="37" t="s">
        <v>2772</v>
      </c>
      <c r="O739" t="s">
        <v>2726</v>
      </c>
      <c r="P739" t="s">
        <v>2769</v>
      </c>
      <c r="Q739" t="s">
        <v>2728</v>
      </c>
      <c r="R739" s="38">
        <v>46023</v>
      </c>
      <c r="S739" s="39">
        <v>46387</v>
      </c>
      <c r="T739" s="38">
        <v>46023</v>
      </c>
      <c r="U739" s="39">
        <v>46387</v>
      </c>
      <c r="V739" s="40" t="s">
        <v>51</v>
      </c>
      <c r="W739" s="41" t="s">
        <v>39</v>
      </c>
      <c r="X739" s="40" t="s">
        <v>2729</v>
      </c>
      <c r="Y739" s="40" t="s">
        <v>56</v>
      </c>
      <c r="Z739"/>
      <c r="AA739" s="62"/>
      <c r="AB739" s="44"/>
      <c r="AC739" s="63"/>
      <c r="AD739" s="46"/>
      <c r="AE739">
        <v>3199671</v>
      </c>
      <c r="AF739" s="39">
        <v>46106</v>
      </c>
      <c r="AG739" s="49"/>
      <c r="AH739" s="49"/>
      <c r="AI739" s="49"/>
      <c r="AJ739"/>
    </row>
    <row r="740" spans="1:36" s="40" customFormat="1" ht="19.5" customHeight="1">
      <c r="A740" s="25">
        <f t="shared" si="11"/>
        <v>735</v>
      </c>
      <c r="B740" s="26">
        <v>6250745</v>
      </c>
      <c r="C740" s="27">
        <v>46015</v>
      </c>
      <c r="D740" s="80" t="s">
        <v>141</v>
      </c>
      <c r="E740" s="29">
        <v>739431.4</v>
      </c>
      <c r="F740" s="30" t="s">
        <v>2773</v>
      </c>
      <c r="G740" s="27">
        <v>46022</v>
      </c>
      <c r="H740" s="80" t="s">
        <v>141</v>
      </c>
      <c r="I740" s="29">
        <v>739431.4</v>
      </c>
      <c r="J740" s="34" t="s">
        <v>103</v>
      </c>
      <c r="K740" t="s">
        <v>107</v>
      </c>
      <c r="L740" s="328" t="s">
        <v>2774</v>
      </c>
      <c r="M740" s="36" t="s">
        <v>2623</v>
      </c>
      <c r="N740" s="37" t="s">
        <v>1458</v>
      </c>
      <c r="O740" t="s">
        <v>2775</v>
      </c>
      <c r="P740" t="s">
        <v>2776</v>
      </c>
      <c r="Q740" t="s">
        <v>1848</v>
      </c>
      <c r="R740" s="38">
        <v>46023</v>
      </c>
      <c r="S740" s="39">
        <v>46387</v>
      </c>
      <c r="T740" s="50" t="s">
        <v>141</v>
      </c>
      <c r="U740" s="47" t="s">
        <v>141</v>
      </c>
      <c r="V740" s="40" t="s">
        <v>2777</v>
      </c>
      <c r="W740" s="41" t="s">
        <v>39</v>
      </c>
      <c r="X740" s="40" t="s">
        <v>2778</v>
      </c>
      <c r="Y740" s="40" t="s">
        <v>56</v>
      </c>
      <c r="Z740" t="s">
        <v>81</v>
      </c>
      <c r="AA740" s="62" t="s">
        <v>2779</v>
      </c>
      <c r="AB740" s="44">
        <v>46051</v>
      </c>
      <c r="AC740" s="63" t="s">
        <v>2780</v>
      </c>
      <c r="AD740" s="46">
        <v>46051</v>
      </c>
      <c r="AE740">
        <v>3198634</v>
      </c>
      <c r="AF740" s="39">
        <v>46099</v>
      </c>
      <c r="AG740" s="49"/>
      <c r="AH740" s="49"/>
      <c r="AI740" s="49"/>
      <c r="AJ740"/>
    </row>
    <row r="741" spans="1:36" s="40" customFormat="1" ht="19.5" customHeight="1">
      <c r="A741" s="25">
        <f t="shared" si="11"/>
        <v>736</v>
      </c>
      <c r="B741" s="26">
        <v>6251261</v>
      </c>
      <c r="C741" s="27">
        <v>46020</v>
      </c>
      <c r="D741" s="80" t="s">
        <v>141</v>
      </c>
      <c r="E741" s="29">
        <v>3920</v>
      </c>
      <c r="F741" s="30" t="s">
        <v>2781</v>
      </c>
      <c r="G741" s="27">
        <v>46022</v>
      </c>
      <c r="H741" s="80" t="s">
        <v>141</v>
      </c>
      <c r="I741" s="29">
        <v>3920</v>
      </c>
      <c r="J741" s="34" t="s">
        <v>33</v>
      </c>
      <c r="K741" t="s">
        <v>139</v>
      </c>
      <c r="L741" s="35">
        <v>80005293</v>
      </c>
      <c r="M741" s="36" t="s">
        <v>2782</v>
      </c>
      <c r="N741" s="37" t="s">
        <v>1383</v>
      </c>
      <c r="O741" t="s">
        <v>2783</v>
      </c>
      <c r="P741" t="s">
        <v>2784</v>
      </c>
      <c r="Q741" t="s">
        <v>2785</v>
      </c>
      <c r="R741" s="38">
        <v>46023</v>
      </c>
      <c r="S741" s="39">
        <v>46387</v>
      </c>
      <c r="T741" s="50" t="s">
        <v>141</v>
      </c>
      <c r="U741" s="47" t="s">
        <v>141</v>
      </c>
      <c r="V741" s="40" t="s">
        <v>2786</v>
      </c>
      <c r="W741" s="41" t="s">
        <v>114</v>
      </c>
      <c r="X741" s="40" t="s">
        <v>2787</v>
      </c>
      <c r="Y741" s="40" t="s">
        <v>56</v>
      </c>
      <c r="Z741" t="s">
        <v>81</v>
      </c>
      <c r="AA741" s="62" t="s">
        <v>2788</v>
      </c>
      <c r="AB741" s="44">
        <v>46034</v>
      </c>
      <c r="AC741" s="63">
        <v>60017157</v>
      </c>
      <c r="AD741" s="46">
        <v>46034</v>
      </c>
      <c r="AE741"/>
      <c r="AF741" s="39"/>
      <c r="AG741" s="49"/>
      <c r="AH741" s="49"/>
      <c r="AI741" s="49"/>
      <c r="AJ741"/>
    </row>
    <row r="742" spans="1:36" s="40" customFormat="1" ht="19.5" customHeight="1">
      <c r="A742" s="25">
        <f t="shared" si="11"/>
        <v>737</v>
      </c>
      <c r="B742" s="26">
        <v>6251294</v>
      </c>
      <c r="C742" s="27">
        <v>46020</v>
      </c>
      <c r="D742" s="80" t="s">
        <v>141</v>
      </c>
      <c r="E742" s="29">
        <v>500</v>
      </c>
      <c r="F742" s="30" t="s">
        <v>2789</v>
      </c>
      <c r="G742" s="27">
        <v>46021</v>
      </c>
      <c r="H742" s="80" t="s">
        <v>141</v>
      </c>
      <c r="I742" s="29">
        <v>500</v>
      </c>
      <c r="J742" s="34" t="s">
        <v>33</v>
      </c>
      <c r="K742" t="s">
        <v>139</v>
      </c>
      <c r="L742" s="35">
        <v>80005282</v>
      </c>
      <c r="M742" s="36" t="s">
        <v>2790</v>
      </c>
      <c r="N742" s="37" t="s">
        <v>1404</v>
      </c>
      <c r="O742" s="66" t="s">
        <v>2791</v>
      </c>
      <c r="P742" s="66" t="s">
        <v>2792</v>
      </c>
      <c r="Q742" t="s">
        <v>2793</v>
      </c>
      <c r="R742" s="38">
        <v>45996</v>
      </c>
      <c r="S742" s="39">
        <v>47091</v>
      </c>
      <c r="T742" s="38">
        <v>45996</v>
      </c>
      <c r="U742" s="39">
        <v>47091</v>
      </c>
      <c r="V742" s="40" t="s">
        <v>375</v>
      </c>
      <c r="W742" s="41" t="s">
        <v>114</v>
      </c>
      <c r="X742" s="40" t="s">
        <v>2794</v>
      </c>
      <c r="Y742" s="40" t="s">
        <v>56</v>
      </c>
      <c r="Z742" t="s">
        <v>81</v>
      </c>
      <c r="AA742" s="62" t="s">
        <v>2795</v>
      </c>
      <c r="AB742" s="44">
        <v>46034</v>
      </c>
      <c r="AC742" s="63">
        <v>60017158</v>
      </c>
      <c r="AD742" s="46">
        <v>46034</v>
      </c>
      <c r="AE742">
        <v>3199670</v>
      </c>
      <c r="AF742" s="39">
        <v>46106</v>
      </c>
      <c r="AG742" s="49"/>
      <c r="AH742" s="49"/>
      <c r="AI742" s="49"/>
      <c r="AJ742"/>
    </row>
    <row r="743" spans="1:36" s="40" customFormat="1" ht="19.5" customHeight="1">
      <c r="A743" s="25">
        <f t="shared" si="11"/>
        <v>738</v>
      </c>
      <c r="B743" s="26">
        <v>6251305</v>
      </c>
      <c r="C743" s="27">
        <v>46020</v>
      </c>
      <c r="D743" s="80" t="s">
        <v>141</v>
      </c>
      <c r="E743" s="29">
        <v>4132.6499999999996</v>
      </c>
      <c r="F743" s="30" t="s">
        <v>2796</v>
      </c>
      <c r="G743" s="27">
        <v>46021</v>
      </c>
      <c r="H743" s="80" t="s">
        <v>141</v>
      </c>
      <c r="I743" s="29">
        <v>4132.6499999999996</v>
      </c>
      <c r="J743" s="34" t="s">
        <v>103</v>
      </c>
      <c r="K743" t="s">
        <v>1660</v>
      </c>
      <c r="L743" s="35" t="s">
        <v>2797</v>
      </c>
      <c r="M743" s="36" t="s">
        <v>2798</v>
      </c>
      <c r="N743" s="37" t="s">
        <v>2799</v>
      </c>
      <c r="O743" t="s">
        <v>2791</v>
      </c>
      <c r="P743" t="s">
        <v>2792</v>
      </c>
      <c r="Q743" t="s">
        <v>2793</v>
      </c>
      <c r="R743" s="38">
        <v>45996</v>
      </c>
      <c r="S743" s="39">
        <v>47091</v>
      </c>
      <c r="T743" s="38">
        <v>45996</v>
      </c>
      <c r="U743" s="39">
        <v>47091</v>
      </c>
      <c r="V743" s="40" t="s">
        <v>375</v>
      </c>
      <c r="W743" s="41" t="s">
        <v>114</v>
      </c>
      <c r="X743" s="40" t="s">
        <v>2794</v>
      </c>
      <c r="Y743" s="40" t="s">
        <v>56</v>
      </c>
      <c r="Z743" t="s">
        <v>81</v>
      </c>
      <c r="AA743" s="62" t="s">
        <v>2800</v>
      </c>
      <c r="AB743" s="44">
        <v>46056</v>
      </c>
      <c r="AC743" s="63"/>
      <c r="AD743" s="46"/>
      <c r="AE743">
        <v>3199685</v>
      </c>
      <c r="AF743" s="39">
        <v>46106</v>
      </c>
      <c r="AG743" s="49"/>
      <c r="AH743" s="49"/>
      <c r="AI743" s="49"/>
      <c r="AJ743"/>
    </row>
    <row r="744" spans="1:36" s="40" customFormat="1" ht="19.5" customHeight="1">
      <c r="A744" s="25">
        <f t="shared" si="11"/>
        <v>739</v>
      </c>
      <c r="B744" s="26">
        <v>6251374</v>
      </c>
      <c r="C744" s="27">
        <v>46020</v>
      </c>
      <c r="D744" s="219" t="s">
        <v>141</v>
      </c>
      <c r="E744" s="72">
        <f>34420</f>
        <v>34420</v>
      </c>
      <c r="F744" s="30" t="s">
        <v>2801</v>
      </c>
      <c r="G744" s="27">
        <v>46021</v>
      </c>
      <c r="H744" s="219" t="s">
        <v>141</v>
      </c>
      <c r="I744" s="72">
        <f>7420+27000</f>
        <v>34420</v>
      </c>
      <c r="J744" s="34" t="s">
        <v>33</v>
      </c>
      <c r="K744" t="s">
        <v>139</v>
      </c>
      <c r="L744" s="35" t="s">
        <v>2802</v>
      </c>
      <c r="M744" s="36" t="s">
        <v>2803</v>
      </c>
      <c r="N744" s="75" t="s">
        <v>1749</v>
      </c>
      <c r="O744" t="s">
        <v>2804</v>
      </c>
      <c r="P744" t="s">
        <v>2805</v>
      </c>
      <c r="Q744" t="s">
        <v>2806</v>
      </c>
      <c r="R744" s="38">
        <v>46023</v>
      </c>
      <c r="S744" s="39">
        <v>46387</v>
      </c>
      <c r="T744" s="38">
        <v>46023</v>
      </c>
      <c r="U744" s="39">
        <v>46387</v>
      </c>
      <c r="V744" s="40" t="s">
        <v>1278</v>
      </c>
      <c r="W744" s="41" t="s">
        <v>114</v>
      </c>
      <c r="X744" s="40" t="s">
        <v>2807</v>
      </c>
      <c r="Y744" s="40" t="s">
        <v>56</v>
      </c>
      <c r="Z744" t="s">
        <v>81</v>
      </c>
      <c r="AA744" s="62">
        <v>90007472</v>
      </c>
      <c r="AB744" s="44">
        <v>46052</v>
      </c>
      <c r="AC744" s="63">
        <v>60017301</v>
      </c>
      <c r="AD744" s="329">
        <v>46052</v>
      </c>
      <c r="AE744">
        <v>3199674</v>
      </c>
      <c r="AF744" s="39">
        <v>46106</v>
      </c>
      <c r="AG744" s="49"/>
      <c r="AH744" s="49"/>
      <c r="AI744" s="49"/>
      <c r="AJ744"/>
    </row>
    <row r="745" spans="1:36" s="40" customFormat="1" ht="19.5" customHeight="1">
      <c r="A745" s="25">
        <f t="shared" si="11"/>
        <v>740</v>
      </c>
      <c r="B745" s="26">
        <v>6251391</v>
      </c>
      <c r="C745" s="27">
        <v>46020</v>
      </c>
      <c r="D745" s="80" t="s">
        <v>141</v>
      </c>
      <c r="E745" s="29">
        <v>16328.02</v>
      </c>
      <c r="F745" s="30" t="s">
        <v>2808</v>
      </c>
      <c r="G745" s="27">
        <v>46024</v>
      </c>
      <c r="H745" s="80" t="s">
        <v>141</v>
      </c>
      <c r="I745" s="29">
        <f>1716.16+2059.4+12552.46</f>
        <v>16328.02</v>
      </c>
      <c r="J745" s="34" t="s">
        <v>159</v>
      </c>
      <c r="K745" t="s">
        <v>160</v>
      </c>
      <c r="L745" s="35" t="s">
        <v>2809</v>
      </c>
      <c r="M745" s="36" t="s">
        <v>2737</v>
      </c>
      <c r="N745" s="37" t="s">
        <v>2810</v>
      </c>
      <c r="O745" t="s">
        <v>2804</v>
      </c>
      <c r="P745" t="s">
        <v>2805</v>
      </c>
      <c r="Q745" t="s">
        <v>2806</v>
      </c>
      <c r="R745" s="38">
        <v>46023</v>
      </c>
      <c r="S745" s="39">
        <v>46387</v>
      </c>
      <c r="T745" s="38">
        <v>46023</v>
      </c>
      <c r="U745" s="39">
        <v>46387</v>
      </c>
      <c r="V745" s="40" t="s">
        <v>1278</v>
      </c>
      <c r="W745" s="41" t="s">
        <v>114</v>
      </c>
      <c r="X745" s="40" t="s">
        <v>2807</v>
      </c>
      <c r="Y745" s="40" t="s">
        <v>56</v>
      </c>
      <c r="Z745" t="s">
        <v>81</v>
      </c>
      <c r="AA745" s="62"/>
      <c r="AB745" s="44"/>
      <c r="AC745" s="63"/>
      <c r="AD745" s="46"/>
      <c r="AE745"/>
      <c r="AF745" s="39"/>
      <c r="AG745" s="49"/>
      <c r="AH745" s="49"/>
      <c r="AI745" s="49"/>
      <c r="AJ745"/>
    </row>
    <row r="746" spans="1:36" s="40" customFormat="1" ht="19.5" customHeight="1">
      <c r="A746" s="25">
        <f t="shared" si="11"/>
        <v>741</v>
      </c>
      <c r="B746" s="26">
        <v>6251409</v>
      </c>
      <c r="C746" s="27">
        <v>46020</v>
      </c>
      <c r="D746" s="80" t="s">
        <v>141</v>
      </c>
      <c r="E746" s="29">
        <v>287047.90999999997</v>
      </c>
      <c r="F746" s="30" t="s">
        <v>2811</v>
      </c>
      <c r="G746" s="27">
        <v>46022</v>
      </c>
      <c r="H746" s="80" t="s">
        <v>141</v>
      </c>
      <c r="I746" s="29">
        <v>287047.90999999997</v>
      </c>
      <c r="J746" s="34" t="s">
        <v>103</v>
      </c>
      <c r="K746" t="s">
        <v>107</v>
      </c>
      <c r="L746" s="35" t="s">
        <v>2812</v>
      </c>
      <c r="M746" s="36" t="s">
        <v>2813</v>
      </c>
      <c r="N746" s="37" t="s">
        <v>2814</v>
      </c>
      <c r="O746" t="s">
        <v>2815</v>
      </c>
      <c r="P746" t="s">
        <v>2816</v>
      </c>
      <c r="Q746" t="s">
        <v>1848</v>
      </c>
      <c r="R746" s="38">
        <v>46023</v>
      </c>
      <c r="S746" s="39">
        <v>46387</v>
      </c>
      <c r="T746" s="38">
        <v>46023</v>
      </c>
      <c r="U746" s="39">
        <v>46387</v>
      </c>
      <c r="V746" s="40" t="s">
        <v>51</v>
      </c>
      <c r="W746" s="41" t="s">
        <v>114</v>
      </c>
      <c r="X746" s="40" t="s">
        <v>2817</v>
      </c>
      <c r="Y746" s="40" t="s">
        <v>56</v>
      </c>
      <c r="Z746" t="s">
        <v>81</v>
      </c>
      <c r="AA746" s="62"/>
      <c r="AB746" s="44"/>
      <c r="AC746" s="63"/>
      <c r="AD746" s="46"/>
      <c r="AE746"/>
      <c r="AF746" s="39"/>
      <c r="AG746" s="49"/>
      <c r="AH746" s="49"/>
      <c r="AI746" s="49"/>
      <c r="AJ746"/>
    </row>
    <row r="747" spans="1:36" s="40" customFormat="1" ht="19.5" customHeight="1">
      <c r="A747" s="25">
        <f t="shared" si="11"/>
        <v>742</v>
      </c>
      <c r="B747" s="26">
        <v>6251410</v>
      </c>
      <c r="C747" s="27">
        <v>46020</v>
      </c>
      <c r="D747" s="80" t="s">
        <v>141</v>
      </c>
      <c r="E747" s="29">
        <v>7850</v>
      </c>
      <c r="F747" s="30" t="s">
        <v>2818</v>
      </c>
      <c r="G747" s="27">
        <v>46022</v>
      </c>
      <c r="H747" s="80" t="s">
        <v>141</v>
      </c>
      <c r="I747" s="29">
        <v>7850</v>
      </c>
      <c r="J747" s="34" t="s">
        <v>103</v>
      </c>
      <c r="K747" t="s">
        <v>107</v>
      </c>
      <c r="L747" s="35" t="s">
        <v>2819</v>
      </c>
      <c r="M747" s="36" t="s">
        <v>2820</v>
      </c>
      <c r="N747" s="37" t="s">
        <v>1687</v>
      </c>
      <c r="O747" t="s">
        <v>2815</v>
      </c>
      <c r="P747" t="s">
        <v>2816</v>
      </c>
      <c r="Q747" t="s">
        <v>1848</v>
      </c>
      <c r="R747" s="38">
        <v>46023</v>
      </c>
      <c r="S747" s="39">
        <v>46387</v>
      </c>
      <c r="T747" s="38">
        <v>46023</v>
      </c>
      <c r="U747" s="39">
        <v>46387</v>
      </c>
      <c r="V747" s="40" t="s">
        <v>51</v>
      </c>
      <c r="W747" s="41" t="s">
        <v>114</v>
      </c>
      <c r="X747" s="40" t="s">
        <v>2817</v>
      </c>
      <c r="Y747" s="40" t="s">
        <v>56</v>
      </c>
      <c r="Z747" t="s">
        <v>81</v>
      </c>
      <c r="AA747" s="62" t="s">
        <v>2821</v>
      </c>
      <c r="AB747" s="44">
        <v>46051</v>
      </c>
      <c r="AC747" s="63"/>
      <c r="AD747" s="46"/>
      <c r="AE747"/>
      <c r="AF747" s="39"/>
      <c r="AG747" s="49"/>
      <c r="AH747" s="49"/>
      <c r="AI747" s="49"/>
      <c r="AJ747"/>
    </row>
    <row r="748" spans="1:36" s="40" customFormat="1" ht="19.5" customHeight="1">
      <c r="A748" s="25">
        <f t="shared" si="11"/>
        <v>743</v>
      </c>
      <c r="B748" s="26">
        <v>6251492</v>
      </c>
      <c r="C748" s="27">
        <v>46021</v>
      </c>
      <c r="D748" s="28">
        <v>2140.48</v>
      </c>
      <c r="E748" s="29">
        <v>16653.79</v>
      </c>
      <c r="F748" s="30" t="s">
        <v>2822</v>
      </c>
      <c r="G748" s="27">
        <v>46024</v>
      </c>
      <c r="H748" s="32">
        <v>2140.48</v>
      </c>
      <c r="I748" s="33">
        <v>16640.73</v>
      </c>
      <c r="J748" s="34" t="s">
        <v>33</v>
      </c>
      <c r="K748" t="s">
        <v>34</v>
      </c>
      <c r="L748" s="35">
        <v>282297301</v>
      </c>
      <c r="M748" s="36" t="s">
        <v>2129</v>
      </c>
      <c r="N748" s="37" t="s">
        <v>1346</v>
      </c>
      <c r="O748" t="s">
        <v>2823</v>
      </c>
      <c r="P748" t="s">
        <v>2824</v>
      </c>
      <c r="Q748" t="s">
        <v>2825</v>
      </c>
      <c r="R748" s="38">
        <v>46029</v>
      </c>
      <c r="S748" s="39">
        <v>46393</v>
      </c>
      <c r="T748" s="38">
        <v>46161</v>
      </c>
      <c r="U748" s="39">
        <v>46525</v>
      </c>
      <c r="V748" s="40" t="s">
        <v>458</v>
      </c>
      <c r="W748" s="41" t="s">
        <v>39</v>
      </c>
      <c r="X748" s="40" t="s">
        <v>2826</v>
      </c>
      <c r="Y748" s="40" t="s">
        <v>56</v>
      </c>
      <c r="Z748"/>
      <c r="AA748" s="62"/>
      <c r="AB748" s="44"/>
      <c r="AC748" s="63">
        <v>10000037131</v>
      </c>
      <c r="AD748" s="46">
        <v>46027</v>
      </c>
      <c r="AE748">
        <v>3195385</v>
      </c>
      <c r="AF748" s="39">
        <v>46079</v>
      </c>
      <c r="AG748" s="49"/>
      <c r="AH748" s="49"/>
      <c r="AI748" s="49"/>
      <c r="AJ748"/>
    </row>
    <row r="749" spans="1:36" s="40" customFormat="1" ht="19.5" customHeight="1">
      <c r="A749" s="25">
        <f t="shared" si="11"/>
        <v>744</v>
      </c>
      <c r="B749" s="26">
        <v>6251562</v>
      </c>
      <c r="C749" s="27">
        <v>46021</v>
      </c>
      <c r="D749" s="28">
        <v>7560.55</v>
      </c>
      <c r="E749" s="29">
        <v>58824.1</v>
      </c>
      <c r="F749" s="30">
        <v>1572466</v>
      </c>
      <c r="G749" s="27">
        <v>46024</v>
      </c>
      <c r="H749" s="32">
        <v>7560.55</v>
      </c>
      <c r="I749" s="33">
        <v>58777.98</v>
      </c>
      <c r="J749" s="34" t="s">
        <v>33</v>
      </c>
      <c r="K749" t="s">
        <v>34</v>
      </c>
      <c r="L749" s="35">
        <v>492000785</v>
      </c>
      <c r="M749" s="36" t="s">
        <v>2827</v>
      </c>
      <c r="N749" s="37" t="s">
        <v>1540</v>
      </c>
      <c r="O749" t="s">
        <v>2828</v>
      </c>
      <c r="P749" t="s">
        <v>2829</v>
      </c>
      <c r="Q749" t="s">
        <v>2498</v>
      </c>
      <c r="R749" s="38">
        <v>46023</v>
      </c>
      <c r="S749" s="39">
        <v>46387</v>
      </c>
      <c r="T749" s="38">
        <v>46054</v>
      </c>
      <c r="U749" s="39">
        <v>46418</v>
      </c>
      <c r="V749" s="40" t="s">
        <v>2830</v>
      </c>
      <c r="W749" s="41" t="s">
        <v>39</v>
      </c>
      <c r="X749" s="40">
        <v>21009000</v>
      </c>
      <c r="Y749" s="40" t="s">
        <v>185</v>
      </c>
      <c r="Z749"/>
      <c r="AA749" s="62"/>
      <c r="AB749" s="44"/>
      <c r="AC749" s="63">
        <v>10000037113</v>
      </c>
      <c r="AD749" s="46">
        <v>46027</v>
      </c>
      <c r="AE749">
        <v>3194074</v>
      </c>
      <c r="AF749" s="39">
        <v>46065</v>
      </c>
      <c r="AG749" s="49"/>
      <c r="AH749" s="49"/>
      <c r="AI749" s="49"/>
      <c r="AJ749"/>
    </row>
    <row r="750" spans="1:36" ht="19.5" customHeight="1">
      <c r="A750" s="25">
        <f t="shared" si="11"/>
        <v>745</v>
      </c>
      <c r="B750" s="26">
        <v>6251566</v>
      </c>
      <c r="C750" s="27">
        <v>46021</v>
      </c>
      <c r="D750" s="28">
        <v>144.36000000000001</v>
      </c>
      <c r="E750" s="29">
        <v>1123.18</v>
      </c>
      <c r="F750" s="30">
        <v>1572468</v>
      </c>
      <c r="G750" s="27">
        <v>46028</v>
      </c>
      <c r="H750" s="32">
        <v>144.36000000000001</v>
      </c>
      <c r="I750" s="33">
        <v>1122.3</v>
      </c>
      <c r="J750" s="34" t="s">
        <v>33</v>
      </c>
      <c r="K750" t="s">
        <v>34</v>
      </c>
      <c r="L750" s="35">
        <v>482003421</v>
      </c>
      <c r="M750" s="36" t="s">
        <v>2129</v>
      </c>
      <c r="N750" s="37" t="s">
        <v>1540</v>
      </c>
      <c r="O750" t="s">
        <v>2831</v>
      </c>
      <c r="P750" t="s">
        <v>2832</v>
      </c>
      <c r="Q750" t="s">
        <v>2833</v>
      </c>
      <c r="R750" s="38">
        <v>46023</v>
      </c>
      <c r="S750" s="39">
        <v>46387</v>
      </c>
      <c r="T750" s="38">
        <v>46146</v>
      </c>
      <c r="U750" s="39">
        <v>46510</v>
      </c>
      <c r="V750" s="40" t="s">
        <v>38</v>
      </c>
      <c r="W750" s="41" t="s">
        <v>39</v>
      </c>
      <c r="X750" s="40" t="s">
        <v>2834</v>
      </c>
      <c r="Y750" s="40" t="s">
        <v>185</v>
      </c>
      <c r="AC750" s="63">
        <v>10000044619</v>
      </c>
      <c r="AD750" s="46">
        <v>46029</v>
      </c>
      <c r="AE750">
        <v>3194048</v>
      </c>
      <c r="AF750" s="39">
        <v>46065</v>
      </c>
    </row>
    <row r="751" spans="1:36" ht="19.5" customHeight="1">
      <c r="A751" s="25">
        <f t="shared" si="11"/>
        <v>746</v>
      </c>
      <c r="B751" s="26">
        <v>6251606</v>
      </c>
      <c r="C751" s="27">
        <v>46021</v>
      </c>
      <c r="D751" s="28" t="s">
        <v>141</v>
      </c>
      <c r="E751" s="29">
        <v>2180</v>
      </c>
      <c r="F751" s="30" t="s">
        <v>2835</v>
      </c>
      <c r="G751" s="27">
        <v>46022</v>
      </c>
      <c r="H751" s="28" t="s">
        <v>141</v>
      </c>
      <c r="I751" s="29">
        <v>2180</v>
      </c>
      <c r="J751" s="34" t="s">
        <v>33</v>
      </c>
      <c r="K751" t="s">
        <v>139</v>
      </c>
      <c r="L751" s="35">
        <v>80005294</v>
      </c>
      <c r="M751" s="36" t="s">
        <v>2836</v>
      </c>
      <c r="N751" s="37" t="s">
        <v>1383</v>
      </c>
      <c r="O751" t="s">
        <v>2783</v>
      </c>
      <c r="P751" t="s">
        <v>2784</v>
      </c>
      <c r="Q751" t="s">
        <v>2785</v>
      </c>
      <c r="R751" s="38">
        <v>46023</v>
      </c>
      <c r="S751" s="39">
        <v>46387</v>
      </c>
      <c r="T751" s="50" t="s">
        <v>141</v>
      </c>
      <c r="U751" s="47" t="s">
        <v>141</v>
      </c>
      <c r="V751" s="40" t="s">
        <v>2786</v>
      </c>
      <c r="W751" s="41" t="s">
        <v>114</v>
      </c>
      <c r="X751" s="40" t="s">
        <v>2787</v>
      </c>
      <c r="Y751" s="40" t="s">
        <v>56</v>
      </c>
      <c r="Z751" t="s">
        <v>81</v>
      </c>
      <c r="AA751" s="62" t="s">
        <v>2837</v>
      </c>
      <c r="AB751" s="44">
        <v>46034</v>
      </c>
      <c r="AC751" s="63">
        <v>60017156</v>
      </c>
      <c r="AD751" s="44">
        <v>46034</v>
      </c>
      <c r="AE751">
        <v>3198635</v>
      </c>
      <c r="AF751" s="39">
        <v>46099</v>
      </c>
    </row>
    <row r="752" spans="1:36" ht="19.5" customHeight="1">
      <c r="A752" s="25">
        <f t="shared" si="11"/>
        <v>747</v>
      </c>
      <c r="B752" s="26">
        <v>6251669</v>
      </c>
      <c r="C752" s="27">
        <v>46021</v>
      </c>
      <c r="D752" s="28">
        <v>1712.85</v>
      </c>
      <c r="E752" s="29">
        <v>13316.21</v>
      </c>
      <c r="F752" s="30" t="s">
        <v>2838</v>
      </c>
      <c r="G752" s="27">
        <v>46028</v>
      </c>
      <c r="H752" s="32">
        <v>1712.85</v>
      </c>
      <c r="I752" s="33">
        <v>13316.21</v>
      </c>
      <c r="J752" s="34" t="s">
        <v>33</v>
      </c>
      <c r="K752" t="s">
        <v>34</v>
      </c>
      <c r="L752" s="35">
        <v>272231722</v>
      </c>
      <c r="M752" s="36" t="s">
        <v>2149</v>
      </c>
      <c r="N752" s="37" t="s">
        <v>1346</v>
      </c>
      <c r="O752" t="s">
        <v>2839</v>
      </c>
      <c r="P752" t="s">
        <v>2840</v>
      </c>
      <c r="Q752" t="s">
        <v>2841</v>
      </c>
      <c r="R752" s="38">
        <v>46023</v>
      </c>
      <c r="S752" s="39">
        <v>46387</v>
      </c>
      <c r="T752" s="38">
        <v>46004</v>
      </c>
      <c r="U752" s="39">
        <v>46387</v>
      </c>
      <c r="V752" s="40" t="s">
        <v>276</v>
      </c>
      <c r="W752" s="41" t="s">
        <v>39</v>
      </c>
      <c r="X752" s="40">
        <v>272231722</v>
      </c>
      <c r="Y752" s="79" t="s">
        <v>185</v>
      </c>
      <c r="Z752" t="s">
        <v>81</v>
      </c>
      <c r="AC752" s="63">
        <v>10000044549</v>
      </c>
      <c r="AD752" s="46">
        <v>46029</v>
      </c>
      <c r="AE752">
        <v>3195362</v>
      </c>
      <c r="AF752" s="39">
        <v>46079</v>
      </c>
    </row>
    <row r="753" spans="1:35" ht="19.5" customHeight="1">
      <c r="A753" s="25">
        <f t="shared" si="11"/>
        <v>748</v>
      </c>
      <c r="B753" s="26">
        <v>6251689</v>
      </c>
      <c r="C753" s="27">
        <v>46021</v>
      </c>
      <c r="D753" s="80" t="s">
        <v>141</v>
      </c>
      <c r="E753" s="29">
        <v>49397.1</v>
      </c>
      <c r="F753" s="30" t="s">
        <v>2842</v>
      </c>
      <c r="G753" s="27">
        <v>46028</v>
      </c>
      <c r="H753" s="80" t="s">
        <v>141</v>
      </c>
      <c r="I753" s="33">
        <v>49397.1</v>
      </c>
      <c r="J753" s="34" t="s">
        <v>159</v>
      </c>
      <c r="K753" t="s">
        <v>160</v>
      </c>
      <c r="L753" s="35" t="s">
        <v>2843</v>
      </c>
      <c r="M753" s="36" t="s">
        <v>2844</v>
      </c>
      <c r="N753" s="37" t="s">
        <v>1651</v>
      </c>
      <c r="O753" t="s">
        <v>2845</v>
      </c>
      <c r="P753" t="s">
        <v>2846</v>
      </c>
      <c r="Q753" t="s">
        <v>2847</v>
      </c>
      <c r="R753" s="38">
        <v>46023</v>
      </c>
      <c r="S753" s="39">
        <v>46387</v>
      </c>
      <c r="T753" s="50" t="s">
        <v>141</v>
      </c>
      <c r="U753" s="47" t="s">
        <v>141</v>
      </c>
      <c r="V753" s="40" t="s">
        <v>38</v>
      </c>
      <c r="W753" s="41" t="s">
        <v>39</v>
      </c>
      <c r="X753" s="40" t="s">
        <v>2843</v>
      </c>
      <c r="Y753" s="40" t="s">
        <v>56</v>
      </c>
    </row>
    <row r="754" spans="1:35" ht="19.5" customHeight="1">
      <c r="A754" s="25">
        <f t="shared" si="11"/>
        <v>749</v>
      </c>
      <c r="B754" s="26">
        <v>6251716</v>
      </c>
      <c r="C754" s="27">
        <v>46021</v>
      </c>
      <c r="D754" s="80" t="s">
        <v>141</v>
      </c>
      <c r="E754" s="29">
        <v>225000</v>
      </c>
      <c r="F754" s="30" t="s">
        <v>2848</v>
      </c>
      <c r="G754" s="27">
        <v>46027</v>
      </c>
      <c r="H754" s="330" t="s">
        <v>141</v>
      </c>
      <c r="I754" s="29">
        <f>47954+21804+39877+47954+39877+5730+21804</f>
        <v>225000</v>
      </c>
      <c r="J754" s="34" t="s">
        <v>103</v>
      </c>
      <c r="K754" t="s">
        <v>1338</v>
      </c>
      <c r="L754" s="35" t="s">
        <v>2849</v>
      </c>
      <c r="M754" s="36" t="s">
        <v>2850</v>
      </c>
      <c r="N754" s="37" t="s">
        <v>2851</v>
      </c>
      <c r="O754" t="s">
        <v>2852</v>
      </c>
      <c r="P754" t="s">
        <v>2853</v>
      </c>
      <c r="Q754" t="s">
        <v>2854</v>
      </c>
      <c r="R754" s="38">
        <v>46023</v>
      </c>
      <c r="S754" s="39">
        <v>46387</v>
      </c>
      <c r="T754" s="38">
        <v>46023</v>
      </c>
      <c r="U754" s="39">
        <v>46387</v>
      </c>
      <c r="V754" s="40" t="s">
        <v>2855</v>
      </c>
      <c r="W754" s="41" t="s">
        <v>114</v>
      </c>
      <c r="X754" s="40" t="s">
        <v>2856</v>
      </c>
      <c r="Y754" s="40" t="s">
        <v>56</v>
      </c>
      <c r="Z754" t="s">
        <v>81</v>
      </c>
      <c r="AA754" s="62" t="s">
        <v>2857</v>
      </c>
      <c r="AB754" s="44">
        <v>46050</v>
      </c>
      <c r="AC754" s="63" t="s">
        <v>2858</v>
      </c>
      <c r="AD754" s="44">
        <v>46050</v>
      </c>
    </row>
    <row r="755" spans="1:35" ht="19.5" customHeight="1">
      <c r="A755" s="25">
        <f t="shared" si="11"/>
        <v>750</v>
      </c>
      <c r="B755" s="26">
        <v>6251719</v>
      </c>
      <c r="C755" s="27">
        <v>46021</v>
      </c>
      <c r="D755" s="80" t="s">
        <v>141</v>
      </c>
      <c r="E755" s="29">
        <v>206193</v>
      </c>
      <c r="F755" s="30" t="s">
        <v>2859</v>
      </c>
      <c r="G755" s="27">
        <v>46027</v>
      </c>
      <c r="H755" s="330" t="s">
        <v>141</v>
      </c>
      <c r="I755" s="29">
        <f>94978+111215</f>
        <v>206193</v>
      </c>
      <c r="J755" s="34" t="s">
        <v>103</v>
      </c>
      <c r="K755" t="s">
        <v>977</v>
      </c>
      <c r="L755" s="35" t="s">
        <v>2860</v>
      </c>
      <c r="M755" s="36" t="s">
        <v>2861</v>
      </c>
      <c r="N755" s="37" t="s">
        <v>2862</v>
      </c>
      <c r="O755" t="s">
        <v>2852</v>
      </c>
      <c r="P755" t="s">
        <v>2853</v>
      </c>
      <c r="Q755" t="s">
        <v>2854</v>
      </c>
      <c r="R755" s="38">
        <v>46023</v>
      </c>
      <c r="S755" s="39">
        <v>46387</v>
      </c>
      <c r="T755" s="38">
        <v>46023</v>
      </c>
      <c r="U755" s="39">
        <v>47119</v>
      </c>
      <c r="V755" s="40" t="s">
        <v>2855</v>
      </c>
      <c r="W755" s="41" t="s">
        <v>114</v>
      </c>
      <c r="X755" s="40" t="s">
        <v>2856</v>
      </c>
      <c r="Y755" s="40" t="s">
        <v>56</v>
      </c>
      <c r="Z755" t="s">
        <v>81</v>
      </c>
    </row>
    <row r="756" spans="1:35" s="279" customFormat="1" ht="19.5" customHeight="1">
      <c r="A756" s="257">
        <f t="shared" si="11"/>
        <v>751</v>
      </c>
      <c r="B756" s="299">
        <v>6251715</v>
      </c>
      <c r="C756" s="300">
        <v>46021</v>
      </c>
      <c r="D756" s="301" t="s">
        <v>141</v>
      </c>
      <c r="E756" s="321">
        <v>2040</v>
      </c>
      <c r="F756" s="30">
        <v>1573186</v>
      </c>
      <c r="G756" s="300">
        <v>46029</v>
      </c>
      <c r="H756" s="301" t="s">
        <v>141</v>
      </c>
      <c r="I756" s="303">
        <v>2040</v>
      </c>
      <c r="J756" s="304" t="s">
        <v>33</v>
      </c>
      <c r="K756" s="279" t="s">
        <v>139</v>
      </c>
      <c r="L756" s="322" t="s">
        <v>2863</v>
      </c>
      <c r="M756" s="306" t="s">
        <v>2864</v>
      </c>
      <c r="N756" s="307" t="s">
        <v>1383</v>
      </c>
      <c r="O756" s="279" t="s">
        <v>2865</v>
      </c>
      <c r="P756" s="279" t="s">
        <v>2866</v>
      </c>
      <c r="Q756" s="279" t="s">
        <v>2867</v>
      </c>
      <c r="R756" s="308">
        <v>46023</v>
      </c>
      <c r="S756" s="309">
        <v>46387</v>
      </c>
      <c r="T756" s="310" t="s">
        <v>141</v>
      </c>
      <c r="U756" s="311" t="s">
        <v>141</v>
      </c>
      <c r="V756" s="280" t="s">
        <v>590</v>
      </c>
      <c r="W756" s="312" t="s">
        <v>39</v>
      </c>
      <c r="X756" s="280" t="s">
        <v>2868</v>
      </c>
      <c r="Y756" s="280" t="s">
        <v>56</v>
      </c>
      <c r="AB756" s="314"/>
      <c r="AC756" s="315"/>
      <c r="AD756" s="316"/>
      <c r="AF756" s="309"/>
      <c r="AG756" s="278"/>
      <c r="AH756" s="278"/>
      <c r="AI756" s="278"/>
    </row>
    <row r="757" spans="1:35" ht="19.5" customHeight="1">
      <c r="A757" s="25">
        <f t="shared" si="11"/>
        <v>752</v>
      </c>
      <c r="B757" s="26">
        <v>6251818</v>
      </c>
      <c r="C757" s="27">
        <v>46022</v>
      </c>
      <c r="D757" s="28">
        <v>18394.18</v>
      </c>
      <c r="E757" s="29">
        <v>143114.07999999999</v>
      </c>
      <c r="F757" s="30" t="s">
        <v>2869</v>
      </c>
      <c r="G757" s="27">
        <v>46024</v>
      </c>
      <c r="H757" s="32">
        <v>18394.18</v>
      </c>
      <c r="I757" s="33">
        <v>143001.87</v>
      </c>
      <c r="J757" s="34" t="s">
        <v>33</v>
      </c>
      <c r="K757" t="s">
        <v>34</v>
      </c>
      <c r="L757" s="35">
        <v>272295655</v>
      </c>
      <c r="M757" s="36" t="s">
        <v>2482</v>
      </c>
      <c r="N757" s="37" t="s">
        <v>1346</v>
      </c>
      <c r="O757" t="s">
        <v>2870</v>
      </c>
      <c r="P757" t="s">
        <v>2871</v>
      </c>
      <c r="Q757" t="s">
        <v>2872</v>
      </c>
      <c r="R757" s="38">
        <v>46023</v>
      </c>
      <c r="S757" s="39">
        <v>46387</v>
      </c>
      <c r="T757" s="38">
        <v>46023</v>
      </c>
      <c r="U757" s="39">
        <v>46387</v>
      </c>
      <c r="V757" s="40" t="s">
        <v>113</v>
      </c>
      <c r="W757" s="41" t="s">
        <v>39</v>
      </c>
      <c r="X757" s="40" t="s">
        <v>2873</v>
      </c>
      <c r="Y757" s="40" t="s">
        <v>56</v>
      </c>
      <c r="Z757" t="s">
        <v>81</v>
      </c>
      <c r="AC757" s="63">
        <v>10000037172</v>
      </c>
      <c r="AD757" s="46">
        <v>46027</v>
      </c>
      <c r="AE757">
        <v>3195371</v>
      </c>
      <c r="AF757" s="39">
        <v>46079</v>
      </c>
    </row>
    <row r="758" spans="1:35" ht="19.5" customHeight="1">
      <c r="A758" s="25">
        <f t="shared" si="11"/>
        <v>753</v>
      </c>
      <c r="B758" s="26">
        <v>6251867</v>
      </c>
      <c r="C758" s="27">
        <v>46022</v>
      </c>
      <c r="D758" s="28">
        <v>671.5</v>
      </c>
      <c r="E758" s="29">
        <v>5224.54</v>
      </c>
      <c r="F758" s="30" t="s">
        <v>2874</v>
      </c>
      <c r="G758" s="27">
        <v>46029</v>
      </c>
      <c r="H758" s="32">
        <v>671.5</v>
      </c>
      <c r="I758" s="33">
        <v>5220.4399999999996</v>
      </c>
      <c r="J758" s="34" t="s">
        <v>33</v>
      </c>
      <c r="K758" t="s">
        <v>34</v>
      </c>
      <c r="L758" s="35">
        <v>392203358</v>
      </c>
      <c r="M758" s="36" t="s">
        <v>2129</v>
      </c>
      <c r="N758" s="37" t="s">
        <v>1346</v>
      </c>
      <c r="O758" t="s">
        <v>2875</v>
      </c>
      <c r="P758" t="s">
        <v>2876</v>
      </c>
      <c r="Q758" t="s">
        <v>2877</v>
      </c>
      <c r="R758" s="38">
        <v>46040</v>
      </c>
      <c r="S758" s="39">
        <v>46404</v>
      </c>
      <c r="T758" s="38">
        <v>46040</v>
      </c>
      <c r="U758" s="39">
        <v>46404</v>
      </c>
      <c r="V758" s="40" t="s">
        <v>38</v>
      </c>
      <c r="W758" s="41" t="s">
        <v>39</v>
      </c>
      <c r="X758" s="40" t="s">
        <v>2878</v>
      </c>
      <c r="Y758" s="40" t="s">
        <v>56</v>
      </c>
      <c r="AC758" s="63">
        <v>10000047079</v>
      </c>
      <c r="AD758" s="46">
        <v>46030</v>
      </c>
      <c r="AE758">
        <v>3195409</v>
      </c>
      <c r="AF758" s="39">
        <v>46079</v>
      </c>
    </row>
    <row r="759" spans="1:35" ht="19.5" customHeight="1">
      <c r="A759" s="25">
        <f t="shared" si="11"/>
        <v>754</v>
      </c>
      <c r="B759" s="26">
        <v>6251889</v>
      </c>
      <c r="C759" s="27">
        <v>46022</v>
      </c>
      <c r="D759" s="28">
        <v>19592.95</v>
      </c>
      <c r="E759" s="29">
        <v>152440.99</v>
      </c>
      <c r="F759" s="30">
        <v>1572588</v>
      </c>
      <c r="G759" s="27">
        <v>46024</v>
      </c>
      <c r="H759" s="32">
        <v>19592.95</v>
      </c>
      <c r="I759" s="33">
        <v>152321.47</v>
      </c>
      <c r="J759" s="34" t="s">
        <v>33</v>
      </c>
      <c r="K759" t="s">
        <v>34</v>
      </c>
      <c r="L759" s="35">
        <v>292285671</v>
      </c>
      <c r="M759" s="36" t="s">
        <v>2879</v>
      </c>
      <c r="N759" s="37" t="s">
        <v>1346</v>
      </c>
      <c r="O759" t="s">
        <v>2880</v>
      </c>
      <c r="P759" t="s">
        <v>2881</v>
      </c>
      <c r="Q759" t="s">
        <v>2882</v>
      </c>
      <c r="R759" s="38">
        <v>46023</v>
      </c>
      <c r="S759" s="39">
        <v>46752</v>
      </c>
      <c r="T759" s="38">
        <v>46023</v>
      </c>
      <c r="U759" s="39">
        <v>46752</v>
      </c>
      <c r="V759" s="40" t="s">
        <v>2883</v>
      </c>
      <c r="W759" s="41" t="s">
        <v>39</v>
      </c>
      <c r="X759" s="40" t="s">
        <v>2884</v>
      </c>
      <c r="Y759" s="40" t="s">
        <v>56</v>
      </c>
      <c r="AC759" s="63">
        <v>10000037132</v>
      </c>
      <c r="AD759" s="46">
        <v>46027</v>
      </c>
      <c r="AE759">
        <v>3194051</v>
      </c>
      <c r="AF759" s="39">
        <v>46065</v>
      </c>
    </row>
    <row r="760" spans="1:35" ht="19.5" customHeight="1">
      <c r="A760" s="25">
        <f t="shared" si="11"/>
        <v>755</v>
      </c>
      <c r="B760" s="26">
        <v>6252173</v>
      </c>
      <c r="C760" s="27">
        <v>46024</v>
      </c>
      <c r="D760" s="80" t="s">
        <v>141</v>
      </c>
      <c r="E760" s="29">
        <v>102350.32</v>
      </c>
      <c r="F760" s="30" t="s">
        <v>2885</v>
      </c>
      <c r="G760" s="27">
        <v>46029</v>
      </c>
      <c r="H760" s="80" t="s">
        <v>141</v>
      </c>
      <c r="I760" s="29">
        <v>102350.32</v>
      </c>
      <c r="J760" s="34" t="s">
        <v>159</v>
      </c>
      <c r="K760" t="s">
        <v>160</v>
      </c>
      <c r="L760" s="35" t="s">
        <v>2886</v>
      </c>
      <c r="M760" s="36" t="s">
        <v>2887</v>
      </c>
      <c r="N760" s="37" t="s">
        <v>1651</v>
      </c>
      <c r="O760" t="s">
        <v>2888</v>
      </c>
      <c r="P760" t="s">
        <v>2889</v>
      </c>
      <c r="Q760" t="s">
        <v>2890</v>
      </c>
      <c r="R760" s="38">
        <v>46023</v>
      </c>
      <c r="S760" s="39">
        <v>46387</v>
      </c>
      <c r="T760" s="50" t="s">
        <v>141</v>
      </c>
      <c r="U760" s="47" t="s">
        <v>141</v>
      </c>
      <c r="V760" s="40" t="s">
        <v>80</v>
      </c>
      <c r="W760" s="41" t="s">
        <v>39</v>
      </c>
      <c r="X760" s="40" t="s">
        <v>2891</v>
      </c>
      <c r="Y760" s="40" t="s">
        <v>1940</v>
      </c>
      <c r="Z760" t="s">
        <v>81</v>
      </c>
    </row>
    <row r="761" spans="1:35" ht="19.5" customHeight="1">
      <c r="A761" s="25">
        <f t="shared" si="11"/>
        <v>756</v>
      </c>
      <c r="B761" s="26">
        <v>6252187</v>
      </c>
      <c r="C761" s="27">
        <v>46024</v>
      </c>
      <c r="D761" s="80" t="s">
        <v>141</v>
      </c>
      <c r="E761" s="29">
        <v>8487.99</v>
      </c>
      <c r="F761" s="30" t="s">
        <v>2892</v>
      </c>
      <c r="G761" s="27">
        <v>46029</v>
      </c>
      <c r="H761" s="80" t="s">
        <v>141</v>
      </c>
      <c r="I761" s="29">
        <v>8487.99</v>
      </c>
      <c r="J761" s="34" t="s">
        <v>159</v>
      </c>
      <c r="K761" t="s">
        <v>160</v>
      </c>
      <c r="L761" s="35" t="s">
        <v>2893</v>
      </c>
      <c r="M761" s="36" t="s">
        <v>2894</v>
      </c>
      <c r="N761" s="37" t="s">
        <v>1615</v>
      </c>
      <c r="O761" t="s">
        <v>2888</v>
      </c>
      <c r="P761" t="s">
        <v>2889</v>
      </c>
      <c r="Q761" t="s">
        <v>2890</v>
      </c>
      <c r="R761" s="38">
        <v>46023</v>
      </c>
      <c r="S761" s="39">
        <v>46387</v>
      </c>
      <c r="T761" s="50" t="s">
        <v>141</v>
      </c>
      <c r="U761" s="47" t="s">
        <v>141</v>
      </c>
      <c r="V761" s="40" t="s">
        <v>80</v>
      </c>
      <c r="W761" s="41" t="s">
        <v>39</v>
      </c>
      <c r="X761" s="40" t="s">
        <v>2891</v>
      </c>
      <c r="Y761" s="40" t="s">
        <v>56</v>
      </c>
      <c r="Z761" t="s">
        <v>81</v>
      </c>
    </row>
    <row r="762" spans="1:35" ht="19.5" customHeight="1">
      <c r="A762" s="25">
        <f t="shared" si="11"/>
        <v>757</v>
      </c>
      <c r="B762" s="26">
        <v>6252194</v>
      </c>
      <c r="C762" s="27">
        <v>46024</v>
      </c>
      <c r="D762" s="219" t="s">
        <v>141</v>
      </c>
      <c r="E762" s="72">
        <v>21340</v>
      </c>
      <c r="F762" s="30" t="s">
        <v>2895</v>
      </c>
      <c r="G762" s="27">
        <v>46034</v>
      </c>
      <c r="H762" s="219" t="s">
        <v>141</v>
      </c>
      <c r="I762" s="295">
        <v>18779.2</v>
      </c>
      <c r="J762" s="34" t="s">
        <v>33</v>
      </c>
      <c r="K762" t="s">
        <v>139</v>
      </c>
      <c r="L762" s="35" t="s">
        <v>2896</v>
      </c>
      <c r="M762" s="36" t="s">
        <v>2897</v>
      </c>
      <c r="N762" s="75" t="s">
        <v>2048</v>
      </c>
      <c r="O762" t="s">
        <v>2888</v>
      </c>
      <c r="P762" t="s">
        <v>2889</v>
      </c>
      <c r="Q762" t="s">
        <v>2890</v>
      </c>
      <c r="R762" s="38">
        <v>46023</v>
      </c>
      <c r="S762" s="39">
        <v>46387</v>
      </c>
      <c r="T762" s="50" t="s">
        <v>141</v>
      </c>
      <c r="U762" s="47" t="s">
        <v>141</v>
      </c>
      <c r="V762" s="40" t="s">
        <v>80</v>
      </c>
      <c r="W762" s="41" t="s">
        <v>39</v>
      </c>
      <c r="X762" s="40" t="s">
        <v>2891</v>
      </c>
      <c r="Y762" s="40" t="s">
        <v>56</v>
      </c>
      <c r="Z762" t="s">
        <v>81</v>
      </c>
      <c r="AA762" s="62">
        <v>90007471</v>
      </c>
      <c r="AB762" s="44">
        <v>46052</v>
      </c>
      <c r="AC762" s="63">
        <v>60017298</v>
      </c>
      <c r="AD762" s="329">
        <v>46052</v>
      </c>
    </row>
    <row r="763" spans="1:35" ht="19.5" customHeight="1">
      <c r="A763" s="25">
        <f t="shared" si="11"/>
        <v>758</v>
      </c>
      <c r="B763" s="26">
        <v>6252207</v>
      </c>
      <c r="C763" s="27">
        <v>46024</v>
      </c>
      <c r="D763" s="219" t="s">
        <v>141</v>
      </c>
      <c r="E763" s="72">
        <v>63810</v>
      </c>
      <c r="F763" s="30" t="s">
        <v>2898</v>
      </c>
      <c r="G763" s="27">
        <v>46034</v>
      </c>
      <c r="H763" s="219" t="s">
        <v>141</v>
      </c>
      <c r="I763" s="295">
        <v>63310</v>
      </c>
      <c r="J763" s="34" t="s">
        <v>33</v>
      </c>
      <c r="K763" t="s">
        <v>139</v>
      </c>
      <c r="L763" s="35">
        <v>80005257</v>
      </c>
      <c r="M763" s="36" t="s">
        <v>2899</v>
      </c>
      <c r="N763" s="75" t="s">
        <v>1749</v>
      </c>
      <c r="O763" t="s">
        <v>2880</v>
      </c>
      <c r="P763" t="s">
        <v>2881</v>
      </c>
      <c r="Q763" t="s">
        <v>2882</v>
      </c>
      <c r="R763" s="38">
        <v>46023</v>
      </c>
      <c r="S763" s="39">
        <v>46752</v>
      </c>
      <c r="T763" s="50" t="s">
        <v>141</v>
      </c>
      <c r="U763" s="47" t="s">
        <v>141</v>
      </c>
      <c r="V763" s="40" t="s">
        <v>2883</v>
      </c>
      <c r="W763" s="41" t="s">
        <v>39</v>
      </c>
      <c r="X763" s="40" t="s">
        <v>2884</v>
      </c>
      <c r="Y763" s="40" t="s">
        <v>1940</v>
      </c>
      <c r="AA763" s="62">
        <v>90007471</v>
      </c>
      <c r="AB763" s="44">
        <v>46052</v>
      </c>
    </row>
    <row r="764" spans="1:35" ht="19.5" customHeight="1">
      <c r="A764" s="25">
        <f t="shared" si="11"/>
        <v>759</v>
      </c>
      <c r="B764" s="26">
        <v>6253196</v>
      </c>
      <c r="C764" s="27">
        <v>46028</v>
      </c>
      <c r="D764" s="28">
        <v>2706.72</v>
      </c>
      <c r="E764" s="29">
        <v>21042.85</v>
      </c>
      <c r="F764" s="30" t="s">
        <v>2900</v>
      </c>
      <c r="G764" s="27">
        <v>46031</v>
      </c>
      <c r="H764" s="32">
        <v>2706.72</v>
      </c>
      <c r="I764" s="33">
        <v>21042.85</v>
      </c>
      <c r="J764" s="34" t="s">
        <v>33</v>
      </c>
      <c r="K764" t="s">
        <v>34</v>
      </c>
      <c r="L764" s="35">
        <v>242284674</v>
      </c>
      <c r="M764" s="36" t="s">
        <v>2149</v>
      </c>
      <c r="N764" s="37" t="s">
        <v>1346</v>
      </c>
      <c r="O764" t="s">
        <v>2901</v>
      </c>
      <c r="P764" t="s">
        <v>2902</v>
      </c>
      <c r="Q764" t="s">
        <v>2903</v>
      </c>
      <c r="R764" s="38">
        <v>46023</v>
      </c>
      <c r="S764" s="39">
        <v>46387</v>
      </c>
      <c r="T764" s="38">
        <v>46023</v>
      </c>
      <c r="U764" s="39">
        <v>46387</v>
      </c>
      <c r="V764" s="40" t="s">
        <v>38</v>
      </c>
      <c r="W764" s="41" t="s">
        <v>39</v>
      </c>
      <c r="X764" s="40" t="s">
        <v>2904</v>
      </c>
      <c r="Y764" s="40" t="s">
        <v>56</v>
      </c>
      <c r="AC764" s="63">
        <v>10000053832</v>
      </c>
      <c r="AD764" s="46">
        <v>46034</v>
      </c>
      <c r="AE764" s="327">
        <v>3195322</v>
      </c>
      <c r="AF764" s="39">
        <v>46079</v>
      </c>
    </row>
    <row r="765" spans="1:35" ht="19.5" customHeight="1">
      <c r="A765" s="25">
        <f t="shared" si="11"/>
        <v>760</v>
      </c>
      <c r="B765" s="26">
        <v>6253363</v>
      </c>
      <c r="C765" s="27">
        <v>46028</v>
      </c>
      <c r="D765" s="80" t="s">
        <v>141</v>
      </c>
      <c r="E765" s="29">
        <v>1029.7</v>
      </c>
      <c r="F765" s="30" t="s">
        <v>2905</v>
      </c>
      <c r="G765" s="27">
        <v>46030</v>
      </c>
      <c r="H765" s="80" t="s">
        <v>141</v>
      </c>
      <c r="I765" s="29">
        <v>1029.7</v>
      </c>
      <c r="J765" s="34" t="s">
        <v>159</v>
      </c>
      <c r="K765" t="s">
        <v>160</v>
      </c>
      <c r="L765" s="35" t="s">
        <v>2906</v>
      </c>
      <c r="M765" s="36" t="s">
        <v>2907</v>
      </c>
      <c r="N765" s="37" t="s">
        <v>1651</v>
      </c>
      <c r="O765" t="s">
        <v>2908</v>
      </c>
      <c r="P765" t="s">
        <v>2909</v>
      </c>
      <c r="Q765" t="s">
        <v>2608</v>
      </c>
      <c r="R765" s="38">
        <v>46005</v>
      </c>
      <c r="S765" s="39">
        <v>46369</v>
      </c>
      <c r="T765" s="50" t="s">
        <v>141</v>
      </c>
      <c r="U765" s="47" t="s">
        <v>141</v>
      </c>
      <c r="V765" s="40" t="s">
        <v>521</v>
      </c>
      <c r="W765" s="41" t="s">
        <v>39</v>
      </c>
      <c r="X765" s="40" t="s">
        <v>2910</v>
      </c>
      <c r="Y765" s="40" t="s">
        <v>185</v>
      </c>
    </row>
    <row r="766" spans="1:35" ht="19.5" customHeight="1">
      <c r="A766" s="25">
        <f t="shared" si="11"/>
        <v>761</v>
      </c>
      <c r="B766" s="26">
        <v>6253545</v>
      </c>
      <c r="C766" s="27">
        <v>46029</v>
      </c>
      <c r="D766" s="219" t="s">
        <v>141</v>
      </c>
      <c r="E766" s="72">
        <v>6500</v>
      </c>
      <c r="F766" s="30" t="s">
        <v>2911</v>
      </c>
      <c r="G766" s="27">
        <v>46030</v>
      </c>
      <c r="H766" s="293" t="s">
        <v>141</v>
      </c>
      <c r="I766" s="220">
        <v>3000</v>
      </c>
      <c r="J766" s="34" t="s">
        <v>33</v>
      </c>
      <c r="K766" t="s">
        <v>733</v>
      </c>
      <c r="L766" s="35" t="s">
        <v>2912</v>
      </c>
      <c r="M766" s="36" t="s">
        <v>2913</v>
      </c>
      <c r="N766" s="75" t="s">
        <v>2914</v>
      </c>
      <c r="O766" t="s">
        <v>2915</v>
      </c>
      <c r="P766" t="s">
        <v>2916</v>
      </c>
      <c r="Q766" t="s">
        <v>2917</v>
      </c>
      <c r="R766" s="38">
        <v>45983</v>
      </c>
      <c r="S766" s="39">
        <v>46347</v>
      </c>
      <c r="T766" s="50" t="s">
        <v>141</v>
      </c>
      <c r="U766" s="47" t="s">
        <v>141</v>
      </c>
      <c r="V766" s="40" t="s">
        <v>590</v>
      </c>
      <c r="W766" s="41" t="s">
        <v>39</v>
      </c>
      <c r="X766" s="40" t="s">
        <v>2918</v>
      </c>
      <c r="Y766" s="40" t="s">
        <v>56</v>
      </c>
      <c r="AA766" s="62" t="s">
        <v>2919</v>
      </c>
      <c r="AB766" s="44">
        <v>46050</v>
      </c>
      <c r="AD766" s="44"/>
      <c r="AE766">
        <v>3199679</v>
      </c>
      <c r="AF766" s="39">
        <v>46106</v>
      </c>
    </row>
    <row r="767" spans="1:35" ht="19.5" customHeight="1">
      <c r="A767" s="25">
        <f t="shared" si="11"/>
        <v>762</v>
      </c>
      <c r="B767" s="26">
        <v>6253631</v>
      </c>
      <c r="C767" s="27">
        <v>46029</v>
      </c>
      <c r="D767" s="80" t="s">
        <v>141</v>
      </c>
      <c r="E767" s="29">
        <v>46858.45</v>
      </c>
      <c r="F767" s="30" t="s">
        <v>2920</v>
      </c>
      <c r="G767" s="27">
        <v>46031</v>
      </c>
      <c r="H767" s="80" t="s">
        <v>141</v>
      </c>
      <c r="I767" s="29">
        <v>46858.45</v>
      </c>
      <c r="J767" s="34" t="s">
        <v>159</v>
      </c>
      <c r="K767" t="s">
        <v>160</v>
      </c>
      <c r="L767" s="35" t="s">
        <v>2921</v>
      </c>
      <c r="M767" s="36" t="s">
        <v>2922</v>
      </c>
      <c r="N767" s="37" t="s">
        <v>1651</v>
      </c>
      <c r="O767" t="s">
        <v>2923</v>
      </c>
      <c r="P767" t="s">
        <v>2924</v>
      </c>
      <c r="Q767" t="s">
        <v>2925</v>
      </c>
      <c r="R767" s="38">
        <v>46036</v>
      </c>
      <c r="S767" s="39">
        <v>46400</v>
      </c>
      <c r="T767" s="50" t="s">
        <v>141</v>
      </c>
      <c r="U767" s="47" t="s">
        <v>141</v>
      </c>
      <c r="V767" s="40" t="s">
        <v>2926</v>
      </c>
      <c r="W767" s="41" t="s">
        <v>39</v>
      </c>
      <c r="X767" s="40" t="s">
        <v>2927</v>
      </c>
      <c r="Y767" s="40" t="s">
        <v>56</v>
      </c>
    </row>
    <row r="768" spans="1:35" ht="19.5" customHeight="1">
      <c r="A768" s="25">
        <f t="shared" si="11"/>
        <v>763</v>
      </c>
      <c r="B768" s="26">
        <v>6253712</v>
      </c>
      <c r="C768" s="27">
        <v>46029</v>
      </c>
      <c r="D768" s="219" t="s">
        <v>141</v>
      </c>
      <c r="E768" s="72">
        <v>20740</v>
      </c>
      <c r="F768" s="30" t="s">
        <v>2928</v>
      </c>
      <c r="G768" s="27">
        <v>46035</v>
      </c>
      <c r="H768" s="219" t="s">
        <v>141</v>
      </c>
      <c r="I768" s="74">
        <v>20740</v>
      </c>
      <c r="J768" s="34" t="s">
        <v>33</v>
      </c>
      <c r="K768" t="s">
        <v>139</v>
      </c>
      <c r="L768" s="35">
        <v>80005298</v>
      </c>
      <c r="M768" s="36" t="s">
        <v>2929</v>
      </c>
      <c r="N768" s="75" t="s">
        <v>1404</v>
      </c>
      <c r="O768" t="s">
        <v>2923</v>
      </c>
      <c r="P768" t="s">
        <v>2924</v>
      </c>
      <c r="Q768" t="s">
        <v>2925</v>
      </c>
      <c r="R768" s="38">
        <v>46036</v>
      </c>
      <c r="S768" s="39">
        <v>46400</v>
      </c>
      <c r="T768" s="50" t="s">
        <v>141</v>
      </c>
      <c r="U768" s="47" t="s">
        <v>141</v>
      </c>
      <c r="V768" s="40" t="s">
        <v>2926</v>
      </c>
      <c r="W768" s="41" t="s">
        <v>39</v>
      </c>
      <c r="X768" s="40" t="s">
        <v>2927</v>
      </c>
      <c r="Y768" s="40" t="s">
        <v>56</v>
      </c>
      <c r="AA768" s="62">
        <v>90007510</v>
      </c>
      <c r="AB768" s="44">
        <v>46065</v>
      </c>
      <c r="AC768" s="63">
        <v>60017367</v>
      </c>
      <c r="AD768" s="46">
        <v>46065</v>
      </c>
      <c r="AE768">
        <v>3209400</v>
      </c>
      <c r="AF768" s="39">
        <v>46181</v>
      </c>
    </row>
    <row r="769" spans="1:32" ht="19.5" customHeight="1">
      <c r="A769" s="25">
        <f t="shared" si="11"/>
        <v>764</v>
      </c>
      <c r="B769" s="26">
        <v>6253854</v>
      </c>
      <c r="C769" s="27">
        <v>46030</v>
      </c>
      <c r="D769" s="80" t="s">
        <v>141</v>
      </c>
      <c r="E769" s="29">
        <v>120688.85</v>
      </c>
      <c r="F769" s="30" t="s">
        <v>2930</v>
      </c>
      <c r="G769" s="27">
        <v>46035</v>
      </c>
      <c r="H769" s="80" t="s">
        <v>141</v>
      </c>
      <c r="I769" s="33">
        <v>120688.85</v>
      </c>
      <c r="J769" s="34" t="s">
        <v>103</v>
      </c>
      <c r="K769" t="s">
        <v>107</v>
      </c>
      <c r="L769" s="35" t="s">
        <v>2931</v>
      </c>
      <c r="M769" s="36" t="s">
        <v>2932</v>
      </c>
      <c r="N769" s="37" t="s">
        <v>2933</v>
      </c>
      <c r="O769" t="s">
        <v>2500</v>
      </c>
      <c r="P769" t="s">
        <v>2501</v>
      </c>
      <c r="Q769" t="s">
        <v>2934</v>
      </c>
      <c r="R769" s="38">
        <v>46023</v>
      </c>
      <c r="S769" s="39">
        <v>46752</v>
      </c>
      <c r="T769" s="38">
        <v>46272</v>
      </c>
      <c r="U769" s="39">
        <v>46752</v>
      </c>
      <c r="V769" s="40" t="s">
        <v>80</v>
      </c>
      <c r="W769" s="41" t="s">
        <v>39</v>
      </c>
      <c r="X769" s="40" t="s">
        <v>2503</v>
      </c>
      <c r="Y769" s="40" t="s">
        <v>185</v>
      </c>
      <c r="Z769" t="s">
        <v>81</v>
      </c>
      <c r="AA769" s="62" t="s">
        <v>2935</v>
      </c>
      <c r="AB769" s="44">
        <v>46055</v>
      </c>
    </row>
    <row r="770" spans="1:32" ht="19.5" customHeight="1">
      <c r="A770" s="25">
        <f t="shared" si="11"/>
        <v>765</v>
      </c>
      <c r="B770" s="26">
        <v>6253902</v>
      </c>
      <c r="C770" s="27">
        <v>46030</v>
      </c>
      <c r="D770" s="80" t="s">
        <v>141</v>
      </c>
      <c r="E770" s="29">
        <v>120688.85</v>
      </c>
      <c r="F770" s="30" t="s">
        <v>2936</v>
      </c>
      <c r="G770" s="27">
        <v>46035</v>
      </c>
      <c r="H770" s="80" t="s">
        <v>141</v>
      </c>
      <c r="I770" s="33">
        <v>120688.85</v>
      </c>
      <c r="J770" s="34" t="s">
        <v>103</v>
      </c>
      <c r="K770" t="s">
        <v>107</v>
      </c>
      <c r="L770" s="35" t="s">
        <v>2937</v>
      </c>
      <c r="M770" s="36" t="s">
        <v>2932</v>
      </c>
      <c r="N770" s="37" t="s">
        <v>2938</v>
      </c>
      <c r="O770" t="s">
        <v>2500</v>
      </c>
      <c r="P770" t="s">
        <v>2501</v>
      </c>
      <c r="Q770" t="s">
        <v>2934</v>
      </c>
      <c r="R770" s="38">
        <v>46023</v>
      </c>
      <c r="S770" s="39">
        <v>46752</v>
      </c>
      <c r="T770" s="38">
        <v>46272</v>
      </c>
      <c r="U770" s="39">
        <v>46752</v>
      </c>
      <c r="V770" s="40" t="s">
        <v>80</v>
      </c>
      <c r="W770" s="41" t="s">
        <v>39</v>
      </c>
      <c r="X770" s="40" t="s">
        <v>2503</v>
      </c>
      <c r="Y770" s="40" t="s">
        <v>185</v>
      </c>
      <c r="Z770" t="s">
        <v>81</v>
      </c>
      <c r="AA770" s="62" t="s">
        <v>2939</v>
      </c>
      <c r="AB770" s="44">
        <v>46055</v>
      </c>
    </row>
    <row r="771" spans="1:32" ht="19.5" customHeight="1">
      <c r="A771" s="25">
        <f t="shared" si="11"/>
        <v>766</v>
      </c>
      <c r="B771" s="26">
        <v>6253907</v>
      </c>
      <c r="C771" s="27">
        <v>46030</v>
      </c>
      <c r="D771" s="80" t="s">
        <v>141</v>
      </c>
      <c r="E771" s="29">
        <v>120688.85</v>
      </c>
      <c r="F771" s="30" t="s">
        <v>2940</v>
      </c>
      <c r="G771" s="27">
        <v>46035</v>
      </c>
      <c r="H771" s="80" t="s">
        <v>141</v>
      </c>
      <c r="I771" s="33">
        <v>120688.85</v>
      </c>
      <c r="J771" s="34" t="s">
        <v>103</v>
      </c>
      <c r="K771" t="s">
        <v>107</v>
      </c>
      <c r="L771" s="35" t="s">
        <v>2941</v>
      </c>
      <c r="M771" s="36" t="s">
        <v>2942</v>
      </c>
      <c r="N771" s="37" t="s">
        <v>2943</v>
      </c>
      <c r="O771" t="s">
        <v>2500</v>
      </c>
      <c r="P771" t="s">
        <v>2501</v>
      </c>
      <c r="Q771" t="s">
        <v>2934</v>
      </c>
      <c r="R771" s="38">
        <v>46023</v>
      </c>
      <c r="S771" s="39">
        <v>46752</v>
      </c>
      <c r="T771" s="38">
        <v>46272</v>
      </c>
      <c r="U771" s="39">
        <v>46752</v>
      </c>
      <c r="V771" s="40" t="s">
        <v>80</v>
      </c>
      <c r="W771" s="41" t="s">
        <v>39</v>
      </c>
      <c r="X771" s="40" t="s">
        <v>2503</v>
      </c>
      <c r="Y771" s="40" t="s">
        <v>185</v>
      </c>
      <c r="Z771" t="s">
        <v>81</v>
      </c>
      <c r="AA771" s="62" t="s">
        <v>2944</v>
      </c>
      <c r="AB771" s="44">
        <v>46055</v>
      </c>
    </row>
    <row r="772" spans="1:32" ht="19.5" customHeight="1">
      <c r="A772" s="25">
        <f t="shared" ref="A772:A835" si="12">A771+1</f>
        <v>767</v>
      </c>
      <c r="B772" s="26">
        <v>6254234</v>
      </c>
      <c r="C772" s="27">
        <v>46031</v>
      </c>
      <c r="D772" s="28">
        <v>13812.72</v>
      </c>
      <c r="E772" s="29">
        <v>107384.23</v>
      </c>
      <c r="F772" s="30" t="s">
        <v>2945</v>
      </c>
      <c r="G772" s="27">
        <v>46034</v>
      </c>
      <c r="H772" s="28">
        <v>13812.72</v>
      </c>
      <c r="I772" s="29">
        <v>107384.23</v>
      </c>
      <c r="J772" s="34" t="s">
        <v>33</v>
      </c>
      <c r="K772" t="s">
        <v>34</v>
      </c>
      <c r="L772" s="35">
        <v>332144994</v>
      </c>
      <c r="M772" s="36" t="s">
        <v>2411</v>
      </c>
      <c r="N772" s="37" t="s">
        <v>1346</v>
      </c>
      <c r="O772" t="s">
        <v>2946</v>
      </c>
      <c r="P772" t="s">
        <v>2947</v>
      </c>
      <c r="Q772" t="s">
        <v>2948</v>
      </c>
      <c r="R772" s="38">
        <v>46023</v>
      </c>
      <c r="S772" s="39">
        <v>46387</v>
      </c>
      <c r="T772" s="38">
        <v>46029</v>
      </c>
      <c r="U772" s="39">
        <v>46393</v>
      </c>
      <c r="V772" s="40" t="s">
        <v>113</v>
      </c>
      <c r="W772" s="41" t="s">
        <v>39</v>
      </c>
      <c r="X772" s="40" t="s">
        <v>2949</v>
      </c>
      <c r="Y772" s="40" t="s">
        <v>56</v>
      </c>
      <c r="Z772" t="s">
        <v>81</v>
      </c>
      <c r="AA772" s="62" t="s">
        <v>2950</v>
      </c>
      <c r="AB772" s="44">
        <v>46041</v>
      </c>
    </row>
    <row r="773" spans="1:32" ht="19.5" customHeight="1">
      <c r="A773" s="25">
        <f t="shared" si="12"/>
        <v>768</v>
      </c>
      <c r="B773" s="26">
        <v>6254251</v>
      </c>
      <c r="C773" s="27">
        <v>46031</v>
      </c>
      <c r="D773" s="28">
        <v>8078.15</v>
      </c>
      <c r="E773" s="29">
        <v>62801.96</v>
      </c>
      <c r="F773" s="30">
        <v>1573961</v>
      </c>
      <c r="G773" s="27">
        <v>46034</v>
      </c>
      <c r="H773" s="32">
        <f>336.66+7741.49</f>
        <v>8078.15</v>
      </c>
      <c r="I773" s="33">
        <v>62801.96</v>
      </c>
      <c r="J773" s="34" t="s">
        <v>33</v>
      </c>
      <c r="K773" t="s">
        <v>34</v>
      </c>
      <c r="L773" s="35">
        <v>462001264</v>
      </c>
      <c r="M773" s="36" t="s">
        <v>2129</v>
      </c>
      <c r="N773" s="37" t="s">
        <v>1540</v>
      </c>
      <c r="O773" t="s">
        <v>2946</v>
      </c>
      <c r="P773" t="s">
        <v>2951</v>
      </c>
      <c r="Q773" t="s">
        <v>2952</v>
      </c>
      <c r="R773" s="38">
        <v>46023</v>
      </c>
      <c r="S773" s="39">
        <v>46387</v>
      </c>
      <c r="T773" s="38">
        <v>46023</v>
      </c>
      <c r="U773" s="39">
        <v>46387</v>
      </c>
      <c r="V773" s="40" t="s">
        <v>113</v>
      </c>
      <c r="W773" s="41" t="s">
        <v>39</v>
      </c>
      <c r="X773" s="40" t="s">
        <v>2949</v>
      </c>
      <c r="Y773" s="40" t="s">
        <v>185</v>
      </c>
      <c r="Z773" t="s">
        <v>81</v>
      </c>
      <c r="AA773" s="62" t="s">
        <v>2950</v>
      </c>
      <c r="AB773" s="44">
        <v>46041</v>
      </c>
      <c r="AC773" s="63" t="s">
        <v>2953</v>
      </c>
      <c r="AD773" s="46">
        <v>46040</v>
      </c>
      <c r="AE773" t="s">
        <v>2954</v>
      </c>
      <c r="AF773" s="39">
        <v>46066</v>
      </c>
    </row>
    <row r="774" spans="1:32" ht="19.5" customHeight="1">
      <c r="A774" s="25">
        <f t="shared" si="12"/>
        <v>769</v>
      </c>
      <c r="B774" s="26">
        <v>6254259</v>
      </c>
      <c r="C774" s="27">
        <v>46031</v>
      </c>
      <c r="D774" s="219" t="s">
        <v>141</v>
      </c>
      <c r="E774" s="72">
        <v>13620</v>
      </c>
      <c r="F774" s="30" t="s">
        <v>2955</v>
      </c>
      <c r="G774" s="27">
        <v>46034</v>
      </c>
      <c r="H774" s="219" t="s">
        <v>141</v>
      </c>
      <c r="I774" s="220">
        <v>10623.6</v>
      </c>
      <c r="J774" s="34" t="s">
        <v>33</v>
      </c>
      <c r="K774" t="s">
        <v>139</v>
      </c>
      <c r="L774" s="35" t="s">
        <v>2956</v>
      </c>
      <c r="M774" s="36" t="s">
        <v>2957</v>
      </c>
      <c r="N774" s="75" t="s">
        <v>2048</v>
      </c>
      <c r="O774" t="s">
        <v>2946</v>
      </c>
      <c r="P774" t="s">
        <v>2947</v>
      </c>
      <c r="Q774" t="s">
        <v>2952</v>
      </c>
      <c r="R774" s="38">
        <v>46023</v>
      </c>
      <c r="S774" s="39">
        <v>46387</v>
      </c>
      <c r="T774" s="50" t="s">
        <v>141</v>
      </c>
      <c r="U774" s="47" t="s">
        <v>141</v>
      </c>
      <c r="V774" s="40" t="s">
        <v>113</v>
      </c>
      <c r="W774" s="41" t="s">
        <v>39</v>
      </c>
      <c r="X774" s="40" t="s">
        <v>2949</v>
      </c>
      <c r="Y774" s="40" t="s">
        <v>185</v>
      </c>
      <c r="Z774" t="s">
        <v>81</v>
      </c>
      <c r="AA774" s="62">
        <v>90007510</v>
      </c>
      <c r="AB774" s="44">
        <v>46065</v>
      </c>
      <c r="AC774" s="63">
        <v>60017368</v>
      </c>
      <c r="AD774" s="46">
        <v>46065</v>
      </c>
      <c r="AE774">
        <v>3199682</v>
      </c>
      <c r="AF774" s="39">
        <v>46106</v>
      </c>
    </row>
    <row r="775" spans="1:32" ht="19.5" customHeight="1">
      <c r="A775" s="25">
        <f t="shared" si="12"/>
        <v>770</v>
      </c>
      <c r="B775" s="26">
        <v>6254483</v>
      </c>
      <c r="C775" s="27">
        <v>46031</v>
      </c>
      <c r="D775" s="80" t="s">
        <v>141</v>
      </c>
      <c r="E775" s="288" t="s">
        <v>141</v>
      </c>
      <c r="F775" s="30" t="s">
        <v>2958</v>
      </c>
      <c r="G775" s="27">
        <v>46034</v>
      </c>
      <c r="H775" s="32">
        <v>0</v>
      </c>
      <c r="I775" s="33">
        <v>0</v>
      </c>
      <c r="J775" s="34" t="s">
        <v>33</v>
      </c>
      <c r="K775" t="s">
        <v>34</v>
      </c>
      <c r="L775" s="35">
        <v>342229587</v>
      </c>
      <c r="M775" s="36" t="s">
        <v>2149</v>
      </c>
      <c r="N775" s="37" t="s">
        <v>2959</v>
      </c>
      <c r="O775" t="s">
        <v>2960</v>
      </c>
      <c r="P775" t="s">
        <v>2961</v>
      </c>
      <c r="Q775" t="s">
        <v>2962</v>
      </c>
      <c r="R775" s="38">
        <v>46023</v>
      </c>
      <c r="S775" s="39">
        <v>46387</v>
      </c>
      <c r="T775" s="38">
        <v>46023</v>
      </c>
      <c r="U775" s="39">
        <v>46387</v>
      </c>
      <c r="V775" s="40" t="s">
        <v>113</v>
      </c>
      <c r="W775" s="41" t="s">
        <v>39</v>
      </c>
      <c r="X775" s="40" t="s">
        <v>2963</v>
      </c>
      <c r="Y775" s="40" t="s">
        <v>56</v>
      </c>
      <c r="Z775" t="s">
        <v>81</v>
      </c>
    </row>
    <row r="776" spans="1:32" ht="19.5" customHeight="1">
      <c r="A776" s="25">
        <f t="shared" si="12"/>
        <v>771</v>
      </c>
      <c r="B776" s="26">
        <v>6254500</v>
      </c>
      <c r="C776" s="27">
        <v>46031</v>
      </c>
      <c r="D776" s="28">
        <v>5953.38</v>
      </c>
      <c r="E776" s="29">
        <v>46283.360000000001</v>
      </c>
      <c r="F776" s="30" t="s">
        <v>2964</v>
      </c>
      <c r="G776" s="27">
        <v>46034</v>
      </c>
      <c r="H776" s="28">
        <v>5953.38</v>
      </c>
      <c r="I776" s="29">
        <v>46283.360000000001</v>
      </c>
      <c r="J776" s="34" t="s">
        <v>33</v>
      </c>
      <c r="K776" t="s">
        <v>34</v>
      </c>
      <c r="L776" s="35">
        <v>322229784</v>
      </c>
      <c r="M776" s="36" t="s">
        <v>2149</v>
      </c>
      <c r="N776" s="37" t="s">
        <v>2965</v>
      </c>
      <c r="O776" t="s">
        <v>2960</v>
      </c>
      <c r="P776" t="s">
        <v>2961</v>
      </c>
      <c r="Q776" t="s">
        <v>2966</v>
      </c>
      <c r="R776" s="38">
        <v>46023</v>
      </c>
      <c r="S776" s="39">
        <v>46387</v>
      </c>
      <c r="T776" s="38">
        <v>46023</v>
      </c>
      <c r="U776" s="39">
        <v>46387</v>
      </c>
      <c r="V776" s="40" t="s">
        <v>113</v>
      </c>
      <c r="W776" s="41" t="s">
        <v>39</v>
      </c>
      <c r="X776" s="40" t="s">
        <v>2963</v>
      </c>
      <c r="Y776" s="40" t="s">
        <v>56</v>
      </c>
      <c r="Z776" t="s">
        <v>81</v>
      </c>
      <c r="AC776" s="63">
        <v>10000066955</v>
      </c>
      <c r="AD776" s="46">
        <v>46038</v>
      </c>
      <c r="AE776">
        <v>3195977</v>
      </c>
      <c r="AF776" s="39">
        <v>46080</v>
      </c>
    </row>
    <row r="777" spans="1:32" ht="19.5" customHeight="1">
      <c r="A777" s="25">
        <f t="shared" si="12"/>
        <v>772</v>
      </c>
      <c r="B777" s="26">
        <v>6254511</v>
      </c>
      <c r="C777" s="27">
        <v>46031</v>
      </c>
      <c r="D777" s="28">
        <v>4125.4799999999996</v>
      </c>
      <c r="E777" s="29">
        <v>32072.720000000001</v>
      </c>
      <c r="F777" s="30" t="s">
        <v>2967</v>
      </c>
      <c r="G777" s="27">
        <v>46034</v>
      </c>
      <c r="H777" s="28">
        <v>4125.4799999999996</v>
      </c>
      <c r="I777" s="29">
        <v>32072.720000000001</v>
      </c>
      <c r="J777" s="34" t="s">
        <v>33</v>
      </c>
      <c r="K777" t="s">
        <v>34</v>
      </c>
      <c r="L777" s="35">
        <v>402007853</v>
      </c>
      <c r="M777" s="36" t="s">
        <v>2149</v>
      </c>
      <c r="N777" s="37" t="s">
        <v>2968</v>
      </c>
      <c r="O777" t="s">
        <v>2960</v>
      </c>
      <c r="P777" t="s">
        <v>2961</v>
      </c>
      <c r="Q777" t="s">
        <v>2969</v>
      </c>
      <c r="R777" s="38">
        <v>46023</v>
      </c>
      <c r="S777" s="39">
        <v>46387</v>
      </c>
      <c r="T777" s="38">
        <v>46023</v>
      </c>
      <c r="U777" s="39">
        <v>46387</v>
      </c>
      <c r="V777" s="40" t="s">
        <v>113</v>
      </c>
      <c r="W777" s="41" t="s">
        <v>39</v>
      </c>
      <c r="X777" s="40" t="s">
        <v>2963</v>
      </c>
      <c r="Y777" s="40" t="s">
        <v>185</v>
      </c>
      <c r="Z777" t="s">
        <v>81</v>
      </c>
      <c r="AC777" s="63">
        <v>10000074577</v>
      </c>
      <c r="AD777" s="46">
        <v>46042</v>
      </c>
      <c r="AE777">
        <v>3195404</v>
      </c>
      <c r="AF777" s="39">
        <v>46079</v>
      </c>
    </row>
    <row r="778" spans="1:32" ht="19.5" customHeight="1">
      <c r="A778" s="25">
        <f t="shared" si="12"/>
        <v>773</v>
      </c>
      <c r="B778" s="26">
        <v>6254800</v>
      </c>
      <c r="C778" s="27">
        <v>46031</v>
      </c>
      <c r="D778" s="28">
        <v>5660.68</v>
      </c>
      <c r="E778" s="29">
        <v>44007.82</v>
      </c>
      <c r="F778" s="30" t="s">
        <v>2970</v>
      </c>
      <c r="G778" s="27">
        <v>46034</v>
      </c>
      <c r="H778" s="28">
        <v>5660.68</v>
      </c>
      <c r="I778" s="29">
        <v>44007.82</v>
      </c>
      <c r="J778" s="34" t="s">
        <v>33</v>
      </c>
      <c r="K778" t="s">
        <v>34</v>
      </c>
      <c r="L778" s="35">
        <v>392225744</v>
      </c>
      <c r="M778" s="36" t="s">
        <v>2149</v>
      </c>
      <c r="N778" s="37" t="s">
        <v>1346</v>
      </c>
      <c r="O778" t="s">
        <v>2971</v>
      </c>
      <c r="P778" t="s">
        <v>2972</v>
      </c>
      <c r="Q778" t="s">
        <v>2973</v>
      </c>
      <c r="R778" s="38">
        <v>45971</v>
      </c>
      <c r="S778" s="39">
        <v>46387</v>
      </c>
      <c r="T778" s="38">
        <v>46023</v>
      </c>
      <c r="U778" s="39">
        <v>46387</v>
      </c>
      <c r="V778" s="40" t="s">
        <v>276</v>
      </c>
      <c r="W778" s="41" t="s">
        <v>39</v>
      </c>
      <c r="X778" s="40" t="s">
        <v>2974</v>
      </c>
      <c r="Y778" s="40" t="s">
        <v>56</v>
      </c>
      <c r="Z778" t="s">
        <v>81</v>
      </c>
      <c r="AC778" s="63">
        <v>10000066963</v>
      </c>
      <c r="AD778" s="46">
        <v>46038</v>
      </c>
      <c r="AE778">
        <v>3193904</v>
      </c>
      <c r="AF778" s="39">
        <v>46065</v>
      </c>
    </row>
    <row r="779" spans="1:32" ht="19.5" customHeight="1">
      <c r="A779" s="25">
        <f t="shared" si="12"/>
        <v>774</v>
      </c>
      <c r="B779" s="26">
        <v>6254805</v>
      </c>
      <c r="C779" s="27">
        <v>46031</v>
      </c>
      <c r="D779" s="219" t="s">
        <v>141</v>
      </c>
      <c r="E779" s="72">
        <v>15280</v>
      </c>
      <c r="F779" s="30" t="s">
        <v>2975</v>
      </c>
      <c r="G779" s="27">
        <v>46038</v>
      </c>
      <c r="H779" s="219" t="s">
        <v>141</v>
      </c>
      <c r="I779" s="72">
        <v>15280</v>
      </c>
      <c r="J779" s="34" t="s">
        <v>33</v>
      </c>
      <c r="K779" t="s">
        <v>139</v>
      </c>
      <c r="L779" s="35" t="s">
        <v>2976</v>
      </c>
      <c r="M779" s="36" t="s">
        <v>2977</v>
      </c>
      <c r="N779" s="75" t="s">
        <v>1749</v>
      </c>
      <c r="O779" t="s">
        <v>2971</v>
      </c>
      <c r="P779" t="s">
        <v>2972</v>
      </c>
      <c r="Q779" t="s">
        <v>2973</v>
      </c>
      <c r="R779" s="38">
        <v>45971</v>
      </c>
      <c r="S779" s="39">
        <v>46387</v>
      </c>
      <c r="T779" s="50" t="s">
        <v>141</v>
      </c>
      <c r="U779" s="47" t="s">
        <v>141</v>
      </c>
      <c r="V779" s="40" t="s">
        <v>276</v>
      </c>
      <c r="W779" s="41" t="s">
        <v>39</v>
      </c>
      <c r="X779" s="40" t="s">
        <v>2978</v>
      </c>
      <c r="Y779" s="40" t="s">
        <v>185</v>
      </c>
      <c r="Z779" t="s">
        <v>81</v>
      </c>
      <c r="AA779" s="62">
        <v>90007510</v>
      </c>
      <c r="AB779" s="44">
        <v>46065</v>
      </c>
      <c r="AC779" s="63">
        <v>60017371</v>
      </c>
      <c r="AD779" s="46">
        <v>46065</v>
      </c>
      <c r="AE779">
        <v>3199693</v>
      </c>
      <c r="AF779" s="39">
        <v>46106</v>
      </c>
    </row>
    <row r="780" spans="1:32" ht="19.5" customHeight="1">
      <c r="A780" s="25">
        <f t="shared" si="12"/>
        <v>775</v>
      </c>
      <c r="B780" s="26">
        <v>6254993</v>
      </c>
      <c r="C780" s="27">
        <v>46034</v>
      </c>
      <c r="D780" s="28">
        <v>567.58000000000004</v>
      </c>
      <c r="E780" s="29">
        <v>4412.54</v>
      </c>
      <c r="F780" s="30" t="s">
        <v>2979</v>
      </c>
      <c r="G780" s="27">
        <v>46034</v>
      </c>
      <c r="H780" s="28">
        <v>567.58000000000004</v>
      </c>
      <c r="I780" s="29">
        <v>4412.54</v>
      </c>
      <c r="J780" s="34" t="s">
        <v>33</v>
      </c>
      <c r="K780" t="s">
        <v>34</v>
      </c>
      <c r="L780" s="35">
        <v>302227997</v>
      </c>
      <c r="M780" s="36" t="s">
        <v>2129</v>
      </c>
      <c r="N780" s="37" t="s">
        <v>1540</v>
      </c>
      <c r="O780" t="s">
        <v>2971</v>
      </c>
      <c r="P780" t="s">
        <v>2972</v>
      </c>
      <c r="Q780" t="s">
        <v>2973</v>
      </c>
      <c r="R780" s="38">
        <v>45971</v>
      </c>
      <c r="S780" s="39">
        <v>46387</v>
      </c>
      <c r="T780" s="38">
        <v>46023</v>
      </c>
      <c r="U780" s="39">
        <v>46265</v>
      </c>
      <c r="V780" s="40" t="s">
        <v>276</v>
      </c>
      <c r="W780" s="41" t="s">
        <v>39</v>
      </c>
      <c r="X780" s="40" t="s">
        <v>2980</v>
      </c>
      <c r="Y780" s="40" t="s">
        <v>56</v>
      </c>
      <c r="Z780" t="s">
        <v>81</v>
      </c>
      <c r="AC780" s="63">
        <v>10000066892</v>
      </c>
      <c r="AD780" s="46">
        <v>46038</v>
      </c>
      <c r="AE780">
        <v>3193917</v>
      </c>
      <c r="AF780" s="39">
        <v>46065</v>
      </c>
    </row>
    <row r="781" spans="1:32" ht="19.5" customHeight="1">
      <c r="A781" s="25">
        <f t="shared" si="12"/>
        <v>776</v>
      </c>
      <c r="B781" s="26">
        <v>6255255</v>
      </c>
      <c r="C781" s="27">
        <v>46034</v>
      </c>
      <c r="D781" s="219" t="s">
        <v>141</v>
      </c>
      <c r="E781" s="220">
        <v>8200</v>
      </c>
      <c r="F781" s="30" t="s">
        <v>2981</v>
      </c>
      <c r="G781" s="27">
        <v>46034</v>
      </c>
      <c r="H781" s="219" t="s">
        <v>141</v>
      </c>
      <c r="I781" s="72">
        <v>8200</v>
      </c>
      <c r="J781" s="34" t="s">
        <v>33</v>
      </c>
      <c r="K781" s="66" t="s">
        <v>733</v>
      </c>
      <c r="L781" s="251" t="s">
        <v>2982</v>
      </c>
      <c r="M781" s="36" t="s">
        <v>2983</v>
      </c>
      <c r="N781" s="331" t="s">
        <v>1533</v>
      </c>
      <c r="O781" t="s">
        <v>2984</v>
      </c>
      <c r="P781" t="s">
        <v>2985</v>
      </c>
      <c r="Q781" t="s">
        <v>2986</v>
      </c>
      <c r="R781" s="38">
        <v>45748</v>
      </c>
      <c r="S781" s="39">
        <v>46112</v>
      </c>
      <c r="T781" s="50" t="s">
        <v>141</v>
      </c>
      <c r="U781" s="47" t="s">
        <v>141</v>
      </c>
      <c r="V781" s="40" t="s">
        <v>954</v>
      </c>
      <c r="W781" s="41" t="s">
        <v>39</v>
      </c>
      <c r="X781" s="40" t="s">
        <v>2987</v>
      </c>
      <c r="Y781" s="40" t="s">
        <v>56</v>
      </c>
      <c r="Z781" t="s">
        <v>81</v>
      </c>
      <c r="AA781" s="62" t="s">
        <v>2988</v>
      </c>
      <c r="AB781" s="44">
        <v>46084</v>
      </c>
      <c r="AE781">
        <v>3200444</v>
      </c>
      <c r="AF781" s="39">
        <v>46112</v>
      </c>
    </row>
    <row r="782" spans="1:32" ht="19.5" customHeight="1">
      <c r="A782" s="25">
        <f t="shared" si="12"/>
        <v>777</v>
      </c>
      <c r="B782" s="26">
        <v>6255562</v>
      </c>
      <c r="C782" s="27">
        <v>46035</v>
      </c>
      <c r="D782" s="28">
        <v>59615.31</v>
      </c>
      <c r="E782" s="29">
        <v>463467.3</v>
      </c>
      <c r="F782" s="30">
        <v>1574490</v>
      </c>
      <c r="G782" s="27">
        <v>46036</v>
      </c>
      <c r="H782" s="28">
        <f>1172.65+58442.66</f>
        <v>59615.310000000005</v>
      </c>
      <c r="I782" s="29">
        <v>463467.3</v>
      </c>
      <c r="J782" s="34" t="s">
        <v>33</v>
      </c>
      <c r="K782" t="s">
        <v>34</v>
      </c>
      <c r="L782" s="35">
        <v>392229891</v>
      </c>
      <c r="M782" s="36" t="s">
        <v>2989</v>
      </c>
      <c r="N782" s="37" t="s">
        <v>1377</v>
      </c>
      <c r="O782" t="s">
        <v>2946</v>
      </c>
      <c r="P782" t="s">
        <v>2990</v>
      </c>
      <c r="Q782" t="s">
        <v>2952</v>
      </c>
      <c r="R782" s="38">
        <v>46023</v>
      </c>
      <c r="S782" s="39">
        <v>46387</v>
      </c>
      <c r="T782" s="38">
        <v>46023</v>
      </c>
      <c r="U782" s="39">
        <v>46387</v>
      </c>
      <c r="V782" s="40" t="s">
        <v>2991</v>
      </c>
      <c r="W782" s="41" t="s">
        <v>39</v>
      </c>
      <c r="X782" s="40" t="s">
        <v>2949</v>
      </c>
      <c r="Y782" s="40" t="s">
        <v>56</v>
      </c>
      <c r="Z782" t="s">
        <v>81</v>
      </c>
      <c r="AA782" s="62" t="s">
        <v>2950</v>
      </c>
      <c r="AB782" s="44">
        <v>46042</v>
      </c>
      <c r="AC782" s="63" t="s">
        <v>2992</v>
      </c>
      <c r="AD782" s="46">
        <v>46042</v>
      </c>
      <c r="AE782" t="s">
        <v>2993</v>
      </c>
      <c r="AF782" s="39">
        <v>46076</v>
      </c>
    </row>
    <row r="783" spans="1:32" ht="19.5" customHeight="1">
      <c r="A783" s="25">
        <f t="shared" si="12"/>
        <v>778</v>
      </c>
      <c r="B783" s="26">
        <v>6256015</v>
      </c>
      <c r="C783" s="27">
        <v>46036</v>
      </c>
      <c r="D783" s="219" t="s">
        <v>141</v>
      </c>
      <c r="E783" s="72">
        <v>11410</v>
      </c>
      <c r="F783" s="30" t="s">
        <v>2994</v>
      </c>
      <c r="G783" s="27">
        <v>46036</v>
      </c>
      <c r="H783" s="219" t="s">
        <v>141</v>
      </c>
      <c r="I783" s="72">
        <v>11410</v>
      </c>
      <c r="J783" s="34" t="s">
        <v>33</v>
      </c>
      <c r="K783" t="s">
        <v>139</v>
      </c>
      <c r="L783" s="35">
        <v>80005305</v>
      </c>
      <c r="M783" s="36" t="s">
        <v>2995</v>
      </c>
      <c r="N783" s="75" t="s">
        <v>1383</v>
      </c>
      <c r="O783" t="s">
        <v>2996</v>
      </c>
      <c r="P783" t="s">
        <v>2997</v>
      </c>
      <c r="Q783" t="s">
        <v>2998</v>
      </c>
      <c r="R783" s="38">
        <v>45689</v>
      </c>
      <c r="S783" s="39">
        <v>46053</v>
      </c>
      <c r="T783" s="50" t="s">
        <v>141</v>
      </c>
      <c r="U783" s="47" t="s">
        <v>141</v>
      </c>
      <c r="V783" s="40" t="s">
        <v>954</v>
      </c>
      <c r="W783" s="41" t="s">
        <v>39</v>
      </c>
      <c r="X783" s="40" t="s">
        <v>2999</v>
      </c>
      <c r="Y783" s="40" t="s">
        <v>185</v>
      </c>
      <c r="Z783" t="s">
        <v>81</v>
      </c>
      <c r="AA783" s="62">
        <v>90007511</v>
      </c>
      <c r="AB783" s="44">
        <v>46077</v>
      </c>
      <c r="AC783" s="63">
        <v>60017373</v>
      </c>
      <c r="AD783" s="46">
        <v>46077</v>
      </c>
      <c r="AE783">
        <v>3198637</v>
      </c>
      <c r="AF783" s="39">
        <v>46099</v>
      </c>
    </row>
    <row r="784" spans="1:32" ht="19.5" customHeight="1">
      <c r="A784" s="25">
        <f t="shared" si="12"/>
        <v>779</v>
      </c>
      <c r="B784" s="26">
        <v>6256180</v>
      </c>
      <c r="C784" s="27">
        <v>46036</v>
      </c>
      <c r="D784" s="28">
        <v>3369.98</v>
      </c>
      <c r="E784" s="29">
        <v>26199.24</v>
      </c>
      <c r="F784" s="30" t="s">
        <v>3000</v>
      </c>
      <c r="G784" s="27">
        <v>46038</v>
      </c>
      <c r="H784" s="32">
        <v>3369.98</v>
      </c>
      <c r="I784" s="33">
        <v>26199.24</v>
      </c>
      <c r="J784" s="34" t="s">
        <v>33</v>
      </c>
      <c r="K784" t="s">
        <v>34</v>
      </c>
      <c r="L784" s="35">
        <v>322152913</v>
      </c>
      <c r="M784" s="36" t="s">
        <v>2550</v>
      </c>
      <c r="N784" s="37" t="s">
        <v>1346</v>
      </c>
      <c r="O784" t="s">
        <v>3001</v>
      </c>
      <c r="P784" t="s">
        <v>3002</v>
      </c>
      <c r="Q784" t="s">
        <v>3003</v>
      </c>
      <c r="R784" s="38">
        <v>45879</v>
      </c>
      <c r="S784" s="39">
        <v>46243</v>
      </c>
      <c r="T784" s="38">
        <v>46029</v>
      </c>
      <c r="U784" s="39">
        <v>46326</v>
      </c>
      <c r="V784" s="40" t="s">
        <v>954</v>
      </c>
      <c r="W784" s="41" t="s">
        <v>39</v>
      </c>
      <c r="X784" s="40" t="s">
        <v>3004</v>
      </c>
      <c r="Y784" s="40" t="s">
        <v>185</v>
      </c>
      <c r="Z784" t="s">
        <v>81</v>
      </c>
    </row>
    <row r="785" spans="1:32" ht="19.5" customHeight="1">
      <c r="A785" s="25">
        <f t="shared" si="12"/>
        <v>780</v>
      </c>
      <c r="B785" s="26">
        <v>6256189</v>
      </c>
      <c r="C785" s="27">
        <v>46036</v>
      </c>
      <c r="D785" s="28">
        <v>231.68</v>
      </c>
      <c r="E785" s="29">
        <v>1801.15</v>
      </c>
      <c r="F785" s="30">
        <v>1574496</v>
      </c>
      <c r="G785" s="27">
        <v>46036</v>
      </c>
      <c r="H785" s="28">
        <v>231.68</v>
      </c>
      <c r="I785" s="29">
        <v>1801.15</v>
      </c>
      <c r="J785" s="34" t="s">
        <v>33</v>
      </c>
      <c r="K785" t="s">
        <v>34</v>
      </c>
      <c r="L785" s="35">
        <v>412004413</v>
      </c>
      <c r="M785" s="36" t="s">
        <v>2149</v>
      </c>
      <c r="N785" s="37" t="s">
        <v>1346</v>
      </c>
      <c r="O785" t="s">
        <v>3005</v>
      </c>
      <c r="P785" t="s">
        <v>3006</v>
      </c>
      <c r="Q785" t="s">
        <v>3007</v>
      </c>
      <c r="R785" s="38">
        <v>46071</v>
      </c>
      <c r="S785" s="39">
        <v>46435</v>
      </c>
      <c r="T785" s="38">
        <v>46090</v>
      </c>
      <c r="U785" s="39">
        <v>46454</v>
      </c>
      <c r="V785" s="40" t="s">
        <v>51</v>
      </c>
      <c r="W785" s="41" t="s">
        <v>39</v>
      </c>
      <c r="X785" s="40" t="s">
        <v>3008</v>
      </c>
      <c r="Y785" s="40" t="s">
        <v>185</v>
      </c>
      <c r="AC785" s="63">
        <v>10000074558</v>
      </c>
      <c r="AD785" s="46">
        <v>46042</v>
      </c>
    </row>
    <row r="786" spans="1:32" ht="19.5" customHeight="1">
      <c r="A786" s="25">
        <f t="shared" si="12"/>
        <v>781</v>
      </c>
      <c r="B786" s="26">
        <v>6256202</v>
      </c>
      <c r="C786" s="27">
        <v>46036</v>
      </c>
      <c r="D786" s="28">
        <v>2918.02</v>
      </c>
      <c r="E786" s="29">
        <v>22685.56</v>
      </c>
      <c r="F786" s="30">
        <v>1574598</v>
      </c>
      <c r="G786" s="27">
        <v>46044</v>
      </c>
      <c r="H786" s="32">
        <v>2918.02</v>
      </c>
      <c r="I786" s="33">
        <v>22685.56</v>
      </c>
      <c r="J786" s="34" t="s">
        <v>33</v>
      </c>
      <c r="K786" t="s">
        <v>34</v>
      </c>
      <c r="L786" s="35">
        <v>202227294</v>
      </c>
      <c r="M786" s="36" t="s">
        <v>2550</v>
      </c>
      <c r="N786" s="37" t="s">
        <v>1540</v>
      </c>
      <c r="O786" t="s">
        <v>2996</v>
      </c>
      <c r="P786" t="s">
        <v>2997</v>
      </c>
      <c r="Q786" t="s">
        <v>2998</v>
      </c>
      <c r="R786" s="38">
        <v>45689</v>
      </c>
      <c r="S786" s="39">
        <v>46053</v>
      </c>
      <c r="T786" s="38">
        <v>45945</v>
      </c>
      <c r="U786" s="39">
        <v>46230</v>
      </c>
      <c r="V786" s="40" t="s">
        <v>954</v>
      </c>
      <c r="W786" s="41" t="s">
        <v>39</v>
      </c>
      <c r="X786" s="40" t="s">
        <v>2999</v>
      </c>
      <c r="Y786" s="40" t="s">
        <v>185</v>
      </c>
      <c r="Z786" t="s">
        <v>81</v>
      </c>
      <c r="AC786" s="63">
        <v>10000084822</v>
      </c>
      <c r="AD786" s="46">
        <v>46045</v>
      </c>
    </row>
    <row r="787" spans="1:32" ht="19.5" customHeight="1">
      <c r="A787" s="25">
        <f t="shared" si="12"/>
        <v>782</v>
      </c>
      <c r="B787" s="26">
        <v>6256211</v>
      </c>
      <c r="C787" s="27">
        <v>46036</v>
      </c>
      <c r="D787" s="28">
        <v>3375.62</v>
      </c>
      <c r="E787" s="29">
        <v>26243.08</v>
      </c>
      <c r="F787" s="30">
        <v>1574599</v>
      </c>
      <c r="G787" s="27">
        <v>46044</v>
      </c>
      <c r="H787" s="32">
        <v>3375.62</v>
      </c>
      <c r="I787" s="33">
        <v>26243.08</v>
      </c>
      <c r="J787" s="34" t="s">
        <v>33</v>
      </c>
      <c r="K787" t="s">
        <v>34</v>
      </c>
      <c r="L787" s="35">
        <v>282228743</v>
      </c>
      <c r="M787" s="36" t="s">
        <v>2550</v>
      </c>
      <c r="N787" s="37" t="s">
        <v>1346</v>
      </c>
      <c r="O787" t="s">
        <v>3009</v>
      </c>
      <c r="P787" t="s">
        <v>3010</v>
      </c>
      <c r="Q787" t="s">
        <v>2998</v>
      </c>
      <c r="R787" s="38">
        <v>45714</v>
      </c>
      <c r="S787" s="39">
        <v>46078</v>
      </c>
      <c r="T787" s="38">
        <v>45945</v>
      </c>
      <c r="U787" s="39">
        <v>46243</v>
      </c>
      <c r="V787" s="40" t="s">
        <v>954</v>
      </c>
      <c r="W787" s="41" t="s">
        <v>39</v>
      </c>
      <c r="X787" s="40" t="s">
        <v>3011</v>
      </c>
      <c r="Y787" s="40" t="s">
        <v>185</v>
      </c>
      <c r="Z787" t="s">
        <v>81</v>
      </c>
      <c r="AC787" s="63">
        <v>10000084774</v>
      </c>
      <c r="AD787" s="46">
        <v>46045</v>
      </c>
    </row>
    <row r="788" spans="1:32" ht="19.5" customHeight="1">
      <c r="A788" s="25">
        <f t="shared" si="12"/>
        <v>783</v>
      </c>
      <c r="B788" s="26">
        <v>6256245</v>
      </c>
      <c r="C788" s="27">
        <v>46036</v>
      </c>
      <c r="D788" s="80" t="s">
        <v>141</v>
      </c>
      <c r="E788" s="29">
        <v>1992.48</v>
      </c>
      <c r="F788" s="30" t="s">
        <v>3012</v>
      </c>
      <c r="G788" s="27">
        <v>46036</v>
      </c>
      <c r="H788" s="80" t="s">
        <v>141</v>
      </c>
      <c r="I788" s="29">
        <v>1992.48</v>
      </c>
      <c r="J788" s="34" t="s">
        <v>159</v>
      </c>
      <c r="K788" t="s">
        <v>160</v>
      </c>
      <c r="L788" s="35" t="s">
        <v>3013</v>
      </c>
      <c r="M788" s="36" t="s">
        <v>3014</v>
      </c>
      <c r="N788" s="37" t="s">
        <v>1651</v>
      </c>
      <c r="O788" t="s">
        <v>3015</v>
      </c>
      <c r="P788" t="s">
        <v>3016</v>
      </c>
      <c r="Q788" t="s">
        <v>2051</v>
      </c>
      <c r="R788" s="38">
        <v>46029</v>
      </c>
      <c r="S788" s="39">
        <v>46387</v>
      </c>
      <c r="T788" s="50" t="s">
        <v>141</v>
      </c>
      <c r="U788" s="47" t="s">
        <v>141</v>
      </c>
      <c r="V788" s="40" t="s">
        <v>64</v>
      </c>
      <c r="W788" s="41" t="s">
        <v>39</v>
      </c>
      <c r="X788" s="40" t="s">
        <v>3017</v>
      </c>
      <c r="Y788" s="40" t="s">
        <v>56</v>
      </c>
      <c r="Z788" t="s">
        <v>81</v>
      </c>
      <c r="AE788">
        <v>3196603</v>
      </c>
      <c r="AF788" s="39">
        <v>46085</v>
      </c>
    </row>
    <row r="789" spans="1:32" ht="19.5" customHeight="1">
      <c r="A789" s="25">
        <f t="shared" si="12"/>
        <v>784</v>
      </c>
      <c r="B789" s="26">
        <v>6256260</v>
      </c>
      <c r="C789" s="27">
        <v>46036</v>
      </c>
      <c r="D789" s="80" t="s">
        <v>141</v>
      </c>
      <c r="E789" s="29">
        <v>45320.22</v>
      </c>
      <c r="F789" s="30" t="s">
        <v>3018</v>
      </c>
      <c r="G789" s="27">
        <v>46037</v>
      </c>
      <c r="H789" s="80" t="s">
        <v>141</v>
      </c>
      <c r="I789" s="29">
        <v>45320.22</v>
      </c>
      <c r="J789" s="34" t="s">
        <v>159</v>
      </c>
      <c r="K789" t="s">
        <v>160</v>
      </c>
      <c r="L789" s="35" t="s">
        <v>3019</v>
      </c>
      <c r="M789" s="36" t="s">
        <v>3020</v>
      </c>
      <c r="N789" s="37" t="s">
        <v>1615</v>
      </c>
      <c r="O789" t="s">
        <v>3015</v>
      </c>
      <c r="P789" t="s">
        <v>3016</v>
      </c>
      <c r="Q789" t="s">
        <v>3021</v>
      </c>
      <c r="R789" s="38">
        <v>46029</v>
      </c>
      <c r="S789" s="39">
        <v>46387</v>
      </c>
      <c r="T789" s="50" t="s">
        <v>141</v>
      </c>
      <c r="U789" s="47" t="s">
        <v>141</v>
      </c>
      <c r="V789" s="40" t="s">
        <v>64</v>
      </c>
      <c r="W789" s="41" t="s">
        <v>39</v>
      </c>
      <c r="X789" s="40" t="s">
        <v>3022</v>
      </c>
      <c r="Y789" s="40" t="s">
        <v>56</v>
      </c>
      <c r="Z789" t="s">
        <v>81</v>
      </c>
    </row>
    <row r="790" spans="1:32" ht="19.5" customHeight="1">
      <c r="A790" s="25">
        <f t="shared" si="12"/>
        <v>785</v>
      </c>
      <c r="B790" s="26">
        <v>6256342</v>
      </c>
      <c r="C790" s="27">
        <v>46037</v>
      </c>
      <c r="D790" s="80" t="s">
        <v>141</v>
      </c>
      <c r="E790" s="29">
        <v>7407.08</v>
      </c>
      <c r="F790" s="30" t="s">
        <v>3023</v>
      </c>
      <c r="G790" s="27">
        <v>46037</v>
      </c>
      <c r="H790" s="80" t="s">
        <v>141</v>
      </c>
      <c r="I790" s="29">
        <v>7407.08</v>
      </c>
      <c r="J790" s="34" t="s">
        <v>159</v>
      </c>
      <c r="K790" t="s">
        <v>160</v>
      </c>
      <c r="L790" s="35" t="s">
        <v>3024</v>
      </c>
      <c r="M790" s="36" t="s">
        <v>3025</v>
      </c>
      <c r="N790" s="37" t="s">
        <v>1525</v>
      </c>
      <c r="O790" t="s">
        <v>3015</v>
      </c>
      <c r="P790" t="s">
        <v>3016</v>
      </c>
      <c r="Q790" t="s">
        <v>2051</v>
      </c>
      <c r="R790" s="38">
        <v>46023</v>
      </c>
      <c r="S790" s="39">
        <v>46387</v>
      </c>
      <c r="T790" s="50" t="s">
        <v>141</v>
      </c>
      <c r="U790" s="47" t="s">
        <v>141</v>
      </c>
      <c r="V790" s="40" t="s">
        <v>64</v>
      </c>
      <c r="W790" s="41" t="s">
        <v>39</v>
      </c>
      <c r="X790" s="40" t="s">
        <v>3022</v>
      </c>
      <c r="Y790" s="40" t="s">
        <v>56</v>
      </c>
      <c r="Z790" t="s">
        <v>81</v>
      </c>
    </row>
    <row r="791" spans="1:32" ht="19.5" customHeight="1">
      <c r="A791" s="25">
        <f t="shared" si="12"/>
        <v>786</v>
      </c>
      <c r="B791" s="26">
        <v>6256358</v>
      </c>
      <c r="C791" s="27">
        <v>46037</v>
      </c>
      <c r="D791" s="28">
        <v>4863.84</v>
      </c>
      <c r="E791" s="29">
        <v>37812.949999999997</v>
      </c>
      <c r="F791" s="30" t="s">
        <v>3026</v>
      </c>
      <c r="G791" s="27">
        <v>46042</v>
      </c>
      <c r="H791" s="32">
        <v>4863.84</v>
      </c>
      <c r="I791" s="33">
        <v>37812.949999999997</v>
      </c>
      <c r="J791" s="34" t="s">
        <v>33</v>
      </c>
      <c r="K791" t="s">
        <v>34</v>
      </c>
      <c r="L791" s="35">
        <v>332211442</v>
      </c>
      <c r="M791" s="36" t="s">
        <v>3027</v>
      </c>
      <c r="N791" s="37" t="s">
        <v>1346</v>
      </c>
      <c r="O791" t="s">
        <v>3028</v>
      </c>
      <c r="P791" t="s">
        <v>3029</v>
      </c>
      <c r="Q791" t="s">
        <v>3030</v>
      </c>
      <c r="R791" s="38">
        <v>46006</v>
      </c>
      <c r="S791" s="39">
        <v>46370</v>
      </c>
      <c r="T791" s="38">
        <v>46266</v>
      </c>
      <c r="U791" s="39">
        <v>46630</v>
      </c>
      <c r="V791" s="40" t="s">
        <v>954</v>
      </c>
      <c r="W791" s="41" t="s">
        <v>39</v>
      </c>
      <c r="X791" s="40" t="s">
        <v>3031</v>
      </c>
      <c r="Y791" s="40" t="s">
        <v>185</v>
      </c>
      <c r="Z791" t="s">
        <v>81</v>
      </c>
      <c r="AA791" s="62" t="s">
        <v>2950</v>
      </c>
      <c r="AB791" s="44">
        <v>46043</v>
      </c>
      <c r="AC791" s="63">
        <v>10000078656</v>
      </c>
      <c r="AD791" s="46">
        <v>46044</v>
      </c>
      <c r="AE791">
        <v>3197623</v>
      </c>
      <c r="AF791" s="39">
        <v>46092</v>
      </c>
    </row>
    <row r="792" spans="1:32" ht="19.5" customHeight="1">
      <c r="A792" s="25">
        <f t="shared" si="12"/>
        <v>787</v>
      </c>
      <c r="B792" s="26">
        <v>6256411</v>
      </c>
      <c r="C792" s="27">
        <v>46037</v>
      </c>
      <c r="D792" s="219" t="s">
        <v>141</v>
      </c>
      <c r="E792" s="72">
        <v>1570</v>
      </c>
      <c r="F792" s="30" t="s">
        <v>3032</v>
      </c>
      <c r="G792" s="27">
        <v>46037</v>
      </c>
      <c r="H792" s="219" t="s">
        <v>141</v>
      </c>
      <c r="I792" s="74">
        <v>1570</v>
      </c>
      <c r="J792" s="34" t="s">
        <v>33</v>
      </c>
      <c r="K792" t="s">
        <v>139</v>
      </c>
      <c r="L792" s="35">
        <v>80005313</v>
      </c>
      <c r="M792" s="36" t="s">
        <v>3033</v>
      </c>
      <c r="N792" s="75" t="s">
        <v>1383</v>
      </c>
      <c r="O792" t="s">
        <v>3034</v>
      </c>
      <c r="P792" t="s">
        <v>3035</v>
      </c>
      <c r="Q792" t="s">
        <v>2020</v>
      </c>
      <c r="R792" s="38">
        <v>45992</v>
      </c>
      <c r="S792" s="39">
        <v>46356</v>
      </c>
      <c r="T792" s="50" t="s">
        <v>141</v>
      </c>
      <c r="U792" s="47" t="s">
        <v>141</v>
      </c>
      <c r="V792" s="40" t="s">
        <v>954</v>
      </c>
      <c r="W792" s="41" t="s">
        <v>39</v>
      </c>
      <c r="X792" s="40" t="s">
        <v>3036</v>
      </c>
      <c r="Y792" s="40" t="s">
        <v>56</v>
      </c>
      <c r="Z792" t="s">
        <v>81</v>
      </c>
      <c r="AA792" s="62">
        <v>90007510</v>
      </c>
      <c r="AB792" s="44">
        <v>46065</v>
      </c>
      <c r="AC792" s="63">
        <v>60017369</v>
      </c>
      <c r="AD792" s="46">
        <v>46065</v>
      </c>
      <c r="AE792">
        <v>3199688</v>
      </c>
      <c r="AF792" s="39">
        <v>46106</v>
      </c>
    </row>
    <row r="793" spans="1:32" ht="19.5" customHeight="1">
      <c r="A793" s="25">
        <f t="shared" si="12"/>
        <v>788</v>
      </c>
      <c r="B793" s="26">
        <v>6256604</v>
      </c>
      <c r="C793" s="27">
        <v>46037</v>
      </c>
      <c r="D793" s="28">
        <v>552.67999999999995</v>
      </c>
      <c r="E793" s="29">
        <v>4296.7</v>
      </c>
      <c r="F793" s="30">
        <v>1574687</v>
      </c>
      <c r="G793" s="27">
        <v>46048</v>
      </c>
      <c r="H793" s="32">
        <v>552.67999999999995</v>
      </c>
      <c r="I793" s="33">
        <v>4296.7</v>
      </c>
      <c r="J793" s="34" t="s">
        <v>33</v>
      </c>
      <c r="K793" t="s">
        <v>34</v>
      </c>
      <c r="L793" s="35">
        <v>491997947</v>
      </c>
      <c r="M793" s="36" t="s">
        <v>2129</v>
      </c>
      <c r="N793" s="37" t="s">
        <v>1346</v>
      </c>
      <c r="O793" t="s">
        <v>3037</v>
      </c>
      <c r="P793" t="s">
        <v>3038</v>
      </c>
      <c r="Q793" t="s">
        <v>3039</v>
      </c>
      <c r="R793" s="38">
        <v>46054</v>
      </c>
      <c r="S793" s="39">
        <v>46418</v>
      </c>
      <c r="T793" s="38">
        <v>46054</v>
      </c>
      <c r="U793" s="39">
        <v>46418</v>
      </c>
      <c r="V793" s="40" t="s">
        <v>38</v>
      </c>
      <c r="W793" s="41" t="s">
        <v>39</v>
      </c>
      <c r="X793" s="40" t="s">
        <v>3040</v>
      </c>
      <c r="Y793" s="40" t="s">
        <v>56</v>
      </c>
      <c r="AC793" s="63">
        <v>10000092770</v>
      </c>
      <c r="AD793" s="46">
        <v>46049</v>
      </c>
    </row>
    <row r="794" spans="1:32" ht="19.5" customHeight="1">
      <c r="A794" s="25">
        <f t="shared" si="12"/>
        <v>789</v>
      </c>
      <c r="B794" s="26">
        <v>6256680</v>
      </c>
      <c r="C794" s="27">
        <v>46037</v>
      </c>
      <c r="D794" s="219" t="s">
        <v>141</v>
      </c>
      <c r="E794" s="72">
        <v>320</v>
      </c>
      <c r="F794" s="30" t="s">
        <v>3041</v>
      </c>
      <c r="G794" s="27">
        <v>46037</v>
      </c>
      <c r="H794" s="219" t="s">
        <v>141</v>
      </c>
      <c r="I794" s="74">
        <v>320</v>
      </c>
      <c r="J794" s="34" t="s">
        <v>33</v>
      </c>
      <c r="K794" t="s">
        <v>139</v>
      </c>
      <c r="L794" s="35" t="s">
        <v>3042</v>
      </c>
      <c r="M794" s="36" t="s">
        <v>3043</v>
      </c>
      <c r="N794" s="75" t="s">
        <v>1383</v>
      </c>
      <c r="O794" t="s">
        <v>3044</v>
      </c>
      <c r="P794" t="s">
        <v>3045</v>
      </c>
      <c r="Q794" t="s">
        <v>3046</v>
      </c>
      <c r="R794" s="38">
        <v>45992</v>
      </c>
      <c r="S794" s="39">
        <v>46356</v>
      </c>
      <c r="T794" s="50" t="s">
        <v>141</v>
      </c>
      <c r="U794" s="47" t="s">
        <v>141</v>
      </c>
      <c r="V794" s="40" t="s">
        <v>245</v>
      </c>
      <c r="W794" s="41" t="s">
        <v>39</v>
      </c>
      <c r="X794" s="40" t="s">
        <v>3047</v>
      </c>
      <c r="Y794" s="40" t="s">
        <v>56</v>
      </c>
      <c r="AA794" s="62">
        <v>90007510</v>
      </c>
      <c r="AB794" s="44">
        <v>46065</v>
      </c>
      <c r="AC794" s="63">
        <v>60017370</v>
      </c>
      <c r="AD794" s="46">
        <v>46065</v>
      </c>
      <c r="AE794">
        <v>3199687</v>
      </c>
      <c r="AF794" s="39">
        <v>46106</v>
      </c>
    </row>
    <row r="795" spans="1:32" ht="19.5" customHeight="1">
      <c r="A795" s="25">
        <f t="shared" si="12"/>
        <v>790</v>
      </c>
      <c r="B795" s="26">
        <v>6256708</v>
      </c>
      <c r="C795" s="27">
        <v>46037</v>
      </c>
      <c r="D795" s="28">
        <v>3911.16</v>
      </c>
      <c r="E795" s="29">
        <v>30406.53</v>
      </c>
      <c r="F795" s="30">
        <v>1574854</v>
      </c>
      <c r="G795" s="27">
        <v>46043</v>
      </c>
      <c r="H795" s="32">
        <v>3911.16</v>
      </c>
      <c r="I795" s="33">
        <v>30406.53</v>
      </c>
      <c r="J795" s="34" t="s">
        <v>33</v>
      </c>
      <c r="K795" t="s">
        <v>34</v>
      </c>
      <c r="L795" s="35">
        <v>482002945</v>
      </c>
      <c r="M795" s="36" t="s">
        <v>2104</v>
      </c>
      <c r="N795" s="37" t="s">
        <v>1346</v>
      </c>
      <c r="O795" t="s">
        <v>3048</v>
      </c>
      <c r="P795" t="s">
        <v>3010</v>
      </c>
      <c r="Q795" t="s">
        <v>2998</v>
      </c>
      <c r="R795" s="38">
        <v>46023</v>
      </c>
      <c r="S795" s="39">
        <v>46387</v>
      </c>
      <c r="T795" s="38">
        <v>46094</v>
      </c>
      <c r="U795" s="39">
        <v>46458</v>
      </c>
      <c r="V795" s="40" t="s">
        <v>954</v>
      </c>
      <c r="W795" s="41" t="s">
        <v>39</v>
      </c>
      <c r="X795" s="40" t="s">
        <v>3049</v>
      </c>
      <c r="Y795" s="40" t="s">
        <v>185</v>
      </c>
      <c r="Z795" t="s">
        <v>81</v>
      </c>
      <c r="AC795" s="63">
        <v>10000078594</v>
      </c>
      <c r="AD795" s="46">
        <v>46044</v>
      </c>
    </row>
    <row r="796" spans="1:32" ht="19.5" customHeight="1">
      <c r="A796" s="25">
        <f t="shared" si="12"/>
        <v>791</v>
      </c>
      <c r="B796" s="26">
        <v>6256899</v>
      </c>
      <c r="C796" s="27">
        <v>46038</v>
      </c>
      <c r="D796" s="28">
        <v>2714.7</v>
      </c>
      <c r="E796" s="29">
        <v>21104.89</v>
      </c>
      <c r="F796" s="30">
        <v>1574852</v>
      </c>
      <c r="G796" s="27">
        <v>46048</v>
      </c>
      <c r="H796" s="32">
        <v>2714.7</v>
      </c>
      <c r="I796" s="33">
        <v>21104.89</v>
      </c>
      <c r="J796" s="34" t="s">
        <v>33</v>
      </c>
      <c r="K796" t="s">
        <v>34</v>
      </c>
      <c r="L796" s="35">
        <v>382226734</v>
      </c>
      <c r="M796" s="36" t="s">
        <v>2129</v>
      </c>
      <c r="N796" s="37" t="s">
        <v>1346</v>
      </c>
      <c r="O796" t="s">
        <v>3050</v>
      </c>
      <c r="P796" t="s">
        <v>3051</v>
      </c>
      <c r="Q796" t="s">
        <v>3052</v>
      </c>
      <c r="R796" s="38">
        <v>46037</v>
      </c>
      <c r="S796" s="39">
        <v>46438</v>
      </c>
      <c r="T796" s="38">
        <v>46037</v>
      </c>
      <c r="U796" s="39">
        <v>46401</v>
      </c>
      <c r="V796" s="40" t="s">
        <v>175</v>
      </c>
      <c r="W796" s="41" t="s">
        <v>39</v>
      </c>
      <c r="X796" s="40" t="s">
        <v>3053</v>
      </c>
      <c r="Y796" s="40" t="s">
        <v>56</v>
      </c>
      <c r="Z796" t="s">
        <v>81</v>
      </c>
      <c r="AC796" s="63">
        <v>10000092814</v>
      </c>
      <c r="AD796" s="46">
        <v>46049</v>
      </c>
    </row>
    <row r="797" spans="1:32" ht="19.5" customHeight="1">
      <c r="A797" s="25">
        <f t="shared" si="12"/>
        <v>792</v>
      </c>
      <c r="B797" s="26">
        <v>6257000</v>
      </c>
      <c r="C797" s="27">
        <v>46038</v>
      </c>
      <c r="D797" s="28">
        <v>2863.64</v>
      </c>
      <c r="E797" s="29">
        <v>22262.799999999999</v>
      </c>
      <c r="F797" s="30">
        <v>1577085</v>
      </c>
      <c r="G797" s="27">
        <v>46050</v>
      </c>
      <c r="H797" s="32">
        <v>2863.64</v>
      </c>
      <c r="I797" s="33">
        <v>22262.799999999999</v>
      </c>
      <c r="J797" s="34" t="s">
        <v>33</v>
      </c>
      <c r="K797" t="s">
        <v>34</v>
      </c>
      <c r="L797" s="35">
        <v>432008468</v>
      </c>
      <c r="M797" s="36" t="s">
        <v>2149</v>
      </c>
      <c r="N797" s="37" t="s">
        <v>1346</v>
      </c>
      <c r="O797" t="s">
        <v>3054</v>
      </c>
      <c r="P797" t="s">
        <v>3055</v>
      </c>
      <c r="Q797" t="s">
        <v>3056</v>
      </c>
      <c r="R797" s="38">
        <v>46054</v>
      </c>
      <c r="S797" s="39">
        <v>46752</v>
      </c>
      <c r="T797" s="38">
        <v>46054</v>
      </c>
      <c r="U797" s="39">
        <v>46752</v>
      </c>
      <c r="V797" s="40" t="s">
        <v>55</v>
      </c>
      <c r="W797" s="41" t="s">
        <v>39</v>
      </c>
      <c r="X797" s="40" t="s">
        <v>3057</v>
      </c>
      <c r="Y797" s="79" t="s">
        <v>185</v>
      </c>
      <c r="AC797" s="63">
        <v>10000100072</v>
      </c>
      <c r="AD797" s="46">
        <v>46051</v>
      </c>
    </row>
    <row r="798" spans="1:32" ht="19.5" customHeight="1">
      <c r="A798" s="25">
        <f t="shared" si="12"/>
        <v>793</v>
      </c>
      <c r="B798" s="26">
        <v>6257521</v>
      </c>
      <c r="C798" s="27">
        <v>46041</v>
      </c>
      <c r="D798" s="28" t="s">
        <v>141</v>
      </c>
      <c r="E798" s="29">
        <v>100784</v>
      </c>
      <c r="F798" s="30" t="s">
        <v>3058</v>
      </c>
      <c r="G798" s="27">
        <v>46042</v>
      </c>
      <c r="H798" s="28" t="s">
        <v>141</v>
      </c>
      <c r="I798" s="29">
        <v>100784</v>
      </c>
      <c r="J798" s="34" t="s">
        <v>33</v>
      </c>
      <c r="K798" t="s">
        <v>1388</v>
      </c>
      <c r="L798" s="35" t="s">
        <v>3059</v>
      </c>
      <c r="M798" s="36" t="s">
        <v>3060</v>
      </c>
      <c r="N798" s="37" t="s">
        <v>3061</v>
      </c>
      <c r="O798" t="s">
        <v>3062</v>
      </c>
      <c r="P798" t="s">
        <v>3063</v>
      </c>
      <c r="Q798" t="s">
        <v>3064</v>
      </c>
      <c r="R798" s="38">
        <v>46023</v>
      </c>
      <c r="S798" s="39">
        <v>46387</v>
      </c>
      <c r="T798" s="38">
        <v>46023</v>
      </c>
      <c r="U798" s="39">
        <v>46387</v>
      </c>
      <c r="V798" s="40" t="s">
        <v>38</v>
      </c>
      <c r="W798" s="41" t="s">
        <v>114</v>
      </c>
      <c r="X798" s="40" t="s">
        <v>3065</v>
      </c>
      <c r="Y798" s="40" t="s">
        <v>56</v>
      </c>
      <c r="Z798" t="s">
        <v>81</v>
      </c>
      <c r="AE798">
        <v>3200405</v>
      </c>
      <c r="AF798" s="39">
        <v>46112</v>
      </c>
    </row>
    <row r="799" spans="1:32" ht="19.5" customHeight="1">
      <c r="A799" s="25">
        <f t="shared" si="12"/>
        <v>794</v>
      </c>
      <c r="B799" s="26">
        <v>6257702</v>
      </c>
      <c r="C799" s="27">
        <v>46041</v>
      </c>
      <c r="D799" s="28">
        <v>8999.9500000000007</v>
      </c>
      <c r="E799" s="29">
        <v>69968.31</v>
      </c>
      <c r="F799" s="30" t="s">
        <v>3066</v>
      </c>
      <c r="G799" s="27">
        <v>46042</v>
      </c>
      <c r="H799" s="28">
        <v>8999.9500000000007</v>
      </c>
      <c r="I799" s="29">
        <v>69968.31</v>
      </c>
      <c r="J799" s="34" t="s">
        <v>33</v>
      </c>
      <c r="K799" t="s">
        <v>34</v>
      </c>
      <c r="L799" s="35">
        <v>422003059</v>
      </c>
      <c r="M799" s="36" t="s">
        <v>3067</v>
      </c>
      <c r="N799" s="37" t="s">
        <v>1346</v>
      </c>
      <c r="O799" t="s">
        <v>3062</v>
      </c>
      <c r="P799" t="s">
        <v>3063</v>
      </c>
      <c r="Q799" t="s">
        <v>3064</v>
      </c>
      <c r="R799" s="38">
        <v>46023</v>
      </c>
      <c r="S799" s="39">
        <v>46387</v>
      </c>
      <c r="T799" s="38">
        <v>46023</v>
      </c>
      <c r="U799" s="39">
        <v>46387</v>
      </c>
      <c r="V799" s="40" t="s">
        <v>38</v>
      </c>
      <c r="W799" s="41" t="s">
        <v>114</v>
      </c>
      <c r="X799" s="40" t="s">
        <v>3065</v>
      </c>
      <c r="Y799" s="40" t="s">
        <v>56</v>
      </c>
      <c r="Z799" t="s">
        <v>81</v>
      </c>
    </row>
    <row r="800" spans="1:32" ht="19.5" customHeight="1">
      <c r="A800" s="25">
        <f t="shared" si="12"/>
        <v>795</v>
      </c>
      <c r="B800" s="26">
        <v>6258218</v>
      </c>
      <c r="C800" s="27">
        <v>46042</v>
      </c>
      <c r="D800" s="28">
        <v>15116.7</v>
      </c>
      <c r="E800" s="29">
        <v>117521.76</v>
      </c>
      <c r="F800" s="30" t="s">
        <v>3068</v>
      </c>
      <c r="G800" s="27">
        <v>46050</v>
      </c>
      <c r="H800" s="28">
        <v>15116.7</v>
      </c>
      <c r="I800" s="29">
        <v>117521.76</v>
      </c>
      <c r="J800" s="34" t="s">
        <v>33</v>
      </c>
      <c r="K800" t="s">
        <v>34</v>
      </c>
      <c r="L800" s="35">
        <v>412003145</v>
      </c>
      <c r="M800" s="36" t="s">
        <v>2104</v>
      </c>
      <c r="N800" s="37" t="s">
        <v>3069</v>
      </c>
      <c r="O800" t="s">
        <v>2500</v>
      </c>
      <c r="P800" t="s">
        <v>2501</v>
      </c>
      <c r="Q800" t="s">
        <v>2934</v>
      </c>
      <c r="R800" s="38">
        <v>46023</v>
      </c>
      <c r="S800" s="39">
        <v>46752</v>
      </c>
      <c r="T800" s="38">
        <v>46388</v>
      </c>
      <c r="U800" s="39">
        <v>46752</v>
      </c>
      <c r="V800" s="40" t="s">
        <v>80</v>
      </c>
      <c r="W800" s="41" t="s">
        <v>114</v>
      </c>
      <c r="X800" s="40" t="s">
        <v>2503</v>
      </c>
      <c r="Y800" s="40" t="s">
        <v>56</v>
      </c>
      <c r="Z800" t="s">
        <v>81</v>
      </c>
      <c r="AC800" s="63">
        <v>10000100071</v>
      </c>
      <c r="AD800" s="46">
        <v>46051</v>
      </c>
      <c r="AE800">
        <v>3197626</v>
      </c>
      <c r="AF800" s="39">
        <v>46092</v>
      </c>
    </row>
    <row r="801" spans="1:32" ht="19.5" customHeight="1">
      <c r="A801" s="25">
        <f t="shared" si="12"/>
        <v>796</v>
      </c>
      <c r="B801" s="26">
        <v>6258219</v>
      </c>
      <c r="C801" s="27">
        <v>46042</v>
      </c>
      <c r="D801" s="28">
        <v>15116.7</v>
      </c>
      <c r="E801" s="29">
        <v>117521.76</v>
      </c>
      <c r="F801" s="30" t="s">
        <v>3070</v>
      </c>
      <c r="G801" s="27">
        <v>46050</v>
      </c>
      <c r="H801" s="28">
        <v>15116.7</v>
      </c>
      <c r="I801" s="29">
        <v>117521.76</v>
      </c>
      <c r="J801" s="34" t="s">
        <v>33</v>
      </c>
      <c r="K801" t="s">
        <v>34</v>
      </c>
      <c r="L801" s="35">
        <v>462002890</v>
      </c>
      <c r="M801" s="36" t="s">
        <v>2104</v>
      </c>
      <c r="N801" s="37" t="s">
        <v>3071</v>
      </c>
      <c r="O801" t="s">
        <v>2500</v>
      </c>
      <c r="P801" t="s">
        <v>2501</v>
      </c>
      <c r="Q801" t="s">
        <v>2934</v>
      </c>
      <c r="R801" s="38">
        <v>46023</v>
      </c>
      <c r="S801" s="39">
        <v>46752</v>
      </c>
      <c r="T801" s="38">
        <v>46388</v>
      </c>
      <c r="U801" s="39">
        <v>46752</v>
      </c>
      <c r="V801" s="40" t="s">
        <v>80</v>
      </c>
      <c r="W801" s="41" t="s">
        <v>114</v>
      </c>
      <c r="X801" s="40" t="s">
        <v>2503</v>
      </c>
      <c r="Y801" s="40" t="s">
        <v>56</v>
      </c>
      <c r="Z801" t="s">
        <v>81</v>
      </c>
      <c r="AC801" s="63">
        <v>10000100060</v>
      </c>
      <c r="AD801" s="46">
        <v>46051</v>
      </c>
      <c r="AE801">
        <v>3197627</v>
      </c>
      <c r="AF801" s="39">
        <v>46092</v>
      </c>
    </row>
    <row r="802" spans="1:32" ht="19.5" customHeight="1">
      <c r="A802" s="25">
        <f t="shared" si="12"/>
        <v>797</v>
      </c>
      <c r="B802" s="26">
        <v>6258220</v>
      </c>
      <c r="C802" s="27">
        <v>46042</v>
      </c>
      <c r="D802" s="28">
        <v>15116.7</v>
      </c>
      <c r="E802" s="29">
        <v>117521.76</v>
      </c>
      <c r="F802" s="30" t="s">
        <v>3072</v>
      </c>
      <c r="G802" s="27">
        <v>46050</v>
      </c>
      <c r="H802" s="28">
        <v>15116.7</v>
      </c>
      <c r="I802" s="29">
        <v>117521.76</v>
      </c>
      <c r="J802" s="34" t="s">
        <v>33</v>
      </c>
      <c r="K802" t="s">
        <v>34</v>
      </c>
      <c r="L802" s="35">
        <v>412003146</v>
      </c>
      <c r="M802" s="36" t="s">
        <v>2104</v>
      </c>
      <c r="N802" s="37" t="s">
        <v>3073</v>
      </c>
      <c r="O802" t="s">
        <v>2500</v>
      </c>
      <c r="P802" t="s">
        <v>2501</v>
      </c>
      <c r="Q802" t="s">
        <v>2934</v>
      </c>
      <c r="R802" s="38">
        <v>46023</v>
      </c>
      <c r="S802" s="39">
        <v>46752</v>
      </c>
      <c r="T802" s="38">
        <v>46388</v>
      </c>
      <c r="U802" s="39">
        <v>46752</v>
      </c>
      <c r="V802" s="40" t="s">
        <v>80</v>
      </c>
      <c r="W802" s="41" t="s">
        <v>114</v>
      </c>
      <c r="X802" s="40" t="s">
        <v>2503</v>
      </c>
      <c r="Y802" s="40" t="s">
        <v>56</v>
      </c>
      <c r="Z802" t="s">
        <v>81</v>
      </c>
      <c r="AC802" s="63">
        <v>10000100059</v>
      </c>
      <c r="AD802" s="46">
        <v>46051</v>
      </c>
      <c r="AE802">
        <v>3197629</v>
      </c>
      <c r="AF802" s="39">
        <v>46092</v>
      </c>
    </row>
    <row r="803" spans="1:32" ht="19.5" customHeight="1">
      <c r="A803" s="25">
        <f t="shared" si="12"/>
        <v>798</v>
      </c>
      <c r="B803" s="26">
        <v>6257827</v>
      </c>
      <c r="C803" s="27">
        <v>46042</v>
      </c>
      <c r="D803" s="219" t="s">
        <v>141</v>
      </c>
      <c r="E803" s="72">
        <v>970</v>
      </c>
      <c r="F803" s="30" t="s">
        <v>3074</v>
      </c>
      <c r="G803" s="27">
        <v>46042</v>
      </c>
      <c r="H803" s="219" t="s">
        <v>141</v>
      </c>
      <c r="I803" s="72">
        <v>970</v>
      </c>
      <c r="J803" s="34" t="s">
        <v>33</v>
      </c>
      <c r="K803" t="s">
        <v>139</v>
      </c>
      <c r="L803" s="35" t="s">
        <v>3075</v>
      </c>
      <c r="M803" s="36" t="s">
        <v>3076</v>
      </c>
      <c r="N803" s="75" t="s">
        <v>1383</v>
      </c>
      <c r="O803" t="s">
        <v>3077</v>
      </c>
      <c r="P803" t="s">
        <v>3078</v>
      </c>
      <c r="Q803" t="s">
        <v>3079</v>
      </c>
      <c r="R803" s="38">
        <v>46107</v>
      </c>
      <c r="S803" s="39">
        <v>46471</v>
      </c>
      <c r="T803" s="50" t="s">
        <v>141</v>
      </c>
      <c r="U803" s="47" t="s">
        <v>141</v>
      </c>
      <c r="V803" s="40" t="s">
        <v>245</v>
      </c>
      <c r="W803" s="41" t="s">
        <v>39</v>
      </c>
      <c r="X803" s="40" t="s">
        <v>3080</v>
      </c>
      <c r="Y803" s="40" t="s">
        <v>56</v>
      </c>
      <c r="AA803" s="62">
        <v>90007510</v>
      </c>
      <c r="AB803" s="44">
        <v>46065</v>
      </c>
      <c r="AC803" s="63">
        <v>60017372</v>
      </c>
      <c r="AD803" s="46">
        <v>46065</v>
      </c>
      <c r="AE803">
        <v>3199692</v>
      </c>
      <c r="AF803" s="39">
        <v>46106</v>
      </c>
    </row>
    <row r="804" spans="1:32" ht="19.5" customHeight="1">
      <c r="A804" s="25">
        <f t="shared" si="12"/>
        <v>799</v>
      </c>
      <c r="B804" s="26">
        <v>6258060</v>
      </c>
      <c r="C804" s="27">
        <v>46042</v>
      </c>
      <c r="D804" s="219" t="s">
        <v>141</v>
      </c>
      <c r="E804" s="72">
        <v>3690</v>
      </c>
      <c r="F804" s="30" t="s">
        <v>3081</v>
      </c>
      <c r="G804" s="27">
        <v>46055</v>
      </c>
      <c r="H804" s="219" t="s">
        <v>141</v>
      </c>
      <c r="I804" s="74">
        <v>3690</v>
      </c>
      <c r="J804" s="34" t="s">
        <v>33</v>
      </c>
      <c r="K804" t="s">
        <v>139</v>
      </c>
      <c r="L804" s="35" t="s">
        <v>3082</v>
      </c>
      <c r="M804" s="36" t="s">
        <v>3083</v>
      </c>
      <c r="N804" s="75" t="s">
        <v>1404</v>
      </c>
      <c r="O804" t="s">
        <v>3084</v>
      </c>
      <c r="P804" t="s">
        <v>3085</v>
      </c>
      <c r="Q804" t="s">
        <v>420</v>
      </c>
      <c r="R804" s="38">
        <v>46032</v>
      </c>
      <c r="S804" s="39">
        <v>46396</v>
      </c>
      <c r="T804" s="50" t="s">
        <v>141</v>
      </c>
      <c r="U804" s="47" t="s">
        <v>141</v>
      </c>
      <c r="V804" s="40" t="s">
        <v>590</v>
      </c>
      <c r="W804" s="41" t="s">
        <v>39</v>
      </c>
      <c r="X804" s="40" t="s">
        <v>3086</v>
      </c>
      <c r="Y804" s="40" t="s">
        <v>185</v>
      </c>
      <c r="AA804" s="62">
        <v>90007540</v>
      </c>
      <c r="AB804" s="44">
        <v>46094</v>
      </c>
      <c r="AC804" s="63">
        <v>60017421</v>
      </c>
      <c r="AD804" s="46">
        <v>46094</v>
      </c>
    </row>
    <row r="805" spans="1:32" ht="19.5" customHeight="1">
      <c r="A805" s="25">
        <f t="shared" si="12"/>
        <v>800</v>
      </c>
      <c r="B805" s="26">
        <v>6258191</v>
      </c>
      <c r="C805" s="27">
        <v>46042</v>
      </c>
      <c r="D805" s="80" t="s">
        <v>141</v>
      </c>
      <c r="E805" s="29">
        <v>6727.48</v>
      </c>
      <c r="F805" s="30" t="s">
        <v>3087</v>
      </c>
      <c r="G805" s="27">
        <v>46048</v>
      </c>
      <c r="H805" s="80" t="s">
        <v>141</v>
      </c>
      <c r="I805" s="33">
        <v>6727.48</v>
      </c>
      <c r="J805" s="34" t="s">
        <v>159</v>
      </c>
      <c r="K805" t="s">
        <v>160</v>
      </c>
      <c r="L805" s="35" t="s">
        <v>3088</v>
      </c>
      <c r="M805" s="36" t="s">
        <v>3089</v>
      </c>
      <c r="N805" s="37" t="s">
        <v>1651</v>
      </c>
      <c r="O805" t="s">
        <v>3090</v>
      </c>
      <c r="P805" t="s">
        <v>3091</v>
      </c>
      <c r="Q805" t="s">
        <v>2051</v>
      </c>
      <c r="R805" s="38">
        <v>46023</v>
      </c>
      <c r="S805" s="39">
        <v>46387</v>
      </c>
      <c r="T805" s="38">
        <v>46023</v>
      </c>
      <c r="U805" s="39">
        <v>46387</v>
      </c>
      <c r="V805" s="40" t="s">
        <v>64</v>
      </c>
      <c r="W805" s="41" t="s">
        <v>39</v>
      </c>
      <c r="X805" s="40" t="s">
        <v>3092</v>
      </c>
      <c r="Y805" s="40" t="s">
        <v>56</v>
      </c>
    </row>
    <row r="806" spans="1:32" ht="19.5" customHeight="1">
      <c r="A806" s="25">
        <f t="shared" si="12"/>
        <v>801</v>
      </c>
      <c r="B806" s="26">
        <v>6258214</v>
      </c>
      <c r="C806" s="27">
        <v>46042</v>
      </c>
      <c r="D806" s="80" t="s">
        <v>141</v>
      </c>
      <c r="E806" s="29">
        <v>2986.61</v>
      </c>
      <c r="F806" s="30" t="s">
        <v>3093</v>
      </c>
      <c r="G806" s="27">
        <v>46048</v>
      </c>
      <c r="H806" s="80" t="s">
        <v>141</v>
      </c>
      <c r="I806" s="33">
        <v>2986.61</v>
      </c>
      <c r="J806" s="34" t="s">
        <v>159</v>
      </c>
      <c r="K806" t="s">
        <v>160</v>
      </c>
      <c r="L806" s="35" t="s">
        <v>3094</v>
      </c>
      <c r="M806" s="36" t="s">
        <v>3095</v>
      </c>
      <c r="N806" s="37" t="s">
        <v>1615</v>
      </c>
      <c r="O806" t="s">
        <v>3090</v>
      </c>
      <c r="P806" t="s">
        <v>3091</v>
      </c>
      <c r="Q806" t="s">
        <v>2051</v>
      </c>
      <c r="R806" s="38">
        <v>46023</v>
      </c>
      <c r="S806" s="39">
        <v>46387</v>
      </c>
      <c r="T806" s="38">
        <v>46023</v>
      </c>
      <c r="U806" s="39">
        <v>46387</v>
      </c>
      <c r="V806" s="40" t="s">
        <v>64</v>
      </c>
      <c r="W806" s="41" t="s">
        <v>39</v>
      </c>
      <c r="X806" s="40" t="s">
        <v>3092</v>
      </c>
      <c r="Y806" s="40" t="s">
        <v>56</v>
      </c>
      <c r="AE806">
        <v>3203670</v>
      </c>
      <c r="AF806" s="39">
        <v>46139</v>
      </c>
    </row>
    <row r="807" spans="1:32" ht="19.5" customHeight="1">
      <c r="A807" s="25">
        <f t="shared" si="12"/>
        <v>802</v>
      </c>
      <c r="B807" s="26">
        <v>6258327</v>
      </c>
      <c r="C807" s="27">
        <v>46043</v>
      </c>
      <c r="D807" s="80" t="s">
        <v>141</v>
      </c>
      <c r="E807" s="29">
        <v>15000.58</v>
      </c>
      <c r="F807" s="30" t="s">
        <v>3096</v>
      </c>
      <c r="G807" s="27">
        <v>46048</v>
      </c>
      <c r="H807" s="80" t="s">
        <v>141</v>
      </c>
      <c r="I807" s="33">
        <v>15000.58</v>
      </c>
      <c r="J807" s="34" t="s">
        <v>3097</v>
      </c>
      <c r="K807" t="s">
        <v>160</v>
      </c>
      <c r="L807" s="35" t="s">
        <v>3098</v>
      </c>
      <c r="M807" s="36" t="s">
        <v>3099</v>
      </c>
      <c r="N807" s="37" t="s">
        <v>1525</v>
      </c>
      <c r="O807" t="s">
        <v>3090</v>
      </c>
      <c r="P807" t="s">
        <v>3091</v>
      </c>
      <c r="Q807" t="s">
        <v>2051</v>
      </c>
      <c r="R807" s="38">
        <v>46023</v>
      </c>
      <c r="S807" s="39">
        <v>46387</v>
      </c>
      <c r="T807" s="38">
        <v>46023</v>
      </c>
      <c r="U807" s="39">
        <v>46387</v>
      </c>
      <c r="V807" s="40" t="s">
        <v>64</v>
      </c>
      <c r="W807" s="41" t="s">
        <v>39</v>
      </c>
      <c r="X807" s="40" t="s">
        <v>3092</v>
      </c>
      <c r="Y807" s="40" t="s">
        <v>56</v>
      </c>
    </row>
    <row r="808" spans="1:32" ht="19.5" customHeight="1">
      <c r="A808" s="25">
        <f t="shared" si="12"/>
        <v>803</v>
      </c>
      <c r="B808" s="26">
        <v>6258384</v>
      </c>
      <c r="C808" s="27">
        <v>46043</v>
      </c>
      <c r="D808" s="80" t="s">
        <v>141</v>
      </c>
      <c r="E808" s="29">
        <v>5973.22</v>
      </c>
      <c r="F808" s="30" t="s">
        <v>3100</v>
      </c>
      <c r="G808" s="27">
        <v>46048</v>
      </c>
      <c r="H808" s="80" t="s">
        <v>141</v>
      </c>
      <c r="I808" s="33">
        <v>5973.22</v>
      </c>
      <c r="J808" s="34" t="s">
        <v>159</v>
      </c>
      <c r="K808" t="s">
        <v>160</v>
      </c>
      <c r="L808" s="35" t="s">
        <v>3101</v>
      </c>
      <c r="M808" s="36" t="s">
        <v>3102</v>
      </c>
      <c r="N808" s="37" t="s">
        <v>1621</v>
      </c>
      <c r="O808" t="s">
        <v>3090</v>
      </c>
      <c r="P808" t="s">
        <v>3091</v>
      </c>
      <c r="Q808" t="s">
        <v>2051</v>
      </c>
      <c r="R808" s="38">
        <v>46023</v>
      </c>
      <c r="S808" s="39">
        <v>46387</v>
      </c>
      <c r="T808" s="38">
        <v>46023</v>
      </c>
      <c r="U808" s="39">
        <v>46387</v>
      </c>
      <c r="V808" s="40" t="s">
        <v>64</v>
      </c>
      <c r="W808" s="41" t="s">
        <v>39</v>
      </c>
      <c r="X808" s="40" t="s">
        <v>3092</v>
      </c>
      <c r="Y808" s="40" t="s">
        <v>56</v>
      </c>
      <c r="AE808">
        <v>3203674</v>
      </c>
      <c r="AF808" s="39">
        <v>46139</v>
      </c>
    </row>
    <row r="809" spans="1:32" ht="19.5" customHeight="1">
      <c r="A809" s="25">
        <f t="shared" si="12"/>
        <v>804</v>
      </c>
      <c r="B809" s="26">
        <v>6258541</v>
      </c>
      <c r="C809" s="27">
        <v>46043</v>
      </c>
      <c r="D809" s="80" t="s">
        <v>141</v>
      </c>
      <c r="E809" s="29">
        <v>4970</v>
      </c>
      <c r="F809" s="30" t="s">
        <v>3103</v>
      </c>
      <c r="G809" s="27">
        <v>46051</v>
      </c>
      <c r="H809" s="80" t="s">
        <v>141</v>
      </c>
      <c r="I809" s="33">
        <v>4970</v>
      </c>
      <c r="J809" s="34" t="s">
        <v>33</v>
      </c>
      <c r="K809" t="s">
        <v>139</v>
      </c>
      <c r="L809" s="35">
        <v>80005314</v>
      </c>
      <c r="M809" s="36" t="s">
        <v>3104</v>
      </c>
      <c r="N809" s="37" t="s">
        <v>1404</v>
      </c>
      <c r="O809" t="s">
        <v>3050</v>
      </c>
      <c r="P809" t="s">
        <v>3051</v>
      </c>
      <c r="Q809" t="s">
        <v>3105</v>
      </c>
      <c r="R809" s="38">
        <v>46037</v>
      </c>
      <c r="S809" s="47">
        <v>46438</v>
      </c>
      <c r="T809" s="50" t="s">
        <v>141</v>
      </c>
      <c r="U809" s="47" t="s">
        <v>141</v>
      </c>
      <c r="V809" s="40" t="s">
        <v>175</v>
      </c>
      <c r="W809" s="41" t="s">
        <v>39</v>
      </c>
      <c r="X809" s="40" t="s">
        <v>3053</v>
      </c>
      <c r="Y809" s="40" t="s">
        <v>56</v>
      </c>
      <c r="Z809" t="s">
        <v>81</v>
      </c>
      <c r="AA809" s="62">
        <v>90007471</v>
      </c>
      <c r="AB809" s="44">
        <v>46052</v>
      </c>
      <c r="AC809" s="63">
        <v>60017300</v>
      </c>
      <c r="AD809" s="46">
        <v>46052</v>
      </c>
      <c r="AE809">
        <v>3201100</v>
      </c>
      <c r="AF809" s="39">
        <v>46120</v>
      </c>
    </row>
    <row r="810" spans="1:32" ht="19.5" customHeight="1">
      <c r="A810" s="25">
        <f t="shared" si="12"/>
        <v>805</v>
      </c>
      <c r="B810" s="26">
        <v>6258572</v>
      </c>
      <c r="C810" s="27">
        <v>46043</v>
      </c>
      <c r="D810" s="80" t="s">
        <v>141</v>
      </c>
      <c r="E810" s="29">
        <v>14035.56</v>
      </c>
      <c r="F810" s="30" t="s">
        <v>3106</v>
      </c>
      <c r="G810" s="27">
        <v>46056</v>
      </c>
      <c r="H810" s="32"/>
      <c r="I810" s="33">
        <v>14035.56</v>
      </c>
      <c r="J810" s="34" t="s">
        <v>103</v>
      </c>
      <c r="K810" t="s">
        <v>293</v>
      </c>
      <c r="L810" s="35" t="s">
        <v>3107</v>
      </c>
      <c r="M810" s="36" t="s">
        <v>3108</v>
      </c>
      <c r="N810" s="37" t="s">
        <v>2010</v>
      </c>
      <c r="O810" t="s">
        <v>3109</v>
      </c>
      <c r="P810" t="s">
        <v>3110</v>
      </c>
      <c r="Q810" t="s">
        <v>3111</v>
      </c>
      <c r="R810" s="38">
        <v>46021</v>
      </c>
      <c r="S810" s="39">
        <v>46385</v>
      </c>
      <c r="T810" s="38">
        <v>46021</v>
      </c>
      <c r="U810" s="39">
        <v>46385</v>
      </c>
      <c r="V810" s="40" t="s">
        <v>1333</v>
      </c>
      <c r="W810" s="41" t="s">
        <v>39</v>
      </c>
      <c r="X810" s="40" t="s">
        <v>3112</v>
      </c>
      <c r="Y810" s="40" t="s">
        <v>56</v>
      </c>
      <c r="Z810" t="s">
        <v>81</v>
      </c>
      <c r="AA810" s="62" t="s">
        <v>3113</v>
      </c>
      <c r="AB810" s="44">
        <v>46057</v>
      </c>
      <c r="AC810" s="63" t="s">
        <v>3114</v>
      </c>
      <c r="AD810" s="46">
        <v>46057</v>
      </c>
    </row>
    <row r="811" spans="1:32" ht="19.5" customHeight="1">
      <c r="A811" s="25">
        <f t="shared" si="12"/>
        <v>806</v>
      </c>
      <c r="B811" s="26">
        <v>6258734</v>
      </c>
      <c r="C811" s="27">
        <v>46044</v>
      </c>
      <c r="D811" s="80" t="s">
        <v>141</v>
      </c>
      <c r="E811" s="29">
        <v>3835.22</v>
      </c>
      <c r="F811" s="30" t="s">
        <v>3115</v>
      </c>
      <c r="G811" s="27">
        <v>46048</v>
      </c>
      <c r="H811" s="80" t="s">
        <v>141</v>
      </c>
      <c r="I811" s="33">
        <v>3835.22</v>
      </c>
      <c r="J811" s="34" t="s">
        <v>159</v>
      </c>
      <c r="K811" t="s">
        <v>160</v>
      </c>
      <c r="L811" s="35" t="s">
        <v>3116</v>
      </c>
      <c r="M811" s="36" t="s">
        <v>3117</v>
      </c>
      <c r="N811" s="37" t="s">
        <v>1525</v>
      </c>
      <c r="O811" t="s">
        <v>3118</v>
      </c>
      <c r="P811" t="s">
        <v>3119</v>
      </c>
      <c r="Q811" t="s">
        <v>2491</v>
      </c>
      <c r="R811" s="38">
        <v>46036</v>
      </c>
      <c r="S811" s="39">
        <v>46507</v>
      </c>
      <c r="T811" s="50" t="s">
        <v>141</v>
      </c>
      <c r="U811" s="47" t="s">
        <v>141</v>
      </c>
      <c r="V811" s="40" t="s">
        <v>521</v>
      </c>
      <c r="W811" s="41" t="s">
        <v>39</v>
      </c>
      <c r="X811" s="40" t="s">
        <v>3120</v>
      </c>
      <c r="Y811" s="40" t="s">
        <v>56</v>
      </c>
    </row>
    <row r="812" spans="1:32" ht="19.5" customHeight="1">
      <c r="A812" s="25">
        <f t="shared" si="12"/>
        <v>807</v>
      </c>
      <c r="B812" s="26">
        <v>6258819</v>
      </c>
      <c r="C812" s="27">
        <v>46044</v>
      </c>
      <c r="D812" s="80" t="s">
        <v>141</v>
      </c>
      <c r="E812" s="29">
        <v>10760</v>
      </c>
      <c r="F812" s="30" t="s">
        <v>3121</v>
      </c>
      <c r="G812" s="27">
        <v>46050</v>
      </c>
      <c r="H812" s="80" t="s">
        <v>141</v>
      </c>
      <c r="I812" s="33">
        <v>10760</v>
      </c>
      <c r="J812" s="34" t="s">
        <v>103</v>
      </c>
      <c r="K812" t="s">
        <v>777</v>
      </c>
      <c r="L812" s="35" t="s">
        <v>3122</v>
      </c>
      <c r="M812" s="36" t="s">
        <v>3123</v>
      </c>
      <c r="N812" s="37" t="s">
        <v>3124</v>
      </c>
      <c r="O812" t="s">
        <v>3062</v>
      </c>
      <c r="P812" t="s">
        <v>3063</v>
      </c>
      <c r="Q812" t="s">
        <v>3125</v>
      </c>
      <c r="R812" s="38">
        <v>46023</v>
      </c>
      <c r="S812" s="39">
        <v>46387</v>
      </c>
      <c r="T812" s="38">
        <v>46023</v>
      </c>
      <c r="U812" s="39">
        <v>46387</v>
      </c>
      <c r="V812" s="40" t="s">
        <v>38</v>
      </c>
      <c r="W812" s="41" t="s">
        <v>39</v>
      </c>
      <c r="X812" s="40" t="s">
        <v>3065</v>
      </c>
      <c r="Y812" s="79" t="s">
        <v>185</v>
      </c>
      <c r="AA812" s="62" t="s">
        <v>3126</v>
      </c>
      <c r="AB812" s="44">
        <v>46112</v>
      </c>
      <c r="AC812" s="63" t="s">
        <v>3126</v>
      </c>
      <c r="AD812" s="46">
        <v>46112</v>
      </c>
    </row>
    <row r="813" spans="1:32" ht="19.5" customHeight="1">
      <c r="A813" s="25">
        <f t="shared" si="12"/>
        <v>808</v>
      </c>
      <c r="B813" s="26">
        <v>6258878</v>
      </c>
      <c r="C813" s="27">
        <v>46044</v>
      </c>
      <c r="D813" s="80">
        <v>740.2</v>
      </c>
      <c r="E813" s="29">
        <v>5754.55</v>
      </c>
      <c r="F813" s="30" t="s">
        <v>3127</v>
      </c>
      <c r="G813" s="27">
        <v>46045</v>
      </c>
      <c r="H813" s="80">
        <v>740.2</v>
      </c>
      <c r="I813" s="29">
        <v>5754.55</v>
      </c>
      <c r="J813" s="34" t="s">
        <v>103</v>
      </c>
      <c r="K813" t="s">
        <v>206</v>
      </c>
      <c r="L813" s="35" t="s">
        <v>3128</v>
      </c>
      <c r="M813" s="36" t="s">
        <v>3129</v>
      </c>
      <c r="N813" s="37" t="s">
        <v>1330</v>
      </c>
      <c r="O813" t="s">
        <v>3130</v>
      </c>
      <c r="P813" t="s">
        <v>3131</v>
      </c>
      <c r="Q813" t="s">
        <v>3132</v>
      </c>
      <c r="R813" s="38">
        <v>45820</v>
      </c>
      <c r="S813" s="39">
        <v>46184</v>
      </c>
      <c r="T813" s="38">
        <v>45820</v>
      </c>
      <c r="U813" s="39">
        <v>46184</v>
      </c>
      <c r="V813" s="40" t="s">
        <v>1025</v>
      </c>
      <c r="W813" s="41" t="s">
        <v>39</v>
      </c>
      <c r="X813" s="40" t="s">
        <v>3133</v>
      </c>
      <c r="Y813" s="40" t="s">
        <v>56</v>
      </c>
      <c r="AA813" s="62" t="s">
        <v>3134</v>
      </c>
      <c r="AB813" s="44">
        <v>46058</v>
      </c>
      <c r="AC813" s="63" t="s">
        <v>3135</v>
      </c>
      <c r="AD813" s="46">
        <v>46058</v>
      </c>
    </row>
    <row r="814" spans="1:32" ht="19.5" customHeight="1">
      <c r="A814" s="25">
        <f t="shared" si="12"/>
        <v>809</v>
      </c>
      <c r="B814" s="26">
        <v>6259170</v>
      </c>
      <c r="C814" s="27">
        <v>46045</v>
      </c>
      <c r="D814" s="219" t="s">
        <v>141</v>
      </c>
      <c r="E814" s="72">
        <v>10540</v>
      </c>
      <c r="F814" s="30">
        <v>1576386</v>
      </c>
      <c r="G814" s="27">
        <v>46057</v>
      </c>
      <c r="H814" s="219" t="s">
        <v>141</v>
      </c>
      <c r="I814" s="295">
        <v>5240</v>
      </c>
      <c r="J814" s="34" t="s">
        <v>33</v>
      </c>
      <c r="K814" t="s">
        <v>139</v>
      </c>
      <c r="L814" s="35" t="s">
        <v>3136</v>
      </c>
      <c r="M814" s="36" t="s">
        <v>3137</v>
      </c>
      <c r="N814" s="75" t="s">
        <v>1404</v>
      </c>
      <c r="O814" t="s">
        <v>3138</v>
      </c>
      <c r="P814" t="s">
        <v>3139</v>
      </c>
      <c r="Q814" t="s">
        <v>3140</v>
      </c>
      <c r="R814" s="38">
        <v>46023</v>
      </c>
      <c r="S814" s="39">
        <v>46387</v>
      </c>
      <c r="T814" s="50" t="s">
        <v>141</v>
      </c>
      <c r="U814" s="47" t="s">
        <v>141</v>
      </c>
      <c r="V814" s="40" t="s">
        <v>113</v>
      </c>
      <c r="W814" s="41" t="s">
        <v>39</v>
      </c>
      <c r="X814" s="40" t="s">
        <v>3141</v>
      </c>
      <c r="Y814" s="40" t="s">
        <v>56</v>
      </c>
      <c r="Z814" t="s">
        <v>81</v>
      </c>
      <c r="AA814" s="62">
        <v>90007511</v>
      </c>
      <c r="AB814" s="44">
        <v>46077</v>
      </c>
      <c r="AC814" s="63">
        <v>60017374</v>
      </c>
      <c r="AD814" s="46">
        <v>46077</v>
      </c>
    </row>
    <row r="815" spans="1:32" ht="19.5" customHeight="1">
      <c r="A815" s="25">
        <f t="shared" si="12"/>
        <v>810</v>
      </c>
      <c r="B815" s="26">
        <v>6259258</v>
      </c>
      <c r="C815" s="27">
        <v>46045</v>
      </c>
      <c r="D815" s="28">
        <v>77781.87</v>
      </c>
      <c r="E815" s="29">
        <v>604699.59</v>
      </c>
      <c r="F815" s="30">
        <v>1576379</v>
      </c>
      <c r="G815" s="27">
        <v>46045</v>
      </c>
      <c r="H815" s="32">
        <v>77781.87</v>
      </c>
      <c r="I815" s="33">
        <v>604699.59</v>
      </c>
      <c r="J815" s="34" t="s">
        <v>33</v>
      </c>
      <c r="K815" t="s">
        <v>34</v>
      </c>
      <c r="L815" s="35">
        <v>492008064</v>
      </c>
      <c r="M815" s="36" t="s">
        <v>2104</v>
      </c>
      <c r="N815" s="37" t="s">
        <v>1346</v>
      </c>
      <c r="O815" t="s">
        <v>3138</v>
      </c>
      <c r="P815" t="s">
        <v>3139</v>
      </c>
      <c r="Q815" t="s">
        <v>3140</v>
      </c>
      <c r="R815" s="38">
        <v>46023</v>
      </c>
      <c r="S815" s="39">
        <v>46387</v>
      </c>
      <c r="T815" s="332">
        <v>46023</v>
      </c>
      <c r="U815" s="333">
        <v>46387</v>
      </c>
      <c r="V815" s="40" t="s">
        <v>113</v>
      </c>
      <c r="W815" s="41" t="s">
        <v>39</v>
      </c>
      <c r="X815" s="40" t="s">
        <v>3141</v>
      </c>
      <c r="Y815" s="40" t="s">
        <v>56</v>
      </c>
      <c r="Z815" t="s">
        <v>81</v>
      </c>
      <c r="AC815" s="63">
        <v>10000086223</v>
      </c>
      <c r="AD815" s="46">
        <v>46046</v>
      </c>
    </row>
    <row r="816" spans="1:32" ht="19.5" customHeight="1">
      <c r="A816" s="25">
        <f t="shared" si="12"/>
        <v>811</v>
      </c>
      <c r="B816" s="26">
        <v>6259336</v>
      </c>
      <c r="C816" s="27">
        <v>46045</v>
      </c>
      <c r="D816" s="28">
        <v>3496.28</v>
      </c>
      <c r="E816" s="29">
        <v>27181.13</v>
      </c>
      <c r="F816" s="30" t="s">
        <v>3142</v>
      </c>
      <c r="G816" s="27">
        <v>46056</v>
      </c>
      <c r="H816" s="32">
        <v>3496.28</v>
      </c>
      <c r="I816" s="33">
        <v>27181.13</v>
      </c>
      <c r="J816" s="34" t="s">
        <v>33</v>
      </c>
      <c r="K816" t="s">
        <v>34</v>
      </c>
      <c r="L816" s="35">
        <v>421983863</v>
      </c>
      <c r="M816" s="36" t="s">
        <v>2359</v>
      </c>
      <c r="N816" s="37" t="s">
        <v>1346</v>
      </c>
      <c r="O816" t="s">
        <v>3143</v>
      </c>
      <c r="P816" t="s">
        <v>3144</v>
      </c>
      <c r="Q816" t="s">
        <v>3145</v>
      </c>
      <c r="R816" s="38">
        <v>45993</v>
      </c>
      <c r="S816" s="39">
        <v>46395</v>
      </c>
      <c r="T816" s="332">
        <v>46204</v>
      </c>
      <c r="U816" s="333">
        <v>46568</v>
      </c>
      <c r="V816" s="40" t="s">
        <v>458</v>
      </c>
      <c r="W816" s="41" t="s">
        <v>39</v>
      </c>
      <c r="X816" s="40" t="s">
        <v>3146</v>
      </c>
      <c r="Y816" s="40" t="s">
        <v>185</v>
      </c>
      <c r="AC816" s="63">
        <v>10000116373</v>
      </c>
      <c r="AD816" s="46">
        <v>46057</v>
      </c>
      <c r="AE816">
        <v>3197632</v>
      </c>
      <c r="AF816" s="39">
        <v>46092</v>
      </c>
    </row>
    <row r="817" spans="1:32" ht="19.5" customHeight="1">
      <c r="A817" s="25">
        <f t="shared" si="12"/>
        <v>812</v>
      </c>
      <c r="B817" s="26">
        <v>6259704</v>
      </c>
      <c r="C817" s="27">
        <v>46048</v>
      </c>
      <c r="D817" s="28">
        <v>22148.42</v>
      </c>
      <c r="E817" s="29">
        <v>172188.46</v>
      </c>
      <c r="F817" s="30" t="s">
        <v>3147</v>
      </c>
      <c r="G817" s="27">
        <v>46055</v>
      </c>
      <c r="H817" s="68">
        <v>22148.42</v>
      </c>
      <c r="I817" s="29">
        <v>172188.46</v>
      </c>
      <c r="J817" s="34" t="s">
        <v>33</v>
      </c>
      <c r="K817" t="s">
        <v>34</v>
      </c>
      <c r="L817" s="35">
        <v>342234083</v>
      </c>
      <c r="M817" s="36" t="s">
        <v>3148</v>
      </c>
      <c r="N817" s="37" t="s">
        <v>1346</v>
      </c>
      <c r="O817" t="s">
        <v>3084</v>
      </c>
      <c r="P817" t="s">
        <v>3149</v>
      </c>
      <c r="Q817" s="334" t="s">
        <v>3150</v>
      </c>
      <c r="R817" s="38">
        <v>46032</v>
      </c>
      <c r="S817" s="39">
        <v>46396</v>
      </c>
      <c r="T817" s="38">
        <v>46032</v>
      </c>
      <c r="U817" s="39">
        <v>46396</v>
      </c>
      <c r="V817" s="40" t="s">
        <v>590</v>
      </c>
      <c r="W817" s="41" t="s">
        <v>3151</v>
      </c>
      <c r="X817" s="40" t="s">
        <v>3086</v>
      </c>
      <c r="Y817" s="40" t="s">
        <v>56</v>
      </c>
      <c r="AC817" s="63">
        <v>10000116401</v>
      </c>
      <c r="AD817" s="46">
        <v>46057</v>
      </c>
      <c r="AE817">
        <v>3197630</v>
      </c>
      <c r="AF817" s="39">
        <v>46092</v>
      </c>
    </row>
    <row r="818" spans="1:32" ht="19.5" customHeight="1">
      <c r="A818" s="25">
        <f t="shared" si="12"/>
        <v>813</v>
      </c>
      <c r="B818" s="26">
        <v>6260268</v>
      </c>
      <c r="C818" s="27">
        <v>46050</v>
      </c>
      <c r="D818" s="68">
        <v>35755.620000000003</v>
      </c>
      <c r="E818" s="29">
        <v>277974.92</v>
      </c>
      <c r="F818" s="335" t="s">
        <v>3152</v>
      </c>
      <c r="G818" s="27">
        <v>46087</v>
      </c>
      <c r="H818" s="336">
        <f>23060.35+3144+9551.27</f>
        <v>35755.619999999995</v>
      </c>
      <c r="I818" s="29">
        <v>277974.92</v>
      </c>
      <c r="J818" s="34" t="s">
        <v>99</v>
      </c>
      <c r="K818" t="s">
        <v>34</v>
      </c>
      <c r="L818" s="35">
        <v>272289393</v>
      </c>
      <c r="M818" s="36" t="s">
        <v>3153</v>
      </c>
      <c r="N818" s="37" t="s">
        <v>1540</v>
      </c>
      <c r="O818" t="s">
        <v>3154</v>
      </c>
      <c r="P818" t="s">
        <v>3155</v>
      </c>
      <c r="Q818" t="s">
        <v>3156</v>
      </c>
      <c r="R818" s="38">
        <v>46023</v>
      </c>
      <c r="S818" s="39">
        <v>46387</v>
      </c>
      <c r="T818" s="38">
        <v>46023</v>
      </c>
      <c r="U818" s="39">
        <v>46387</v>
      </c>
      <c r="V818" s="40" t="s">
        <v>590</v>
      </c>
      <c r="W818" s="41" t="s">
        <v>3151</v>
      </c>
      <c r="X818" s="40" t="s">
        <v>3086</v>
      </c>
      <c r="Y818" s="40" t="s">
        <v>56</v>
      </c>
      <c r="AC818" s="63" t="s">
        <v>3157</v>
      </c>
      <c r="AD818" s="46">
        <v>46133</v>
      </c>
    </row>
    <row r="819" spans="1:32" ht="19.5" customHeight="1">
      <c r="A819" s="25">
        <f t="shared" si="12"/>
        <v>814</v>
      </c>
      <c r="B819" s="26">
        <v>6260480</v>
      </c>
      <c r="C819" s="27">
        <v>46050</v>
      </c>
      <c r="D819" s="80" t="s">
        <v>141</v>
      </c>
      <c r="E819" s="29">
        <v>7912</v>
      </c>
      <c r="F819" s="30" t="s">
        <v>3158</v>
      </c>
      <c r="G819" s="27">
        <v>46062</v>
      </c>
      <c r="H819" s="80" t="s">
        <v>141</v>
      </c>
      <c r="I819" s="33">
        <v>7912</v>
      </c>
      <c r="J819" s="34" t="s">
        <v>103</v>
      </c>
      <c r="K819" t="s">
        <v>777</v>
      </c>
      <c r="L819" s="35" t="s">
        <v>3159</v>
      </c>
      <c r="M819" s="36" t="s">
        <v>3160</v>
      </c>
      <c r="N819" s="37" t="s">
        <v>2343</v>
      </c>
      <c r="O819" t="s">
        <v>3161</v>
      </c>
      <c r="P819" t="s">
        <v>3162</v>
      </c>
      <c r="Q819" t="s">
        <v>3163</v>
      </c>
      <c r="R819" s="38">
        <v>46031</v>
      </c>
      <c r="S819" s="39">
        <v>46760</v>
      </c>
      <c r="T819" s="38">
        <v>46031</v>
      </c>
      <c r="U819" s="39">
        <v>46760</v>
      </c>
      <c r="V819" s="40" t="s">
        <v>1654</v>
      </c>
      <c r="W819" s="41" t="s">
        <v>39</v>
      </c>
      <c r="X819" s="40" t="s">
        <v>3164</v>
      </c>
      <c r="Y819" s="40" t="s">
        <v>56</v>
      </c>
      <c r="Z819" s="40" t="s">
        <v>81</v>
      </c>
      <c r="AA819" s="62" t="s">
        <v>3165</v>
      </c>
      <c r="AB819" s="44">
        <v>46112</v>
      </c>
      <c r="AC819" s="63" t="s">
        <v>3165</v>
      </c>
      <c r="AD819" s="46">
        <v>46112</v>
      </c>
    </row>
    <row r="820" spans="1:32" ht="19.5" customHeight="1">
      <c r="A820" s="25">
        <f t="shared" si="12"/>
        <v>815</v>
      </c>
      <c r="B820" s="26">
        <v>6260758</v>
      </c>
      <c r="C820" s="27">
        <v>46051</v>
      </c>
      <c r="D820" s="219" t="s">
        <v>141</v>
      </c>
      <c r="E820" s="220">
        <v>5180</v>
      </c>
      <c r="F820" s="30" t="s">
        <v>3166</v>
      </c>
      <c r="G820" s="27">
        <v>46079</v>
      </c>
      <c r="H820" s="219" t="s">
        <v>141</v>
      </c>
      <c r="I820" s="74">
        <v>5180</v>
      </c>
      <c r="J820" s="34" t="s">
        <v>33</v>
      </c>
      <c r="K820" t="s">
        <v>139</v>
      </c>
      <c r="L820" s="251">
        <v>80005351</v>
      </c>
      <c r="M820" s="36" t="s">
        <v>3167</v>
      </c>
      <c r="N820" s="75" t="s">
        <v>1749</v>
      </c>
      <c r="O820" t="s">
        <v>3168</v>
      </c>
      <c r="P820" t="s">
        <v>3169</v>
      </c>
      <c r="Q820" t="s">
        <v>3170</v>
      </c>
      <c r="R820" s="38">
        <v>46082</v>
      </c>
      <c r="S820" s="39">
        <v>46812</v>
      </c>
      <c r="T820" s="50" t="s">
        <v>141</v>
      </c>
      <c r="U820" s="47" t="s">
        <v>141</v>
      </c>
      <c r="V820" s="40" t="s">
        <v>3171</v>
      </c>
      <c r="W820" s="41" t="s">
        <v>39</v>
      </c>
      <c r="X820" s="40" t="s">
        <v>3172</v>
      </c>
      <c r="Y820" s="40" t="s">
        <v>56</v>
      </c>
      <c r="AA820" s="62">
        <v>90007575</v>
      </c>
      <c r="AB820" s="44">
        <v>46112</v>
      </c>
      <c r="AC820" s="63">
        <v>60017500</v>
      </c>
      <c r="AD820" s="46">
        <v>46112</v>
      </c>
      <c r="AE820">
        <v>3204916</v>
      </c>
      <c r="AF820" s="39">
        <v>46147</v>
      </c>
    </row>
    <row r="821" spans="1:32" ht="19.5" customHeight="1">
      <c r="A821" s="25">
        <f t="shared" si="12"/>
        <v>816</v>
      </c>
      <c r="B821" s="26">
        <v>6261186</v>
      </c>
      <c r="C821" s="27">
        <v>46052</v>
      </c>
      <c r="D821" s="219" t="s">
        <v>141</v>
      </c>
      <c r="E821" s="72">
        <v>4210</v>
      </c>
      <c r="F821" s="30" t="s">
        <v>3173</v>
      </c>
      <c r="G821" s="27">
        <v>46055</v>
      </c>
      <c r="H821" s="219" t="s">
        <v>141</v>
      </c>
      <c r="I821" s="74">
        <v>4210</v>
      </c>
      <c r="J821" s="34" t="s">
        <v>33</v>
      </c>
      <c r="K821" t="s">
        <v>139</v>
      </c>
      <c r="L821" s="35" t="s">
        <v>3042</v>
      </c>
      <c r="M821" s="36" t="s">
        <v>3174</v>
      </c>
      <c r="N821" s="75" t="s">
        <v>1383</v>
      </c>
      <c r="O821" t="s">
        <v>3175</v>
      </c>
      <c r="P821" t="s">
        <v>3176</v>
      </c>
      <c r="Q821" t="s">
        <v>3177</v>
      </c>
      <c r="R821" s="38">
        <v>46054</v>
      </c>
      <c r="S821" s="39">
        <v>46418</v>
      </c>
      <c r="T821" s="50" t="s">
        <v>141</v>
      </c>
      <c r="U821" s="47" t="s">
        <v>141</v>
      </c>
      <c r="V821" s="40" t="s">
        <v>72</v>
      </c>
      <c r="W821" s="41" t="s">
        <v>39</v>
      </c>
      <c r="X821" s="40" t="s">
        <v>3178</v>
      </c>
      <c r="Y821" s="40" t="s">
        <v>185</v>
      </c>
      <c r="Z821" t="s">
        <v>81</v>
      </c>
      <c r="AA821" s="62">
        <v>90007575</v>
      </c>
      <c r="AB821" s="44">
        <v>46112</v>
      </c>
      <c r="AC821" s="63">
        <v>60017496</v>
      </c>
      <c r="AD821" s="46">
        <v>46112</v>
      </c>
      <c r="AE821">
        <v>3202018</v>
      </c>
      <c r="AF821" s="39">
        <v>46127</v>
      </c>
    </row>
    <row r="822" spans="1:32" ht="19.5" customHeight="1">
      <c r="A822" s="25">
        <f t="shared" si="12"/>
        <v>817</v>
      </c>
      <c r="B822" s="26">
        <v>6261579</v>
      </c>
      <c r="C822" s="27">
        <v>46055</v>
      </c>
      <c r="D822" s="28">
        <v>1188.8399999999999</v>
      </c>
      <c r="E822" s="29">
        <v>9272.9500000000007</v>
      </c>
      <c r="F822" s="30">
        <v>1577898</v>
      </c>
      <c r="G822" s="27">
        <v>46063</v>
      </c>
      <c r="H822" s="32">
        <v>1188.8399999999999</v>
      </c>
      <c r="I822" s="33">
        <v>9272.9500000000007</v>
      </c>
      <c r="J822" s="34" t="s">
        <v>33</v>
      </c>
      <c r="K822" t="s">
        <v>34</v>
      </c>
      <c r="L822" s="35">
        <v>431996314</v>
      </c>
      <c r="M822" s="36" t="s">
        <v>2129</v>
      </c>
      <c r="N822" s="37" t="s">
        <v>1346</v>
      </c>
      <c r="O822" t="s">
        <v>3179</v>
      </c>
      <c r="P822" t="s">
        <v>3180</v>
      </c>
      <c r="Q822" t="s">
        <v>3181</v>
      </c>
      <c r="R822" s="38">
        <v>46209</v>
      </c>
      <c r="S822" s="39">
        <v>47573</v>
      </c>
      <c r="T822" s="38">
        <v>46180</v>
      </c>
      <c r="U822" s="39">
        <v>47573</v>
      </c>
      <c r="V822" s="40" t="s">
        <v>375</v>
      </c>
      <c r="W822" s="41" t="s">
        <v>39</v>
      </c>
      <c r="X822" s="40" t="s">
        <v>3182</v>
      </c>
      <c r="Y822" s="40" t="s">
        <v>185</v>
      </c>
      <c r="AC822" s="63">
        <v>10000135863</v>
      </c>
      <c r="AD822" s="46">
        <v>46064</v>
      </c>
    </row>
    <row r="823" spans="1:32" ht="19.5" customHeight="1">
      <c r="A823" s="25">
        <f t="shared" si="12"/>
        <v>818</v>
      </c>
      <c r="B823" s="26">
        <v>6262194</v>
      </c>
      <c r="C823" s="27">
        <v>46056</v>
      </c>
      <c r="D823" s="28">
        <v>1377.6</v>
      </c>
      <c r="E823" s="29">
        <v>10745.28</v>
      </c>
      <c r="F823" s="30">
        <v>1577973</v>
      </c>
      <c r="G823" s="27">
        <v>46056</v>
      </c>
      <c r="H823" s="32">
        <v>1377.6</v>
      </c>
      <c r="I823" s="33">
        <v>10745.28</v>
      </c>
      <c r="J823" s="34" t="s">
        <v>384</v>
      </c>
      <c r="K823" t="s">
        <v>34</v>
      </c>
      <c r="L823" s="35">
        <v>11000573511</v>
      </c>
      <c r="M823" s="36" t="s">
        <v>3183</v>
      </c>
      <c r="N823" s="37" t="s">
        <v>1346</v>
      </c>
      <c r="O823" t="s">
        <v>3184</v>
      </c>
      <c r="P823" t="s">
        <v>3185</v>
      </c>
      <c r="Q823" t="s">
        <v>3186</v>
      </c>
      <c r="R823" s="38">
        <v>46070</v>
      </c>
      <c r="S823" s="39">
        <v>46434</v>
      </c>
      <c r="T823" s="50" t="s">
        <v>141</v>
      </c>
      <c r="U823" s="47" t="s">
        <v>141</v>
      </c>
      <c r="V823" s="40" t="s">
        <v>458</v>
      </c>
      <c r="W823" s="41" t="s">
        <v>39</v>
      </c>
      <c r="X823" s="40" t="s">
        <v>3187</v>
      </c>
      <c r="Y823" s="40" t="s">
        <v>56</v>
      </c>
      <c r="AC823" s="63">
        <v>10000146645</v>
      </c>
      <c r="AD823" s="46">
        <v>46069</v>
      </c>
    </row>
    <row r="824" spans="1:32" ht="19.5" customHeight="1">
      <c r="A824" s="25">
        <f t="shared" si="12"/>
        <v>819</v>
      </c>
      <c r="B824" s="26">
        <v>6262514</v>
      </c>
      <c r="C824" s="27">
        <v>46057</v>
      </c>
      <c r="D824" s="28">
        <v>1189.1400000000001</v>
      </c>
      <c r="E824" s="29">
        <v>9275.2900000000009</v>
      </c>
      <c r="F824" s="30">
        <v>1578285</v>
      </c>
      <c r="G824" s="27">
        <v>46058</v>
      </c>
      <c r="H824" s="28">
        <v>1189.1400000000001</v>
      </c>
      <c r="I824" s="29">
        <v>9275.2900000000009</v>
      </c>
      <c r="J824" s="34" t="s">
        <v>33</v>
      </c>
      <c r="K824" t="s">
        <v>34</v>
      </c>
      <c r="L824" s="35">
        <v>382208296</v>
      </c>
      <c r="M824" s="36" t="s">
        <v>2658</v>
      </c>
      <c r="N824" s="37" t="s">
        <v>1346</v>
      </c>
      <c r="O824" t="s">
        <v>3188</v>
      </c>
      <c r="P824" t="s">
        <v>3189</v>
      </c>
      <c r="Q824" t="s">
        <v>3190</v>
      </c>
      <c r="R824" s="38">
        <v>46037</v>
      </c>
      <c r="S824" s="39">
        <v>46401</v>
      </c>
      <c r="T824" s="38">
        <v>46037</v>
      </c>
      <c r="U824" s="39">
        <v>46401</v>
      </c>
      <c r="V824" s="40" t="s">
        <v>3191</v>
      </c>
      <c r="W824" s="41" t="s">
        <v>3151</v>
      </c>
      <c r="X824" s="40" t="s">
        <v>3192</v>
      </c>
      <c r="Y824" s="40" t="s">
        <v>56</v>
      </c>
      <c r="AC824" s="63">
        <v>10000142927</v>
      </c>
      <c r="AD824" s="46">
        <v>46066</v>
      </c>
    </row>
    <row r="825" spans="1:32" ht="19.5" customHeight="1">
      <c r="A825" s="25">
        <f t="shared" si="12"/>
        <v>820</v>
      </c>
      <c r="B825" s="26">
        <v>6262725</v>
      </c>
      <c r="C825" s="27">
        <v>46057</v>
      </c>
      <c r="D825" s="80" t="s">
        <v>141</v>
      </c>
      <c r="E825" s="29">
        <v>171597</v>
      </c>
      <c r="F825" s="30" t="s">
        <v>3193</v>
      </c>
      <c r="G825" s="27">
        <v>46058</v>
      </c>
      <c r="H825" s="330" t="s">
        <v>141</v>
      </c>
      <c r="I825" s="29">
        <v>171597</v>
      </c>
      <c r="J825" s="34" t="s">
        <v>33</v>
      </c>
      <c r="K825" t="s">
        <v>176</v>
      </c>
      <c r="L825" s="35" t="s">
        <v>3194</v>
      </c>
      <c r="M825" s="36" t="s">
        <v>3195</v>
      </c>
      <c r="N825" s="37" t="s">
        <v>1409</v>
      </c>
      <c r="O825" t="s">
        <v>3196</v>
      </c>
      <c r="P825" t="s">
        <v>3197</v>
      </c>
      <c r="Q825" t="s">
        <v>3198</v>
      </c>
      <c r="R825" s="38">
        <v>46023</v>
      </c>
      <c r="S825" s="39">
        <v>46752</v>
      </c>
      <c r="T825" s="38">
        <v>46023</v>
      </c>
      <c r="U825" s="39">
        <v>46752</v>
      </c>
      <c r="V825" s="40" t="s">
        <v>38</v>
      </c>
      <c r="W825" s="41" t="s">
        <v>39</v>
      </c>
      <c r="X825" s="40" t="s">
        <v>3199</v>
      </c>
      <c r="Y825" s="40" t="s">
        <v>56</v>
      </c>
      <c r="AA825" s="63" t="s">
        <v>3200</v>
      </c>
      <c r="AB825" s="44">
        <v>46129</v>
      </c>
      <c r="AC825" s="63" t="s">
        <v>3200</v>
      </c>
      <c r="AD825" s="46">
        <v>46129</v>
      </c>
      <c r="AE825" s="128">
        <v>3209409</v>
      </c>
      <c r="AF825" s="39">
        <v>46181</v>
      </c>
    </row>
    <row r="826" spans="1:32" ht="19.5" customHeight="1">
      <c r="A826" s="25">
        <f t="shared" si="12"/>
        <v>821</v>
      </c>
      <c r="B826" s="26">
        <v>6262821</v>
      </c>
      <c r="C826" s="27">
        <v>46057</v>
      </c>
      <c r="D826" s="80">
        <v>38821.129999999997</v>
      </c>
      <c r="E826" s="29">
        <v>302804.81</v>
      </c>
      <c r="F826" s="30">
        <v>1578840</v>
      </c>
      <c r="G826" s="27">
        <v>46065</v>
      </c>
      <c r="H826" s="32">
        <v>38821.129999999997</v>
      </c>
      <c r="I826" s="33">
        <v>302804.81</v>
      </c>
      <c r="J826" s="34" t="s">
        <v>33</v>
      </c>
      <c r="K826" t="s">
        <v>34</v>
      </c>
      <c r="L826" s="35">
        <v>462012117</v>
      </c>
      <c r="M826" s="36" t="s">
        <v>2879</v>
      </c>
      <c r="N826" s="37" t="s">
        <v>1346</v>
      </c>
      <c r="O826" t="s">
        <v>3154</v>
      </c>
      <c r="P826" t="s">
        <v>3155</v>
      </c>
      <c r="Q826" t="s">
        <v>3156</v>
      </c>
      <c r="R826" s="38">
        <v>46023</v>
      </c>
      <c r="S826" s="39">
        <v>46387</v>
      </c>
      <c r="T826" s="38">
        <v>46023</v>
      </c>
      <c r="U826" s="39">
        <v>46387</v>
      </c>
      <c r="V826" s="40" t="s">
        <v>590</v>
      </c>
      <c r="W826" s="41" t="s">
        <v>39</v>
      </c>
      <c r="X826" s="40" t="s">
        <v>3086</v>
      </c>
      <c r="Y826" s="40" t="s">
        <v>56</v>
      </c>
      <c r="AC826" s="63">
        <v>10000142953</v>
      </c>
      <c r="AD826" s="46">
        <v>46066</v>
      </c>
    </row>
    <row r="827" spans="1:32" ht="19.5" customHeight="1">
      <c r="A827" s="25">
        <f t="shared" si="12"/>
        <v>822</v>
      </c>
      <c r="B827" s="26">
        <v>6263059</v>
      </c>
      <c r="C827" s="27">
        <v>46057</v>
      </c>
      <c r="D827" s="28">
        <v>1997.8</v>
      </c>
      <c r="E827" s="29">
        <v>15582.84</v>
      </c>
      <c r="F827" s="335" t="s">
        <v>3201</v>
      </c>
      <c r="G827" s="27">
        <v>46066</v>
      </c>
      <c r="H827" s="32">
        <f>1508.92+488.88</f>
        <v>1997.8000000000002</v>
      </c>
      <c r="I827" s="33">
        <v>15582.84</v>
      </c>
      <c r="J827" s="34" t="s">
        <v>33</v>
      </c>
      <c r="K827" t="s">
        <v>34</v>
      </c>
      <c r="L827" s="35">
        <v>372230292</v>
      </c>
      <c r="M827" s="36" t="s">
        <v>3202</v>
      </c>
      <c r="N827" s="37" t="s">
        <v>1346</v>
      </c>
      <c r="O827" t="s">
        <v>3203</v>
      </c>
      <c r="P827" t="s">
        <v>3204</v>
      </c>
      <c r="Q827" t="s">
        <v>3190</v>
      </c>
      <c r="R827" s="38">
        <v>46044</v>
      </c>
      <c r="S827" s="39">
        <v>46420</v>
      </c>
      <c r="T827" s="38">
        <v>46044</v>
      </c>
      <c r="U827" s="39">
        <v>46420</v>
      </c>
      <c r="V827" s="40" t="s">
        <v>44</v>
      </c>
      <c r="W827" s="41" t="s">
        <v>39</v>
      </c>
      <c r="X827" s="40" t="s">
        <v>3205</v>
      </c>
      <c r="Y827" s="40" t="s">
        <v>56</v>
      </c>
      <c r="AC827" s="63" t="s">
        <v>3206</v>
      </c>
      <c r="AD827" s="46">
        <v>46066</v>
      </c>
      <c r="AE827" t="s">
        <v>3207</v>
      </c>
      <c r="AF827" s="39">
        <v>46098</v>
      </c>
    </row>
    <row r="828" spans="1:32" ht="19.5" customHeight="1">
      <c r="A828" s="25">
        <f t="shared" si="12"/>
        <v>823</v>
      </c>
      <c r="B828" s="26">
        <v>6263592</v>
      </c>
      <c r="C828" s="27">
        <v>46059</v>
      </c>
      <c r="D828" s="28">
        <v>4667.76</v>
      </c>
      <c r="E828" s="29">
        <v>36408.53</v>
      </c>
      <c r="F828" s="335" t="s">
        <v>3208</v>
      </c>
      <c r="G828" s="27">
        <v>46077</v>
      </c>
      <c r="H828" s="32">
        <v>4662.78</v>
      </c>
      <c r="I828" s="326">
        <v>36369.68</v>
      </c>
      <c r="J828" s="34" t="s">
        <v>33</v>
      </c>
      <c r="K828" t="s">
        <v>34</v>
      </c>
      <c r="L828" s="35">
        <v>402015785</v>
      </c>
      <c r="M828" s="36" t="s">
        <v>2149</v>
      </c>
      <c r="N828" s="37" t="s">
        <v>2576</v>
      </c>
      <c r="O828" t="s">
        <v>2659</v>
      </c>
      <c r="P828" t="s">
        <v>3209</v>
      </c>
      <c r="Q828" t="s">
        <v>3210</v>
      </c>
      <c r="R828" s="38">
        <v>46023</v>
      </c>
      <c r="S828" s="39">
        <v>46387</v>
      </c>
      <c r="T828" s="38">
        <v>46058</v>
      </c>
      <c r="U828" s="39">
        <v>46422</v>
      </c>
      <c r="V828" s="40" t="s">
        <v>1654</v>
      </c>
      <c r="W828" s="41" t="s">
        <v>3151</v>
      </c>
      <c r="X828" s="40" t="s">
        <v>3211</v>
      </c>
      <c r="Y828" s="40" t="s">
        <v>185</v>
      </c>
      <c r="AE828" s="128">
        <v>3201201</v>
      </c>
      <c r="AF828" s="39">
        <v>46120</v>
      </c>
    </row>
    <row r="829" spans="1:32" ht="19.5" customHeight="1">
      <c r="A829" s="25">
        <f t="shared" si="12"/>
        <v>824</v>
      </c>
      <c r="B829" s="26">
        <v>6263851</v>
      </c>
      <c r="C829" s="27">
        <v>46059</v>
      </c>
      <c r="D829" s="219" t="s">
        <v>141</v>
      </c>
      <c r="E829" s="72">
        <v>1870</v>
      </c>
      <c r="F829" s="30" t="s">
        <v>3212</v>
      </c>
      <c r="G829" s="27">
        <v>46063</v>
      </c>
      <c r="H829" s="219" t="s">
        <v>141</v>
      </c>
      <c r="I829" s="74">
        <v>1870</v>
      </c>
      <c r="J829" s="34" t="s">
        <v>33</v>
      </c>
      <c r="K829" t="s">
        <v>139</v>
      </c>
      <c r="L829" s="35">
        <v>80005346</v>
      </c>
      <c r="M829" s="36" t="s">
        <v>3213</v>
      </c>
      <c r="N829" s="75" t="s">
        <v>1383</v>
      </c>
      <c r="O829" t="s">
        <v>3214</v>
      </c>
      <c r="P829" t="s">
        <v>3215</v>
      </c>
      <c r="Q829" t="s">
        <v>3216</v>
      </c>
      <c r="R829" s="38">
        <v>45658</v>
      </c>
      <c r="S829" s="39">
        <v>45930</v>
      </c>
      <c r="T829" s="50" t="s">
        <v>141</v>
      </c>
      <c r="U829" s="47" t="s">
        <v>141</v>
      </c>
      <c r="V829" s="40" t="s">
        <v>38</v>
      </c>
      <c r="W829" s="41" t="s">
        <v>39</v>
      </c>
      <c r="X829" s="40">
        <v>29082222</v>
      </c>
      <c r="Y829" s="40" t="s">
        <v>56</v>
      </c>
      <c r="AA829" s="62">
        <v>90007575</v>
      </c>
      <c r="AB829" s="44">
        <v>46112</v>
      </c>
      <c r="AC829" s="63">
        <v>60017497</v>
      </c>
      <c r="AD829" s="46">
        <v>46112</v>
      </c>
      <c r="AE829">
        <v>3202010</v>
      </c>
      <c r="AF829" s="39">
        <v>46127</v>
      </c>
    </row>
    <row r="830" spans="1:32" ht="19.5" customHeight="1">
      <c r="A830" s="25">
        <f t="shared" si="12"/>
        <v>825</v>
      </c>
      <c r="B830" s="26">
        <v>6263865</v>
      </c>
      <c r="C830" s="27">
        <v>46059</v>
      </c>
      <c r="D830" s="28">
        <v>4964</v>
      </c>
      <c r="E830" s="29">
        <v>38719.199999999997</v>
      </c>
      <c r="F830" s="30">
        <v>1579036</v>
      </c>
      <c r="G830" s="27">
        <v>46064</v>
      </c>
      <c r="H830" s="32">
        <f>2482+2482</f>
        <v>4964</v>
      </c>
      <c r="I830" s="33">
        <v>38719.199999999997</v>
      </c>
      <c r="J830" s="34" t="s">
        <v>33</v>
      </c>
      <c r="K830" t="s">
        <v>34</v>
      </c>
      <c r="L830" s="35">
        <v>442003251</v>
      </c>
      <c r="M830" s="36" t="s">
        <v>3217</v>
      </c>
      <c r="N830" s="37" t="s">
        <v>1346</v>
      </c>
      <c r="O830" t="s">
        <v>3218</v>
      </c>
      <c r="P830" t="s">
        <v>3219</v>
      </c>
      <c r="Q830" t="s">
        <v>3220</v>
      </c>
      <c r="R830" s="38">
        <v>46067</v>
      </c>
      <c r="S830" s="39">
        <v>46867</v>
      </c>
      <c r="T830" s="38">
        <v>46137</v>
      </c>
      <c r="U830" s="39">
        <v>46867</v>
      </c>
      <c r="V830" s="40" t="s">
        <v>175</v>
      </c>
      <c r="W830" s="41" t="s">
        <v>39</v>
      </c>
      <c r="X830" s="40">
        <v>442003251</v>
      </c>
      <c r="Y830" s="40" t="s">
        <v>56</v>
      </c>
      <c r="Z830" s="40" t="s">
        <v>81</v>
      </c>
      <c r="AC830" s="63" t="s">
        <v>3221</v>
      </c>
      <c r="AD830" s="46">
        <v>46065</v>
      </c>
      <c r="AE830" t="s">
        <v>3222</v>
      </c>
      <c r="AF830" s="39">
        <v>46097</v>
      </c>
    </row>
    <row r="831" spans="1:32" ht="19.5" customHeight="1">
      <c r="A831" s="25">
        <f t="shared" si="12"/>
        <v>826</v>
      </c>
      <c r="B831" s="26">
        <v>6263875</v>
      </c>
      <c r="C831" s="27">
        <v>46059</v>
      </c>
      <c r="D831" s="28">
        <v>81.92</v>
      </c>
      <c r="E831" s="29">
        <v>638.98</v>
      </c>
      <c r="F831" s="30">
        <v>1579033</v>
      </c>
      <c r="G831" s="27">
        <v>46064</v>
      </c>
      <c r="H831" s="32">
        <v>81.92</v>
      </c>
      <c r="I831" s="33">
        <v>638.98</v>
      </c>
      <c r="J831" s="34" t="s">
        <v>33</v>
      </c>
      <c r="K831" t="s">
        <v>34</v>
      </c>
      <c r="L831" s="35">
        <v>392225747</v>
      </c>
      <c r="M831" s="36" t="s">
        <v>2658</v>
      </c>
      <c r="N831" s="37" t="s">
        <v>1540</v>
      </c>
      <c r="O831" t="s">
        <v>3218</v>
      </c>
      <c r="P831" t="s">
        <v>3219</v>
      </c>
      <c r="Q831" t="s">
        <v>3220</v>
      </c>
      <c r="R831" s="38">
        <v>46067</v>
      </c>
      <c r="S831" s="39">
        <v>46867</v>
      </c>
      <c r="T831" s="38">
        <v>46067</v>
      </c>
      <c r="U831" s="39">
        <v>46796</v>
      </c>
      <c r="V831" s="40" t="s">
        <v>175</v>
      </c>
      <c r="W831" s="41" t="s">
        <v>39</v>
      </c>
      <c r="X831" s="40">
        <v>392225747</v>
      </c>
      <c r="Y831" s="40" t="s">
        <v>1940</v>
      </c>
      <c r="Z831" s="40" t="s">
        <v>81</v>
      </c>
      <c r="AC831" s="63" t="s">
        <v>3223</v>
      </c>
      <c r="AD831" s="46">
        <v>46065</v>
      </c>
      <c r="AE831">
        <v>3198264</v>
      </c>
      <c r="AF831" s="39">
        <v>46097</v>
      </c>
    </row>
    <row r="832" spans="1:32" ht="19.5" customHeight="1">
      <c r="A832" s="25">
        <f t="shared" si="12"/>
        <v>827</v>
      </c>
      <c r="B832" s="26">
        <v>6264098</v>
      </c>
      <c r="C832" s="27">
        <v>46062</v>
      </c>
      <c r="D832" s="337">
        <v>1797.56</v>
      </c>
      <c r="E832" s="338">
        <v>14020.97</v>
      </c>
      <c r="F832" s="335" t="s">
        <v>3224</v>
      </c>
      <c r="G832" s="27">
        <v>46069</v>
      </c>
      <c r="H832" s="32">
        <v>1797.56</v>
      </c>
      <c r="I832" s="33">
        <v>14020.97</v>
      </c>
      <c r="J832" s="34" t="s">
        <v>33</v>
      </c>
      <c r="K832" t="s">
        <v>34</v>
      </c>
      <c r="L832" s="35">
        <v>412010259</v>
      </c>
      <c r="M832" s="36" t="s">
        <v>2129</v>
      </c>
      <c r="N832" s="37" t="s">
        <v>1346</v>
      </c>
      <c r="O832" t="s">
        <v>3225</v>
      </c>
      <c r="P832" t="s">
        <v>3226</v>
      </c>
      <c r="Q832" t="s">
        <v>2825</v>
      </c>
      <c r="R832" s="38">
        <v>46064</v>
      </c>
      <c r="S832" s="39">
        <v>46428</v>
      </c>
      <c r="T832" s="38">
        <v>46064</v>
      </c>
      <c r="U832" s="39">
        <v>46428</v>
      </c>
      <c r="V832" s="40" t="s">
        <v>175</v>
      </c>
      <c r="W832" s="41" t="s">
        <v>39</v>
      </c>
      <c r="X832" s="40">
        <v>412010259</v>
      </c>
      <c r="Y832" s="40" t="s">
        <v>56</v>
      </c>
      <c r="Z832" s="40" t="s">
        <v>81</v>
      </c>
      <c r="AC832" s="63">
        <v>10000150307</v>
      </c>
      <c r="AD832" s="46">
        <v>46070</v>
      </c>
    </row>
    <row r="833" spans="1:35" ht="19.5" customHeight="1">
      <c r="A833" s="25">
        <f t="shared" si="12"/>
        <v>828</v>
      </c>
      <c r="B833" s="26">
        <v>6264180</v>
      </c>
      <c r="C833" s="27">
        <v>46062</v>
      </c>
      <c r="D833" s="219" t="s">
        <v>141</v>
      </c>
      <c r="E833" s="72">
        <v>4740</v>
      </c>
      <c r="F833" s="335" t="s">
        <v>3227</v>
      </c>
      <c r="G833" s="27">
        <v>46063</v>
      </c>
      <c r="H833" s="219" t="s">
        <v>141</v>
      </c>
      <c r="I833" s="72">
        <v>4740</v>
      </c>
      <c r="J833" s="34" t="s">
        <v>33</v>
      </c>
      <c r="K833" t="s">
        <v>139</v>
      </c>
      <c r="L833" s="35" t="s">
        <v>3136</v>
      </c>
      <c r="M833" s="36" t="s">
        <v>3228</v>
      </c>
      <c r="N833" s="75" t="s">
        <v>1383</v>
      </c>
      <c r="O833" t="s">
        <v>3229</v>
      </c>
      <c r="P833" t="s">
        <v>3230</v>
      </c>
      <c r="Q833" t="s">
        <v>3231</v>
      </c>
      <c r="R833" s="38">
        <v>45839</v>
      </c>
      <c r="S833" s="39">
        <v>46265</v>
      </c>
      <c r="T833" s="50" t="s">
        <v>141</v>
      </c>
      <c r="U833" s="47" t="s">
        <v>141</v>
      </c>
      <c r="V833" s="40" t="s">
        <v>38</v>
      </c>
      <c r="W833" s="41" t="s">
        <v>39</v>
      </c>
      <c r="X833" s="40" t="s">
        <v>3232</v>
      </c>
      <c r="Y833" s="40" t="s">
        <v>185</v>
      </c>
      <c r="AA833" s="62">
        <v>90007540</v>
      </c>
      <c r="AB833" s="44">
        <v>46094</v>
      </c>
      <c r="AC833" s="63">
        <v>60017422</v>
      </c>
      <c r="AD833" s="46">
        <v>46094</v>
      </c>
    </row>
    <row r="834" spans="1:35" ht="19.5" customHeight="1">
      <c r="A834" s="25">
        <f t="shared" si="12"/>
        <v>829</v>
      </c>
      <c r="B834" s="26">
        <v>6264371</v>
      </c>
      <c r="C834" s="27">
        <v>46062</v>
      </c>
      <c r="D834" s="80" t="s">
        <v>141</v>
      </c>
      <c r="E834" s="29">
        <v>15690.6</v>
      </c>
      <c r="F834" s="30" t="s">
        <v>3233</v>
      </c>
      <c r="G834" s="27">
        <v>46065</v>
      </c>
      <c r="H834" s="80" t="s">
        <v>141</v>
      </c>
      <c r="I834" s="33">
        <v>15690.6</v>
      </c>
      <c r="J834" s="34" t="s">
        <v>159</v>
      </c>
      <c r="K834" t="s">
        <v>160</v>
      </c>
      <c r="L834" s="35" t="s">
        <v>3234</v>
      </c>
      <c r="M834" s="36" t="s">
        <v>3235</v>
      </c>
      <c r="N834" s="37" t="s">
        <v>1651</v>
      </c>
      <c r="O834" t="s">
        <v>3236</v>
      </c>
      <c r="P834" t="s">
        <v>3237</v>
      </c>
      <c r="Q834" t="s">
        <v>3238</v>
      </c>
      <c r="R834" s="38">
        <v>46104</v>
      </c>
      <c r="S834" s="39">
        <v>46468</v>
      </c>
      <c r="T834" s="50" t="s">
        <v>141</v>
      </c>
      <c r="U834" s="47" t="s">
        <v>141</v>
      </c>
      <c r="V834" s="40" t="s">
        <v>458</v>
      </c>
      <c r="W834" s="41" t="s">
        <v>39</v>
      </c>
      <c r="X834" s="40" t="s">
        <v>3239</v>
      </c>
      <c r="Y834" s="40" t="s">
        <v>56</v>
      </c>
      <c r="AE834">
        <v>3203677</v>
      </c>
      <c r="AF834" s="39">
        <v>46139</v>
      </c>
    </row>
    <row r="835" spans="1:35" s="112" customFormat="1" ht="19.5" customHeight="1">
      <c r="A835" s="252">
        <f t="shared" si="12"/>
        <v>830</v>
      </c>
      <c r="B835" s="99">
        <v>6264589</v>
      </c>
      <c r="C835" s="100">
        <v>46063</v>
      </c>
      <c r="D835" s="339" t="s">
        <v>141</v>
      </c>
      <c r="E835" s="340"/>
      <c r="F835" s="248" t="s">
        <v>3240</v>
      </c>
      <c r="G835" s="100">
        <v>46077</v>
      </c>
      <c r="H835" s="339" t="s">
        <v>141</v>
      </c>
      <c r="I835" s="224"/>
      <c r="J835" s="107" t="s">
        <v>33</v>
      </c>
      <c r="K835" s="108" t="s">
        <v>139</v>
      </c>
      <c r="L835" s="225">
        <v>80005349</v>
      </c>
      <c r="M835" s="110" t="s">
        <v>2694</v>
      </c>
      <c r="N835" s="226" t="s">
        <v>1749</v>
      </c>
      <c r="O835" s="108" t="s">
        <v>3241</v>
      </c>
      <c r="P835" s="108" t="s">
        <v>3242</v>
      </c>
      <c r="Q835" s="108" t="s">
        <v>903</v>
      </c>
      <c r="R835" s="227">
        <v>46075</v>
      </c>
      <c r="S835" s="228">
        <v>46439</v>
      </c>
      <c r="T835" s="341" t="s">
        <v>141</v>
      </c>
      <c r="U835" s="235" t="s">
        <v>141</v>
      </c>
      <c r="V835" s="229" t="s">
        <v>245</v>
      </c>
      <c r="W835" s="230" t="s">
        <v>39</v>
      </c>
      <c r="X835" s="229" t="s">
        <v>3243</v>
      </c>
      <c r="Y835" s="229" t="s">
        <v>56</v>
      </c>
      <c r="AA835" s="118"/>
      <c r="AB835" s="119"/>
      <c r="AC835" s="120"/>
      <c r="AD835" s="121"/>
      <c r="AF835" s="114" t="s">
        <v>3244</v>
      </c>
      <c r="AG835" s="124"/>
      <c r="AH835" s="124"/>
      <c r="AI835" s="124"/>
    </row>
    <row r="836" spans="1:35" ht="19.5" customHeight="1">
      <c r="A836" s="25">
        <f t="shared" ref="A836:A899" si="13">A835+1</f>
        <v>831</v>
      </c>
      <c r="B836" s="26">
        <v>6264611</v>
      </c>
      <c r="C836" s="27">
        <v>46063</v>
      </c>
      <c r="D836" s="28">
        <v>1800.38</v>
      </c>
      <c r="E836" s="29">
        <v>14042.96</v>
      </c>
      <c r="F836" s="335" t="s">
        <v>3245</v>
      </c>
      <c r="G836" s="27">
        <v>46078</v>
      </c>
      <c r="H836" s="32">
        <v>1800.38</v>
      </c>
      <c r="I836" s="33">
        <v>14042.96</v>
      </c>
      <c r="J836" s="34" t="s">
        <v>33</v>
      </c>
      <c r="K836" t="s">
        <v>34</v>
      </c>
      <c r="L836" s="35">
        <v>462012196</v>
      </c>
      <c r="M836" s="36" t="s">
        <v>2104</v>
      </c>
      <c r="N836" s="37" t="s">
        <v>1377</v>
      </c>
      <c r="O836" t="s">
        <v>3229</v>
      </c>
      <c r="P836" t="s">
        <v>3246</v>
      </c>
      <c r="Q836" t="s">
        <v>3231</v>
      </c>
      <c r="R836" s="38">
        <v>45664</v>
      </c>
      <c r="S836" s="39" t="s">
        <v>3247</v>
      </c>
      <c r="T836" s="38" t="s">
        <v>3248</v>
      </c>
      <c r="U836" s="39" t="s">
        <v>3249</v>
      </c>
      <c r="V836" s="40" t="s">
        <v>38</v>
      </c>
      <c r="W836" s="41" t="s">
        <v>39</v>
      </c>
      <c r="X836" s="40" t="s">
        <v>3250</v>
      </c>
      <c r="Y836" s="40" t="s">
        <v>185</v>
      </c>
      <c r="AC836" s="63">
        <v>10000171690</v>
      </c>
      <c r="AD836" s="46">
        <v>46079</v>
      </c>
      <c r="AE836">
        <v>3202043</v>
      </c>
      <c r="AF836" s="39">
        <v>46127</v>
      </c>
    </row>
    <row r="837" spans="1:35" ht="19.5" customHeight="1">
      <c r="A837" s="25">
        <f t="shared" si="13"/>
        <v>832</v>
      </c>
      <c r="B837" s="26">
        <v>6264618</v>
      </c>
      <c r="C837" s="27">
        <v>46063</v>
      </c>
      <c r="D837" s="28">
        <v>8287.1299999999992</v>
      </c>
      <c r="E837" s="29">
        <v>64639.61</v>
      </c>
      <c r="F837" s="335" t="s">
        <v>3251</v>
      </c>
      <c r="G837" s="27">
        <v>46078</v>
      </c>
      <c r="H837" s="32">
        <v>8287.1299999999992</v>
      </c>
      <c r="I837" s="33">
        <v>64639.61</v>
      </c>
      <c r="J837" s="34" t="s">
        <v>33</v>
      </c>
      <c r="K837" t="s">
        <v>34</v>
      </c>
      <c r="L837" s="35">
        <v>432013085</v>
      </c>
      <c r="M837" s="36" t="s">
        <v>2104</v>
      </c>
      <c r="N837" s="37" t="s">
        <v>2000</v>
      </c>
      <c r="O837" t="s">
        <v>3229</v>
      </c>
      <c r="P837" t="s">
        <v>3246</v>
      </c>
      <c r="Q837" t="s">
        <v>3231</v>
      </c>
      <c r="R837" s="38">
        <v>45664</v>
      </c>
      <c r="S837" s="39">
        <v>46265</v>
      </c>
      <c r="T837" s="38">
        <v>46112</v>
      </c>
      <c r="U837" s="39">
        <v>46476</v>
      </c>
      <c r="V837" s="40" t="s">
        <v>38</v>
      </c>
      <c r="W837" s="41" t="s">
        <v>39</v>
      </c>
      <c r="X837" s="40" t="s">
        <v>3252</v>
      </c>
      <c r="Y837" s="40" t="s">
        <v>185</v>
      </c>
      <c r="AC837" s="63">
        <v>10000171667</v>
      </c>
      <c r="AD837" s="46">
        <v>46079</v>
      </c>
      <c r="AE837">
        <v>3202044</v>
      </c>
      <c r="AF837" s="39">
        <v>46127</v>
      </c>
    </row>
    <row r="838" spans="1:35" ht="19.5" customHeight="1">
      <c r="A838" s="25">
        <f t="shared" si="13"/>
        <v>833</v>
      </c>
      <c r="B838" s="26">
        <v>6264798</v>
      </c>
      <c r="C838" s="27">
        <v>46063</v>
      </c>
      <c r="D838" s="28">
        <v>267.5</v>
      </c>
      <c r="E838" s="29">
        <v>2086.5</v>
      </c>
      <c r="F838" s="335" t="s">
        <v>3253</v>
      </c>
      <c r="G838" s="27">
        <v>46077</v>
      </c>
      <c r="H838" s="32">
        <v>267.5</v>
      </c>
      <c r="I838" s="33">
        <v>2086.5</v>
      </c>
      <c r="J838" s="34" t="s">
        <v>33</v>
      </c>
      <c r="K838" t="s">
        <v>34</v>
      </c>
      <c r="L838" s="35">
        <v>402006331</v>
      </c>
      <c r="M838" s="36" t="s">
        <v>2129</v>
      </c>
      <c r="N838" s="37" t="s">
        <v>1346</v>
      </c>
      <c r="O838" t="s">
        <v>3241</v>
      </c>
      <c r="P838" t="s">
        <v>3242</v>
      </c>
      <c r="Q838" t="s">
        <v>903</v>
      </c>
      <c r="R838" s="38">
        <v>46075</v>
      </c>
      <c r="S838" s="39">
        <v>46439</v>
      </c>
      <c r="T838" s="38">
        <v>46075</v>
      </c>
      <c r="U838" s="39">
        <v>46265</v>
      </c>
      <c r="V838" s="40" t="s">
        <v>245</v>
      </c>
      <c r="W838" s="41" t="s">
        <v>39</v>
      </c>
      <c r="X838" s="40" t="s">
        <v>3243</v>
      </c>
      <c r="Y838" s="40" t="s">
        <v>56</v>
      </c>
      <c r="AC838" s="63">
        <v>10000168635</v>
      </c>
      <c r="AD838" s="46">
        <v>46078</v>
      </c>
      <c r="AE838">
        <v>3201208</v>
      </c>
      <c r="AF838" s="39">
        <v>46120</v>
      </c>
    </row>
    <row r="839" spans="1:35" ht="19.5" customHeight="1">
      <c r="A839" s="25">
        <f t="shared" si="13"/>
        <v>834</v>
      </c>
      <c r="B839" s="26">
        <v>6264861</v>
      </c>
      <c r="C839" s="27">
        <v>46063</v>
      </c>
      <c r="D839" s="28">
        <v>1602</v>
      </c>
      <c r="E839" s="29">
        <v>12495.6</v>
      </c>
      <c r="F839" s="335" t="s">
        <v>3254</v>
      </c>
      <c r="G839" s="27">
        <v>46077</v>
      </c>
      <c r="H839" s="32">
        <v>1602</v>
      </c>
      <c r="I839" s="33">
        <v>12495.6</v>
      </c>
      <c r="J839" s="34" t="s">
        <v>33</v>
      </c>
      <c r="K839" t="s">
        <v>34</v>
      </c>
      <c r="L839" s="35">
        <v>382226351</v>
      </c>
      <c r="M839" s="36" t="s">
        <v>3217</v>
      </c>
      <c r="N839" s="37" t="s">
        <v>1540</v>
      </c>
      <c r="O839" t="s">
        <v>3241</v>
      </c>
      <c r="P839" t="s">
        <v>3242</v>
      </c>
      <c r="Q839" t="s">
        <v>903</v>
      </c>
      <c r="R839" s="38">
        <v>46075</v>
      </c>
      <c r="S839" s="39">
        <v>46439</v>
      </c>
      <c r="T839" s="38">
        <v>46075</v>
      </c>
      <c r="U839" s="39">
        <v>46439</v>
      </c>
      <c r="V839" s="40" t="s">
        <v>245</v>
      </c>
      <c r="W839" s="41" t="s">
        <v>39</v>
      </c>
      <c r="X839" s="40" t="s">
        <v>3243</v>
      </c>
      <c r="Y839" s="40" t="s">
        <v>56</v>
      </c>
      <c r="AC839" s="63">
        <v>10000168643</v>
      </c>
      <c r="AD839" s="46">
        <v>46078</v>
      </c>
      <c r="AE839">
        <v>3201210</v>
      </c>
      <c r="AF839" s="39">
        <v>46120</v>
      </c>
    </row>
    <row r="840" spans="1:35" ht="19.5" customHeight="1">
      <c r="A840" s="25">
        <f t="shared" si="13"/>
        <v>835</v>
      </c>
      <c r="B840" s="26">
        <v>6264872</v>
      </c>
      <c r="C840" s="27">
        <v>46063</v>
      </c>
      <c r="D840" s="28">
        <v>2269.33</v>
      </c>
      <c r="E840" s="29">
        <v>17700.77</v>
      </c>
      <c r="F840" s="335" t="s">
        <v>3255</v>
      </c>
      <c r="G840" s="27">
        <v>46077</v>
      </c>
      <c r="H840" s="32">
        <v>2269.33</v>
      </c>
      <c r="I840" s="33">
        <v>17700.77</v>
      </c>
      <c r="J840" s="34" t="s">
        <v>33</v>
      </c>
      <c r="K840" t="s">
        <v>34</v>
      </c>
      <c r="L840" s="35">
        <v>312235154</v>
      </c>
      <c r="M840" s="36" t="s">
        <v>2129</v>
      </c>
      <c r="N840" s="37" t="s">
        <v>1346</v>
      </c>
      <c r="O840" t="s">
        <v>3256</v>
      </c>
      <c r="P840" t="s">
        <v>3257</v>
      </c>
      <c r="Q840" t="s">
        <v>3258</v>
      </c>
      <c r="R840" s="38">
        <v>46023</v>
      </c>
      <c r="S840" s="39">
        <v>46387</v>
      </c>
      <c r="T840" s="38">
        <v>46111</v>
      </c>
      <c r="U840" s="39">
        <v>46475</v>
      </c>
      <c r="V840" s="40" t="s">
        <v>38</v>
      </c>
      <c r="W840" s="41" t="s">
        <v>39</v>
      </c>
      <c r="X840" s="40" t="s">
        <v>3259</v>
      </c>
      <c r="Y840" s="40" t="s">
        <v>185</v>
      </c>
      <c r="AC840" s="63">
        <v>10000168636</v>
      </c>
      <c r="AD840" s="46">
        <v>46078</v>
      </c>
      <c r="AE840">
        <v>3201204</v>
      </c>
      <c r="AF840" s="39">
        <v>46120</v>
      </c>
    </row>
    <row r="841" spans="1:35" ht="19.5" customHeight="1">
      <c r="A841" s="25">
        <f t="shared" si="13"/>
        <v>836</v>
      </c>
      <c r="B841" s="26">
        <v>6264918</v>
      </c>
      <c r="C841" s="27">
        <v>46063</v>
      </c>
      <c r="D841" s="80" t="s">
        <v>141</v>
      </c>
      <c r="E841" s="29">
        <v>419.03</v>
      </c>
      <c r="F841" s="335" t="s">
        <v>3260</v>
      </c>
      <c r="G841" s="27">
        <v>46066</v>
      </c>
      <c r="H841" s="80" t="s">
        <v>141</v>
      </c>
      <c r="I841" s="33">
        <v>419.03</v>
      </c>
      <c r="J841" s="34" t="s">
        <v>159</v>
      </c>
      <c r="K841" t="s">
        <v>160</v>
      </c>
      <c r="L841" s="35" t="s">
        <v>3261</v>
      </c>
      <c r="M841" s="36" t="s">
        <v>3262</v>
      </c>
      <c r="N841" s="37" t="s">
        <v>1651</v>
      </c>
      <c r="O841" t="s">
        <v>3263</v>
      </c>
      <c r="P841" t="s">
        <v>3264</v>
      </c>
      <c r="Q841" t="s">
        <v>3265</v>
      </c>
      <c r="R841" s="38">
        <v>46070</v>
      </c>
      <c r="S841" s="39">
        <v>46434</v>
      </c>
      <c r="T841" s="50" t="s">
        <v>141</v>
      </c>
      <c r="U841" s="47" t="s">
        <v>141</v>
      </c>
      <c r="V841" s="40" t="s">
        <v>1654</v>
      </c>
      <c r="W841" s="41" t="s">
        <v>39</v>
      </c>
      <c r="X841" s="40" t="s">
        <v>3266</v>
      </c>
      <c r="Y841" s="40" t="s">
        <v>185</v>
      </c>
      <c r="AE841">
        <v>3203680</v>
      </c>
      <c r="AF841" s="39">
        <v>46139</v>
      </c>
    </row>
    <row r="842" spans="1:35" ht="19.5" customHeight="1">
      <c r="A842" s="25">
        <f t="shared" si="13"/>
        <v>837</v>
      </c>
      <c r="B842" s="26">
        <v>6264924</v>
      </c>
      <c r="C842" s="27">
        <v>46063</v>
      </c>
      <c r="D842" s="80" t="s">
        <v>141</v>
      </c>
      <c r="E842" s="29">
        <v>1471.3</v>
      </c>
      <c r="F842" s="335" t="s">
        <v>3267</v>
      </c>
      <c r="G842" s="27">
        <v>46066</v>
      </c>
      <c r="H842" s="80" t="s">
        <v>141</v>
      </c>
      <c r="I842" s="33">
        <v>1471.3</v>
      </c>
      <c r="J842" s="34" t="s">
        <v>159</v>
      </c>
      <c r="K842" t="s">
        <v>160</v>
      </c>
      <c r="L842" s="35" t="s">
        <v>3268</v>
      </c>
      <c r="M842" s="36" t="s">
        <v>3269</v>
      </c>
      <c r="N842" s="37" t="s">
        <v>1651</v>
      </c>
      <c r="O842" t="s">
        <v>3270</v>
      </c>
      <c r="P842" t="s">
        <v>3271</v>
      </c>
      <c r="Q842" t="s">
        <v>2903</v>
      </c>
      <c r="R842" s="38">
        <v>46163</v>
      </c>
      <c r="S842" s="39">
        <v>46527</v>
      </c>
      <c r="T842" s="38">
        <v>46163</v>
      </c>
      <c r="U842" s="39">
        <v>46527</v>
      </c>
      <c r="V842" s="40" t="s">
        <v>38</v>
      </c>
      <c r="W842" s="41" t="s">
        <v>39</v>
      </c>
      <c r="X842" s="40" t="s">
        <v>3272</v>
      </c>
      <c r="Y842" s="40" t="s">
        <v>56</v>
      </c>
      <c r="AC842" s="63" t="s">
        <v>3273</v>
      </c>
      <c r="AD842" s="46">
        <v>46083</v>
      </c>
      <c r="AE842">
        <v>3204682</v>
      </c>
      <c r="AF842" s="39">
        <v>46146</v>
      </c>
    </row>
    <row r="843" spans="1:35" ht="19.5" customHeight="1">
      <c r="A843" s="25">
        <f t="shared" si="13"/>
        <v>838</v>
      </c>
      <c r="B843" s="26">
        <v>6265189</v>
      </c>
      <c r="C843" s="27">
        <v>46064</v>
      </c>
      <c r="D843" s="219" t="s">
        <v>141</v>
      </c>
      <c r="E843" s="72">
        <v>5710</v>
      </c>
      <c r="F843" s="30" t="s">
        <v>3274</v>
      </c>
      <c r="G843" s="27">
        <v>46065</v>
      </c>
      <c r="H843" s="293" t="s">
        <v>141</v>
      </c>
      <c r="I843" s="72">
        <v>5710</v>
      </c>
      <c r="J843" s="34" t="s">
        <v>33</v>
      </c>
      <c r="K843" t="s">
        <v>139</v>
      </c>
      <c r="L843" s="35" t="s">
        <v>3275</v>
      </c>
      <c r="M843" s="36" t="s">
        <v>3276</v>
      </c>
      <c r="N843" s="75" t="s">
        <v>1383</v>
      </c>
      <c r="O843" t="s">
        <v>3277</v>
      </c>
      <c r="P843" t="s">
        <v>3278</v>
      </c>
      <c r="Q843" t="s">
        <v>3279</v>
      </c>
      <c r="R843" s="38">
        <v>46082</v>
      </c>
      <c r="S843" s="39">
        <v>46446</v>
      </c>
      <c r="T843" s="50" t="s">
        <v>141</v>
      </c>
      <c r="U843" s="47" t="s">
        <v>141</v>
      </c>
      <c r="V843" s="40" t="s">
        <v>55</v>
      </c>
      <c r="W843" s="41" t="s">
        <v>39</v>
      </c>
      <c r="X843" s="40" t="s">
        <v>3280</v>
      </c>
      <c r="Y843" s="40" t="s">
        <v>56</v>
      </c>
      <c r="AA843" s="62">
        <v>90007575</v>
      </c>
      <c r="AB843" s="44">
        <v>46112</v>
      </c>
      <c r="AC843" s="63">
        <v>60017499</v>
      </c>
      <c r="AD843" s="46">
        <v>46112</v>
      </c>
      <c r="AE843">
        <v>3202014</v>
      </c>
      <c r="AF843" s="39">
        <v>46127</v>
      </c>
    </row>
    <row r="844" spans="1:35" ht="19.5" customHeight="1">
      <c r="A844" s="25">
        <f t="shared" si="13"/>
        <v>839</v>
      </c>
      <c r="B844" s="26">
        <v>6265228</v>
      </c>
      <c r="C844" s="27">
        <v>46064</v>
      </c>
      <c r="D844" s="28">
        <v>165.08</v>
      </c>
      <c r="E844" s="29">
        <v>1287.6199999999999</v>
      </c>
      <c r="F844" s="335" t="s">
        <v>3281</v>
      </c>
      <c r="G844" s="27">
        <v>46078</v>
      </c>
      <c r="H844" s="32">
        <v>165.08</v>
      </c>
      <c r="I844" s="33">
        <v>1287.6199999999999</v>
      </c>
      <c r="J844" s="34" t="s">
        <v>33</v>
      </c>
      <c r="K844" t="s">
        <v>34</v>
      </c>
      <c r="L844" s="35">
        <v>492014512</v>
      </c>
      <c r="M844" s="36" t="s">
        <v>2129</v>
      </c>
      <c r="N844" s="37" t="s">
        <v>1540</v>
      </c>
      <c r="O844" t="s">
        <v>3277</v>
      </c>
      <c r="P844" t="s">
        <v>3278</v>
      </c>
      <c r="Q844" t="s">
        <v>3279</v>
      </c>
      <c r="R844" s="38">
        <v>46082</v>
      </c>
      <c r="S844" s="39">
        <v>46446</v>
      </c>
      <c r="T844" s="38">
        <v>46082</v>
      </c>
      <c r="U844" s="39">
        <v>46446</v>
      </c>
      <c r="V844" s="40" t="s">
        <v>55</v>
      </c>
      <c r="W844" s="41" t="s">
        <v>39</v>
      </c>
      <c r="X844" s="40" t="s">
        <v>3280</v>
      </c>
      <c r="Y844" s="40" t="s">
        <v>56</v>
      </c>
      <c r="AC844" s="63">
        <v>10000171663</v>
      </c>
      <c r="AD844" s="46">
        <v>46079</v>
      </c>
      <c r="AE844">
        <v>3201171</v>
      </c>
      <c r="AF844" s="39">
        <v>46120</v>
      </c>
    </row>
    <row r="845" spans="1:35" ht="19.5" customHeight="1">
      <c r="A845" s="25">
        <f t="shared" si="13"/>
        <v>840</v>
      </c>
      <c r="B845" s="26">
        <v>6265341</v>
      </c>
      <c r="C845" s="27">
        <v>46064</v>
      </c>
      <c r="D845" s="219" t="s">
        <v>141</v>
      </c>
      <c r="E845" s="72">
        <v>4270</v>
      </c>
      <c r="F845" s="30" t="s">
        <v>3282</v>
      </c>
      <c r="G845" s="27">
        <v>46065</v>
      </c>
      <c r="H845" s="219" t="s">
        <v>141</v>
      </c>
      <c r="I845" s="74">
        <v>4270</v>
      </c>
      <c r="J845" s="34" t="s">
        <v>33</v>
      </c>
      <c r="K845" t="s">
        <v>139</v>
      </c>
      <c r="L845" s="35" t="s">
        <v>3283</v>
      </c>
      <c r="M845" s="36" t="s">
        <v>3284</v>
      </c>
      <c r="N845" s="75" t="s">
        <v>1383</v>
      </c>
      <c r="O845" t="s">
        <v>3285</v>
      </c>
      <c r="P845" t="s">
        <v>3286</v>
      </c>
      <c r="Q845" t="s">
        <v>2925</v>
      </c>
      <c r="R845" s="38">
        <v>46083</v>
      </c>
      <c r="S845" s="39">
        <v>46447</v>
      </c>
      <c r="T845" s="50" t="s">
        <v>141</v>
      </c>
      <c r="U845" s="47" t="s">
        <v>141</v>
      </c>
      <c r="V845" s="40" t="s">
        <v>2926</v>
      </c>
      <c r="W845" s="41" t="s">
        <v>39</v>
      </c>
      <c r="X845" s="40" t="s">
        <v>3287</v>
      </c>
      <c r="Y845" s="40" t="s">
        <v>56</v>
      </c>
      <c r="AA845" s="62">
        <v>90007575</v>
      </c>
      <c r="AB845" s="44">
        <v>46112</v>
      </c>
      <c r="AC845" s="63">
        <v>60017498</v>
      </c>
      <c r="AD845" s="46">
        <v>46112</v>
      </c>
      <c r="AE845">
        <v>3221270</v>
      </c>
      <c r="AF845" s="39">
        <v>46273</v>
      </c>
    </row>
    <row r="846" spans="1:35" ht="19.5" customHeight="1">
      <c r="A846" s="25">
        <f t="shared" si="13"/>
        <v>841</v>
      </c>
      <c r="B846" s="26">
        <v>6265508</v>
      </c>
      <c r="C846" s="27">
        <v>46065</v>
      </c>
      <c r="D846" s="28">
        <v>6600.73</v>
      </c>
      <c r="E846" s="29">
        <v>51485.69</v>
      </c>
      <c r="F846" s="335" t="s">
        <v>3288</v>
      </c>
      <c r="G846" s="27">
        <v>46079</v>
      </c>
      <c r="H846" s="32">
        <f>6382.07+218.66</f>
        <v>6600.73</v>
      </c>
      <c r="I846" s="33">
        <v>51485.69</v>
      </c>
      <c r="J846" s="34" t="s">
        <v>33</v>
      </c>
      <c r="K846" t="s">
        <v>34</v>
      </c>
      <c r="L846" s="35">
        <v>362236781</v>
      </c>
      <c r="M846" s="36" t="s">
        <v>2989</v>
      </c>
      <c r="N846" s="37" t="s">
        <v>1346</v>
      </c>
      <c r="O846" t="s">
        <v>3289</v>
      </c>
      <c r="P846" t="s">
        <v>3290</v>
      </c>
      <c r="Q846" t="s">
        <v>3291</v>
      </c>
      <c r="R846" s="38">
        <v>46023</v>
      </c>
      <c r="S846" s="39">
        <v>46387</v>
      </c>
      <c r="T846" s="38">
        <v>46124</v>
      </c>
      <c r="U846" s="39">
        <v>46488</v>
      </c>
      <c r="V846" s="40" t="s">
        <v>2207</v>
      </c>
      <c r="W846" s="41" t="s">
        <v>39</v>
      </c>
      <c r="X846" s="40" t="s">
        <v>3292</v>
      </c>
      <c r="Y846" s="40" t="s">
        <v>185</v>
      </c>
      <c r="Z846" s="40" t="s">
        <v>81</v>
      </c>
      <c r="AC846" s="63" t="s">
        <v>3293</v>
      </c>
      <c r="AD846" s="46">
        <v>46080</v>
      </c>
      <c r="AE846" t="s">
        <v>3294</v>
      </c>
      <c r="AF846" s="39">
        <v>46121</v>
      </c>
    </row>
    <row r="847" spans="1:35" ht="19.5" customHeight="1">
      <c r="A847" s="25">
        <f t="shared" si="13"/>
        <v>842</v>
      </c>
      <c r="B847" s="26">
        <v>6265525</v>
      </c>
      <c r="C847" s="27">
        <v>46065</v>
      </c>
      <c r="D847" s="28">
        <v>194.46</v>
      </c>
      <c r="E847" s="29">
        <v>1516.79</v>
      </c>
      <c r="F847" s="335" t="s">
        <v>3295</v>
      </c>
      <c r="G847" s="27">
        <v>46080</v>
      </c>
      <c r="H847" s="32">
        <v>194.46</v>
      </c>
      <c r="I847" s="33">
        <v>1516.79</v>
      </c>
      <c r="J847" s="34" t="s">
        <v>33</v>
      </c>
      <c r="K847" t="s">
        <v>34</v>
      </c>
      <c r="L847" s="35">
        <v>452009246</v>
      </c>
      <c r="M847" s="36" t="s">
        <v>2129</v>
      </c>
      <c r="N847" s="37" t="s">
        <v>3296</v>
      </c>
      <c r="O847" t="s">
        <v>3297</v>
      </c>
      <c r="P847" t="s">
        <v>3298</v>
      </c>
      <c r="Q847" t="s">
        <v>3299</v>
      </c>
      <c r="R847" s="38">
        <v>46078</v>
      </c>
      <c r="S847" s="39">
        <v>46807</v>
      </c>
      <c r="T847" s="38">
        <v>46164</v>
      </c>
      <c r="U847" s="39">
        <v>46894</v>
      </c>
      <c r="V847" s="40" t="s">
        <v>590</v>
      </c>
      <c r="W847" s="41" t="s">
        <v>39</v>
      </c>
      <c r="X847" s="40">
        <v>28124000</v>
      </c>
      <c r="Y847" s="40" t="s">
        <v>185</v>
      </c>
      <c r="AC847" s="63">
        <v>10000181525</v>
      </c>
      <c r="AD847" s="46">
        <v>46083</v>
      </c>
      <c r="AE847">
        <v>3201164</v>
      </c>
      <c r="AF847" s="39">
        <v>46120</v>
      </c>
    </row>
    <row r="848" spans="1:35" ht="19.5" customHeight="1">
      <c r="A848" s="25">
        <f t="shared" si="13"/>
        <v>843</v>
      </c>
      <c r="B848" s="26">
        <v>6265673</v>
      </c>
      <c r="C848" s="27">
        <v>46065</v>
      </c>
      <c r="D848" s="80" t="s">
        <v>141</v>
      </c>
      <c r="E848" s="29">
        <v>12563.6</v>
      </c>
      <c r="F848" s="335" t="s">
        <v>3300</v>
      </c>
      <c r="G848" s="27">
        <v>46069</v>
      </c>
      <c r="H848" s="80" t="s">
        <v>141</v>
      </c>
      <c r="I848" s="29">
        <v>12563.6</v>
      </c>
      <c r="J848" s="34" t="s">
        <v>159</v>
      </c>
      <c r="K848" t="s">
        <v>160</v>
      </c>
      <c r="L848" s="86" t="s">
        <v>3301</v>
      </c>
      <c r="M848" s="36" t="s">
        <v>3302</v>
      </c>
      <c r="N848" s="37" t="s">
        <v>1615</v>
      </c>
      <c r="O848" t="s">
        <v>3303</v>
      </c>
      <c r="P848" t="s">
        <v>3304</v>
      </c>
      <c r="Q848" t="s">
        <v>2051</v>
      </c>
      <c r="R848" s="38">
        <v>45813</v>
      </c>
      <c r="S848" s="39">
        <v>46177</v>
      </c>
      <c r="T848" s="38">
        <v>46090</v>
      </c>
      <c r="U848" s="39">
        <v>46454</v>
      </c>
      <c r="V848" s="40" t="s">
        <v>64</v>
      </c>
      <c r="W848" s="41" t="s">
        <v>39</v>
      </c>
      <c r="X848" s="40" t="s">
        <v>3305</v>
      </c>
      <c r="Y848" s="40" t="s">
        <v>185</v>
      </c>
      <c r="AE848">
        <v>3203679</v>
      </c>
      <c r="AF848" s="39">
        <v>46139</v>
      </c>
    </row>
    <row r="849" spans="1:32" ht="19.5" customHeight="1">
      <c r="A849" s="25">
        <f t="shared" si="13"/>
        <v>844</v>
      </c>
      <c r="B849" s="26">
        <v>6266590</v>
      </c>
      <c r="C849" s="27">
        <v>46069</v>
      </c>
      <c r="D849" s="28">
        <v>1377.7</v>
      </c>
      <c r="E849" s="29">
        <v>10746.06</v>
      </c>
      <c r="F849" s="335" t="s">
        <v>3306</v>
      </c>
      <c r="G849" s="27">
        <v>46073</v>
      </c>
      <c r="H849" s="68">
        <v>1377.7</v>
      </c>
      <c r="I849" s="29">
        <v>10746.06</v>
      </c>
      <c r="J849" s="34" t="s">
        <v>33</v>
      </c>
      <c r="K849" t="s">
        <v>34</v>
      </c>
      <c r="L849" s="35">
        <v>322242587</v>
      </c>
      <c r="M849" s="36" t="s">
        <v>2149</v>
      </c>
      <c r="N849" s="37" t="s">
        <v>3307</v>
      </c>
      <c r="O849" t="s">
        <v>2659</v>
      </c>
      <c r="P849" t="s">
        <v>2660</v>
      </c>
      <c r="Q849" t="s">
        <v>3210</v>
      </c>
      <c r="R849" s="38">
        <v>46023</v>
      </c>
      <c r="S849" s="39">
        <v>46387</v>
      </c>
      <c r="T849" s="38">
        <v>46064</v>
      </c>
      <c r="U849" s="39">
        <v>46428</v>
      </c>
      <c r="V849" s="40" t="s">
        <v>1654</v>
      </c>
      <c r="W849" s="41" t="s">
        <v>39</v>
      </c>
      <c r="X849" s="40" t="s">
        <v>3211</v>
      </c>
      <c r="Y849" s="40" t="s">
        <v>185</v>
      </c>
      <c r="Z849" s="40" t="s">
        <v>81</v>
      </c>
      <c r="AC849" s="63">
        <v>10000165180</v>
      </c>
      <c r="AD849" s="46">
        <v>46077</v>
      </c>
      <c r="AE849" s="128">
        <v>3200303</v>
      </c>
      <c r="AF849" s="39">
        <v>46112</v>
      </c>
    </row>
    <row r="850" spans="1:32" ht="19.5" customHeight="1">
      <c r="A850" s="25">
        <f t="shared" si="13"/>
        <v>845</v>
      </c>
      <c r="B850" s="26">
        <v>6266758</v>
      </c>
      <c r="C850" s="27">
        <v>46073</v>
      </c>
      <c r="D850" s="28">
        <v>4423.68</v>
      </c>
      <c r="E850" s="29">
        <v>34504.720000000001</v>
      </c>
      <c r="F850" s="335" t="s">
        <v>3308</v>
      </c>
      <c r="G850" s="27">
        <v>46076</v>
      </c>
      <c r="H850" s="68">
        <v>4423.68</v>
      </c>
      <c r="I850" s="29">
        <v>34504.720000000001</v>
      </c>
      <c r="J850" s="34" t="s">
        <v>103</v>
      </c>
      <c r="K850" t="s">
        <v>206</v>
      </c>
      <c r="L850" s="35" t="s">
        <v>3309</v>
      </c>
      <c r="M850" s="36" t="s">
        <v>3310</v>
      </c>
      <c r="N850" s="37" t="s">
        <v>1330</v>
      </c>
      <c r="O850" t="s">
        <v>3311</v>
      </c>
      <c r="P850" t="s">
        <v>3312</v>
      </c>
      <c r="Q850" t="s">
        <v>3313</v>
      </c>
      <c r="R850" s="38">
        <v>46107</v>
      </c>
      <c r="S850" s="39">
        <v>46471</v>
      </c>
      <c r="T850" s="38">
        <v>46107</v>
      </c>
      <c r="U850" s="39">
        <v>46471</v>
      </c>
      <c r="V850" s="40" t="s">
        <v>1333</v>
      </c>
      <c r="W850" s="41" t="s">
        <v>39</v>
      </c>
      <c r="X850" s="40" t="s">
        <v>3314</v>
      </c>
      <c r="Y850" s="40" t="s">
        <v>56</v>
      </c>
      <c r="Z850" s="40" t="s">
        <v>81</v>
      </c>
      <c r="AA850" s="62" t="s">
        <v>3315</v>
      </c>
      <c r="AB850" s="44">
        <v>46086</v>
      </c>
      <c r="AC850" s="63" t="s">
        <v>3316</v>
      </c>
      <c r="AD850" s="46">
        <v>46086</v>
      </c>
      <c r="AE850">
        <v>3204652</v>
      </c>
      <c r="AF850" s="39">
        <v>46146</v>
      </c>
    </row>
    <row r="851" spans="1:32" ht="19.5" customHeight="1">
      <c r="A851" s="25">
        <f t="shared" si="13"/>
        <v>846</v>
      </c>
      <c r="B851" s="26">
        <v>6267525</v>
      </c>
      <c r="C851" s="27">
        <v>46077</v>
      </c>
      <c r="D851" s="219" t="s">
        <v>141</v>
      </c>
      <c r="E851" s="72">
        <v>2270</v>
      </c>
      <c r="F851" s="30" t="s">
        <v>3317</v>
      </c>
      <c r="G851" s="27">
        <v>46091</v>
      </c>
      <c r="H851" s="219" t="s">
        <v>141</v>
      </c>
      <c r="I851" s="72">
        <v>2270</v>
      </c>
      <c r="J851" s="34" t="s">
        <v>33</v>
      </c>
      <c r="K851" t="s">
        <v>139</v>
      </c>
      <c r="L851" s="35">
        <v>80005356</v>
      </c>
      <c r="M851" s="36" t="s">
        <v>3318</v>
      </c>
      <c r="N851" s="75" t="s">
        <v>1383</v>
      </c>
      <c r="O851" t="s">
        <v>3319</v>
      </c>
      <c r="P851" t="s">
        <v>3320</v>
      </c>
      <c r="Q851" t="s">
        <v>2998</v>
      </c>
      <c r="R851" s="38">
        <v>46012</v>
      </c>
      <c r="S851" s="39">
        <v>46376</v>
      </c>
      <c r="T851" s="50" t="s">
        <v>141</v>
      </c>
      <c r="U851" s="47" t="s">
        <v>141</v>
      </c>
      <c r="V851" s="40" t="s">
        <v>954</v>
      </c>
      <c r="W851" s="41" t="s">
        <v>39</v>
      </c>
      <c r="X851" s="40" t="s">
        <v>3321</v>
      </c>
      <c r="Y851" s="40" t="s">
        <v>185</v>
      </c>
      <c r="Z851" s="40" t="s">
        <v>81</v>
      </c>
      <c r="AA851" s="62">
        <v>90007575</v>
      </c>
      <c r="AB851" s="44">
        <v>46112</v>
      </c>
      <c r="AC851" s="63">
        <v>60017503</v>
      </c>
      <c r="AD851" s="46">
        <v>46112</v>
      </c>
    </row>
    <row r="852" spans="1:32" ht="19.5" customHeight="1">
      <c r="A852" s="25">
        <f t="shared" si="13"/>
        <v>847</v>
      </c>
      <c r="B852" s="26">
        <v>6267750</v>
      </c>
      <c r="C852" s="27">
        <v>46077</v>
      </c>
      <c r="D852" s="80" t="s">
        <v>141</v>
      </c>
      <c r="E852" s="29">
        <v>2059.4</v>
      </c>
      <c r="F852" s="335" t="s">
        <v>3322</v>
      </c>
      <c r="G852" s="27">
        <v>46080</v>
      </c>
      <c r="H852" s="80" t="s">
        <v>141</v>
      </c>
      <c r="I852" s="33">
        <v>2059.4</v>
      </c>
      <c r="J852" s="34" t="s">
        <v>159</v>
      </c>
      <c r="K852" t="s">
        <v>160</v>
      </c>
      <c r="L852" s="35" t="s">
        <v>3323</v>
      </c>
      <c r="M852" s="36" t="s">
        <v>3324</v>
      </c>
      <c r="N852" s="37" t="s">
        <v>1651</v>
      </c>
      <c r="O852" t="s">
        <v>3325</v>
      </c>
      <c r="P852" t="s">
        <v>3326</v>
      </c>
      <c r="Q852" t="s">
        <v>3327</v>
      </c>
      <c r="R852" s="38">
        <v>46060</v>
      </c>
      <c r="S852" s="39">
        <v>46424</v>
      </c>
      <c r="T852" s="50">
        <v>46060</v>
      </c>
      <c r="U852" s="39">
        <v>46424</v>
      </c>
      <c r="V852" s="40" t="s">
        <v>954</v>
      </c>
      <c r="W852" s="41" t="s">
        <v>39</v>
      </c>
      <c r="X852" s="40">
        <v>1878088</v>
      </c>
      <c r="Y852" s="40" t="s">
        <v>56</v>
      </c>
      <c r="Z852" s="40" t="s">
        <v>81</v>
      </c>
      <c r="AE852">
        <v>3203681</v>
      </c>
      <c r="AF852" s="39">
        <v>46139</v>
      </c>
    </row>
    <row r="853" spans="1:32" ht="19.5" customHeight="1">
      <c r="A853" s="25">
        <f t="shared" si="13"/>
        <v>848</v>
      </c>
      <c r="B853" s="26">
        <v>6267803</v>
      </c>
      <c r="C853" s="27">
        <v>46077</v>
      </c>
      <c r="D853" s="70">
        <v>56017.84</v>
      </c>
      <c r="E853" s="65">
        <v>436939.15</v>
      </c>
      <c r="F853" s="335" t="s">
        <v>3328</v>
      </c>
      <c r="G853" s="27">
        <v>46092</v>
      </c>
      <c r="H853" s="32">
        <v>56017.84</v>
      </c>
      <c r="I853" s="33">
        <v>436939.15</v>
      </c>
      <c r="J853" s="34" t="s">
        <v>33</v>
      </c>
      <c r="K853" t="s">
        <v>34</v>
      </c>
      <c r="L853" s="251">
        <v>332253192</v>
      </c>
      <c r="M853" s="36" t="s">
        <v>2129</v>
      </c>
      <c r="N853" s="37" t="s">
        <v>1346</v>
      </c>
      <c r="O853" t="s">
        <v>3329</v>
      </c>
      <c r="P853" t="s">
        <v>3330</v>
      </c>
      <c r="Q853" t="s">
        <v>2102</v>
      </c>
      <c r="R853" s="38">
        <v>45962</v>
      </c>
      <c r="S853" s="39">
        <v>46390</v>
      </c>
      <c r="T853" s="38">
        <v>45962</v>
      </c>
      <c r="U853" s="39">
        <v>46326</v>
      </c>
      <c r="V853" s="40" t="s">
        <v>375</v>
      </c>
      <c r="W853" s="41" t="s">
        <v>39</v>
      </c>
      <c r="X853" s="40" t="s">
        <v>3331</v>
      </c>
      <c r="Y853" s="40" t="s">
        <v>56</v>
      </c>
      <c r="Z853" s="40" t="s">
        <v>81</v>
      </c>
      <c r="AC853" s="63">
        <v>10000205437</v>
      </c>
      <c r="AD853" s="46">
        <v>46093</v>
      </c>
      <c r="AE853">
        <v>3201200</v>
      </c>
      <c r="AF853" s="39">
        <v>46120</v>
      </c>
    </row>
    <row r="854" spans="1:32" ht="19.5" customHeight="1">
      <c r="A854" s="25">
        <f t="shared" si="13"/>
        <v>849</v>
      </c>
      <c r="B854" s="26">
        <v>6268009</v>
      </c>
      <c r="C854" s="27">
        <v>46078</v>
      </c>
      <c r="D854" s="219" t="s">
        <v>141</v>
      </c>
      <c r="E854" s="72">
        <v>1970</v>
      </c>
      <c r="F854" s="30" t="s">
        <v>3332</v>
      </c>
      <c r="G854" s="27">
        <v>46079</v>
      </c>
      <c r="H854" s="219" t="s">
        <v>141</v>
      </c>
      <c r="I854" s="74">
        <v>1970</v>
      </c>
      <c r="J854" s="34" t="s">
        <v>33</v>
      </c>
      <c r="K854" t="s">
        <v>139</v>
      </c>
      <c r="L854" s="35">
        <v>80005357</v>
      </c>
      <c r="M854" s="36" t="s">
        <v>3333</v>
      </c>
      <c r="N854" s="75" t="s">
        <v>1383</v>
      </c>
      <c r="O854" t="s">
        <v>3334</v>
      </c>
      <c r="P854" t="s">
        <v>3335</v>
      </c>
      <c r="Q854" t="s">
        <v>2020</v>
      </c>
      <c r="R854" s="38">
        <v>45978</v>
      </c>
      <c r="S854" s="39">
        <v>46342</v>
      </c>
      <c r="T854" s="50" t="s">
        <v>141</v>
      </c>
      <c r="U854" s="47" t="s">
        <v>141</v>
      </c>
      <c r="V854" s="40" t="s">
        <v>954</v>
      </c>
      <c r="W854" s="41" t="s">
        <v>39</v>
      </c>
      <c r="X854" s="40" t="s">
        <v>3336</v>
      </c>
      <c r="Y854" s="40" t="s">
        <v>185</v>
      </c>
      <c r="Z854" s="40" t="s">
        <v>81</v>
      </c>
      <c r="AA854" s="62">
        <v>90007575</v>
      </c>
      <c r="AB854" s="44">
        <v>46112</v>
      </c>
      <c r="AC854" s="63">
        <v>60017501</v>
      </c>
      <c r="AD854" s="46">
        <v>46112</v>
      </c>
    </row>
    <row r="855" spans="1:32" ht="19.5" customHeight="1">
      <c r="A855" s="25">
        <f t="shared" si="13"/>
        <v>850</v>
      </c>
      <c r="B855" s="26">
        <v>6268037</v>
      </c>
      <c r="C855" s="27">
        <v>46078</v>
      </c>
      <c r="D855" s="28">
        <v>166.68</v>
      </c>
      <c r="E855" s="29">
        <v>1300.0999999999999</v>
      </c>
      <c r="F855" s="335" t="s">
        <v>3337</v>
      </c>
      <c r="G855" s="27">
        <v>46080</v>
      </c>
      <c r="H855" s="32">
        <v>166.68</v>
      </c>
      <c r="I855" s="33">
        <v>1300.0999999999999</v>
      </c>
      <c r="J855" s="34" t="s">
        <v>33</v>
      </c>
      <c r="K855" t="s">
        <v>34</v>
      </c>
      <c r="L855" s="35">
        <v>422017417</v>
      </c>
      <c r="M855" s="36" t="s">
        <v>2149</v>
      </c>
      <c r="N855" s="37" t="s">
        <v>3338</v>
      </c>
      <c r="O855" t="s">
        <v>3339</v>
      </c>
      <c r="P855" t="s">
        <v>3340</v>
      </c>
      <c r="Q855" t="s">
        <v>3341</v>
      </c>
      <c r="R855" s="38">
        <v>46113</v>
      </c>
      <c r="S855" s="39">
        <v>46477</v>
      </c>
      <c r="T855" s="38">
        <v>46252</v>
      </c>
      <c r="U855" s="39">
        <v>46616</v>
      </c>
      <c r="V855" s="40" t="s">
        <v>954</v>
      </c>
      <c r="W855" s="41" t="s">
        <v>39</v>
      </c>
      <c r="X855" s="40" t="s">
        <v>3342</v>
      </c>
      <c r="Y855" s="40" t="s">
        <v>185</v>
      </c>
      <c r="Z855" s="40" t="s">
        <v>81</v>
      </c>
      <c r="AC855" s="63">
        <v>10000181505</v>
      </c>
      <c r="AD855" s="46">
        <v>46083</v>
      </c>
      <c r="AE855">
        <v>3201149</v>
      </c>
      <c r="AF855" s="39">
        <v>46120</v>
      </c>
    </row>
    <row r="856" spans="1:32" ht="19.5" customHeight="1">
      <c r="A856" s="25">
        <f t="shared" si="13"/>
        <v>851</v>
      </c>
      <c r="B856" s="26">
        <v>6268071</v>
      </c>
      <c r="C856" s="27">
        <v>46078</v>
      </c>
      <c r="D856" s="28">
        <v>756</v>
      </c>
      <c r="E856" s="29">
        <v>5896.8</v>
      </c>
      <c r="F856" s="335" t="s">
        <v>3343</v>
      </c>
      <c r="G856" s="27">
        <v>46080</v>
      </c>
      <c r="H856" s="32">
        <f>450.56+305.44</f>
        <v>756</v>
      </c>
      <c r="I856" s="33">
        <v>5896.8</v>
      </c>
      <c r="J856" s="34" t="s">
        <v>33</v>
      </c>
      <c r="K856" t="s">
        <v>34</v>
      </c>
      <c r="L856" s="35">
        <v>492011639</v>
      </c>
      <c r="M856" s="36" t="s">
        <v>3344</v>
      </c>
      <c r="N856" s="37" t="s">
        <v>1346</v>
      </c>
      <c r="O856" t="s">
        <v>3345</v>
      </c>
      <c r="P856" t="s">
        <v>3346</v>
      </c>
      <c r="Q856" t="s">
        <v>3347</v>
      </c>
      <c r="R856" s="38">
        <v>46065</v>
      </c>
      <c r="S856" s="39">
        <v>46429</v>
      </c>
      <c r="T856" s="38">
        <v>46065</v>
      </c>
      <c r="U856" s="39">
        <v>46429</v>
      </c>
      <c r="V856" s="40" t="s">
        <v>38</v>
      </c>
      <c r="W856" s="41" t="s">
        <v>39</v>
      </c>
      <c r="X856" s="40" t="s">
        <v>3348</v>
      </c>
      <c r="Y856" s="40" t="s">
        <v>56</v>
      </c>
      <c r="AC856" s="63" t="s">
        <v>3349</v>
      </c>
      <c r="AD856" s="46">
        <v>46080</v>
      </c>
      <c r="AE856" t="s">
        <v>3350</v>
      </c>
      <c r="AF856" s="39">
        <v>46127</v>
      </c>
    </row>
    <row r="857" spans="1:32" ht="19.5" customHeight="1">
      <c r="A857" s="25">
        <f t="shared" si="13"/>
        <v>852</v>
      </c>
      <c r="B857" s="26">
        <v>6268084</v>
      </c>
      <c r="C857" s="27">
        <v>46078</v>
      </c>
      <c r="D857" s="28">
        <v>878.94</v>
      </c>
      <c r="E857" s="29">
        <v>6855.73</v>
      </c>
      <c r="F857" s="335" t="s">
        <v>3351</v>
      </c>
      <c r="G857" s="27">
        <v>46087</v>
      </c>
      <c r="H857" s="32">
        <v>878.94</v>
      </c>
      <c r="I857" s="33">
        <v>6855.73</v>
      </c>
      <c r="J857" s="34" t="s">
        <v>33</v>
      </c>
      <c r="K857" t="s">
        <v>34</v>
      </c>
      <c r="L857" s="35">
        <v>382222643</v>
      </c>
      <c r="M857" s="36" t="s">
        <v>2149</v>
      </c>
      <c r="N857" s="37" t="s">
        <v>1346</v>
      </c>
      <c r="O857" t="s">
        <v>3352</v>
      </c>
      <c r="P857" t="s">
        <v>3353</v>
      </c>
      <c r="Q857" t="s">
        <v>3354</v>
      </c>
      <c r="R857" s="38">
        <v>46090</v>
      </c>
      <c r="S857" s="39">
        <v>47185</v>
      </c>
      <c r="T857" s="38">
        <v>46090</v>
      </c>
      <c r="U857" s="39">
        <v>46173</v>
      </c>
      <c r="V857" s="40" t="s">
        <v>55</v>
      </c>
      <c r="W857" s="41" t="s">
        <v>39</v>
      </c>
      <c r="X857" s="40" t="s">
        <v>3355</v>
      </c>
      <c r="Y857" s="40" t="s">
        <v>56</v>
      </c>
      <c r="AC857" s="63">
        <v>10000195551</v>
      </c>
      <c r="AD857" s="46">
        <v>46090</v>
      </c>
      <c r="AE857">
        <v>3201148</v>
      </c>
      <c r="AF857" s="39">
        <v>46120</v>
      </c>
    </row>
    <row r="858" spans="1:32" ht="19.5" customHeight="1">
      <c r="A858" s="25">
        <f t="shared" si="13"/>
        <v>853</v>
      </c>
      <c r="B858" s="26">
        <v>6268528</v>
      </c>
      <c r="C858" s="27">
        <v>46079</v>
      </c>
      <c r="D858" s="28">
        <v>640.08000000000004</v>
      </c>
      <c r="E858" s="29">
        <v>4992.6099999999997</v>
      </c>
      <c r="F858" s="335" t="s">
        <v>3356</v>
      </c>
      <c r="G858" s="27">
        <v>46080</v>
      </c>
      <c r="H858" s="28">
        <v>640.08000000000004</v>
      </c>
      <c r="I858" s="29">
        <v>4992.6099999999997</v>
      </c>
      <c r="J858" s="34" t="s">
        <v>33</v>
      </c>
      <c r="K858" t="s">
        <v>206</v>
      </c>
      <c r="L858" s="35" t="s">
        <v>3357</v>
      </c>
      <c r="M858" s="36" t="s">
        <v>3358</v>
      </c>
      <c r="N858" s="37" t="s">
        <v>1330</v>
      </c>
      <c r="O858" t="s">
        <v>3359</v>
      </c>
      <c r="P858" t="s">
        <v>3360</v>
      </c>
      <c r="Q858" t="s">
        <v>3361</v>
      </c>
      <c r="R858" s="38">
        <v>46113</v>
      </c>
      <c r="S858" s="39">
        <v>46477</v>
      </c>
      <c r="T858" s="38">
        <v>46113</v>
      </c>
      <c r="U858" s="39">
        <v>46477</v>
      </c>
      <c r="V858" s="40" t="s">
        <v>1333</v>
      </c>
      <c r="W858" s="41" t="s">
        <v>39</v>
      </c>
      <c r="X858" s="40" t="s">
        <v>3362</v>
      </c>
      <c r="Y858" s="40" t="s">
        <v>56</v>
      </c>
      <c r="AA858" s="62" t="s">
        <v>3363</v>
      </c>
      <c r="AB858" s="44">
        <v>46091</v>
      </c>
      <c r="AC858" s="63" t="s">
        <v>3364</v>
      </c>
      <c r="AD858" s="46">
        <v>46091</v>
      </c>
      <c r="AE858">
        <v>3204645</v>
      </c>
      <c r="AF858" s="39">
        <v>46146</v>
      </c>
    </row>
    <row r="859" spans="1:32" ht="19.5" customHeight="1">
      <c r="A859" s="25">
        <f t="shared" si="13"/>
        <v>854</v>
      </c>
      <c r="B859" s="26">
        <v>6268756</v>
      </c>
      <c r="C859" s="27">
        <v>46080</v>
      </c>
      <c r="D859" s="219" t="s">
        <v>141</v>
      </c>
      <c r="E859" s="72">
        <v>3800</v>
      </c>
      <c r="F859" s="335" t="s">
        <v>3365</v>
      </c>
      <c r="G859" s="27">
        <v>46084</v>
      </c>
      <c r="H859" s="219" t="s">
        <v>141</v>
      </c>
      <c r="I859" s="74">
        <v>3800</v>
      </c>
      <c r="J859" s="34" t="s">
        <v>33</v>
      </c>
      <c r="K859" t="s">
        <v>139</v>
      </c>
      <c r="L859" s="35">
        <v>80005359</v>
      </c>
      <c r="M859" s="36" t="s">
        <v>3366</v>
      </c>
      <c r="N859" s="75" t="s">
        <v>1383</v>
      </c>
      <c r="O859" t="s">
        <v>3367</v>
      </c>
      <c r="P859" t="s">
        <v>3368</v>
      </c>
      <c r="Q859" t="s">
        <v>3369</v>
      </c>
      <c r="R859" s="38">
        <v>46196</v>
      </c>
      <c r="S859" s="39">
        <v>46142</v>
      </c>
      <c r="T859" s="50" t="s">
        <v>141</v>
      </c>
      <c r="U859" s="47" t="s">
        <v>141</v>
      </c>
      <c r="V859" s="40" t="s">
        <v>1654</v>
      </c>
      <c r="W859" s="41" t="s">
        <v>39</v>
      </c>
      <c r="X859" s="40" t="s">
        <v>3370</v>
      </c>
      <c r="Y859" s="40" t="s">
        <v>185</v>
      </c>
      <c r="AA859" s="62">
        <v>90007540</v>
      </c>
      <c r="AB859" s="44">
        <v>46094</v>
      </c>
      <c r="AC859" s="63">
        <v>60017423</v>
      </c>
      <c r="AD859" s="46">
        <v>46094</v>
      </c>
      <c r="AE859">
        <v>3204915</v>
      </c>
      <c r="AF859" s="39">
        <v>46147</v>
      </c>
    </row>
    <row r="860" spans="1:32" ht="19.5" customHeight="1">
      <c r="A860" s="25">
        <f t="shared" si="13"/>
        <v>855</v>
      </c>
      <c r="B860" s="26">
        <v>6269013</v>
      </c>
      <c r="C860" s="27">
        <v>46080</v>
      </c>
      <c r="D860" s="28">
        <v>1715.85</v>
      </c>
      <c r="E860" s="29">
        <v>13383.63</v>
      </c>
      <c r="F860" s="335" t="s">
        <v>3371</v>
      </c>
      <c r="G860" s="27">
        <v>46087</v>
      </c>
      <c r="H860" s="32">
        <v>1715.85</v>
      </c>
      <c r="I860" s="326">
        <v>13416.57</v>
      </c>
      <c r="J860" s="34" t="s">
        <v>33</v>
      </c>
      <c r="K860" t="s">
        <v>34</v>
      </c>
      <c r="L860" s="35">
        <v>422007845</v>
      </c>
      <c r="M860" s="36" t="s">
        <v>2104</v>
      </c>
      <c r="N860" s="37" t="s">
        <v>1346</v>
      </c>
      <c r="O860" t="s">
        <v>3372</v>
      </c>
      <c r="P860" t="s">
        <v>3373</v>
      </c>
      <c r="Q860" t="s">
        <v>1822</v>
      </c>
      <c r="R860" s="38">
        <v>45565</v>
      </c>
      <c r="S860" s="39">
        <v>46294</v>
      </c>
      <c r="T860" s="38">
        <v>46078</v>
      </c>
      <c r="U860" s="39">
        <v>46659</v>
      </c>
      <c r="V860" s="40" t="s">
        <v>458</v>
      </c>
      <c r="W860" s="41" t="s">
        <v>39</v>
      </c>
      <c r="X860" s="40" t="s">
        <v>3374</v>
      </c>
      <c r="Y860" s="40" t="s">
        <v>185</v>
      </c>
      <c r="AA860" s="62">
        <v>3202031</v>
      </c>
      <c r="AB860" s="44">
        <v>46127</v>
      </c>
      <c r="AC860" s="63">
        <v>10000195531</v>
      </c>
      <c r="AD860" s="46">
        <v>46090</v>
      </c>
      <c r="AE860">
        <v>3202031</v>
      </c>
      <c r="AF860" s="39">
        <v>46127</v>
      </c>
    </row>
    <row r="861" spans="1:32" ht="19.5" customHeight="1">
      <c r="A861" s="25">
        <f t="shared" si="13"/>
        <v>856</v>
      </c>
      <c r="B861" s="26">
        <v>6269211</v>
      </c>
      <c r="C861" s="27">
        <v>46083</v>
      </c>
      <c r="D861" s="28">
        <v>4473.2</v>
      </c>
      <c r="E861" s="29">
        <v>34976.85</v>
      </c>
      <c r="F861" s="335" t="s">
        <v>3375</v>
      </c>
      <c r="G861" s="27">
        <v>46084</v>
      </c>
      <c r="H861" s="32">
        <v>4473.2</v>
      </c>
      <c r="I861" s="33">
        <v>34976.85</v>
      </c>
      <c r="J861" s="34" t="s">
        <v>33</v>
      </c>
      <c r="K861" t="s">
        <v>34</v>
      </c>
      <c r="L861" s="35">
        <v>202307954</v>
      </c>
      <c r="M861" s="36" t="s">
        <v>2129</v>
      </c>
      <c r="N861" s="37" t="s">
        <v>1346</v>
      </c>
      <c r="O861" t="s">
        <v>3376</v>
      </c>
      <c r="P861" t="s">
        <v>3377</v>
      </c>
      <c r="Q861" t="s">
        <v>3378</v>
      </c>
      <c r="R861" s="38">
        <v>45869</v>
      </c>
      <c r="S861" s="39">
        <v>46233</v>
      </c>
      <c r="T861" s="38">
        <v>46077</v>
      </c>
      <c r="U861" s="39">
        <v>46441</v>
      </c>
      <c r="V861" s="40" t="s">
        <v>590</v>
      </c>
      <c r="W861" s="41" t="s">
        <v>39</v>
      </c>
      <c r="X861" s="40" t="s">
        <v>3379</v>
      </c>
      <c r="Y861" s="40" t="s">
        <v>185</v>
      </c>
      <c r="Z861" t="s">
        <v>81</v>
      </c>
      <c r="AC861" s="63">
        <v>10000186389</v>
      </c>
      <c r="AD861" s="46">
        <v>46085</v>
      </c>
      <c r="AE861">
        <v>3202034</v>
      </c>
      <c r="AF861" s="39">
        <v>46127</v>
      </c>
    </row>
    <row r="862" spans="1:32" ht="19.5" customHeight="1">
      <c r="A862" s="25">
        <f t="shared" si="13"/>
        <v>857</v>
      </c>
      <c r="B862" s="26">
        <v>6269245</v>
      </c>
      <c r="C862" s="27">
        <v>46083</v>
      </c>
      <c r="D862" s="28">
        <v>9597.0400000000009</v>
      </c>
      <c r="E862" s="29">
        <v>75041.179999999993</v>
      </c>
      <c r="F862" s="335" t="s">
        <v>3380</v>
      </c>
      <c r="G862" s="27">
        <v>46086</v>
      </c>
      <c r="H862" s="32">
        <v>9597.0400000000009</v>
      </c>
      <c r="I862" s="33">
        <v>75041.179999999993</v>
      </c>
      <c r="J862" s="34" t="s">
        <v>33</v>
      </c>
      <c r="K862" t="s">
        <v>34</v>
      </c>
      <c r="L862" s="35">
        <v>322229744</v>
      </c>
      <c r="M862" s="36" t="s">
        <v>2550</v>
      </c>
      <c r="N862" s="37" t="s">
        <v>1346</v>
      </c>
      <c r="O862" t="s">
        <v>3381</v>
      </c>
      <c r="P862" t="s">
        <v>3382</v>
      </c>
      <c r="Q862" t="s">
        <v>903</v>
      </c>
      <c r="R862" s="38">
        <v>46052</v>
      </c>
      <c r="S862" s="39">
        <v>47170</v>
      </c>
      <c r="T862" s="38">
        <v>46076</v>
      </c>
      <c r="U862" s="39">
        <v>46440</v>
      </c>
      <c r="V862" s="40" t="s">
        <v>245</v>
      </c>
      <c r="W862" s="41" t="s">
        <v>39</v>
      </c>
      <c r="X862" s="40" t="s">
        <v>3383</v>
      </c>
      <c r="Y862" s="40" t="s">
        <v>56</v>
      </c>
      <c r="AC862" s="63">
        <v>10000192201</v>
      </c>
      <c r="AD862" s="46">
        <v>46087</v>
      </c>
      <c r="AE862">
        <v>3201106</v>
      </c>
      <c r="AF862" s="39">
        <v>46120</v>
      </c>
    </row>
    <row r="863" spans="1:32" ht="19.5" customHeight="1">
      <c r="A863" s="25">
        <f t="shared" si="13"/>
        <v>858</v>
      </c>
      <c r="B863" s="26">
        <v>6269533</v>
      </c>
      <c r="C863" s="27">
        <v>46083</v>
      </c>
      <c r="D863" s="80" t="s">
        <v>141</v>
      </c>
      <c r="E863" s="29">
        <v>3710</v>
      </c>
      <c r="F863" s="335" t="s">
        <v>3384</v>
      </c>
      <c r="G863" s="27">
        <v>46086</v>
      </c>
      <c r="H863" s="80" t="s">
        <v>141</v>
      </c>
      <c r="I863" s="29">
        <v>3710</v>
      </c>
      <c r="J863" s="34" t="s">
        <v>103</v>
      </c>
      <c r="K863" t="s">
        <v>176</v>
      </c>
      <c r="L863" s="35" t="s">
        <v>3385</v>
      </c>
      <c r="M863" s="36" t="s">
        <v>3386</v>
      </c>
      <c r="N863" s="37" t="s">
        <v>1409</v>
      </c>
      <c r="O863" t="s">
        <v>3387</v>
      </c>
      <c r="P863" t="s">
        <v>3388</v>
      </c>
      <c r="Q863" t="s">
        <v>3389</v>
      </c>
      <c r="R863" s="38">
        <v>46096</v>
      </c>
      <c r="S863" s="39">
        <v>46826</v>
      </c>
      <c r="T863" s="38">
        <v>46023</v>
      </c>
      <c r="U863" s="39">
        <v>46843</v>
      </c>
      <c r="V863" s="40" t="s">
        <v>3390</v>
      </c>
      <c r="W863" s="41" t="s">
        <v>39</v>
      </c>
      <c r="X863" s="40" t="s">
        <v>3391</v>
      </c>
      <c r="Y863" s="40" t="s">
        <v>185</v>
      </c>
      <c r="AA863" s="62" t="s">
        <v>3392</v>
      </c>
      <c r="AB863" s="44">
        <v>46171</v>
      </c>
      <c r="AC863" s="62" t="s">
        <v>3392</v>
      </c>
      <c r="AD863" s="44">
        <v>46171</v>
      </c>
    </row>
    <row r="864" spans="1:32" ht="19.5" customHeight="1">
      <c r="A864" s="25">
        <f t="shared" si="13"/>
        <v>859</v>
      </c>
      <c r="B864" s="26">
        <v>6269630</v>
      </c>
      <c r="C864" s="27">
        <v>46084</v>
      </c>
      <c r="D864" s="80" t="s">
        <v>141</v>
      </c>
      <c r="E864" s="29">
        <v>3814.92</v>
      </c>
      <c r="F864" s="335" t="s">
        <v>3393</v>
      </c>
      <c r="G864" s="27">
        <v>46085</v>
      </c>
      <c r="H864" s="80" t="s">
        <v>141</v>
      </c>
      <c r="I864" s="33">
        <v>3814.92</v>
      </c>
      <c r="J864" s="34" t="s">
        <v>159</v>
      </c>
      <c r="K864" t="s">
        <v>398</v>
      </c>
      <c r="L864" s="35" t="s">
        <v>3394</v>
      </c>
      <c r="M864" s="36" t="s">
        <v>3395</v>
      </c>
      <c r="N864" s="37" t="s">
        <v>2352</v>
      </c>
      <c r="O864" t="s">
        <v>3396</v>
      </c>
      <c r="P864" t="s">
        <v>3397</v>
      </c>
      <c r="Q864" t="s">
        <v>2882</v>
      </c>
      <c r="R864" s="38">
        <v>46077</v>
      </c>
      <c r="S864" s="39">
        <v>46806</v>
      </c>
      <c r="T864" s="38">
        <v>46077</v>
      </c>
      <c r="U864" s="39">
        <v>46806</v>
      </c>
      <c r="V864" s="40" t="s">
        <v>1306</v>
      </c>
      <c r="W864" s="41" t="s">
        <v>39</v>
      </c>
      <c r="X864" s="40" t="s">
        <v>3398</v>
      </c>
      <c r="Y864" s="40" t="s">
        <v>56</v>
      </c>
      <c r="AA864" s="62" t="s">
        <v>3399</v>
      </c>
      <c r="AB864" s="44">
        <v>46093</v>
      </c>
      <c r="AC864" s="63" t="s">
        <v>3400</v>
      </c>
      <c r="AD864" s="46">
        <v>46093</v>
      </c>
    </row>
    <row r="865" spans="1:35" ht="19.5" customHeight="1">
      <c r="A865" s="25">
        <f t="shared" si="13"/>
        <v>860</v>
      </c>
      <c r="B865" s="26">
        <v>6269941</v>
      </c>
      <c r="C865" s="27">
        <v>46084</v>
      </c>
      <c r="D865" s="80" t="s">
        <v>141</v>
      </c>
      <c r="E865" s="29">
        <v>20200</v>
      </c>
      <c r="F865" s="335" t="s">
        <v>3401</v>
      </c>
      <c r="G865" s="27">
        <v>46085</v>
      </c>
      <c r="H865" s="80" t="s">
        <v>141</v>
      </c>
      <c r="I865" s="33">
        <v>20200</v>
      </c>
      <c r="J865" s="34" t="s">
        <v>103</v>
      </c>
      <c r="K865" t="s">
        <v>176</v>
      </c>
      <c r="L865" s="35" t="s">
        <v>3402</v>
      </c>
      <c r="M865" s="36" t="s">
        <v>3403</v>
      </c>
      <c r="N865" s="37" t="s">
        <v>3404</v>
      </c>
      <c r="O865" t="s">
        <v>3396</v>
      </c>
      <c r="P865" t="s">
        <v>3397</v>
      </c>
      <c r="Q865" t="s">
        <v>2882</v>
      </c>
      <c r="R865" s="38">
        <v>46077</v>
      </c>
      <c r="S865" s="39">
        <v>46806</v>
      </c>
      <c r="T865" s="38">
        <v>46082</v>
      </c>
      <c r="U865" s="39">
        <v>46812</v>
      </c>
      <c r="V865" s="40" t="s">
        <v>3405</v>
      </c>
      <c r="W865" s="41" t="s">
        <v>39</v>
      </c>
      <c r="X865" s="40" t="s">
        <v>3406</v>
      </c>
      <c r="Y865" s="40" t="s">
        <v>185</v>
      </c>
      <c r="AA865" s="63" t="s">
        <v>3407</v>
      </c>
      <c r="AB865" s="46">
        <v>46136</v>
      </c>
      <c r="AC865" s="63" t="s">
        <v>3407</v>
      </c>
      <c r="AD865" s="46">
        <v>46136</v>
      </c>
      <c r="AE865">
        <v>3206357</v>
      </c>
      <c r="AF865" s="39">
        <v>46160</v>
      </c>
    </row>
    <row r="866" spans="1:35" ht="19.5" customHeight="1">
      <c r="A866" s="25">
        <f t="shared" si="13"/>
        <v>861</v>
      </c>
      <c r="B866" s="26">
        <v>6270010</v>
      </c>
      <c r="C866" s="27">
        <v>46084</v>
      </c>
      <c r="D866" s="28">
        <v>337.49</v>
      </c>
      <c r="E866" s="29">
        <v>2638.9</v>
      </c>
      <c r="F866" s="335" t="s">
        <v>3408</v>
      </c>
      <c r="G866" s="27">
        <v>46086</v>
      </c>
      <c r="H866" s="32">
        <v>337.49</v>
      </c>
      <c r="I866" s="33">
        <v>2638.9</v>
      </c>
      <c r="J866" s="34" t="s">
        <v>33</v>
      </c>
      <c r="K866" t="s">
        <v>34</v>
      </c>
      <c r="L866" s="35">
        <v>492015631</v>
      </c>
      <c r="M866" s="36" t="s">
        <v>3409</v>
      </c>
      <c r="N866" s="37" t="s">
        <v>1346</v>
      </c>
      <c r="O866" t="s">
        <v>3410</v>
      </c>
      <c r="P866" t="s">
        <v>3411</v>
      </c>
      <c r="Q866" t="s">
        <v>3412</v>
      </c>
      <c r="R866" s="38">
        <v>46036</v>
      </c>
      <c r="S866" s="39">
        <v>46418</v>
      </c>
      <c r="T866" s="38">
        <v>46054</v>
      </c>
      <c r="U866" s="39">
        <v>46418</v>
      </c>
      <c r="V866" s="40" t="s">
        <v>2108</v>
      </c>
      <c r="W866" s="41" t="s">
        <v>39</v>
      </c>
      <c r="X866" s="40" t="s">
        <v>3413</v>
      </c>
      <c r="Y866" s="40" t="s">
        <v>56</v>
      </c>
      <c r="AC866" s="63">
        <v>10000194342</v>
      </c>
      <c r="AD866" s="46">
        <v>46087</v>
      </c>
      <c r="AE866">
        <v>3202032</v>
      </c>
      <c r="AF866" s="39">
        <v>46127</v>
      </c>
    </row>
    <row r="867" spans="1:35" ht="19.5" customHeight="1">
      <c r="A867" s="25">
        <f t="shared" si="13"/>
        <v>862</v>
      </c>
      <c r="B867" s="26">
        <v>6270372</v>
      </c>
      <c r="C867" s="27">
        <v>46085</v>
      </c>
      <c r="D867" s="80" t="s">
        <v>141</v>
      </c>
      <c r="E867" s="29">
        <v>7684.46</v>
      </c>
      <c r="F867" s="335" t="s">
        <v>3414</v>
      </c>
      <c r="G867" s="27">
        <v>46091</v>
      </c>
      <c r="H867" s="80" t="s">
        <v>141</v>
      </c>
      <c r="I867" s="29">
        <v>7684.46</v>
      </c>
      <c r="J867" s="34" t="s">
        <v>159</v>
      </c>
      <c r="K867" t="s">
        <v>160</v>
      </c>
      <c r="L867" s="35" t="s">
        <v>3415</v>
      </c>
      <c r="M867" s="36" t="s">
        <v>3416</v>
      </c>
      <c r="N867" s="37" t="s">
        <v>1651</v>
      </c>
      <c r="O867" t="s">
        <v>3417</v>
      </c>
      <c r="P867" t="s">
        <v>3418</v>
      </c>
      <c r="Q867" t="s">
        <v>2465</v>
      </c>
      <c r="R867" s="38">
        <v>46096</v>
      </c>
      <c r="S867" s="39">
        <v>46460</v>
      </c>
      <c r="T867" s="50" t="s">
        <v>141</v>
      </c>
      <c r="U867" s="47" t="s">
        <v>141</v>
      </c>
      <c r="V867" s="40" t="s">
        <v>44</v>
      </c>
      <c r="W867" s="41" t="s">
        <v>39</v>
      </c>
      <c r="X867" s="40" t="s">
        <v>3419</v>
      </c>
      <c r="Y867" s="40" t="s">
        <v>56</v>
      </c>
    </row>
    <row r="868" spans="1:35" ht="19.5" customHeight="1">
      <c r="A868" s="25">
        <f t="shared" si="13"/>
        <v>863</v>
      </c>
      <c r="B868" s="291" t="s">
        <v>141</v>
      </c>
      <c r="C868" s="31" t="s">
        <v>141</v>
      </c>
      <c r="D868" s="219" t="s">
        <v>141</v>
      </c>
      <c r="E868" s="294" t="s">
        <v>141</v>
      </c>
      <c r="F868" s="30" t="s">
        <v>3420</v>
      </c>
      <c r="G868" s="27">
        <v>46086</v>
      </c>
      <c r="H868" s="219" t="s">
        <v>141</v>
      </c>
      <c r="I868" s="74">
        <v>2340</v>
      </c>
      <c r="J868" s="34" t="s">
        <v>3421</v>
      </c>
      <c r="K868" t="s">
        <v>193</v>
      </c>
      <c r="L868" s="35" t="s">
        <v>2976</v>
      </c>
      <c r="M868" s="36" t="s">
        <v>3422</v>
      </c>
      <c r="N868" s="75"/>
      <c r="Q868" t="s">
        <v>2188</v>
      </c>
      <c r="R868" s="38"/>
      <c r="S868" s="39"/>
      <c r="W868" s="41" t="s">
        <v>39</v>
      </c>
      <c r="AA868" s="62" t="s">
        <v>3423</v>
      </c>
      <c r="AB868" s="44">
        <v>46099</v>
      </c>
      <c r="AC868" s="63" t="s">
        <v>3424</v>
      </c>
      <c r="AD868" s="46">
        <v>46099</v>
      </c>
      <c r="AE868" s="342">
        <v>3221465</v>
      </c>
      <c r="AF868" s="39">
        <v>46274</v>
      </c>
    </row>
    <row r="869" spans="1:35" ht="19.5" customHeight="1">
      <c r="A869" s="25">
        <f t="shared" si="13"/>
        <v>864</v>
      </c>
      <c r="B869" s="291" t="s">
        <v>141</v>
      </c>
      <c r="C869" s="31" t="s">
        <v>141</v>
      </c>
      <c r="D869" s="219" t="s">
        <v>141</v>
      </c>
      <c r="E869" s="294" t="s">
        <v>141</v>
      </c>
      <c r="F869" s="30" t="s">
        <v>3425</v>
      </c>
      <c r="G869" s="27">
        <v>46086</v>
      </c>
      <c r="H869" s="219" t="s">
        <v>141</v>
      </c>
      <c r="I869" s="74">
        <v>7260</v>
      </c>
      <c r="J869" s="34" t="s">
        <v>3421</v>
      </c>
      <c r="K869" t="s">
        <v>193</v>
      </c>
      <c r="L869" s="35" t="s">
        <v>2976</v>
      </c>
      <c r="M869" s="36" t="s">
        <v>3426</v>
      </c>
      <c r="N869" s="75"/>
      <c r="Q869" t="s">
        <v>2188</v>
      </c>
      <c r="R869" s="38"/>
      <c r="S869" s="39"/>
      <c r="W869" s="41" t="s">
        <v>39</v>
      </c>
      <c r="AA869" s="62" t="s">
        <v>3427</v>
      </c>
      <c r="AB869" s="44">
        <v>46099</v>
      </c>
      <c r="AC869" s="63" t="s">
        <v>3428</v>
      </c>
      <c r="AD869" s="46">
        <v>46099</v>
      </c>
      <c r="AE869">
        <v>3221566</v>
      </c>
      <c r="AF869" s="39">
        <v>46274</v>
      </c>
    </row>
    <row r="870" spans="1:35" ht="19.5" customHeight="1">
      <c r="A870" s="25">
        <f t="shared" si="13"/>
        <v>865</v>
      </c>
      <c r="B870" s="291" t="s">
        <v>141</v>
      </c>
      <c r="C870" s="31" t="s">
        <v>141</v>
      </c>
      <c r="D870" s="219" t="s">
        <v>141</v>
      </c>
      <c r="E870" s="294" t="s">
        <v>141</v>
      </c>
      <c r="F870" s="30" t="s">
        <v>3429</v>
      </c>
      <c r="G870" s="27">
        <v>46086</v>
      </c>
      <c r="H870" s="219" t="s">
        <v>141</v>
      </c>
      <c r="I870" s="74">
        <v>2970</v>
      </c>
      <c r="J870" s="34" t="s">
        <v>3421</v>
      </c>
      <c r="K870" t="s">
        <v>139</v>
      </c>
      <c r="L870" s="35" t="s">
        <v>3430</v>
      </c>
      <c r="M870" s="36" t="s">
        <v>3431</v>
      </c>
      <c r="N870" s="75"/>
      <c r="Q870" t="s">
        <v>2188</v>
      </c>
      <c r="R870" s="38"/>
      <c r="S870" s="39"/>
      <c r="W870" s="41" t="s">
        <v>39</v>
      </c>
      <c r="AA870" s="62">
        <v>90007575</v>
      </c>
      <c r="AB870" s="44">
        <v>46112</v>
      </c>
      <c r="AC870" s="63">
        <v>60017502</v>
      </c>
      <c r="AD870" s="46">
        <v>46112</v>
      </c>
    </row>
    <row r="871" spans="1:35" ht="19.5" customHeight="1">
      <c r="A871" s="25">
        <f t="shared" si="13"/>
        <v>866</v>
      </c>
      <c r="B871" s="26">
        <v>6272024</v>
      </c>
      <c r="C871" s="27">
        <v>46086</v>
      </c>
      <c r="D871" s="71"/>
      <c r="E871" s="294">
        <v>10500</v>
      </c>
      <c r="F871" s="30" t="s">
        <v>3432</v>
      </c>
      <c r="G871" s="27">
        <v>46101</v>
      </c>
      <c r="H871" s="73"/>
      <c r="I871" s="74">
        <v>10500</v>
      </c>
      <c r="J871" s="34" t="s">
        <v>33</v>
      </c>
      <c r="K871" t="s">
        <v>193</v>
      </c>
      <c r="L871" s="35" t="s">
        <v>3433</v>
      </c>
      <c r="M871" s="36" t="s">
        <v>3434</v>
      </c>
      <c r="N871" s="75"/>
      <c r="Q871" t="s">
        <v>2188</v>
      </c>
      <c r="R871" s="38"/>
      <c r="S871" s="39"/>
      <c r="W871" s="41" t="s">
        <v>39</v>
      </c>
      <c r="AA871" s="62" t="s">
        <v>3435</v>
      </c>
      <c r="AB871" s="44">
        <v>46122</v>
      </c>
      <c r="AC871" s="63" t="s">
        <v>3436</v>
      </c>
      <c r="AD871" s="46">
        <v>46121</v>
      </c>
    </row>
    <row r="872" spans="1:35" ht="19.5" customHeight="1">
      <c r="A872" s="25">
        <f t="shared" si="13"/>
        <v>867</v>
      </c>
      <c r="B872" s="26">
        <v>6272122</v>
      </c>
      <c r="C872" s="27">
        <v>46090</v>
      </c>
      <c r="D872" s="28">
        <v>9440.7999999999993</v>
      </c>
      <c r="E872" s="29">
        <v>73819.5</v>
      </c>
      <c r="F872" s="335" t="s">
        <v>3437</v>
      </c>
      <c r="G872" s="27">
        <v>46094</v>
      </c>
      <c r="H872" s="32">
        <v>9440.7999999999993</v>
      </c>
      <c r="I872" s="33">
        <v>73819.5</v>
      </c>
      <c r="J872" s="34" t="s">
        <v>33</v>
      </c>
      <c r="K872" t="s">
        <v>34</v>
      </c>
      <c r="L872" s="35">
        <v>452018966</v>
      </c>
      <c r="M872" s="36" t="s">
        <v>2149</v>
      </c>
      <c r="N872" s="37" t="s">
        <v>1346</v>
      </c>
      <c r="O872" t="s">
        <v>3438</v>
      </c>
      <c r="P872" t="s">
        <v>3439</v>
      </c>
      <c r="Q872" t="s">
        <v>3440</v>
      </c>
      <c r="R872" s="38">
        <v>46055</v>
      </c>
      <c r="S872" s="39">
        <v>46419</v>
      </c>
      <c r="T872" s="38">
        <v>46055</v>
      </c>
      <c r="U872" s="39">
        <v>46419</v>
      </c>
      <c r="V872" s="40" t="s">
        <v>38</v>
      </c>
      <c r="W872" s="41" t="s">
        <v>39</v>
      </c>
      <c r="X872" s="40" t="s">
        <v>3441</v>
      </c>
      <c r="Y872" s="40" t="s">
        <v>56</v>
      </c>
      <c r="AC872" s="63">
        <v>10000216218</v>
      </c>
      <c r="AD872" s="46">
        <v>46097</v>
      </c>
    </row>
    <row r="873" spans="1:35" ht="19.5" customHeight="1">
      <c r="A873" s="25">
        <f t="shared" si="13"/>
        <v>868</v>
      </c>
      <c r="B873" s="26">
        <v>6272293</v>
      </c>
      <c r="C873" s="27">
        <v>46091</v>
      </c>
      <c r="D873" s="28">
        <v>18273.400000000001</v>
      </c>
      <c r="E873" s="29">
        <v>142883.37</v>
      </c>
      <c r="F873" s="30" t="s">
        <v>3442</v>
      </c>
      <c r="G873" s="27">
        <v>46097</v>
      </c>
      <c r="H873" s="32">
        <v>18273.400000000001</v>
      </c>
      <c r="I873" s="33">
        <v>142883.37</v>
      </c>
      <c r="J873" s="34" t="s">
        <v>33</v>
      </c>
      <c r="K873" t="s">
        <v>34</v>
      </c>
      <c r="L873" s="35">
        <v>462004785</v>
      </c>
      <c r="M873" s="36" t="s">
        <v>2104</v>
      </c>
      <c r="N873" s="37" t="s">
        <v>1346</v>
      </c>
      <c r="O873" t="s">
        <v>3443</v>
      </c>
      <c r="P873" t="s">
        <v>3444</v>
      </c>
      <c r="Q873" t="s">
        <v>2998</v>
      </c>
      <c r="R873" s="38">
        <v>46062</v>
      </c>
      <c r="S873" s="39">
        <v>46446</v>
      </c>
      <c r="T873" s="38">
        <v>46199</v>
      </c>
      <c r="U873" s="39">
        <v>46446</v>
      </c>
      <c r="V873" s="40" t="s">
        <v>954</v>
      </c>
      <c r="W873" s="41" t="s">
        <v>39</v>
      </c>
      <c r="X873" s="40" t="s">
        <v>3445</v>
      </c>
      <c r="Y873" s="40" t="s">
        <v>185</v>
      </c>
      <c r="Z873" s="40" t="s">
        <v>81</v>
      </c>
      <c r="AC873" s="63">
        <v>10000219632</v>
      </c>
      <c r="AD873" s="46">
        <v>46098</v>
      </c>
      <c r="AE873">
        <v>3201109</v>
      </c>
      <c r="AF873" s="39">
        <v>46120</v>
      </c>
    </row>
    <row r="874" spans="1:35" ht="19.5" customHeight="1">
      <c r="A874" s="25">
        <f t="shared" si="13"/>
        <v>869</v>
      </c>
      <c r="B874" s="26">
        <v>6272516</v>
      </c>
      <c r="C874" s="27">
        <v>46091</v>
      </c>
      <c r="D874" s="28">
        <v>18904.28</v>
      </c>
      <c r="E874" s="29">
        <v>147816.35</v>
      </c>
      <c r="F874" s="30" t="s">
        <v>3446</v>
      </c>
      <c r="G874" s="27">
        <v>46097</v>
      </c>
      <c r="H874" s="32">
        <v>18904.28</v>
      </c>
      <c r="I874" s="33">
        <v>147816.35</v>
      </c>
      <c r="J874" s="34" t="s">
        <v>33</v>
      </c>
      <c r="K874" t="s">
        <v>34</v>
      </c>
      <c r="L874" s="35">
        <v>332247790</v>
      </c>
      <c r="M874" s="36" t="s">
        <v>2550</v>
      </c>
      <c r="N874" s="37" t="s">
        <v>1540</v>
      </c>
      <c r="O874" t="s">
        <v>3381</v>
      </c>
      <c r="P874" t="s">
        <v>3382</v>
      </c>
      <c r="Q874" t="s">
        <v>903</v>
      </c>
      <c r="R874" s="38">
        <v>46052</v>
      </c>
      <c r="S874" s="39">
        <v>47170</v>
      </c>
      <c r="T874" s="38">
        <v>46451</v>
      </c>
      <c r="U874" s="39">
        <v>47170</v>
      </c>
      <c r="V874" s="40" t="s">
        <v>245</v>
      </c>
      <c r="W874" s="41" t="s">
        <v>39</v>
      </c>
      <c r="X874" s="40" t="s">
        <v>3383</v>
      </c>
      <c r="Y874" s="40" t="s">
        <v>56</v>
      </c>
      <c r="AC874" s="63">
        <v>10000249806</v>
      </c>
      <c r="AD874" s="46">
        <v>46107</v>
      </c>
    </row>
    <row r="875" spans="1:35" ht="19.5" customHeight="1">
      <c r="A875" s="25">
        <f t="shared" si="13"/>
        <v>870</v>
      </c>
      <c r="B875" s="26">
        <v>6272605</v>
      </c>
      <c r="C875" s="27">
        <v>46091</v>
      </c>
      <c r="D875" s="28">
        <v>896.24</v>
      </c>
      <c r="E875" s="29">
        <v>7007.88</v>
      </c>
      <c r="F875" s="30" t="s">
        <v>3447</v>
      </c>
      <c r="G875" s="27">
        <v>46098</v>
      </c>
      <c r="H875" s="32">
        <v>896.24</v>
      </c>
      <c r="I875" s="29">
        <v>7007.88</v>
      </c>
      <c r="J875" s="34" t="s">
        <v>33</v>
      </c>
      <c r="K875" t="s">
        <v>34</v>
      </c>
      <c r="L875" s="35">
        <v>462006498</v>
      </c>
      <c r="M875" s="36" t="s">
        <v>3153</v>
      </c>
      <c r="N875" s="37" t="s">
        <v>1540</v>
      </c>
      <c r="O875" t="s">
        <v>3448</v>
      </c>
      <c r="P875" t="s">
        <v>3449</v>
      </c>
      <c r="Q875" t="s">
        <v>3450</v>
      </c>
      <c r="R875" s="38">
        <v>46028</v>
      </c>
      <c r="S875" s="39">
        <v>47123</v>
      </c>
      <c r="T875" s="38">
        <v>46116</v>
      </c>
      <c r="U875" s="39">
        <v>47211</v>
      </c>
      <c r="V875" s="40" t="s">
        <v>3451</v>
      </c>
      <c r="W875" s="41" t="s">
        <v>3151</v>
      </c>
      <c r="X875" s="40" t="s">
        <v>3452</v>
      </c>
      <c r="Y875" s="40" t="s">
        <v>185</v>
      </c>
      <c r="AC875" s="63">
        <v>10000222657</v>
      </c>
      <c r="AD875" s="46">
        <v>46099</v>
      </c>
    </row>
    <row r="876" spans="1:35" ht="19.5" customHeight="1">
      <c r="A876" s="25">
        <f t="shared" si="13"/>
        <v>871</v>
      </c>
      <c r="B876" s="26">
        <v>6272793</v>
      </c>
      <c r="C876" s="27">
        <v>46092</v>
      </c>
      <c r="D876" s="28">
        <v>950.54</v>
      </c>
      <c r="E876" s="29">
        <v>7432.46</v>
      </c>
      <c r="F876" s="30" t="s">
        <v>3453</v>
      </c>
      <c r="G876" s="27">
        <v>46098</v>
      </c>
      <c r="H876" s="68">
        <v>950.54</v>
      </c>
      <c r="I876" s="29">
        <v>7432.46</v>
      </c>
      <c r="J876" s="34" t="s">
        <v>33</v>
      </c>
      <c r="K876" t="s">
        <v>34</v>
      </c>
      <c r="L876" s="35">
        <v>372229260</v>
      </c>
      <c r="M876" s="36" t="s">
        <v>2129</v>
      </c>
      <c r="N876" s="37" t="s">
        <v>1346</v>
      </c>
      <c r="O876" t="s">
        <v>3448</v>
      </c>
      <c r="P876" t="s">
        <v>3449</v>
      </c>
      <c r="Q876" t="s">
        <v>3450</v>
      </c>
      <c r="R876" s="38">
        <v>46028</v>
      </c>
      <c r="S876" s="39">
        <v>47123</v>
      </c>
      <c r="T876" s="38">
        <v>46086</v>
      </c>
      <c r="U876" s="39">
        <v>47123</v>
      </c>
      <c r="V876" s="40" t="s">
        <v>3451</v>
      </c>
      <c r="W876" s="41" t="s">
        <v>3151</v>
      </c>
      <c r="X876" s="40" t="s">
        <v>3452</v>
      </c>
      <c r="Y876" s="40" t="s">
        <v>185</v>
      </c>
      <c r="AC876" s="63">
        <v>10000222613</v>
      </c>
      <c r="AD876" s="46">
        <v>46099</v>
      </c>
    </row>
    <row r="877" spans="1:35" ht="19.5" customHeight="1">
      <c r="A877" s="25">
        <f t="shared" si="13"/>
        <v>872</v>
      </c>
      <c r="B877" s="26">
        <v>6272705</v>
      </c>
      <c r="C877" s="27">
        <v>46091</v>
      </c>
      <c r="D877" s="80" t="s">
        <v>141</v>
      </c>
      <c r="E877" s="29">
        <v>3216</v>
      </c>
      <c r="F877" s="30" t="s">
        <v>3454</v>
      </c>
      <c r="G877" s="27">
        <v>46092</v>
      </c>
      <c r="H877" s="80" t="s">
        <v>141</v>
      </c>
      <c r="I877" s="33">
        <v>3216</v>
      </c>
      <c r="J877" s="34" t="s">
        <v>33</v>
      </c>
      <c r="K877" t="s">
        <v>777</v>
      </c>
      <c r="L877" s="35" t="s">
        <v>3455</v>
      </c>
      <c r="M877" s="36" t="s">
        <v>3456</v>
      </c>
      <c r="N877" s="37" t="s">
        <v>2343</v>
      </c>
      <c r="O877" t="s">
        <v>3457</v>
      </c>
      <c r="P877" t="s">
        <v>3458</v>
      </c>
      <c r="Q877" t="s">
        <v>3459</v>
      </c>
      <c r="R877" s="38">
        <v>46129</v>
      </c>
      <c r="S877" s="39">
        <v>46493</v>
      </c>
      <c r="T877" s="38">
        <v>46129</v>
      </c>
      <c r="U877" s="39">
        <v>46493</v>
      </c>
      <c r="V877" s="40" t="s">
        <v>1025</v>
      </c>
      <c r="W877" s="41" t="s">
        <v>39</v>
      </c>
      <c r="X877" s="40" t="s">
        <v>3460</v>
      </c>
      <c r="Y877" s="40" t="s">
        <v>56</v>
      </c>
      <c r="AA877" s="62" t="s">
        <v>3461</v>
      </c>
      <c r="AB877" s="44">
        <v>46142</v>
      </c>
      <c r="AC877" s="63" t="s">
        <v>3461</v>
      </c>
      <c r="AD877" s="46">
        <v>46142</v>
      </c>
    </row>
    <row r="878" spans="1:35" ht="19.5" customHeight="1">
      <c r="A878" s="25">
        <f t="shared" si="13"/>
        <v>873</v>
      </c>
      <c r="B878" s="26">
        <v>6273105</v>
      </c>
      <c r="C878" s="27">
        <v>46093</v>
      </c>
      <c r="D878" s="28">
        <v>767.6</v>
      </c>
      <c r="E878" s="29">
        <v>6002.02</v>
      </c>
      <c r="F878" s="30" t="s">
        <v>3462</v>
      </c>
      <c r="G878" s="27">
        <v>46104</v>
      </c>
      <c r="H878" s="68">
        <v>767.6</v>
      </c>
      <c r="I878" s="29">
        <v>6002.02</v>
      </c>
      <c r="J878" s="34" t="s">
        <v>33</v>
      </c>
      <c r="K878" t="s">
        <v>34</v>
      </c>
      <c r="L878" s="35">
        <v>472020859</v>
      </c>
      <c r="M878" s="36" t="s">
        <v>2129</v>
      </c>
      <c r="N878" s="37" t="s">
        <v>1346</v>
      </c>
      <c r="O878" t="s">
        <v>3463</v>
      </c>
      <c r="P878" t="s">
        <v>3464</v>
      </c>
      <c r="Q878" t="s">
        <v>3465</v>
      </c>
      <c r="R878" s="38">
        <v>46150</v>
      </c>
      <c r="S878" s="39">
        <v>46514</v>
      </c>
      <c r="T878" s="38">
        <v>46114</v>
      </c>
      <c r="U878" s="39">
        <v>46478</v>
      </c>
      <c r="V878" s="40" t="s">
        <v>3191</v>
      </c>
      <c r="W878" s="41" t="s">
        <v>3151</v>
      </c>
      <c r="X878" s="40" t="s">
        <v>3466</v>
      </c>
      <c r="Y878" s="40" t="s">
        <v>56</v>
      </c>
      <c r="AC878" s="63">
        <v>10000241888</v>
      </c>
      <c r="AD878" s="46">
        <v>46105</v>
      </c>
    </row>
    <row r="879" spans="1:35" s="279" customFormat="1" ht="19.5" customHeight="1">
      <c r="A879" s="257">
        <f t="shared" si="13"/>
        <v>874</v>
      </c>
      <c r="B879" s="299">
        <v>6274553</v>
      </c>
      <c r="C879" s="300">
        <v>46095</v>
      </c>
      <c r="D879" s="301" t="s">
        <v>141</v>
      </c>
      <c r="E879" s="321">
        <v>22120</v>
      </c>
      <c r="F879" s="30" t="s">
        <v>3467</v>
      </c>
      <c r="G879" s="300">
        <v>46100</v>
      </c>
      <c r="H879" s="301" t="s">
        <v>141</v>
      </c>
      <c r="I879" s="321">
        <v>22120</v>
      </c>
      <c r="J879" s="304" t="s">
        <v>33</v>
      </c>
      <c r="K879" s="279" t="s">
        <v>139</v>
      </c>
      <c r="L879" s="322">
        <v>80005332</v>
      </c>
      <c r="M879" s="306" t="s">
        <v>3468</v>
      </c>
      <c r="N879" s="307" t="s">
        <v>1383</v>
      </c>
      <c r="O879" s="279" t="s">
        <v>3469</v>
      </c>
      <c r="P879" s="279" t="s">
        <v>3470</v>
      </c>
      <c r="Q879" s="279" t="s">
        <v>1822</v>
      </c>
      <c r="R879" s="308">
        <v>46096</v>
      </c>
      <c r="S879" s="309">
        <v>46460</v>
      </c>
      <c r="T879" s="310" t="s">
        <v>141</v>
      </c>
      <c r="U879" s="311" t="s">
        <v>141</v>
      </c>
      <c r="V879" s="280" t="s">
        <v>458</v>
      </c>
      <c r="W879" s="312" t="s">
        <v>39</v>
      </c>
      <c r="X879" s="280" t="s">
        <v>3471</v>
      </c>
      <c r="Y879" s="280" t="s">
        <v>185</v>
      </c>
      <c r="AA879" s="313"/>
      <c r="AB879" s="314"/>
      <c r="AC879" s="315"/>
      <c r="AD879" s="316"/>
      <c r="AF879" s="309"/>
      <c r="AG879" s="278"/>
      <c r="AH879" s="278"/>
      <c r="AI879" s="278"/>
    </row>
    <row r="880" spans="1:35" ht="19.5" customHeight="1">
      <c r="A880" s="25">
        <f t="shared" si="13"/>
        <v>875</v>
      </c>
      <c r="B880" s="26">
        <v>6274041</v>
      </c>
      <c r="C880" s="27">
        <v>46097</v>
      </c>
      <c r="D880" s="28">
        <v>673.9</v>
      </c>
      <c r="E880" s="29">
        <v>5269.36</v>
      </c>
      <c r="F880" s="30" t="s">
        <v>3472</v>
      </c>
      <c r="G880" s="27">
        <v>46101</v>
      </c>
      <c r="H880" s="68">
        <v>673.9</v>
      </c>
      <c r="I880" s="29">
        <v>5269.36</v>
      </c>
      <c r="J880" s="34" t="s">
        <v>33</v>
      </c>
      <c r="K880" t="s">
        <v>34</v>
      </c>
      <c r="L880" s="35">
        <v>402010689</v>
      </c>
      <c r="M880" s="36" t="s">
        <v>2149</v>
      </c>
      <c r="N880" s="37" t="s">
        <v>1540</v>
      </c>
      <c r="O880" t="s">
        <v>3473</v>
      </c>
      <c r="P880" t="s">
        <v>3474</v>
      </c>
      <c r="Q880" t="s">
        <v>3475</v>
      </c>
      <c r="R880" s="38">
        <v>46082</v>
      </c>
      <c r="S880" s="39">
        <v>46446</v>
      </c>
      <c r="T880" s="332">
        <v>46082</v>
      </c>
      <c r="U880" s="333">
        <v>46446</v>
      </c>
      <c r="V880" s="40" t="s">
        <v>38</v>
      </c>
      <c r="W880" s="41" t="s">
        <v>3151</v>
      </c>
      <c r="X880" s="40">
        <v>28424388</v>
      </c>
      <c r="Y880" s="40" t="s">
        <v>56</v>
      </c>
      <c r="AC880" s="63">
        <v>10000238469</v>
      </c>
      <c r="AD880" s="46">
        <v>46104</v>
      </c>
    </row>
    <row r="881" spans="1:36" ht="19.5" customHeight="1">
      <c r="A881" s="25">
        <f t="shared" si="13"/>
        <v>876</v>
      </c>
      <c r="B881" s="26">
        <v>6274393</v>
      </c>
      <c r="C881" s="27">
        <v>46097</v>
      </c>
      <c r="D881" s="28">
        <v>2601.5700000000002</v>
      </c>
      <c r="E881" s="29">
        <v>20342.2</v>
      </c>
      <c r="F881" s="30" t="s">
        <v>3476</v>
      </c>
      <c r="G881" s="27">
        <v>46101</v>
      </c>
      <c r="H881" s="68">
        <v>2601.5700000000002</v>
      </c>
      <c r="I881" s="29">
        <v>20342.2</v>
      </c>
      <c r="J881" s="34" t="s">
        <v>33</v>
      </c>
      <c r="K881" t="s">
        <v>34</v>
      </c>
      <c r="L881" s="35">
        <v>382200618</v>
      </c>
      <c r="M881" s="36" t="s">
        <v>2550</v>
      </c>
      <c r="N881" s="37" t="s">
        <v>1346</v>
      </c>
      <c r="O881" t="s">
        <v>3477</v>
      </c>
      <c r="P881" t="s">
        <v>3478</v>
      </c>
      <c r="Q881" t="s">
        <v>3479</v>
      </c>
      <c r="R881" s="38">
        <v>46025</v>
      </c>
      <c r="S881" s="39">
        <v>46389</v>
      </c>
      <c r="T881" s="332">
        <v>46245</v>
      </c>
      <c r="U881" s="333">
        <v>46609</v>
      </c>
      <c r="V881" s="40" t="s">
        <v>954</v>
      </c>
      <c r="W881" s="41" t="s">
        <v>3151</v>
      </c>
      <c r="X881" s="40" t="s">
        <v>3480</v>
      </c>
      <c r="Y881" s="40" t="s">
        <v>56</v>
      </c>
      <c r="Z881" s="40" t="s">
        <v>81</v>
      </c>
      <c r="AC881" s="63">
        <v>10000238468</v>
      </c>
      <c r="AD881" s="46">
        <v>46104</v>
      </c>
    </row>
    <row r="882" spans="1:36" ht="19.5" customHeight="1">
      <c r="A882" s="25">
        <f t="shared" si="13"/>
        <v>877</v>
      </c>
      <c r="B882" s="26">
        <v>6274528</v>
      </c>
      <c r="C882" s="27">
        <v>46098</v>
      </c>
      <c r="D882" s="28">
        <v>937.88</v>
      </c>
      <c r="E882" s="29">
        <v>7333.47</v>
      </c>
      <c r="F882" s="30" t="s">
        <v>3481</v>
      </c>
      <c r="G882" s="27">
        <v>46104</v>
      </c>
      <c r="H882" s="68">
        <v>937.88</v>
      </c>
      <c r="I882" s="29">
        <v>7333.47</v>
      </c>
      <c r="J882" s="34" t="s">
        <v>33</v>
      </c>
      <c r="K882" t="s">
        <v>34</v>
      </c>
      <c r="L882" s="35">
        <v>372252486</v>
      </c>
      <c r="M882" s="36" t="s">
        <v>2129</v>
      </c>
      <c r="N882" s="37" t="s">
        <v>1346</v>
      </c>
      <c r="O882" t="s">
        <v>3482</v>
      </c>
      <c r="P882" t="s">
        <v>3483</v>
      </c>
      <c r="Q882" t="s">
        <v>3484</v>
      </c>
      <c r="R882" s="38">
        <v>46101</v>
      </c>
      <c r="S882" s="39">
        <v>46465</v>
      </c>
      <c r="T882" s="332">
        <v>46101</v>
      </c>
      <c r="U882" s="333">
        <v>46465</v>
      </c>
      <c r="V882" s="40" t="s">
        <v>3485</v>
      </c>
      <c r="W882" s="41" t="s">
        <v>3151</v>
      </c>
      <c r="X882" s="40" t="s">
        <v>3486</v>
      </c>
      <c r="Y882" s="40" t="s">
        <v>56</v>
      </c>
      <c r="AC882" s="63">
        <v>10000241850</v>
      </c>
      <c r="AD882" s="46">
        <v>46105</v>
      </c>
    </row>
    <row r="883" spans="1:36" ht="19.5" customHeight="1">
      <c r="A883" s="25">
        <f t="shared" si="13"/>
        <v>878</v>
      </c>
      <c r="B883" s="26">
        <v>6274546</v>
      </c>
      <c r="C883" s="27">
        <v>46098</v>
      </c>
      <c r="D883" s="28">
        <v>20212.02</v>
      </c>
      <c r="E883" s="29">
        <v>158041.82999999999</v>
      </c>
      <c r="F883" s="30" t="s">
        <v>3487</v>
      </c>
      <c r="G883" s="27">
        <v>46104</v>
      </c>
      <c r="H883" s="68">
        <v>20212.02</v>
      </c>
      <c r="I883" s="29">
        <v>158041.82999999999</v>
      </c>
      <c r="J883" s="34" t="s">
        <v>33</v>
      </c>
      <c r="K883" t="s">
        <v>34</v>
      </c>
      <c r="L883" s="35">
        <v>442016263</v>
      </c>
      <c r="M883" s="36" t="s">
        <v>3488</v>
      </c>
      <c r="N883" s="37" t="s">
        <v>1346</v>
      </c>
      <c r="O883" t="s">
        <v>3489</v>
      </c>
      <c r="P883" t="s">
        <v>3490</v>
      </c>
      <c r="Q883" t="s">
        <v>3491</v>
      </c>
      <c r="R883" s="38">
        <v>46113</v>
      </c>
      <c r="S883" s="39">
        <v>46112</v>
      </c>
      <c r="T883" s="38">
        <v>46113</v>
      </c>
      <c r="U883" s="39">
        <v>46112</v>
      </c>
      <c r="V883" s="40" t="s">
        <v>3492</v>
      </c>
      <c r="W883" s="41" t="s">
        <v>3151</v>
      </c>
      <c r="X883" s="40" t="s">
        <v>3493</v>
      </c>
      <c r="Y883" s="40" t="s">
        <v>56</v>
      </c>
      <c r="AC883" s="63">
        <v>10000241889</v>
      </c>
      <c r="AD883" s="46">
        <v>46105</v>
      </c>
    </row>
    <row r="884" spans="1:36" ht="19.5" customHeight="1">
      <c r="A884" s="25">
        <f t="shared" si="13"/>
        <v>879</v>
      </c>
      <c r="B884" s="26">
        <v>6275054</v>
      </c>
      <c r="C884" s="27">
        <v>46099</v>
      </c>
      <c r="D884" s="28">
        <v>341.94</v>
      </c>
      <c r="E884" s="29">
        <v>2673.7</v>
      </c>
      <c r="F884" s="30" t="s">
        <v>3494</v>
      </c>
      <c r="G884" s="27">
        <v>46105</v>
      </c>
      <c r="H884" s="32">
        <v>321.52999999999997</v>
      </c>
      <c r="I884" s="33">
        <v>2514.1073759999999</v>
      </c>
      <c r="J884" s="34" t="s">
        <v>33</v>
      </c>
      <c r="K884" t="s">
        <v>34</v>
      </c>
      <c r="L884" s="35">
        <v>282310505</v>
      </c>
      <c r="M884" s="36" t="s">
        <v>2149</v>
      </c>
      <c r="N884" s="37" t="s">
        <v>1346</v>
      </c>
      <c r="O884" t="s">
        <v>3495</v>
      </c>
      <c r="P884" t="s">
        <v>3496</v>
      </c>
      <c r="Q884" t="s">
        <v>3497</v>
      </c>
      <c r="R884" s="38">
        <v>46134</v>
      </c>
      <c r="S884" s="39">
        <v>46498</v>
      </c>
      <c r="T884" s="38">
        <v>46080</v>
      </c>
      <c r="U884" s="39">
        <v>46504</v>
      </c>
      <c r="V884" s="40" t="s">
        <v>51</v>
      </c>
      <c r="W884" s="41" t="s">
        <v>3151</v>
      </c>
      <c r="X884" s="40" t="s">
        <v>3498</v>
      </c>
      <c r="Y884" s="40" t="s">
        <v>185</v>
      </c>
      <c r="AC884" s="63">
        <v>10000245524</v>
      </c>
      <c r="AD884" s="46">
        <v>46106</v>
      </c>
    </row>
    <row r="885" spans="1:36" ht="19.5" customHeight="1">
      <c r="A885" s="25">
        <f t="shared" si="13"/>
        <v>880</v>
      </c>
      <c r="B885" s="291" t="s">
        <v>141</v>
      </c>
      <c r="C885" s="31" t="s">
        <v>141</v>
      </c>
      <c r="D885" s="219" t="s">
        <v>141</v>
      </c>
      <c r="E885" s="294" t="s">
        <v>141</v>
      </c>
      <c r="F885" s="30" t="s">
        <v>3499</v>
      </c>
      <c r="G885" s="27">
        <v>46099</v>
      </c>
      <c r="H885" s="343" t="s">
        <v>141</v>
      </c>
      <c r="I885" s="74">
        <v>3870</v>
      </c>
      <c r="J885" s="34" t="s">
        <v>33</v>
      </c>
      <c r="K885" t="s">
        <v>139</v>
      </c>
      <c r="L885" s="35">
        <v>80005362</v>
      </c>
      <c r="M885" s="36" t="s">
        <v>3500</v>
      </c>
      <c r="N885" s="75" t="s">
        <v>1383</v>
      </c>
      <c r="O885" t="s">
        <v>3501</v>
      </c>
      <c r="P885" t="s">
        <v>3502</v>
      </c>
      <c r="Q885" t="s">
        <v>3503</v>
      </c>
      <c r="R885" s="38">
        <v>46054</v>
      </c>
      <c r="S885" s="39">
        <v>46418</v>
      </c>
      <c r="T885" s="50" t="s">
        <v>141</v>
      </c>
      <c r="U885" s="47" t="s">
        <v>141</v>
      </c>
      <c r="V885" s="40" t="s">
        <v>954</v>
      </c>
      <c r="W885" s="41" t="s">
        <v>39</v>
      </c>
      <c r="X885" s="40" t="s">
        <v>3504</v>
      </c>
      <c r="Y885" s="40" t="s">
        <v>185</v>
      </c>
      <c r="AA885" s="62">
        <v>90007575</v>
      </c>
      <c r="AB885" s="44">
        <v>46112</v>
      </c>
      <c r="AC885" s="63">
        <v>60017504</v>
      </c>
      <c r="AD885" s="46">
        <v>46112</v>
      </c>
    </row>
    <row r="886" spans="1:36" ht="19.5" customHeight="1">
      <c r="A886" s="25">
        <f t="shared" si="13"/>
        <v>881</v>
      </c>
      <c r="B886" s="344" t="s">
        <v>141</v>
      </c>
      <c r="C886" s="345" t="s">
        <v>141</v>
      </c>
      <c r="D886" s="344" t="s">
        <v>141</v>
      </c>
      <c r="E886" s="294" t="s">
        <v>141</v>
      </c>
      <c r="F886" s="30" t="s">
        <v>3505</v>
      </c>
      <c r="G886" s="27">
        <v>46100</v>
      </c>
      <c r="H886" s="344" t="s">
        <v>141</v>
      </c>
      <c r="I886" s="74">
        <v>4870</v>
      </c>
      <c r="J886" s="34" t="s">
        <v>33</v>
      </c>
      <c r="K886" t="s">
        <v>139</v>
      </c>
      <c r="L886" s="346" t="s">
        <v>3506</v>
      </c>
      <c r="M886" s="25" t="s">
        <v>3507</v>
      </c>
      <c r="N886" s="75" t="s">
        <v>1383</v>
      </c>
      <c r="O886" t="s">
        <v>3508</v>
      </c>
      <c r="P886" t="s">
        <v>3509</v>
      </c>
      <c r="Q886" t="s">
        <v>3510</v>
      </c>
      <c r="R886" s="38">
        <v>46116</v>
      </c>
      <c r="S886" s="39">
        <v>46480</v>
      </c>
      <c r="T886" s="50" t="s">
        <v>141</v>
      </c>
      <c r="U886" s="47" t="s">
        <v>141</v>
      </c>
      <c r="V886" s="40" t="s">
        <v>80</v>
      </c>
      <c r="W886" s="41" t="s">
        <v>3151</v>
      </c>
      <c r="X886" s="40" t="s">
        <v>3511</v>
      </c>
      <c r="Y886" s="40" t="s">
        <v>56</v>
      </c>
      <c r="AA886" s="62">
        <v>90007575</v>
      </c>
      <c r="AB886" s="44">
        <v>46112</v>
      </c>
      <c r="AC886" s="63">
        <v>60017505</v>
      </c>
      <c r="AD886" s="46">
        <v>46112</v>
      </c>
      <c r="AE886">
        <v>3210099</v>
      </c>
      <c r="AF886" s="39">
        <v>46185</v>
      </c>
    </row>
    <row r="887" spans="1:36" ht="19.5" customHeight="1">
      <c r="A887" s="25">
        <f t="shared" si="13"/>
        <v>882</v>
      </c>
      <c r="B887" s="26">
        <v>6275714</v>
      </c>
      <c r="C887" s="27">
        <v>46100</v>
      </c>
      <c r="D887" s="80" t="s">
        <v>141</v>
      </c>
      <c r="E887" s="29">
        <v>74449.77</v>
      </c>
      <c r="F887" s="30" t="s">
        <v>3512</v>
      </c>
      <c r="G887" s="27">
        <v>46105</v>
      </c>
      <c r="H887" s="80" t="s">
        <v>141</v>
      </c>
      <c r="I887" s="33">
        <v>74449.77</v>
      </c>
      <c r="J887" s="34" t="s">
        <v>33</v>
      </c>
      <c r="K887" t="s">
        <v>107</v>
      </c>
      <c r="L887" s="346" t="s">
        <v>3513</v>
      </c>
      <c r="M887" s="25" t="s">
        <v>3514</v>
      </c>
      <c r="N887" s="37" t="s">
        <v>3515</v>
      </c>
      <c r="O887" t="s">
        <v>3516</v>
      </c>
      <c r="P887" t="s">
        <v>3517</v>
      </c>
      <c r="Q887" t="s">
        <v>2330</v>
      </c>
      <c r="R887" s="38">
        <v>46087</v>
      </c>
      <c r="S887" s="39">
        <v>46451</v>
      </c>
      <c r="T887" s="38">
        <v>46087</v>
      </c>
      <c r="U887" s="39">
        <v>46451</v>
      </c>
      <c r="V887" s="40" t="s">
        <v>38</v>
      </c>
      <c r="W887" s="41" t="s">
        <v>39</v>
      </c>
      <c r="X887" s="40" t="s">
        <v>3518</v>
      </c>
      <c r="Y887" s="40" t="s">
        <v>56</v>
      </c>
      <c r="AA887" s="62" t="s">
        <v>3519</v>
      </c>
      <c r="AB887" s="44">
        <v>46107</v>
      </c>
    </row>
    <row r="888" spans="1:36" ht="19.5" customHeight="1">
      <c r="A888" s="25">
        <f t="shared" si="13"/>
        <v>883</v>
      </c>
      <c r="B888" s="26">
        <v>6275826</v>
      </c>
      <c r="C888" s="27">
        <v>46100</v>
      </c>
      <c r="D888" s="28">
        <v>445.07</v>
      </c>
      <c r="E888" s="29">
        <v>3480.09</v>
      </c>
      <c r="F888" s="30" t="s">
        <v>3520</v>
      </c>
      <c r="G888" s="27">
        <v>46105</v>
      </c>
      <c r="H888" s="28">
        <v>445.07</v>
      </c>
      <c r="I888" s="29">
        <v>3480.09</v>
      </c>
      <c r="J888" s="34" t="s">
        <v>33</v>
      </c>
      <c r="K888" t="s">
        <v>34</v>
      </c>
      <c r="L888" s="347">
        <v>401924029</v>
      </c>
      <c r="M888" s="25" t="s">
        <v>2550</v>
      </c>
      <c r="N888" s="37" t="s">
        <v>1346</v>
      </c>
      <c r="O888" t="s">
        <v>3521</v>
      </c>
      <c r="P888" t="s">
        <v>3522</v>
      </c>
      <c r="Q888" t="s">
        <v>3523</v>
      </c>
      <c r="R888" s="38">
        <v>45783</v>
      </c>
      <c r="S888" s="39">
        <v>46147</v>
      </c>
      <c r="T888" s="38">
        <v>46105</v>
      </c>
      <c r="U888" s="39">
        <v>46443</v>
      </c>
      <c r="V888" s="40" t="s">
        <v>954</v>
      </c>
      <c r="W888" s="41" t="s">
        <v>3151</v>
      </c>
      <c r="X888" s="40" t="s">
        <v>3524</v>
      </c>
      <c r="Y888" s="40" t="s">
        <v>185</v>
      </c>
      <c r="AC888" s="63">
        <v>10000245540</v>
      </c>
      <c r="AD888" s="46">
        <v>46106</v>
      </c>
    </row>
    <row r="889" spans="1:36" ht="19.5" customHeight="1">
      <c r="A889" s="25">
        <f t="shared" si="13"/>
        <v>884</v>
      </c>
      <c r="B889" s="26">
        <v>6275926</v>
      </c>
      <c r="C889" s="27">
        <v>46101</v>
      </c>
      <c r="D889" s="68">
        <v>3280.23</v>
      </c>
      <c r="E889" s="29">
        <v>25648.77</v>
      </c>
      <c r="F889" s="30" t="s">
        <v>3525</v>
      </c>
      <c r="G889" s="27">
        <v>46105</v>
      </c>
      <c r="H889" s="68">
        <v>3280.23</v>
      </c>
      <c r="I889" s="29">
        <v>25648.77</v>
      </c>
      <c r="J889" s="34" t="s">
        <v>33</v>
      </c>
      <c r="K889" t="s">
        <v>34</v>
      </c>
      <c r="L889" s="346">
        <v>332177167</v>
      </c>
      <c r="M889" s="25" t="s">
        <v>2550</v>
      </c>
      <c r="N889" s="37" t="s">
        <v>1346</v>
      </c>
      <c r="O889" t="s">
        <v>3526</v>
      </c>
      <c r="P889" t="s">
        <v>3527</v>
      </c>
      <c r="Q889" t="s">
        <v>3528</v>
      </c>
      <c r="R889" s="38">
        <v>45797</v>
      </c>
      <c r="S889" s="39">
        <v>46161</v>
      </c>
      <c r="T889" s="38">
        <v>46101</v>
      </c>
      <c r="U889" s="39">
        <v>46440</v>
      </c>
      <c r="V889" s="40" t="s">
        <v>954</v>
      </c>
      <c r="W889" s="41" t="s">
        <v>3151</v>
      </c>
      <c r="X889" s="40" t="s">
        <v>3529</v>
      </c>
      <c r="Y889" s="40" t="s">
        <v>185</v>
      </c>
      <c r="AC889" s="63">
        <v>10000245523</v>
      </c>
      <c r="AD889" s="46">
        <v>46106</v>
      </c>
    </row>
    <row r="890" spans="1:36" ht="19.5" customHeight="1">
      <c r="A890" s="25">
        <f t="shared" si="13"/>
        <v>885</v>
      </c>
      <c r="B890" s="26">
        <v>6275940</v>
      </c>
      <c r="C890" s="27">
        <v>46101</v>
      </c>
      <c r="D890" s="68">
        <v>257.07</v>
      </c>
      <c r="E890" s="29">
        <v>2010.08</v>
      </c>
      <c r="F890" s="30" t="s">
        <v>3530</v>
      </c>
      <c r="G890" s="27">
        <v>46105</v>
      </c>
      <c r="H890" s="68">
        <v>257.07</v>
      </c>
      <c r="I890" s="29">
        <v>2010.08</v>
      </c>
      <c r="J890" s="34" t="s">
        <v>33</v>
      </c>
      <c r="K890" t="s">
        <v>34</v>
      </c>
      <c r="L890" s="346">
        <v>302176767</v>
      </c>
      <c r="M890" s="25" t="s">
        <v>2550</v>
      </c>
      <c r="N890" s="37" t="s">
        <v>1346</v>
      </c>
      <c r="O890" t="s">
        <v>3531</v>
      </c>
      <c r="P890" s="342" t="s">
        <v>3532</v>
      </c>
      <c r="Q890" t="s">
        <v>3533</v>
      </c>
      <c r="R890" s="38">
        <v>45936</v>
      </c>
      <c r="S890" s="39">
        <v>46300</v>
      </c>
      <c r="T890" s="38">
        <v>46079</v>
      </c>
      <c r="U890" s="39">
        <v>46173</v>
      </c>
      <c r="V890" s="40" t="s">
        <v>954</v>
      </c>
      <c r="W890" s="41" t="s">
        <v>3151</v>
      </c>
      <c r="X890" s="40" t="s">
        <v>3534</v>
      </c>
      <c r="Y890" s="40" t="s">
        <v>185</v>
      </c>
      <c r="AC890" s="63">
        <v>10000245559</v>
      </c>
      <c r="AD890" s="46">
        <v>46106</v>
      </c>
    </row>
    <row r="891" spans="1:36" ht="19.5" customHeight="1">
      <c r="A891" s="25">
        <f t="shared" si="13"/>
        <v>886</v>
      </c>
      <c r="B891" s="26">
        <v>6275922</v>
      </c>
      <c r="C891" s="27">
        <v>46101</v>
      </c>
      <c r="D891" s="80" t="s">
        <v>141</v>
      </c>
      <c r="E891" s="29">
        <v>181521.43</v>
      </c>
      <c r="F891" s="30" t="s">
        <v>3535</v>
      </c>
      <c r="G891" s="27">
        <v>46105</v>
      </c>
      <c r="H891" s="80" t="s">
        <v>141</v>
      </c>
      <c r="I891" s="33">
        <v>181521.43</v>
      </c>
      <c r="J891" s="34" t="s">
        <v>33</v>
      </c>
      <c r="K891" t="s">
        <v>107</v>
      </c>
      <c r="L891" s="346" t="s">
        <v>3536</v>
      </c>
      <c r="M891" s="25" t="s">
        <v>3537</v>
      </c>
      <c r="N891" s="37" t="s">
        <v>3515</v>
      </c>
      <c r="O891" t="s">
        <v>1459</v>
      </c>
      <c r="P891" t="s">
        <v>3538</v>
      </c>
      <c r="Q891" t="s">
        <v>3539</v>
      </c>
      <c r="R891" s="38">
        <v>45748</v>
      </c>
      <c r="S891" s="39">
        <v>46114</v>
      </c>
      <c r="T891" s="38">
        <v>45748</v>
      </c>
      <c r="U891" s="39">
        <v>46112</v>
      </c>
      <c r="V891" s="40" t="s">
        <v>167</v>
      </c>
      <c r="W891" s="41" t="s">
        <v>39</v>
      </c>
      <c r="X891" s="40" t="s">
        <v>3540</v>
      </c>
      <c r="Y891" s="40" t="s">
        <v>56</v>
      </c>
      <c r="AE891">
        <v>3204921</v>
      </c>
      <c r="AF891" s="39">
        <v>46147</v>
      </c>
    </row>
    <row r="892" spans="1:36" ht="19.5" customHeight="1">
      <c r="A892" s="25">
        <f t="shared" si="13"/>
        <v>887</v>
      </c>
      <c r="B892" s="26">
        <v>6276168</v>
      </c>
      <c r="C892" s="27">
        <v>46101</v>
      </c>
      <c r="D892" s="28">
        <v>1667.42</v>
      </c>
      <c r="E892" s="29">
        <v>13037.89</v>
      </c>
      <c r="F892" s="30" t="s">
        <v>3541</v>
      </c>
      <c r="G892" s="27">
        <v>46107</v>
      </c>
      <c r="H892" s="68">
        <v>1667.42</v>
      </c>
      <c r="I892" s="29">
        <v>13037.89</v>
      </c>
      <c r="J892" s="34" t="s">
        <v>33</v>
      </c>
      <c r="K892" t="s">
        <v>34</v>
      </c>
      <c r="L892" s="346">
        <v>372249140</v>
      </c>
      <c r="M892" s="25" t="s">
        <v>3542</v>
      </c>
      <c r="N892" s="37" t="s">
        <v>2150</v>
      </c>
      <c r="O892" t="s">
        <v>3543</v>
      </c>
      <c r="P892" t="s">
        <v>3544</v>
      </c>
      <c r="Q892" t="s">
        <v>3545</v>
      </c>
      <c r="R892" s="38">
        <v>46042</v>
      </c>
      <c r="S892" s="39">
        <v>46406</v>
      </c>
      <c r="T892" s="38">
        <v>46117</v>
      </c>
      <c r="U892" s="39">
        <v>46443</v>
      </c>
      <c r="V892" s="40" t="s">
        <v>954</v>
      </c>
      <c r="W892" s="41" t="s">
        <v>3151</v>
      </c>
      <c r="X892" s="40" t="s">
        <v>3546</v>
      </c>
      <c r="Y892" s="40" t="s">
        <v>185</v>
      </c>
      <c r="AC892" s="63">
        <v>10000254490</v>
      </c>
      <c r="AD892" s="46">
        <v>46108</v>
      </c>
    </row>
    <row r="893" spans="1:36" s="40" customFormat="1" ht="19.5" customHeight="1">
      <c r="A893" s="25">
        <f t="shared" si="13"/>
        <v>888</v>
      </c>
      <c r="B893" s="26">
        <v>6276009</v>
      </c>
      <c r="C893" s="27">
        <v>46101</v>
      </c>
      <c r="D893" s="28">
        <v>2708.01</v>
      </c>
      <c r="E893" s="29">
        <v>21174.47</v>
      </c>
      <c r="F893" s="30" t="s">
        <v>3547</v>
      </c>
      <c r="G893" s="27">
        <v>46107</v>
      </c>
      <c r="H893" s="68">
        <v>2708.01</v>
      </c>
      <c r="I893" s="29">
        <v>21174.47</v>
      </c>
      <c r="J893" s="34" t="s">
        <v>33</v>
      </c>
      <c r="K893" t="s">
        <v>34</v>
      </c>
      <c r="L893" s="348">
        <v>362182915</v>
      </c>
      <c r="M893" s="36" t="s">
        <v>2550</v>
      </c>
      <c r="N893" s="37" t="s">
        <v>1346</v>
      </c>
      <c r="O893" t="s">
        <v>3548</v>
      </c>
      <c r="P893" t="s">
        <v>3549</v>
      </c>
      <c r="Q893" t="s">
        <v>2020</v>
      </c>
      <c r="R893" s="38">
        <v>46075</v>
      </c>
      <c r="S893" s="39">
        <v>46477</v>
      </c>
      <c r="T893" s="38">
        <v>46101</v>
      </c>
      <c r="U893" s="39">
        <v>46440</v>
      </c>
      <c r="V893" s="40" t="s">
        <v>954</v>
      </c>
      <c r="W893" s="41" t="s">
        <v>3151</v>
      </c>
      <c r="X893" s="40" t="s">
        <v>3550</v>
      </c>
      <c r="Y893" s="40" t="s">
        <v>185</v>
      </c>
      <c r="Z893"/>
      <c r="AA893" s="62"/>
      <c r="AB893" s="44"/>
      <c r="AC893" s="63">
        <v>10000254470</v>
      </c>
      <c r="AD893" s="46">
        <v>46108</v>
      </c>
      <c r="AE893"/>
      <c r="AF893" s="39"/>
      <c r="AG893" s="49"/>
      <c r="AH893" s="49"/>
      <c r="AI893" s="49"/>
      <c r="AJ893"/>
    </row>
    <row r="894" spans="1:36" s="40" customFormat="1" ht="19.5" customHeight="1">
      <c r="A894" s="25">
        <f t="shared" si="13"/>
        <v>889</v>
      </c>
      <c r="B894" s="26">
        <v>6276004</v>
      </c>
      <c r="C894" s="27">
        <v>46101</v>
      </c>
      <c r="D894" s="68">
        <v>1071.8399999999999</v>
      </c>
      <c r="E894" s="29">
        <v>8380.93</v>
      </c>
      <c r="F894" s="30" t="s">
        <v>3551</v>
      </c>
      <c r="G894" s="27">
        <v>46106</v>
      </c>
      <c r="H894" s="68">
        <v>1071.8399999999999</v>
      </c>
      <c r="I894" s="29">
        <v>8380.93</v>
      </c>
      <c r="J894" s="34" t="s">
        <v>33</v>
      </c>
      <c r="K894" t="s">
        <v>34</v>
      </c>
      <c r="L894" s="35">
        <v>441961726</v>
      </c>
      <c r="M894" s="36" t="s">
        <v>2550</v>
      </c>
      <c r="N894" s="37" t="s">
        <v>1540</v>
      </c>
      <c r="O894" t="s">
        <v>3548</v>
      </c>
      <c r="P894" t="s">
        <v>3549</v>
      </c>
      <c r="Q894" t="s">
        <v>2020</v>
      </c>
      <c r="R894" s="38">
        <v>45834</v>
      </c>
      <c r="S894" s="39">
        <v>46198</v>
      </c>
      <c r="T894" s="38">
        <v>46102</v>
      </c>
      <c r="U894" s="39">
        <v>46441</v>
      </c>
      <c r="V894" s="40" t="s">
        <v>954</v>
      </c>
      <c r="W894" s="41" t="s">
        <v>3151</v>
      </c>
      <c r="X894" s="40" t="s">
        <v>3550</v>
      </c>
      <c r="Y894" s="40" t="s">
        <v>185</v>
      </c>
      <c r="Z894"/>
      <c r="AA894" s="62"/>
      <c r="AB894" s="44"/>
      <c r="AC894" s="63">
        <v>10000249819</v>
      </c>
      <c r="AD894" s="46">
        <v>46107</v>
      </c>
      <c r="AE894"/>
      <c r="AF894" s="39"/>
      <c r="AG894" s="49"/>
      <c r="AH894" s="49"/>
      <c r="AI894" s="49"/>
      <c r="AJ894"/>
    </row>
    <row r="895" spans="1:36" s="40" customFormat="1" ht="19.5" customHeight="1">
      <c r="A895" s="25">
        <f t="shared" si="13"/>
        <v>890</v>
      </c>
      <c r="B895" s="26">
        <v>6275945</v>
      </c>
      <c r="C895" s="27">
        <v>46101</v>
      </c>
      <c r="D895" s="80" t="s">
        <v>141</v>
      </c>
      <c r="E895" s="29">
        <v>19104.900000000001</v>
      </c>
      <c r="F895" s="30" t="s">
        <v>3552</v>
      </c>
      <c r="G895" s="27">
        <v>46105</v>
      </c>
      <c r="H895" s="80" t="s">
        <v>141</v>
      </c>
      <c r="I895" s="33">
        <v>19104.900000000001</v>
      </c>
      <c r="J895" s="34" t="s">
        <v>159</v>
      </c>
      <c r="K895" t="s">
        <v>160</v>
      </c>
      <c r="L895" s="35" t="s">
        <v>3553</v>
      </c>
      <c r="M895" s="36" t="s">
        <v>3554</v>
      </c>
      <c r="N895" s="37" t="s">
        <v>1651</v>
      </c>
      <c r="O895" t="s">
        <v>3555</v>
      </c>
      <c r="P895" t="s">
        <v>3556</v>
      </c>
      <c r="Q895" t="s">
        <v>3557</v>
      </c>
      <c r="R895" s="38">
        <v>46097</v>
      </c>
      <c r="S895" s="39">
        <v>46461</v>
      </c>
      <c r="T895" s="50" t="s">
        <v>141</v>
      </c>
      <c r="U895" s="47" t="s">
        <v>141</v>
      </c>
      <c r="V895" s="40" t="s">
        <v>1654</v>
      </c>
      <c r="W895" s="41" t="s">
        <v>39</v>
      </c>
      <c r="X895" s="40" t="s">
        <v>3558</v>
      </c>
      <c r="Y895" s="40" t="s">
        <v>56</v>
      </c>
      <c r="Z895"/>
      <c r="AA895" s="62"/>
      <c r="AB895" s="44"/>
      <c r="AC895" s="63"/>
      <c r="AD895" s="46"/>
      <c r="AE895"/>
      <c r="AF895" s="39"/>
      <c r="AG895" s="49"/>
      <c r="AH895" s="49"/>
      <c r="AI895" s="49"/>
      <c r="AJ895"/>
    </row>
    <row r="896" spans="1:36" s="40" customFormat="1" ht="19.5" customHeight="1">
      <c r="A896" s="25">
        <f t="shared" si="13"/>
        <v>891</v>
      </c>
      <c r="B896" s="26">
        <v>6275998</v>
      </c>
      <c r="C896" s="27">
        <v>46101</v>
      </c>
      <c r="D896" s="80" t="s">
        <v>141</v>
      </c>
      <c r="E896" s="29">
        <v>5747.47</v>
      </c>
      <c r="F896" s="30" t="s">
        <v>3559</v>
      </c>
      <c r="G896" s="27">
        <v>46105</v>
      </c>
      <c r="H896" s="80" t="s">
        <v>141</v>
      </c>
      <c r="I896" s="29">
        <v>5747.47</v>
      </c>
      <c r="J896" s="34" t="s">
        <v>159</v>
      </c>
      <c r="K896" t="s">
        <v>160</v>
      </c>
      <c r="L896" s="35" t="s">
        <v>3560</v>
      </c>
      <c r="M896" s="36" t="s">
        <v>3561</v>
      </c>
      <c r="N896" s="37" t="s">
        <v>1615</v>
      </c>
      <c r="O896" t="s">
        <v>3555</v>
      </c>
      <c r="P896" t="s">
        <v>3556</v>
      </c>
      <c r="Q896" t="s">
        <v>3557</v>
      </c>
      <c r="R896" s="38">
        <v>46097</v>
      </c>
      <c r="S896" s="39">
        <v>46461</v>
      </c>
      <c r="T896" s="50" t="s">
        <v>141</v>
      </c>
      <c r="U896" s="47" t="s">
        <v>141</v>
      </c>
      <c r="V896" s="40" t="s">
        <v>1654</v>
      </c>
      <c r="W896" s="41" t="s">
        <v>39</v>
      </c>
      <c r="X896" s="40" t="s">
        <v>3558</v>
      </c>
      <c r="Y896" s="40" t="s">
        <v>56</v>
      </c>
      <c r="Z896"/>
      <c r="AA896" s="62"/>
      <c r="AB896" s="44"/>
      <c r="AC896" s="63"/>
      <c r="AD896" s="46"/>
      <c r="AE896"/>
      <c r="AF896" s="39"/>
      <c r="AG896" s="49"/>
      <c r="AH896" s="49"/>
      <c r="AI896" s="49"/>
      <c r="AJ896"/>
    </row>
    <row r="897" spans="1:36" s="40" customFormat="1" ht="19.5" customHeight="1">
      <c r="A897" s="25">
        <f t="shared" si="13"/>
        <v>892</v>
      </c>
      <c r="B897" s="26">
        <v>6276604</v>
      </c>
      <c r="C897" s="27">
        <v>46102</v>
      </c>
      <c r="D897" s="28">
        <v>563.70000000000005</v>
      </c>
      <c r="E897" s="29">
        <v>4407.68</v>
      </c>
      <c r="F897" s="30" t="s">
        <v>3562</v>
      </c>
      <c r="G897" s="27">
        <v>46107</v>
      </c>
      <c r="H897" s="32">
        <v>563.70000000000005</v>
      </c>
      <c r="I897" s="33">
        <v>4407.68</v>
      </c>
      <c r="J897" s="34" t="s">
        <v>33</v>
      </c>
      <c r="K897" t="s">
        <v>34</v>
      </c>
      <c r="L897" s="35">
        <v>401972608</v>
      </c>
      <c r="M897" s="36" t="s">
        <v>2104</v>
      </c>
      <c r="N897" s="37" t="s">
        <v>3338</v>
      </c>
      <c r="O897" t="s">
        <v>3563</v>
      </c>
      <c r="P897" t="s">
        <v>3564</v>
      </c>
      <c r="Q897" t="s">
        <v>2986</v>
      </c>
      <c r="R897" s="38">
        <v>45702</v>
      </c>
      <c r="S897" s="39">
        <v>46066</v>
      </c>
      <c r="T897" s="38">
        <v>46108</v>
      </c>
      <c r="U897" s="39">
        <v>46116</v>
      </c>
      <c r="V897" s="40" t="s">
        <v>954</v>
      </c>
      <c r="W897" s="41" t="s">
        <v>39</v>
      </c>
      <c r="X897" s="40" t="s">
        <v>3565</v>
      </c>
      <c r="Y897" s="40" t="s">
        <v>185</v>
      </c>
      <c r="Z897"/>
      <c r="AA897" s="62"/>
      <c r="AB897" s="44"/>
      <c r="AC897" s="63">
        <v>10000254404</v>
      </c>
      <c r="AD897" s="46">
        <v>46108</v>
      </c>
      <c r="AE897"/>
      <c r="AF897" s="39"/>
      <c r="AG897" s="49"/>
      <c r="AH897" s="49"/>
      <c r="AI897" s="49"/>
      <c r="AJ897"/>
    </row>
    <row r="898" spans="1:36" s="40" customFormat="1" ht="19.5" customHeight="1">
      <c r="A898" s="25">
        <f t="shared" si="13"/>
        <v>893</v>
      </c>
      <c r="B898" s="26">
        <v>6276669</v>
      </c>
      <c r="C898" s="27">
        <v>46104</v>
      </c>
      <c r="D898" s="80" t="s">
        <v>141</v>
      </c>
      <c r="E898" s="29">
        <v>4800</v>
      </c>
      <c r="F898" s="30" t="s">
        <v>3566</v>
      </c>
      <c r="G898" s="27">
        <v>46120</v>
      </c>
      <c r="H898" s="330" t="s">
        <v>141</v>
      </c>
      <c r="I898" s="29">
        <v>4800</v>
      </c>
      <c r="J898" s="34" t="s">
        <v>33</v>
      </c>
      <c r="K898" t="s">
        <v>139</v>
      </c>
      <c r="L898" s="35">
        <v>80005408</v>
      </c>
      <c r="M898" s="36" t="s">
        <v>3567</v>
      </c>
      <c r="N898" s="37" t="s">
        <v>3568</v>
      </c>
      <c r="O898" t="s">
        <v>3569</v>
      </c>
      <c r="P898" t="s">
        <v>3570</v>
      </c>
      <c r="Q898" t="s">
        <v>3571</v>
      </c>
      <c r="R898" s="38">
        <v>46092</v>
      </c>
      <c r="S898" s="39">
        <v>46456</v>
      </c>
      <c r="T898" s="38">
        <v>46092</v>
      </c>
      <c r="U898" s="39">
        <v>46456</v>
      </c>
      <c r="V898" s="40" t="s">
        <v>3485</v>
      </c>
      <c r="W898" s="41" t="s">
        <v>39</v>
      </c>
      <c r="X898" s="40" t="s">
        <v>3572</v>
      </c>
      <c r="Y898" s="40" t="s">
        <v>56</v>
      </c>
      <c r="Z898"/>
      <c r="AA898" s="62" t="s">
        <v>3573</v>
      </c>
      <c r="AB898" s="44">
        <v>46121</v>
      </c>
      <c r="AC898" s="63">
        <v>60017536</v>
      </c>
      <c r="AD898" s="46">
        <v>46114</v>
      </c>
      <c r="AE898"/>
      <c r="AF898" s="39"/>
      <c r="AG898" s="49"/>
      <c r="AH898" s="49"/>
      <c r="AI898" s="49"/>
      <c r="AJ898"/>
    </row>
    <row r="899" spans="1:36" s="40" customFormat="1" ht="19.5" customHeight="1">
      <c r="A899" s="25">
        <f t="shared" si="13"/>
        <v>894</v>
      </c>
      <c r="B899" s="26">
        <v>6276765</v>
      </c>
      <c r="C899" s="27">
        <v>46104</v>
      </c>
      <c r="D899" s="80" t="s">
        <v>141</v>
      </c>
      <c r="E899" s="29">
        <v>3700</v>
      </c>
      <c r="F899" s="30" t="s">
        <v>3574</v>
      </c>
      <c r="G899" s="27">
        <v>46105</v>
      </c>
      <c r="H899" s="330" t="s">
        <v>141</v>
      </c>
      <c r="I899" s="29">
        <v>3700</v>
      </c>
      <c r="J899" s="34" t="s">
        <v>33</v>
      </c>
      <c r="K899" t="s">
        <v>139</v>
      </c>
      <c r="L899" s="35">
        <v>80005387</v>
      </c>
      <c r="M899" s="36" t="s">
        <v>3575</v>
      </c>
      <c r="N899" s="37" t="s">
        <v>1383</v>
      </c>
      <c r="O899" t="s">
        <v>3576</v>
      </c>
      <c r="P899" t="s">
        <v>3577</v>
      </c>
      <c r="Q899" t="s">
        <v>3578</v>
      </c>
      <c r="R899" s="38">
        <v>46143</v>
      </c>
      <c r="S899" s="39">
        <v>46507</v>
      </c>
      <c r="T899" s="50" t="s">
        <v>141</v>
      </c>
      <c r="U899" s="47" t="s">
        <v>141</v>
      </c>
      <c r="V899" s="40" t="s">
        <v>1374</v>
      </c>
      <c r="W899" s="41" t="s">
        <v>39</v>
      </c>
      <c r="X899" s="40" t="s">
        <v>3579</v>
      </c>
      <c r="Y899" s="40" t="s">
        <v>56</v>
      </c>
      <c r="Z899"/>
      <c r="AA899" s="62" t="s">
        <v>3580</v>
      </c>
      <c r="AB899" s="44">
        <v>46121</v>
      </c>
      <c r="AC899" s="63">
        <v>60017533</v>
      </c>
      <c r="AD899" s="46">
        <v>46121</v>
      </c>
      <c r="AE899">
        <v>3210101</v>
      </c>
      <c r="AF899" s="39">
        <v>46185</v>
      </c>
      <c r="AG899" s="49"/>
      <c r="AH899" s="49"/>
      <c r="AI899" s="49"/>
      <c r="AJ899"/>
    </row>
    <row r="900" spans="1:36" s="40" customFormat="1" ht="19.5" customHeight="1">
      <c r="A900" s="25">
        <f t="shared" ref="A900:A963" si="14">A899+1</f>
        <v>895</v>
      </c>
      <c r="B900" s="291" t="s">
        <v>141</v>
      </c>
      <c r="C900" s="31" t="s">
        <v>141</v>
      </c>
      <c r="D900" s="219" t="s">
        <v>141</v>
      </c>
      <c r="E900" s="294" t="s">
        <v>141</v>
      </c>
      <c r="F900" s="30" t="s">
        <v>3581</v>
      </c>
      <c r="G900" s="27">
        <v>46104</v>
      </c>
      <c r="H900" s="219" t="s">
        <v>141</v>
      </c>
      <c r="I900" s="74">
        <v>324</v>
      </c>
      <c r="J900" s="34" t="s">
        <v>33</v>
      </c>
      <c r="K900" t="s">
        <v>139</v>
      </c>
      <c r="L900" s="35">
        <v>80005371</v>
      </c>
      <c r="M900" s="36" t="s">
        <v>3582</v>
      </c>
      <c r="N900" s="75" t="s">
        <v>3583</v>
      </c>
      <c r="O900" t="s">
        <v>3569</v>
      </c>
      <c r="P900" t="s">
        <v>3570</v>
      </c>
      <c r="Q900" t="s">
        <v>3571</v>
      </c>
      <c r="R900" s="38">
        <v>46092</v>
      </c>
      <c r="S900" s="39">
        <v>46456</v>
      </c>
      <c r="T900" s="50" t="s">
        <v>141</v>
      </c>
      <c r="U900" s="47" t="s">
        <v>141</v>
      </c>
      <c r="V900" s="40" t="s">
        <v>3485</v>
      </c>
      <c r="W900" s="41" t="s">
        <v>39</v>
      </c>
      <c r="X900" s="40" t="s">
        <v>3572</v>
      </c>
      <c r="Y900" s="40" t="s">
        <v>56</v>
      </c>
      <c r="Z900"/>
      <c r="AA900" s="62">
        <v>90007655</v>
      </c>
      <c r="AB900" s="44">
        <v>46136</v>
      </c>
      <c r="AC900" s="63">
        <v>60017616</v>
      </c>
      <c r="AD900" s="46">
        <v>46136</v>
      </c>
      <c r="AE900"/>
      <c r="AF900" s="39"/>
      <c r="AG900" s="49"/>
      <c r="AH900" s="49"/>
      <c r="AI900" s="49"/>
      <c r="AJ900"/>
    </row>
    <row r="901" spans="1:36" s="40" customFormat="1" ht="19.5" customHeight="1">
      <c r="A901" s="25">
        <f t="shared" si="14"/>
        <v>896</v>
      </c>
      <c r="B901" s="26">
        <v>6276837</v>
      </c>
      <c r="C901" s="27">
        <v>46105</v>
      </c>
      <c r="D901" s="28">
        <v>10177.879999999999</v>
      </c>
      <c r="E901" s="29">
        <v>79582.880000000005</v>
      </c>
      <c r="F901" s="30" t="s">
        <v>3584</v>
      </c>
      <c r="G901" s="27">
        <v>46107</v>
      </c>
      <c r="H901" s="68">
        <v>10177.879999999999</v>
      </c>
      <c r="I901" s="29">
        <v>79582.880000000005</v>
      </c>
      <c r="J901" s="34" t="s">
        <v>33</v>
      </c>
      <c r="K901" t="s">
        <v>34</v>
      </c>
      <c r="L901" s="346">
        <v>202316437</v>
      </c>
      <c r="M901" s="36" t="s">
        <v>2104</v>
      </c>
      <c r="N901" s="37" t="s">
        <v>3338</v>
      </c>
      <c r="O901" t="s">
        <v>3543</v>
      </c>
      <c r="P901" t="s">
        <v>3544</v>
      </c>
      <c r="Q901" t="s">
        <v>2020</v>
      </c>
      <c r="R901" s="38">
        <v>46042</v>
      </c>
      <c r="S901" s="39">
        <v>46406</v>
      </c>
      <c r="T901" s="38">
        <v>46119</v>
      </c>
      <c r="U901" s="39">
        <v>46443</v>
      </c>
      <c r="V901" s="40" t="s">
        <v>954</v>
      </c>
      <c r="W901" s="41" t="s">
        <v>3151</v>
      </c>
      <c r="X901" s="40" t="s">
        <v>3546</v>
      </c>
      <c r="Y901" s="40" t="s">
        <v>185</v>
      </c>
      <c r="Z901"/>
      <c r="AA901" s="62"/>
      <c r="AB901" s="44"/>
      <c r="AC901" s="63">
        <v>10000254502</v>
      </c>
      <c r="AD901" s="46">
        <v>46108</v>
      </c>
      <c r="AE901"/>
      <c r="AF901" s="39"/>
      <c r="AG901" s="49"/>
      <c r="AH901" s="49"/>
      <c r="AI901" s="49"/>
      <c r="AJ901"/>
    </row>
    <row r="902" spans="1:36" s="40" customFormat="1" ht="19.5" customHeight="1">
      <c r="A902" s="25">
        <f t="shared" si="14"/>
        <v>897</v>
      </c>
      <c r="B902" s="26">
        <v>6276827</v>
      </c>
      <c r="C902" s="27">
        <v>46105</v>
      </c>
      <c r="D902" s="28">
        <v>10262.450000000001</v>
      </c>
      <c r="E902" s="29">
        <v>80244.149999999994</v>
      </c>
      <c r="F902" s="30" t="s">
        <v>3585</v>
      </c>
      <c r="G902" s="27">
        <v>46108</v>
      </c>
      <c r="H902" s="68">
        <v>10177.879999999999</v>
      </c>
      <c r="I902" s="33">
        <v>79582.879295999999</v>
      </c>
      <c r="J902" s="34" t="s">
        <v>33</v>
      </c>
      <c r="K902" t="s">
        <v>34</v>
      </c>
      <c r="L902" s="346">
        <v>441961705</v>
      </c>
      <c r="M902" s="36" t="s">
        <v>3542</v>
      </c>
      <c r="N902" s="37" t="s">
        <v>3338</v>
      </c>
      <c r="O902" t="s">
        <v>3543</v>
      </c>
      <c r="P902" t="s">
        <v>3544</v>
      </c>
      <c r="Q902" t="s">
        <v>2020</v>
      </c>
      <c r="R902" s="38">
        <v>46042</v>
      </c>
      <c r="S902" s="39">
        <v>46406</v>
      </c>
      <c r="T902" s="38">
        <v>46119</v>
      </c>
      <c r="U902" s="39">
        <v>46443</v>
      </c>
      <c r="V902" s="40" t="s">
        <v>954</v>
      </c>
      <c r="W902" s="41" t="s">
        <v>3151</v>
      </c>
      <c r="X902" s="40" t="s">
        <v>3546</v>
      </c>
      <c r="Y902" s="40" t="s">
        <v>185</v>
      </c>
      <c r="Z902"/>
      <c r="AA902" s="62"/>
      <c r="AB902" s="44"/>
      <c r="AC902" s="63">
        <v>10000263747</v>
      </c>
      <c r="AD902" s="46">
        <v>46111</v>
      </c>
      <c r="AE902"/>
      <c r="AF902" s="39"/>
      <c r="AG902" s="49"/>
      <c r="AH902" s="49"/>
      <c r="AI902" s="49"/>
      <c r="AJ902"/>
    </row>
    <row r="903" spans="1:36" s="40" customFormat="1" ht="19.5" customHeight="1">
      <c r="A903" s="25">
        <f t="shared" si="14"/>
        <v>898</v>
      </c>
      <c r="B903" s="26">
        <v>6276869</v>
      </c>
      <c r="C903" s="27">
        <v>46105</v>
      </c>
      <c r="D903" s="28">
        <v>10240.51</v>
      </c>
      <c r="E903" s="29">
        <v>80072.600000000006</v>
      </c>
      <c r="F903" s="30" t="s">
        <v>3586</v>
      </c>
      <c r="G903" s="27">
        <v>46111</v>
      </c>
      <c r="H903" s="32">
        <v>10240.51</v>
      </c>
      <c r="I903" s="33">
        <v>80072.600000000006</v>
      </c>
      <c r="J903" s="34" t="s">
        <v>33</v>
      </c>
      <c r="K903" t="s">
        <v>34</v>
      </c>
      <c r="L903" s="35">
        <v>262314640</v>
      </c>
      <c r="M903" s="25" t="s">
        <v>2104</v>
      </c>
      <c r="N903" s="37" t="s">
        <v>2150</v>
      </c>
      <c r="O903" t="s">
        <v>3563</v>
      </c>
      <c r="P903" t="s">
        <v>3564</v>
      </c>
      <c r="Q903" t="s">
        <v>2020</v>
      </c>
      <c r="R903" s="38">
        <v>45702</v>
      </c>
      <c r="S903" s="39">
        <v>46066</v>
      </c>
      <c r="T903" s="38">
        <v>45752</v>
      </c>
      <c r="U903" s="39">
        <v>46443</v>
      </c>
      <c r="V903" s="40" t="s">
        <v>954</v>
      </c>
      <c r="W903" s="41" t="s">
        <v>3151</v>
      </c>
      <c r="X903" s="40" t="s">
        <v>3565</v>
      </c>
      <c r="Y903" s="40" t="s">
        <v>185</v>
      </c>
      <c r="Z903"/>
      <c r="AA903" s="62"/>
      <c r="AB903" s="44"/>
      <c r="AC903" s="63">
        <v>10000322587</v>
      </c>
      <c r="AD903" s="46">
        <v>46132</v>
      </c>
      <c r="AE903">
        <v>3207307</v>
      </c>
      <c r="AF903" s="39">
        <v>46164</v>
      </c>
      <c r="AG903" s="49"/>
      <c r="AH903" s="49"/>
      <c r="AI903" s="49"/>
      <c r="AJ903"/>
    </row>
    <row r="904" spans="1:36" s="40" customFormat="1" ht="19.5" customHeight="1">
      <c r="A904" s="25">
        <f t="shared" si="14"/>
        <v>899</v>
      </c>
      <c r="B904" s="26">
        <v>6276877</v>
      </c>
      <c r="C904" s="27">
        <v>46105</v>
      </c>
      <c r="D904" s="28">
        <v>10240.51</v>
      </c>
      <c r="E904" s="29">
        <v>80072.600000000006</v>
      </c>
      <c r="F904" s="30" t="s">
        <v>3587</v>
      </c>
      <c r="G904" s="27">
        <v>46111</v>
      </c>
      <c r="H904" s="32">
        <v>10240.51</v>
      </c>
      <c r="I904" s="33">
        <v>80072.600000000006</v>
      </c>
      <c r="J904" s="34" t="s">
        <v>33</v>
      </c>
      <c r="K904" t="s">
        <v>34</v>
      </c>
      <c r="L904" s="35">
        <v>312250248</v>
      </c>
      <c r="M904" s="25" t="s">
        <v>2104</v>
      </c>
      <c r="N904" s="37" t="s">
        <v>2150</v>
      </c>
      <c r="O904" t="s">
        <v>3563</v>
      </c>
      <c r="P904" t="s">
        <v>3564</v>
      </c>
      <c r="Q904" t="s">
        <v>2020</v>
      </c>
      <c r="R904" s="38">
        <v>45702</v>
      </c>
      <c r="S904" s="39">
        <v>46066</v>
      </c>
      <c r="T904" s="38">
        <v>45752</v>
      </c>
      <c r="U904" s="39">
        <v>46443</v>
      </c>
      <c r="V904" s="40" t="s">
        <v>954</v>
      </c>
      <c r="W904" s="41" t="s">
        <v>3151</v>
      </c>
      <c r="X904" s="40" t="s">
        <v>3565</v>
      </c>
      <c r="Y904" s="40" t="s">
        <v>185</v>
      </c>
      <c r="Z904"/>
      <c r="AA904" s="62"/>
      <c r="AB904" s="44"/>
      <c r="AC904" s="63">
        <v>10000322588</v>
      </c>
      <c r="AD904" s="46">
        <v>46132</v>
      </c>
      <c r="AE904">
        <v>3207294</v>
      </c>
      <c r="AF904" s="39">
        <v>46164</v>
      </c>
      <c r="AG904" s="49"/>
      <c r="AH904" s="49"/>
      <c r="AI904" s="49"/>
      <c r="AJ904"/>
    </row>
    <row r="905" spans="1:36" s="40" customFormat="1" ht="19.5" customHeight="1">
      <c r="A905" s="25">
        <f t="shared" si="14"/>
        <v>900</v>
      </c>
      <c r="B905" s="26">
        <v>6276841</v>
      </c>
      <c r="C905" s="27">
        <v>46105</v>
      </c>
      <c r="D905" s="80" t="s">
        <v>141</v>
      </c>
      <c r="E905" s="29">
        <v>3700</v>
      </c>
      <c r="F905" s="30" t="s">
        <v>3588</v>
      </c>
      <c r="G905" s="27">
        <v>46106</v>
      </c>
      <c r="H905" s="330" t="s">
        <v>141</v>
      </c>
      <c r="I905" s="29">
        <v>3700</v>
      </c>
      <c r="J905" s="34" t="s">
        <v>33</v>
      </c>
      <c r="K905" t="s">
        <v>139</v>
      </c>
      <c r="L905" s="35">
        <v>80005388</v>
      </c>
      <c r="M905" s="36" t="s">
        <v>3575</v>
      </c>
      <c r="N905" s="37" t="s">
        <v>1383</v>
      </c>
      <c r="O905" t="s">
        <v>3589</v>
      </c>
      <c r="P905" t="s">
        <v>3590</v>
      </c>
      <c r="Q905" t="s">
        <v>3591</v>
      </c>
      <c r="R905" s="38">
        <v>46143</v>
      </c>
      <c r="S905" s="39">
        <v>46507</v>
      </c>
      <c r="T905" s="50" t="s">
        <v>141</v>
      </c>
      <c r="U905" s="47" t="s">
        <v>141</v>
      </c>
      <c r="V905" s="40" t="s">
        <v>1374</v>
      </c>
      <c r="W905" s="41" t="s">
        <v>39</v>
      </c>
      <c r="X905" s="40" t="s">
        <v>3592</v>
      </c>
      <c r="Y905" s="40" t="s">
        <v>56</v>
      </c>
      <c r="Z905"/>
      <c r="AA905" s="62" t="s">
        <v>3593</v>
      </c>
      <c r="AB905" s="44">
        <v>46121</v>
      </c>
      <c r="AC905" s="63">
        <v>60017533</v>
      </c>
      <c r="AD905" s="46">
        <v>46121</v>
      </c>
      <c r="AE905">
        <v>3210089</v>
      </c>
      <c r="AF905" s="39">
        <v>46185</v>
      </c>
      <c r="AG905" s="49"/>
      <c r="AH905" s="49"/>
      <c r="AI905" s="49"/>
      <c r="AJ905"/>
    </row>
    <row r="906" spans="1:36" s="40" customFormat="1" ht="19.5" customHeight="1">
      <c r="A906" s="25">
        <f t="shared" si="14"/>
        <v>901</v>
      </c>
      <c r="B906" s="26">
        <v>6276850</v>
      </c>
      <c r="C906" s="27">
        <v>46105</v>
      </c>
      <c r="D906" s="28">
        <v>137.94</v>
      </c>
      <c r="E906" s="29">
        <v>1078.58</v>
      </c>
      <c r="F906" s="30" t="s">
        <v>3594</v>
      </c>
      <c r="G906" s="27">
        <v>46107</v>
      </c>
      <c r="H906" s="330">
        <v>137.94</v>
      </c>
      <c r="I906" s="29">
        <v>1078.58</v>
      </c>
      <c r="J906" s="34" t="s">
        <v>33</v>
      </c>
      <c r="K906" t="s">
        <v>34</v>
      </c>
      <c r="L906" s="35">
        <v>322259085</v>
      </c>
      <c r="M906" s="25" t="s">
        <v>2104</v>
      </c>
      <c r="N906" s="37" t="s">
        <v>1346</v>
      </c>
      <c r="O906" t="s">
        <v>3595</v>
      </c>
      <c r="P906" t="s">
        <v>3596</v>
      </c>
      <c r="Q906" t="s">
        <v>3597</v>
      </c>
      <c r="R906" s="38">
        <v>46075</v>
      </c>
      <c r="S906" s="39">
        <v>46477</v>
      </c>
      <c r="T906" s="332">
        <v>46383</v>
      </c>
      <c r="U906" s="39">
        <v>46747</v>
      </c>
      <c r="V906" s="40" t="s">
        <v>954</v>
      </c>
      <c r="W906" s="41" t="s">
        <v>3151</v>
      </c>
      <c r="X906" s="40" t="s">
        <v>3598</v>
      </c>
      <c r="Y906" s="40" t="s">
        <v>185</v>
      </c>
      <c r="Z906"/>
      <c r="AA906" s="62"/>
      <c r="AB906" s="44"/>
      <c r="AC906" s="63">
        <v>10000254401</v>
      </c>
      <c r="AD906" s="46">
        <v>46108</v>
      </c>
      <c r="AE906"/>
      <c r="AF906" s="39"/>
      <c r="AG906" s="49"/>
      <c r="AH906" s="49"/>
      <c r="AI906" s="49"/>
      <c r="AJ906"/>
    </row>
    <row r="907" spans="1:36" s="40" customFormat="1" ht="19.5" customHeight="1">
      <c r="A907" s="25">
        <f t="shared" si="14"/>
        <v>902</v>
      </c>
      <c r="B907" s="26">
        <v>6276865</v>
      </c>
      <c r="C907" s="27">
        <v>46105</v>
      </c>
      <c r="D907" s="28">
        <v>238.8</v>
      </c>
      <c r="E907" s="29">
        <v>1867.22</v>
      </c>
      <c r="F907" s="30" t="s">
        <v>3599</v>
      </c>
      <c r="G907" s="27">
        <v>46107</v>
      </c>
      <c r="H907" s="68">
        <v>238.8</v>
      </c>
      <c r="I907" s="29">
        <v>1867.22</v>
      </c>
      <c r="J907" s="34" t="s">
        <v>33</v>
      </c>
      <c r="K907" t="s">
        <v>34</v>
      </c>
      <c r="L907" s="35">
        <v>372257359</v>
      </c>
      <c r="M907" s="25" t="s">
        <v>2104</v>
      </c>
      <c r="N907" s="37" t="s">
        <v>1346</v>
      </c>
      <c r="O907" t="s">
        <v>3600</v>
      </c>
      <c r="P907" t="s">
        <v>3601</v>
      </c>
      <c r="Q907" t="s">
        <v>3602</v>
      </c>
      <c r="R907" s="38">
        <v>46076</v>
      </c>
      <c r="S907" s="39">
        <v>46142</v>
      </c>
      <c r="T907" s="332">
        <v>46082</v>
      </c>
      <c r="U907" s="333">
        <v>46507</v>
      </c>
      <c r="V907" s="40" t="s">
        <v>954</v>
      </c>
      <c r="W907" s="41" t="s">
        <v>3151</v>
      </c>
      <c r="X907" s="40" t="s">
        <v>3603</v>
      </c>
      <c r="Y907" s="40" t="s">
        <v>185</v>
      </c>
      <c r="Z907"/>
      <c r="AA907" s="62"/>
      <c r="AB907" s="44"/>
      <c r="AC907" s="63">
        <v>10000254503</v>
      </c>
      <c r="AD907" s="46">
        <v>46108</v>
      </c>
      <c r="AE907"/>
      <c r="AF907" s="39"/>
      <c r="AG907" s="49"/>
      <c r="AH907" s="49"/>
      <c r="AI907" s="49"/>
      <c r="AJ907"/>
    </row>
    <row r="908" spans="1:36" s="40" customFormat="1" ht="19.5" customHeight="1">
      <c r="A908" s="25">
        <f t="shared" si="14"/>
        <v>903</v>
      </c>
      <c r="B908" s="26">
        <v>6276878</v>
      </c>
      <c r="C908" s="27">
        <v>46105</v>
      </c>
      <c r="D908" s="28">
        <v>136.79</v>
      </c>
      <c r="E908" s="29">
        <v>1069.5899999999999</v>
      </c>
      <c r="F908" s="30" t="s">
        <v>3604</v>
      </c>
      <c r="G908" s="27">
        <v>46107</v>
      </c>
      <c r="H908" s="330">
        <v>136.79</v>
      </c>
      <c r="I908" s="29">
        <v>1069.5899999999999</v>
      </c>
      <c r="J908" s="34" t="s">
        <v>33</v>
      </c>
      <c r="K908" t="s">
        <v>34</v>
      </c>
      <c r="L908" s="35">
        <v>352258141</v>
      </c>
      <c r="M908" s="25" t="s">
        <v>2104</v>
      </c>
      <c r="N908" s="37" t="s">
        <v>1346</v>
      </c>
      <c r="O908" t="s">
        <v>3605</v>
      </c>
      <c r="P908" t="s">
        <v>3606</v>
      </c>
      <c r="Q908" t="s">
        <v>3607</v>
      </c>
      <c r="R908" s="38">
        <v>46075</v>
      </c>
      <c r="S908" s="39">
        <v>46439</v>
      </c>
      <c r="T908" s="332">
        <v>46123</v>
      </c>
      <c r="U908" s="333">
        <v>46118</v>
      </c>
      <c r="V908" s="40" t="s">
        <v>954</v>
      </c>
      <c r="W908" s="41" t="s">
        <v>3151</v>
      </c>
      <c r="X908" s="40" t="s">
        <v>3608</v>
      </c>
      <c r="Y908" s="40" t="s">
        <v>185</v>
      </c>
      <c r="Z908"/>
      <c r="AA908" s="62"/>
      <c r="AB908" s="44"/>
      <c r="AC908" s="63">
        <v>10000254379</v>
      </c>
      <c r="AD908" s="46">
        <v>46108</v>
      </c>
      <c r="AE908"/>
      <c r="AF908" s="39"/>
      <c r="AG908" s="49"/>
      <c r="AH908" s="49"/>
      <c r="AI908" s="49"/>
      <c r="AJ908"/>
    </row>
    <row r="909" spans="1:36" s="40" customFormat="1" ht="19.5" customHeight="1">
      <c r="A909" s="25">
        <f t="shared" si="14"/>
        <v>904</v>
      </c>
      <c r="B909" s="291" t="s">
        <v>141</v>
      </c>
      <c r="C909" s="31" t="s">
        <v>141</v>
      </c>
      <c r="D909" s="219" t="s">
        <v>141</v>
      </c>
      <c r="E909" s="294" t="s">
        <v>141</v>
      </c>
      <c r="F909" s="30" t="s">
        <v>3609</v>
      </c>
      <c r="G909" s="27">
        <v>46105</v>
      </c>
      <c r="H909" s="219" t="s">
        <v>141</v>
      </c>
      <c r="I909" s="74">
        <v>6880</v>
      </c>
      <c r="J909" s="34" t="s">
        <v>33</v>
      </c>
      <c r="K909" t="s">
        <v>139</v>
      </c>
      <c r="L909" s="35" t="s">
        <v>3610</v>
      </c>
      <c r="M909" s="36" t="s">
        <v>3611</v>
      </c>
      <c r="N909" s="75" t="s">
        <v>3612</v>
      </c>
      <c r="O909" t="s">
        <v>3613</v>
      </c>
      <c r="P909" t="s">
        <v>3614</v>
      </c>
      <c r="Q909" t="s">
        <v>2465</v>
      </c>
      <c r="R909" s="38">
        <v>46110</v>
      </c>
      <c r="S909" s="39">
        <v>46840</v>
      </c>
      <c r="T909" s="50" t="s">
        <v>141</v>
      </c>
      <c r="U909" s="47" t="s">
        <v>141</v>
      </c>
      <c r="V909" s="40" t="s">
        <v>3615</v>
      </c>
      <c r="W909" s="41" t="s">
        <v>39</v>
      </c>
      <c r="X909" s="40" t="s">
        <v>3616</v>
      </c>
      <c r="Y909" s="40" t="s">
        <v>185</v>
      </c>
      <c r="Z909"/>
      <c r="AA909" s="62">
        <v>90007655</v>
      </c>
      <c r="AB909" s="44">
        <v>46136</v>
      </c>
      <c r="AC909" s="63">
        <v>60017617</v>
      </c>
      <c r="AD909" s="46">
        <v>46136</v>
      </c>
      <c r="AE909">
        <v>3208839</v>
      </c>
      <c r="AF909" s="39">
        <v>46176</v>
      </c>
      <c r="AG909" s="49"/>
      <c r="AH909" s="49"/>
      <c r="AI909" s="49"/>
      <c r="AJ909"/>
    </row>
    <row r="910" spans="1:36" s="40" customFormat="1" ht="19.5" customHeight="1">
      <c r="A910" s="25">
        <f>A909+1</f>
        <v>905</v>
      </c>
      <c r="B910" s="26">
        <v>6277637</v>
      </c>
      <c r="C910" s="27">
        <v>46107</v>
      </c>
      <c r="D910" s="28">
        <v>1813.95</v>
      </c>
      <c r="E910" s="29">
        <v>14183.64</v>
      </c>
      <c r="F910" s="30" t="s">
        <v>3617</v>
      </c>
      <c r="G910" s="27">
        <v>46108</v>
      </c>
      <c r="H910" s="68">
        <v>1813.95</v>
      </c>
      <c r="I910" s="29">
        <v>14183.64</v>
      </c>
      <c r="J910" s="34" t="s">
        <v>33</v>
      </c>
      <c r="K910" t="s">
        <v>34</v>
      </c>
      <c r="L910" s="35">
        <v>322235644</v>
      </c>
      <c r="M910" s="36" t="s">
        <v>2129</v>
      </c>
      <c r="N910" s="37" t="s">
        <v>1346</v>
      </c>
      <c r="O910" t="s">
        <v>3618</v>
      </c>
      <c r="P910" t="s">
        <v>3619</v>
      </c>
      <c r="Q910" t="s">
        <v>3620</v>
      </c>
      <c r="R910" s="38">
        <v>46143</v>
      </c>
      <c r="S910" s="39">
        <v>46507</v>
      </c>
      <c r="T910" s="38">
        <v>46143</v>
      </c>
      <c r="U910" s="39">
        <v>46507</v>
      </c>
      <c r="V910" s="40" t="s">
        <v>1374</v>
      </c>
      <c r="W910" s="41" t="s">
        <v>3151</v>
      </c>
      <c r="X910" s="40" t="s">
        <v>3621</v>
      </c>
      <c r="Y910" s="40" t="s">
        <v>56</v>
      </c>
      <c r="Z910"/>
      <c r="AA910" s="62"/>
      <c r="AB910" s="44"/>
      <c r="AC910" s="63">
        <v>10000263779</v>
      </c>
      <c r="AD910" s="46">
        <v>46111</v>
      </c>
      <c r="AE910"/>
      <c r="AF910" s="39"/>
      <c r="AG910" s="49"/>
      <c r="AH910" s="49"/>
      <c r="AI910" s="49"/>
      <c r="AJ910"/>
    </row>
    <row r="911" spans="1:36" s="40" customFormat="1" ht="19.5" customHeight="1">
      <c r="A911" s="25">
        <f t="shared" si="14"/>
        <v>906</v>
      </c>
      <c r="B911" s="26">
        <v>6277655</v>
      </c>
      <c r="C911" s="27">
        <v>46107</v>
      </c>
      <c r="D911" s="28">
        <v>1180.56</v>
      </c>
      <c r="E911" s="29">
        <v>9231.0300000000007</v>
      </c>
      <c r="F911" s="30" t="s">
        <v>3622</v>
      </c>
      <c r="G911" s="27">
        <v>46108</v>
      </c>
      <c r="H911" s="68">
        <v>1180.56</v>
      </c>
      <c r="I911" s="29">
        <v>9231.0300000000007</v>
      </c>
      <c r="J911" s="34" t="s">
        <v>33</v>
      </c>
      <c r="K911" t="s">
        <v>34</v>
      </c>
      <c r="L911" s="35">
        <v>342235447</v>
      </c>
      <c r="M911" s="36" t="s">
        <v>2129</v>
      </c>
      <c r="N911" s="37" t="s">
        <v>1346</v>
      </c>
      <c r="O911" t="s">
        <v>3623</v>
      </c>
      <c r="P911" t="s">
        <v>3624</v>
      </c>
      <c r="Q911" t="s">
        <v>3625</v>
      </c>
      <c r="R911" s="38">
        <v>46082</v>
      </c>
      <c r="S911" s="39">
        <v>46811</v>
      </c>
      <c r="T911" s="332">
        <v>46082</v>
      </c>
      <c r="U911" s="333">
        <v>46811</v>
      </c>
      <c r="V911" s="40" t="s">
        <v>375</v>
      </c>
      <c r="W911" s="41" t="s">
        <v>3151</v>
      </c>
      <c r="X911" s="40" t="s">
        <v>3626</v>
      </c>
      <c r="Y911" s="40" t="s">
        <v>56</v>
      </c>
      <c r="Z911"/>
      <c r="AA911" s="62"/>
      <c r="AB911" s="44"/>
      <c r="AC911" s="63">
        <v>10000263780</v>
      </c>
      <c r="AD911" s="46">
        <v>46111</v>
      </c>
      <c r="AE911"/>
      <c r="AF911" s="39"/>
      <c r="AG911" s="49"/>
      <c r="AH911" s="49"/>
      <c r="AI911" s="49"/>
      <c r="AJ911"/>
    </row>
    <row r="912" spans="1:36" s="40" customFormat="1" ht="19.5" customHeight="1">
      <c r="A912" s="25">
        <f t="shared" si="14"/>
        <v>907</v>
      </c>
      <c r="B912" s="26">
        <v>6277662</v>
      </c>
      <c r="C912" s="27">
        <v>46107</v>
      </c>
      <c r="D912" s="28">
        <v>579</v>
      </c>
      <c r="E912" s="29">
        <v>4527.32</v>
      </c>
      <c r="F912" s="30" t="s">
        <v>3627</v>
      </c>
      <c r="G912" s="27">
        <v>46112</v>
      </c>
      <c r="H912" s="68">
        <v>579</v>
      </c>
      <c r="I912" s="29">
        <v>4527.32</v>
      </c>
      <c r="J912" s="34" t="s">
        <v>33</v>
      </c>
      <c r="K912" t="s">
        <v>34</v>
      </c>
      <c r="L912" s="35">
        <v>382242281</v>
      </c>
      <c r="M912" s="36" t="s">
        <v>2129</v>
      </c>
      <c r="N912" s="37" t="s">
        <v>1346</v>
      </c>
      <c r="O912" t="s">
        <v>3628</v>
      </c>
      <c r="P912" t="s">
        <v>3629</v>
      </c>
      <c r="Q912" t="s">
        <v>3625</v>
      </c>
      <c r="R912" s="38">
        <v>46090</v>
      </c>
      <c r="S912" s="39">
        <v>46454</v>
      </c>
      <c r="T912" s="332">
        <v>46090</v>
      </c>
      <c r="U912" s="333">
        <v>46454</v>
      </c>
      <c r="V912" s="40" t="s">
        <v>375</v>
      </c>
      <c r="W912" s="41" t="s">
        <v>3151</v>
      </c>
      <c r="X912" s="40" t="s">
        <v>3630</v>
      </c>
      <c r="Y912" s="40" t="s">
        <v>56</v>
      </c>
      <c r="Z912"/>
      <c r="AA912" s="62"/>
      <c r="AB912" s="44"/>
      <c r="AC912" s="63">
        <v>10000322643</v>
      </c>
      <c r="AD912" s="46">
        <v>46132</v>
      </c>
      <c r="AE912">
        <v>3207350</v>
      </c>
      <c r="AF912" s="39">
        <v>46164</v>
      </c>
      <c r="AG912" s="49"/>
      <c r="AH912" s="49"/>
      <c r="AI912" s="49"/>
      <c r="AJ912"/>
    </row>
    <row r="913" spans="1:36" s="40" customFormat="1" ht="19.5" customHeight="1">
      <c r="A913" s="25">
        <f>A912+1</f>
        <v>908</v>
      </c>
      <c r="B913" s="291" t="s">
        <v>141</v>
      </c>
      <c r="C913" s="31" t="s">
        <v>141</v>
      </c>
      <c r="D913" s="219" t="s">
        <v>141</v>
      </c>
      <c r="E913" s="294" t="s">
        <v>141</v>
      </c>
      <c r="F913" s="30" t="s">
        <v>3631</v>
      </c>
      <c r="G913" s="27">
        <v>46107</v>
      </c>
      <c r="H913" s="219" t="s">
        <v>141</v>
      </c>
      <c r="I913" s="74">
        <v>5940</v>
      </c>
      <c r="J913" s="34" t="s">
        <v>3421</v>
      </c>
      <c r="K913" t="s">
        <v>139</v>
      </c>
      <c r="L913" s="35">
        <v>80005394</v>
      </c>
      <c r="M913" s="36" t="s">
        <v>3632</v>
      </c>
      <c r="N913" s="75" t="s">
        <v>1404</v>
      </c>
      <c r="O913" t="s">
        <v>3623</v>
      </c>
      <c r="P913" t="s">
        <v>3633</v>
      </c>
      <c r="Q913" t="s">
        <v>3625</v>
      </c>
      <c r="R913" s="38">
        <v>46082</v>
      </c>
      <c r="S913" s="39">
        <v>46811</v>
      </c>
      <c r="T913" s="50" t="s">
        <v>141</v>
      </c>
      <c r="U913" s="47" t="s">
        <v>141</v>
      </c>
      <c r="V913" s="40" t="s">
        <v>375</v>
      </c>
      <c r="W913" s="41" t="s">
        <v>39</v>
      </c>
      <c r="Y913" s="40" t="s">
        <v>56</v>
      </c>
      <c r="Z913"/>
      <c r="AA913" s="62">
        <v>90007655</v>
      </c>
      <c r="AB913" s="44">
        <v>46136</v>
      </c>
      <c r="AC913" s="63">
        <v>60017618</v>
      </c>
      <c r="AD913" s="46">
        <v>46136</v>
      </c>
      <c r="AE913">
        <v>3208964</v>
      </c>
      <c r="AF913" s="39">
        <v>46176</v>
      </c>
      <c r="AG913" s="49"/>
      <c r="AH913" s="49"/>
      <c r="AI913" s="49"/>
      <c r="AJ913"/>
    </row>
    <row r="914" spans="1:36" s="40" customFormat="1" ht="19.5" customHeight="1">
      <c r="A914" s="25">
        <f t="shared" si="14"/>
        <v>909</v>
      </c>
      <c r="B914" s="26">
        <v>6277714</v>
      </c>
      <c r="C914" s="27">
        <v>46107</v>
      </c>
      <c r="D914" s="28">
        <v>1079.04</v>
      </c>
      <c r="E914" s="29">
        <v>8437.23</v>
      </c>
      <c r="F914" s="30" t="s">
        <v>3634</v>
      </c>
      <c r="G914" s="27">
        <v>46108</v>
      </c>
      <c r="H914" s="68">
        <v>1079.04</v>
      </c>
      <c r="I914" s="29">
        <v>8437.23</v>
      </c>
      <c r="J914" s="34" t="s">
        <v>33</v>
      </c>
      <c r="K914" t="s">
        <v>34</v>
      </c>
      <c r="L914" s="35">
        <v>452012003</v>
      </c>
      <c r="M914" s="36" t="s">
        <v>2129</v>
      </c>
      <c r="N914" s="37" t="s">
        <v>1346</v>
      </c>
      <c r="O914" t="s">
        <v>3635</v>
      </c>
      <c r="P914" t="s">
        <v>3636</v>
      </c>
      <c r="Q914" t="s">
        <v>3637</v>
      </c>
      <c r="R914" s="332">
        <v>46113</v>
      </c>
      <c r="S914" s="333">
        <v>46477</v>
      </c>
      <c r="T914" s="332">
        <v>46113</v>
      </c>
      <c r="U914" s="333">
        <v>46112</v>
      </c>
      <c r="V914" s="40" t="s">
        <v>1654</v>
      </c>
      <c r="W914" s="41" t="s">
        <v>3151</v>
      </c>
      <c r="X914" s="40" t="s">
        <v>3638</v>
      </c>
      <c r="Y914" s="40" t="s">
        <v>56</v>
      </c>
      <c r="Z914"/>
      <c r="AA914" s="62"/>
      <c r="AB914" s="44"/>
      <c r="AC914" s="63">
        <v>10000322620</v>
      </c>
      <c r="AD914" s="46">
        <v>46132</v>
      </c>
      <c r="AE914">
        <v>3207309</v>
      </c>
      <c r="AF914" s="39">
        <v>46164</v>
      </c>
      <c r="AG914" s="49"/>
      <c r="AH914" s="49"/>
      <c r="AI914" s="49"/>
      <c r="AJ914"/>
    </row>
    <row r="915" spans="1:36" s="40" customFormat="1" ht="19.5" customHeight="1">
      <c r="A915" s="25">
        <f t="shared" si="14"/>
        <v>910</v>
      </c>
      <c r="B915" s="26">
        <v>6277843</v>
      </c>
      <c r="C915" s="27">
        <v>46107</v>
      </c>
      <c r="D915" s="28">
        <v>2048</v>
      </c>
      <c r="E915" s="29">
        <v>16013.72</v>
      </c>
      <c r="F915" s="30" t="s">
        <v>3639</v>
      </c>
      <c r="G915" s="27">
        <v>46111</v>
      </c>
      <c r="H915" s="28">
        <v>2048</v>
      </c>
      <c r="I915" s="29">
        <v>16013.72</v>
      </c>
      <c r="J915" s="34" t="s">
        <v>33</v>
      </c>
      <c r="K915" t="s">
        <v>34</v>
      </c>
      <c r="L915" s="35">
        <v>332237658</v>
      </c>
      <c r="M915" s="36" t="s">
        <v>2658</v>
      </c>
      <c r="N915" s="37" t="s">
        <v>2551</v>
      </c>
      <c r="O915" t="s">
        <v>3635</v>
      </c>
      <c r="P915" t="s">
        <v>3636</v>
      </c>
      <c r="Q915" t="s">
        <v>3637</v>
      </c>
      <c r="R915" s="332">
        <v>46113</v>
      </c>
      <c r="S915" s="333">
        <v>46477</v>
      </c>
      <c r="T915" s="332">
        <v>46113</v>
      </c>
      <c r="U915" s="333">
        <v>46477</v>
      </c>
      <c r="V915" s="40" t="s">
        <v>1654</v>
      </c>
      <c r="W915" s="41" t="s">
        <v>3151</v>
      </c>
      <c r="X915" s="40" t="s">
        <v>3638</v>
      </c>
      <c r="Y915" s="40" t="s">
        <v>56</v>
      </c>
      <c r="Z915"/>
      <c r="AA915" s="62"/>
      <c r="AB915" s="44"/>
      <c r="AC915" s="63">
        <v>10000322641</v>
      </c>
      <c r="AD915" s="46">
        <v>46132</v>
      </c>
      <c r="AE915" s="128">
        <v>3207331</v>
      </c>
      <c r="AF915" s="39">
        <v>46164</v>
      </c>
      <c r="AG915" s="49"/>
      <c r="AH915" s="49"/>
      <c r="AI915" s="49"/>
      <c r="AJ915"/>
    </row>
    <row r="916" spans="1:36" s="40" customFormat="1" ht="19.5" customHeight="1">
      <c r="A916" s="25">
        <f t="shared" si="14"/>
        <v>911</v>
      </c>
      <c r="B916" s="26">
        <v>6277907</v>
      </c>
      <c r="C916" s="27">
        <v>46107</v>
      </c>
      <c r="D916" s="28">
        <v>17208.84</v>
      </c>
      <c r="E916" s="29">
        <v>134559.35999999999</v>
      </c>
      <c r="F916" s="30" t="s">
        <v>3640</v>
      </c>
      <c r="G916" s="27">
        <v>46108</v>
      </c>
      <c r="H916" s="68">
        <v>17208.84</v>
      </c>
      <c r="I916" s="29">
        <v>134559.35999999999</v>
      </c>
      <c r="J916" s="34" t="s">
        <v>33</v>
      </c>
      <c r="K916" t="s">
        <v>34</v>
      </c>
      <c r="L916" s="35">
        <v>382182790</v>
      </c>
      <c r="M916" s="36" t="s">
        <v>3027</v>
      </c>
      <c r="N916" s="37" t="s">
        <v>1346</v>
      </c>
      <c r="O916" t="s">
        <v>3641</v>
      </c>
      <c r="P916" t="s">
        <v>3642</v>
      </c>
      <c r="Q916" t="s">
        <v>3545</v>
      </c>
      <c r="R916" s="332">
        <v>46001</v>
      </c>
      <c r="S916" s="333">
        <v>46365</v>
      </c>
      <c r="T916" s="332">
        <v>46147</v>
      </c>
      <c r="U916" s="333">
        <v>46511</v>
      </c>
      <c r="V916" s="349" t="s">
        <v>954</v>
      </c>
      <c r="W916" s="41" t="s">
        <v>3151</v>
      </c>
      <c r="X916" s="40" t="s">
        <v>3643</v>
      </c>
      <c r="Y916" s="40" t="s">
        <v>56</v>
      </c>
      <c r="Z916"/>
      <c r="AA916" s="62"/>
      <c r="AB916" s="44"/>
      <c r="AC916" s="63">
        <v>10000322585</v>
      </c>
      <c r="AD916" s="46">
        <v>46132</v>
      </c>
      <c r="AE916">
        <v>3207863</v>
      </c>
      <c r="AF916" s="39">
        <v>46170</v>
      </c>
      <c r="AG916" s="49"/>
      <c r="AH916" s="49"/>
      <c r="AI916" s="49"/>
      <c r="AJ916"/>
    </row>
    <row r="917" spans="1:36" s="40" customFormat="1" ht="19.5" customHeight="1">
      <c r="A917" s="25">
        <f t="shared" si="14"/>
        <v>912</v>
      </c>
      <c r="B917" s="26">
        <v>6277908</v>
      </c>
      <c r="C917" s="27">
        <v>46107</v>
      </c>
      <c r="D917" s="28">
        <v>8124.92</v>
      </c>
      <c r="E917" s="29">
        <v>63530.37</v>
      </c>
      <c r="F917" s="30" t="s">
        <v>3644</v>
      </c>
      <c r="G917" s="27">
        <v>46111</v>
      </c>
      <c r="H917" s="32">
        <v>8124.92</v>
      </c>
      <c r="I917" s="33">
        <v>63530.37</v>
      </c>
      <c r="J917" s="34" t="s">
        <v>33</v>
      </c>
      <c r="K917" t="s">
        <v>34</v>
      </c>
      <c r="L917" s="35">
        <v>452011613</v>
      </c>
      <c r="M917" s="36" t="s">
        <v>2149</v>
      </c>
      <c r="N917" s="37" t="s">
        <v>1540</v>
      </c>
      <c r="O917" t="s">
        <v>3645</v>
      </c>
      <c r="P917" t="s">
        <v>3636</v>
      </c>
      <c r="Q917" t="s">
        <v>3637</v>
      </c>
      <c r="R917" s="332">
        <v>46113</v>
      </c>
      <c r="S917" s="333">
        <v>46477</v>
      </c>
      <c r="T917" s="332">
        <v>46113</v>
      </c>
      <c r="U917" s="333">
        <v>46477</v>
      </c>
      <c r="V917" s="40" t="s">
        <v>1654</v>
      </c>
      <c r="W917" s="41" t="s">
        <v>39</v>
      </c>
      <c r="X917" s="40" t="s">
        <v>3638</v>
      </c>
      <c r="Y917" s="40" t="s">
        <v>56</v>
      </c>
      <c r="Z917"/>
      <c r="AA917" s="62"/>
      <c r="AB917" s="44"/>
      <c r="AC917" s="63">
        <v>10000322589</v>
      </c>
      <c r="AD917" s="46">
        <v>46132</v>
      </c>
      <c r="AE917">
        <v>3207363</v>
      </c>
      <c r="AF917" s="39">
        <v>46164</v>
      </c>
      <c r="AG917" s="49"/>
      <c r="AH917" s="49"/>
      <c r="AI917" s="49"/>
      <c r="AJ917"/>
    </row>
    <row r="918" spans="1:36" s="40" customFormat="1" ht="19.5" customHeight="1">
      <c r="A918" s="25">
        <f t="shared" si="14"/>
        <v>913</v>
      </c>
      <c r="B918" s="26">
        <v>6277924</v>
      </c>
      <c r="C918" s="27">
        <v>46107</v>
      </c>
      <c r="D918" s="28">
        <v>11343.32</v>
      </c>
      <c r="E918" s="29">
        <v>88695.69</v>
      </c>
      <c r="F918" s="30" t="s">
        <v>3646</v>
      </c>
      <c r="G918" s="27">
        <v>46108</v>
      </c>
      <c r="H918" s="32">
        <f>780.82+10172.09+390.41</f>
        <v>11343.32</v>
      </c>
      <c r="I918" s="33">
        <v>88695.69</v>
      </c>
      <c r="J918" s="34" t="s">
        <v>33</v>
      </c>
      <c r="K918" t="s">
        <v>34</v>
      </c>
      <c r="L918" s="35" t="s">
        <v>3647</v>
      </c>
      <c r="M918" s="36" t="s">
        <v>3153</v>
      </c>
      <c r="N918" s="37" t="s">
        <v>1684</v>
      </c>
      <c r="O918" t="s">
        <v>3645</v>
      </c>
      <c r="P918" t="s">
        <v>3636</v>
      </c>
      <c r="Q918" t="s">
        <v>3637</v>
      </c>
      <c r="R918" s="332">
        <v>46113</v>
      </c>
      <c r="S918" s="333">
        <v>46477</v>
      </c>
      <c r="T918" s="332">
        <v>46113</v>
      </c>
      <c r="U918" s="333">
        <v>46477</v>
      </c>
      <c r="V918" s="40" t="s">
        <v>1654</v>
      </c>
      <c r="W918" s="41" t="s">
        <v>39</v>
      </c>
      <c r="X918" s="40" t="s">
        <v>3638</v>
      </c>
      <c r="Y918" s="40" t="s">
        <v>56</v>
      </c>
      <c r="Z918"/>
      <c r="AA918" s="62"/>
      <c r="AB918" s="44"/>
      <c r="AC918" s="63" t="s">
        <v>3648</v>
      </c>
      <c r="AD918" s="46">
        <v>46132</v>
      </c>
      <c r="AE918" t="s">
        <v>3649</v>
      </c>
      <c r="AF918" s="39">
        <v>46164</v>
      </c>
      <c r="AG918" s="49"/>
      <c r="AH918" s="49"/>
      <c r="AI918" s="49"/>
      <c r="AJ918"/>
    </row>
    <row r="919" spans="1:36" s="40" customFormat="1" ht="19.5" customHeight="1">
      <c r="A919" s="25">
        <f t="shared" si="14"/>
        <v>914</v>
      </c>
      <c r="B919" s="26">
        <v>6277975</v>
      </c>
      <c r="C919" s="27">
        <v>46107</v>
      </c>
      <c r="D919" s="28">
        <v>3954.08</v>
      </c>
      <c r="E919" s="29">
        <v>30917.74</v>
      </c>
      <c r="F919" s="30" t="s">
        <v>3650</v>
      </c>
      <c r="G919" s="27">
        <v>46112</v>
      </c>
      <c r="H919" s="28">
        <v>3954.08</v>
      </c>
      <c r="I919" s="29">
        <v>30917.74</v>
      </c>
      <c r="J919" s="34" t="s">
        <v>33</v>
      </c>
      <c r="K919" t="s">
        <v>34</v>
      </c>
      <c r="L919" s="35">
        <v>442010261</v>
      </c>
      <c r="M919" s="36" t="s">
        <v>2129</v>
      </c>
      <c r="N919" s="37" t="s">
        <v>1346</v>
      </c>
      <c r="O919" t="s">
        <v>3651</v>
      </c>
      <c r="P919" t="s">
        <v>3652</v>
      </c>
      <c r="Q919" t="s">
        <v>3653</v>
      </c>
      <c r="R919" s="332">
        <v>46097</v>
      </c>
      <c r="S919" s="333">
        <v>46752</v>
      </c>
      <c r="T919" s="332">
        <v>46110</v>
      </c>
      <c r="U919" s="333">
        <v>46507</v>
      </c>
      <c r="V919" s="40" t="s">
        <v>3654</v>
      </c>
      <c r="W919" s="41" t="s">
        <v>3151</v>
      </c>
      <c r="X919" s="40" t="s">
        <v>3655</v>
      </c>
      <c r="Y919" s="40" t="s">
        <v>56</v>
      </c>
      <c r="Z919"/>
      <c r="AA919" s="62"/>
      <c r="AB919" s="44"/>
      <c r="AC919" s="63">
        <v>10000322642</v>
      </c>
      <c r="AD919" s="46">
        <v>46132</v>
      </c>
      <c r="AE919">
        <v>3207346</v>
      </c>
      <c r="AF919" s="39">
        <v>46164</v>
      </c>
      <c r="AG919" s="49"/>
      <c r="AH919" s="49"/>
      <c r="AI919" s="49"/>
      <c r="AJ919"/>
    </row>
    <row r="920" spans="1:36" s="40" customFormat="1" ht="19.5" customHeight="1">
      <c r="A920" s="25">
        <f t="shared" si="14"/>
        <v>915</v>
      </c>
      <c r="B920" s="26">
        <v>6277981</v>
      </c>
      <c r="C920" s="27">
        <v>46107</v>
      </c>
      <c r="D920" s="28">
        <v>19870.95</v>
      </c>
      <c r="E920" s="29">
        <v>155374.93</v>
      </c>
      <c r="F920" s="30" t="s">
        <v>3656</v>
      </c>
      <c r="G920" s="27">
        <v>46112</v>
      </c>
      <c r="H920" s="68">
        <v>19870.95</v>
      </c>
      <c r="I920" s="29">
        <v>155374.93</v>
      </c>
      <c r="J920" s="34" t="s">
        <v>33</v>
      </c>
      <c r="K920" t="s">
        <v>34</v>
      </c>
      <c r="L920" s="35">
        <v>362175497</v>
      </c>
      <c r="M920" s="36" t="s">
        <v>2553</v>
      </c>
      <c r="N920" s="37" t="s">
        <v>1540</v>
      </c>
      <c r="O920" t="s">
        <v>3526</v>
      </c>
      <c r="P920" t="s">
        <v>3657</v>
      </c>
      <c r="Q920" t="s">
        <v>3528</v>
      </c>
      <c r="R920" s="332">
        <v>45999</v>
      </c>
      <c r="S920" s="333">
        <v>46498</v>
      </c>
      <c r="T920" s="332">
        <v>46220</v>
      </c>
      <c r="U920" s="333">
        <v>46584</v>
      </c>
      <c r="V920" s="40" t="s">
        <v>954</v>
      </c>
      <c r="W920" s="41" t="s">
        <v>3151</v>
      </c>
      <c r="X920" s="40" t="s">
        <v>3658</v>
      </c>
      <c r="Y920" s="40" t="s">
        <v>185</v>
      </c>
      <c r="Z920"/>
      <c r="AA920" s="62"/>
      <c r="AB920" s="44"/>
      <c r="AC920" s="63">
        <v>10000322619</v>
      </c>
      <c r="AD920" s="46">
        <v>46132</v>
      </c>
      <c r="AE920">
        <v>3207347</v>
      </c>
      <c r="AF920" s="39">
        <v>46164</v>
      </c>
      <c r="AG920" s="49"/>
      <c r="AH920" s="49"/>
      <c r="AI920" s="49"/>
      <c r="AJ920"/>
    </row>
    <row r="921" spans="1:36" s="40" customFormat="1" ht="19.5" customHeight="1">
      <c r="A921" s="25">
        <f t="shared" si="14"/>
        <v>916</v>
      </c>
      <c r="B921" s="26">
        <v>6278003</v>
      </c>
      <c r="C921" s="27">
        <v>46107</v>
      </c>
      <c r="D921" s="28">
        <v>7203.84</v>
      </c>
      <c r="E921" s="29">
        <v>56328.27</v>
      </c>
      <c r="F921" s="30" t="s">
        <v>3659</v>
      </c>
      <c r="G921" s="27">
        <v>46112</v>
      </c>
      <c r="H921" s="68">
        <v>7203.84</v>
      </c>
      <c r="I921" s="29">
        <v>56328.27</v>
      </c>
      <c r="J921" s="34" t="s">
        <v>33</v>
      </c>
      <c r="K921" t="s">
        <v>34</v>
      </c>
      <c r="L921" s="35">
        <v>302237238</v>
      </c>
      <c r="M921" s="36" t="s">
        <v>2129</v>
      </c>
      <c r="N921" s="37" t="s">
        <v>1540</v>
      </c>
      <c r="O921" t="s">
        <v>3651</v>
      </c>
      <c r="P921" t="s">
        <v>3652</v>
      </c>
      <c r="Q921" t="s">
        <v>3653</v>
      </c>
      <c r="R921" s="332">
        <v>46097</v>
      </c>
      <c r="S921" s="333">
        <v>46752</v>
      </c>
      <c r="T921" s="332">
        <v>46097</v>
      </c>
      <c r="U921" s="333">
        <v>46752</v>
      </c>
      <c r="V921" s="40" t="s">
        <v>3654</v>
      </c>
      <c r="W921" s="41" t="s">
        <v>3151</v>
      </c>
      <c r="X921" s="40" t="s">
        <v>3655</v>
      </c>
      <c r="Y921" s="40" t="s">
        <v>56</v>
      </c>
      <c r="Z921"/>
      <c r="AA921" s="62"/>
      <c r="AB921" s="44"/>
      <c r="AC921" s="63">
        <v>10000322609</v>
      </c>
      <c r="AD921" s="46">
        <v>46132</v>
      </c>
      <c r="AE921">
        <v>3207342</v>
      </c>
      <c r="AF921" s="39">
        <v>46164</v>
      </c>
      <c r="AG921" s="49"/>
      <c r="AH921" s="49"/>
      <c r="AI921" s="49"/>
      <c r="AJ921"/>
    </row>
    <row r="922" spans="1:36" s="40" customFormat="1" ht="19.5" customHeight="1">
      <c r="A922" s="25">
        <f t="shared" si="14"/>
        <v>917</v>
      </c>
      <c r="B922" s="26">
        <v>6278247</v>
      </c>
      <c r="C922" s="27">
        <v>46108</v>
      </c>
      <c r="D922" s="28">
        <v>394.35</v>
      </c>
      <c r="E922" s="29">
        <v>3083.5</v>
      </c>
      <c r="F922" s="30" t="s">
        <v>3660</v>
      </c>
      <c r="G922" s="27">
        <v>46112</v>
      </c>
      <c r="H922" s="68">
        <v>394.35</v>
      </c>
      <c r="I922" s="29">
        <v>3083.5</v>
      </c>
      <c r="J922" s="34" t="s">
        <v>33</v>
      </c>
      <c r="K922" t="s">
        <v>34</v>
      </c>
      <c r="L922" s="35">
        <v>332176207</v>
      </c>
      <c r="M922" s="36" t="s">
        <v>2550</v>
      </c>
      <c r="N922" s="37" t="s">
        <v>1540</v>
      </c>
      <c r="O922" t="s">
        <v>3661</v>
      </c>
      <c r="P922" t="s">
        <v>3662</v>
      </c>
      <c r="Q922" t="s">
        <v>3663</v>
      </c>
      <c r="R922" s="332">
        <v>46011</v>
      </c>
      <c r="S922" s="333">
        <v>46375</v>
      </c>
      <c r="T922" s="332">
        <v>46085</v>
      </c>
      <c r="U922" s="333">
        <v>46449</v>
      </c>
      <c r="V922" s="40" t="s">
        <v>954</v>
      </c>
      <c r="W922" s="41" t="s">
        <v>3151</v>
      </c>
      <c r="X922" s="327" t="s">
        <v>3664</v>
      </c>
      <c r="Y922" s="40" t="s">
        <v>185</v>
      </c>
      <c r="Z922"/>
      <c r="AA922" s="62"/>
      <c r="AB922" s="44"/>
      <c r="AC922" s="63">
        <v>10000322617</v>
      </c>
      <c r="AD922" s="46">
        <v>46132</v>
      </c>
      <c r="AE922">
        <v>3207379</v>
      </c>
      <c r="AF922" s="39">
        <v>46164</v>
      </c>
      <c r="AG922" s="49"/>
      <c r="AH922" s="49"/>
      <c r="AI922" s="49"/>
      <c r="AJ922"/>
    </row>
    <row r="923" spans="1:36" s="40" customFormat="1" ht="19.5" customHeight="1">
      <c r="A923" s="25">
        <f t="shared" si="14"/>
        <v>918</v>
      </c>
      <c r="B923" s="26">
        <v>6278255</v>
      </c>
      <c r="C923" s="27">
        <v>46108</v>
      </c>
      <c r="D923" s="28">
        <v>4433.88</v>
      </c>
      <c r="E923" s="29">
        <v>34669.39</v>
      </c>
      <c r="F923" s="30" t="s">
        <v>3665</v>
      </c>
      <c r="G923" s="27">
        <v>46112</v>
      </c>
      <c r="H923" s="68">
        <v>4433.88</v>
      </c>
      <c r="I923" s="29">
        <v>34669.39</v>
      </c>
      <c r="J923" s="34" t="s">
        <v>33</v>
      </c>
      <c r="K923" t="s">
        <v>34</v>
      </c>
      <c r="L923" s="35">
        <v>352173390</v>
      </c>
      <c r="M923" s="36" t="s">
        <v>2550</v>
      </c>
      <c r="N923" s="37" t="s">
        <v>1377</v>
      </c>
      <c r="O923" t="s">
        <v>3661</v>
      </c>
      <c r="P923" t="s">
        <v>3662</v>
      </c>
      <c r="Q923" t="s">
        <v>3663</v>
      </c>
      <c r="R923" s="332">
        <v>46011</v>
      </c>
      <c r="S923" s="333">
        <v>46375</v>
      </c>
      <c r="T923" s="332">
        <v>46070</v>
      </c>
      <c r="U923" s="333">
        <v>46434</v>
      </c>
      <c r="V923" s="40" t="s">
        <v>954</v>
      </c>
      <c r="W923" s="41" t="s">
        <v>3151</v>
      </c>
      <c r="X923" s="327" t="s">
        <v>3664</v>
      </c>
      <c r="Y923" s="40" t="s">
        <v>185</v>
      </c>
      <c r="Z923"/>
      <c r="AA923" s="62"/>
      <c r="AB923" s="44"/>
      <c r="AC923" s="63">
        <v>10000322616</v>
      </c>
      <c r="AD923" s="46">
        <v>46132</v>
      </c>
      <c r="AE923">
        <v>3207446</v>
      </c>
      <c r="AF923" s="39">
        <v>46165</v>
      </c>
      <c r="AG923" s="49"/>
      <c r="AH923" s="49"/>
      <c r="AI923" s="49"/>
      <c r="AJ923"/>
    </row>
    <row r="924" spans="1:36" s="40" customFormat="1" ht="19.5" customHeight="1">
      <c r="A924" s="25">
        <f t="shared" si="14"/>
        <v>919</v>
      </c>
      <c r="B924" s="26">
        <v>6278263</v>
      </c>
      <c r="C924" s="27">
        <v>46108</v>
      </c>
      <c r="D924" s="28">
        <v>6889.72</v>
      </c>
      <c r="E924" s="29">
        <v>53872.1</v>
      </c>
      <c r="F924" s="30" t="s">
        <v>3666</v>
      </c>
      <c r="G924" s="27">
        <v>46112</v>
      </c>
      <c r="H924" s="68">
        <v>6889.72</v>
      </c>
      <c r="I924" s="29">
        <v>53872.1</v>
      </c>
      <c r="J924" s="34" t="s">
        <v>33</v>
      </c>
      <c r="K924" t="s">
        <v>34</v>
      </c>
      <c r="L924" s="35">
        <v>441969370</v>
      </c>
      <c r="M924" s="36" t="s">
        <v>2550</v>
      </c>
      <c r="N924" s="37" t="s">
        <v>1346</v>
      </c>
      <c r="O924" t="s">
        <v>3667</v>
      </c>
      <c r="P924" t="s">
        <v>3668</v>
      </c>
      <c r="Q924" t="s">
        <v>3663</v>
      </c>
      <c r="R924" s="332">
        <v>45702</v>
      </c>
      <c r="S924" s="333">
        <v>46066</v>
      </c>
      <c r="T924" s="332">
        <v>46080</v>
      </c>
      <c r="U924" s="333">
        <v>46431</v>
      </c>
      <c r="V924" s="40" t="s">
        <v>954</v>
      </c>
      <c r="W924" s="41" t="s">
        <v>3151</v>
      </c>
      <c r="X924" s="40" t="s">
        <v>3669</v>
      </c>
      <c r="Y924" s="40" t="s">
        <v>185</v>
      </c>
      <c r="Z924"/>
      <c r="AA924" s="62"/>
      <c r="AB924" s="44"/>
      <c r="AC924" s="63">
        <v>10000322610</v>
      </c>
      <c r="AD924" s="46">
        <v>46132</v>
      </c>
      <c r="AE924">
        <v>3207444</v>
      </c>
      <c r="AF924" s="39">
        <v>46165</v>
      </c>
      <c r="AG924" s="49"/>
      <c r="AH924" s="49"/>
      <c r="AI924" s="49"/>
      <c r="AJ924"/>
    </row>
    <row r="925" spans="1:36" s="40" customFormat="1" ht="19.5" customHeight="1">
      <c r="A925" s="25">
        <f t="shared" si="14"/>
        <v>920</v>
      </c>
      <c r="B925" s="26">
        <v>6278471</v>
      </c>
      <c r="C925" s="27">
        <v>46108</v>
      </c>
      <c r="D925" s="28">
        <v>102.48</v>
      </c>
      <c r="E925" s="29">
        <v>801.31</v>
      </c>
      <c r="F925" s="30" t="s">
        <v>3670</v>
      </c>
      <c r="G925" s="27">
        <v>46112</v>
      </c>
      <c r="H925" s="68">
        <v>102.48</v>
      </c>
      <c r="I925" s="29">
        <v>801.31</v>
      </c>
      <c r="J925" s="34" t="s">
        <v>33</v>
      </c>
      <c r="K925" t="s">
        <v>34</v>
      </c>
      <c r="L925" s="35">
        <v>202309433</v>
      </c>
      <c r="M925" s="36" t="s">
        <v>2129</v>
      </c>
      <c r="N925" s="37" t="s">
        <v>1346</v>
      </c>
      <c r="O925" t="s">
        <v>3671</v>
      </c>
      <c r="P925" t="s">
        <v>3672</v>
      </c>
      <c r="Q925" t="s">
        <v>3673</v>
      </c>
      <c r="R925" s="332">
        <v>46084</v>
      </c>
      <c r="S925" s="333">
        <v>46448</v>
      </c>
      <c r="T925" s="332">
        <v>46085</v>
      </c>
      <c r="U925" s="333">
        <v>46449</v>
      </c>
      <c r="V925" s="40" t="s">
        <v>175</v>
      </c>
      <c r="W925" s="41" t="s">
        <v>3151</v>
      </c>
      <c r="X925" s="40" t="s">
        <v>3674</v>
      </c>
      <c r="Y925" s="40" t="s">
        <v>56</v>
      </c>
      <c r="Z925"/>
      <c r="AA925" s="62"/>
      <c r="AB925" s="44"/>
      <c r="AC925" s="63">
        <v>10000322644</v>
      </c>
      <c r="AD925" s="46">
        <v>46132</v>
      </c>
      <c r="AE925">
        <v>3207334</v>
      </c>
      <c r="AF925" s="39">
        <v>46164</v>
      </c>
      <c r="AG925" s="49"/>
      <c r="AH925" s="49"/>
      <c r="AI925" s="49"/>
      <c r="AJ925"/>
    </row>
    <row r="926" spans="1:36" s="40" customFormat="1" ht="19.5" customHeight="1">
      <c r="A926" s="25">
        <f t="shared" si="14"/>
        <v>921</v>
      </c>
      <c r="B926" s="26">
        <v>6278335</v>
      </c>
      <c r="C926" s="27">
        <v>46108</v>
      </c>
      <c r="D926" s="28">
        <v>50849.04</v>
      </c>
      <c r="E926" s="29">
        <v>397598.81</v>
      </c>
      <c r="F926" s="30" t="s">
        <v>3675</v>
      </c>
      <c r="G926" s="27">
        <v>46112</v>
      </c>
      <c r="H926" s="68">
        <v>50849.04</v>
      </c>
      <c r="I926" s="29">
        <v>397598.81</v>
      </c>
      <c r="J926" s="34" t="s">
        <v>33</v>
      </c>
      <c r="K926" t="s">
        <v>34</v>
      </c>
      <c r="L926" s="35">
        <v>322236080</v>
      </c>
      <c r="M926" s="36" t="s">
        <v>2482</v>
      </c>
      <c r="N926" s="37" t="s">
        <v>1377</v>
      </c>
      <c r="O926" t="s">
        <v>3651</v>
      </c>
      <c r="P926" t="s">
        <v>3652</v>
      </c>
      <c r="Q926" t="s">
        <v>3653</v>
      </c>
      <c r="R926" s="332">
        <v>46097</v>
      </c>
      <c r="S926" s="333">
        <v>46752</v>
      </c>
      <c r="T926" s="332">
        <v>46110</v>
      </c>
      <c r="U926" s="333">
        <v>46691</v>
      </c>
      <c r="V926" s="40" t="s">
        <v>3654</v>
      </c>
      <c r="W926" s="41" t="s">
        <v>3151</v>
      </c>
      <c r="X926" s="40" t="s">
        <v>3655</v>
      </c>
      <c r="Y926" s="40" t="s">
        <v>56</v>
      </c>
      <c r="Z926"/>
      <c r="AA926" s="62"/>
      <c r="AB926" s="44"/>
      <c r="AC926" s="63">
        <v>10000322606</v>
      </c>
      <c r="AD926" s="46">
        <v>46132</v>
      </c>
      <c r="AE926">
        <v>3207345</v>
      </c>
      <c r="AF926" s="39">
        <v>46164</v>
      </c>
      <c r="AG926" s="49"/>
      <c r="AH926" s="49"/>
      <c r="AI926" s="49"/>
      <c r="AJ926"/>
    </row>
    <row r="927" spans="1:36" s="40" customFormat="1" ht="19.5" customHeight="1">
      <c r="A927" s="25">
        <f t="shared" si="14"/>
        <v>922</v>
      </c>
      <c r="B927" s="26">
        <v>6278344</v>
      </c>
      <c r="C927" s="27">
        <v>46108</v>
      </c>
      <c r="D927" s="28">
        <v>80.56</v>
      </c>
      <c r="E927" s="29">
        <v>629.91</v>
      </c>
      <c r="F927" s="30" t="s">
        <v>3676</v>
      </c>
      <c r="G927" s="27">
        <v>46112</v>
      </c>
      <c r="H927" s="68">
        <v>80.56</v>
      </c>
      <c r="I927" s="29">
        <v>629.91</v>
      </c>
      <c r="J927" s="34" t="s">
        <v>33</v>
      </c>
      <c r="K927" t="s">
        <v>34</v>
      </c>
      <c r="L927" s="35">
        <v>322252135</v>
      </c>
      <c r="M927" s="36" t="s">
        <v>2129</v>
      </c>
      <c r="N927" s="37" t="s">
        <v>1540</v>
      </c>
      <c r="O927" t="s">
        <v>3677</v>
      </c>
      <c r="P927" t="s">
        <v>3678</v>
      </c>
      <c r="Q927" t="s">
        <v>3679</v>
      </c>
      <c r="R927" s="332">
        <v>46113</v>
      </c>
      <c r="S927" s="333">
        <v>46538</v>
      </c>
      <c r="T927" s="332">
        <v>46113</v>
      </c>
      <c r="U927" s="333">
        <v>46538</v>
      </c>
      <c r="V927" s="40" t="s">
        <v>3680</v>
      </c>
      <c r="W927" s="41" t="s">
        <v>3151</v>
      </c>
      <c r="X927" s="40" t="s">
        <v>3681</v>
      </c>
      <c r="Y927" s="40" t="s">
        <v>56</v>
      </c>
      <c r="Z927"/>
      <c r="AA927" s="62"/>
      <c r="AB927" s="44"/>
      <c r="AC927" s="63">
        <v>10000322618</v>
      </c>
      <c r="AD927" s="46">
        <v>46132</v>
      </c>
      <c r="AE927" s="128">
        <v>3207340</v>
      </c>
      <c r="AF927" s="39">
        <v>46164</v>
      </c>
      <c r="AG927" s="49"/>
      <c r="AH927" s="49"/>
      <c r="AI927" s="49"/>
      <c r="AJ927"/>
    </row>
    <row r="928" spans="1:36" s="280" customFormat="1" ht="19.5" customHeight="1">
      <c r="A928" s="257">
        <f t="shared" si="14"/>
        <v>923</v>
      </c>
      <c r="B928" s="299">
        <v>6278346</v>
      </c>
      <c r="C928" s="300">
        <v>46108</v>
      </c>
      <c r="D928" s="301" t="s">
        <v>141</v>
      </c>
      <c r="E928" s="321">
        <v>19870</v>
      </c>
      <c r="F928" s="30" t="s">
        <v>3682</v>
      </c>
      <c r="G928" s="300">
        <v>46120</v>
      </c>
      <c r="H928" s="301" t="s">
        <v>141</v>
      </c>
      <c r="I928" s="303">
        <v>19870</v>
      </c>
      <c r="J928" s="304" t="s">
        <v>33</v>
      </c>
      <c r="K928" s="279" t="s">
        <v>139</v>
      </c>
      <c r="L928" s="322">
        <v>80005399</v>
      </c>
      <c r="M928" s="306" t="s">
        <v>3683</v>
      </c>
      <c r="N928" s="307" t="s">
        <v>2048</v>
      </c>
      <c r="O928" s="279" t="s">
        <v>3651</v>
      </c>
      <c r="P928" s="279" t="s">
        <v>3652</v>
      </c>
      <c r="Q928" s="279" t="s">
        <v>3653</v>
      </c>
      <c r="R928" s="350">
        <v>46097</v>
      </c>
      <c r="S928" s="351">
        <v>46752</v>
      </c>
      <c r="T928" s="310" t="s">
        <v>141</v>
      </c>
      <c r="U928" s="311" t="s">
        <v>141</v>
      </c>
      <c r="V928" s="280" t="s">
        <v>3684</v>
      </c>
      <c r="W928" s="312" t="s">
        <v>39</v>
      </c>
      <c r="X928" s="280" t="s">
        <v>3655</v>
      </c>
      <c r="Y928" s="280" t="s">
        <v>185</v>
      </c>
      <c r="Z928" s="279"/>
      <c r="AA928" s="313"/>
      <c r="AB928" s="314"/>
      <c r="AC928" s="315"/>
      <c r="AD928" s="316"/>
      <c r="AE928" s="279"/>
      <c r="AF928" s="309"/>
      <c r="AG928" s="278"/>
      <c r="AH928" s="278"/>
      <c r="AI928" s="278"/>
      <c r="AJ928" s="279"/>
    </row>
    <row r="929" spans="1:36" s="40" customFormat="1" ht="19.5" customHeight="1">
      <c r="A929" s="25">
        <f t="shared" si="14"/>
        <v>924</v>
      </c>
      <c r="B929" s="26">
        <v>6278834</v>
      </c>
      <c r="C929" s="27">
        <v>46111</v>
      </c>
      <c r="D929" s="28">
        <v>257.91000000000003</v>
      </c>
      <c r="E929" s="29">
        <v>2016.65</v>
      </c>
      <c r="F929" s="30" t="s">
        <v>3685</v>
      </c>
      <c r="G929" s="27">
        <v>46120</v>
      </c>
      <c r="H929" s="68">
        <v>257.91000000000003</v>
      </c>
      <c r="I929" s="29">
        <v>2016.65</v>
      </c>
      <c r="J929" s="34" t="s">
        <v>33</v>
      </c>
      <c r="K929" t="s">
        <v>34</v>
      </c>
      <c r="L929" s="35">
        <v>352256697</v>
      </c>
      <c r="M929" s="36" t="s">
        <v>2149</v>
      </c>
      <c r="N929" s="37" t="s">
        <v>1540</v>
      </c>
      <c r="O929" t="s">
        <v>3686</v>
      </c>
      <c r="P929" t="s">
        <v>3687</v>
      </c>
      <c r="Q929" t="s">
        <v>3688</v>
      </c>
      <c r="R929" s="332">
        <v>46113</v>
      </c>
      <c r="S929" s="333">
        <v>46494</v>
      </c>
      <c r="T929" s="332">
        <v>46113</v>
      </c>
      <c r="U929" s="333">
        <v>46494</v>
      </c>
      <c r="V929" s="40" t="s">
        <v>3689</v>
      </c>
      <c r="W929" s="41" t="s">
        <v>3151</v>
      </c>
      <c r="X929" s="40" t="s">
        <v>3690</v>
      </c>
      <c r="Y929" s="40" t="s">
        <v>56</v>
      </c>
      <c r="Z929"/>
      <c r="AA929" s="62"/>
      <c r="AB929" s="44"/>
      <c r="AC929" s="63">
        <v>10000322628</v>
      </c>
      <c r="AD929" s="46">
        <v>46132</v>
      </c>
      <c r="AE929">
        <v>3207388</v>
      </c>
      <c r="AF929" s="39">
        <v>46164</v>
      </c>
      <c r="AG929" s="49"/>
      <c r="AH929" s="49"/>
      <c r="AI929" s="49"/>
      <c r="AJ929"/>
    </row>
    <row r="930" spans="1:36" s="40" customFormat="1" ht="19.5" customHeight="1">
      <c r="A930" s="25">
        <f t="shared" si="14"/>
        <v>925</v>
      </c>
      <c r="B930" s="26">
        <v>6278938</v>
      </c>
      <c r="C930" s="27">
        <v>46111</v>
      </c>
      <c r="D930" s="28">
        <v>741.67</v>
      </c>
      <c r="E930" s="29">
        <v>5799.27</v>
      </c>
      <c r="F930" s="30" t="s">
        <v>3691</v>
      </c>
      <c r="G930" s="27">
        <v>46120</v>
      </c>
      <c r="H930" s="68">
        <v>741.67</v>
      </c>
      <c r="I930" s="29">
        <v>5799.27</v>
      </c>
      <c r="J930" s="34" t="s">
        <v>33</v>
      </c>
      <c r="K930" t="s">
        <v>34</v>
      </c>
      <c r="L930" s="35">
        <v>342255058</v>
      </c>
      <c r="M930" s="36" t="s">
        <v>2149</v>
      </c>
      <c r="N930" s="37" t="s">
        <v>1346</v>
      </c>
      <c r="O930" t="s">
        <v>3686</v>
      </c>
      <c r="P930" t="s">
        <v>3687</v>
      </c>
      <c r="Q930" t="s">
        <v>3688</v>
      </c>
      <c r="R930" s="332">
        <v>46113</v>
      </c>
      <c r="S930" s="333">
        <v>46494</v>
      </c>
      <c r="T930" s="332">
        <v>46130</v>
      </c>
      <c r="U930" s="333">
        <v>46494</v>
      </c>
      <c r="V930" s="40" t="s">
        <v>3689</v>
      </c>
      <c r="W930" s="41" t="s">
        <v>3151</v>
      </c>
      <c r="X930" s="40" t="s">
        <v>3690</v>
      </c>
      <c r="Y930" s="40" t="s">
        <v>56</v>
      </c>
      <c r="Z930"/>
      <c r="AA930" s="62"/>
      <c r="AB930" s="44"/>
      <c r="AC930" s="63">
        <v>10000322578</v>
      </c>
      <c r="AD930" s="46">
        <v>46132</v>
      </c>
      <c r="AE930">
        <v>3207385</v>
      </c>
      <c r="AF930" s="39">
        <v>46164</v>
      </c>
      <c r="AG930" s="49"/>
      <c r="AH930" s="49"/>
      <c r="AI930" s="49"/>
      <c r="AJ930"/>
    </row>
    <row r="931" spans="1:36" s="40" customFormat="1" ht="19.5" customHeight="1">
      <c r="A931" s="25">
        <f t="shared" si="14"/>
        <v>926</v>
      </c>
      <c r="B931" s="26">
        <v>6278983</v>
      </c>
      <c r="C931" s="27">
        <v>46111</v>
      </c>
      <c r="D931" s="28">
        <v>6241.26</v>
      </c>
      <c r="E931" s="29">
        <v>48801.66</v>
      </c>
      <c r="F931" s="30" t="s">
        <v>3692</v>
      </c>
      <c r="G931" s="27">
        <v>46112</v>
      </c>
      <c r="H931" s="68">
        <v>6241.26</v>
      </c>
      <c r="I931" s="29">
        <v>48801.66</v>
      </c>
      <c r="J931" s="34" t="s">
        <v>33</v>
      </c>
      <c r="K931" t="s">
        <v>34</v>
      </c>
      <c r="L931" s="35">
        <v>432009779</v>
      </c>
      <c r="M931" s="36" t="s">
        <v>2149</v>
      </c>
      <c r="N931" s="37" t="s">
        <v>1346</v>
      </c>
      <c r="O931" t="s">
        <v>3693</v>
      </c>
      <c r="P931" t="s">
        <v>3694</v>
      </c>
      <c r="Q931" t="s">
        <v>3695</v>
      </c>
      <c r="R931" s="332">
        <v>46105</v>
      </c>
      <c r="S931" s="333">
        <v>46469</v>
      </c>
      <c r="T931" s="332">
        <v>46105</v>
      </c>
      <c r="U931" s="333">
        <v>46469</v>
      </c>
      <c r="V931" s="40" t="s">
        <v>3689</v>
      </c>
      <c r="W931" s="41" t="s">
        <v>3151</v>
      </c>
      <c r="X931" s="40" t="s">
        <v>3696</v>
      </c>
      <c r="Y931" s="40" t="s">
        <v>56</v>
      </c>
      <c r="Z931"/>
      <c r="AA931" s="62"/>
      <c r="AB931" s="44"/>
      <c r="AC931" s="63">
        <v>10000322607</v>
      </c>
      <c r="AD931" s="46">
        <v>46132</v>
      </c>
      <c r="AE931"/>
      <c r="AF931" s="39"/>
      <c r="AG931" s="49"/>
      <c r="AH931" s="49"/>
      <c r="AI931" s="49"/>
      <c r="AJ931"/>
    </row>
    <row r="932" spans="1:36" s="40" customFormat="1" ht="19.5" customHeight="1">
      <c r="A932" s="25">
        <f t="shared" si="14"/>
        <v>927</v>
      </c>
      <c r="B932" s="26">
        <v>6280099</v>
      </c>
      <c r="C932" s="27">
        <v>46114</v>
      </c>
      <c r="D932" s="28">
        <v>9297.0300000000007</v>
      </c>
      <c r="E932" s="29">
        <v>72771.570000000007</v>
      </c>
      <c r="F932" s="30" t="s">
        <v>3697</v>
      </c>
      <c r="G932" s="27">
        <v>46125</v>
      </c>
      <c r="H932" s="32">
        <v>9026.66</v>
      </c>
      <c r="I932" s="33">
        <v>70655.278483999995</v>
      </c>
      <c r="J932" s="34" t="s">
        <v>33</v>
      </c>
      <c r="K932" t="s">
        <v>34</v>
      </c>
      <c r="L932" s="35">
        <v>322223303</v>
      </c>
      <c r="M932" s="36" t="s">
        <v>2359</v>
      </c>
      <c r="N932" s="37" t="s">
        <v>1377</v>
      </c>
      <c r="O932" t="s">
        <v>3698</v>
      </c>
      <c r="P932" t="s">
        <v>3699</v>
      </c>
      <c r="Q932" t="s">
        <v>3653</v>
      </c>
      <c r="R932" s="332">
        <v>46023</v>
      </c>
      <c r="S932" s="333">
        <v>46387</v>
      </c>
      <c r="T932" s="332">
        <v>46118</v>
      </c>
      <c r="U932" s="333">
        <v>46326</v>
      </c>
      <c r="V932" s="40" t="s">
        <v>521</v>
      </c>
      <c r="W932" s="41" t="s">
        <v>3151</v>
      </c>
      <c r="X932" s="40" t="s">
        <v>3700</v>
      </c>
      <c r="Y932" s="40" t="s">
        <v>185</v>
      </c>
      <c r="Z932"/>
      <c r="AA932" s="62"/>
      <c r="AB932" s="44"/>
      <c r="AC932" s="63">
        <v>10000322626</v>
      </c>
      <c r="AD932" s="46">
        <v>46132</v>
      </c>
      <c r="AE932">
        <v>3207391</v>
      </c>
      <c r="AF932" s="39">
        <v>46164</v>
      </c>
      <c r="AG932" s="49"/>
      <c r="AH932" s="49"/>
      <c r="AI932" s="49"/>
      <c r="AJ932"/>
    </row>
    <row r="933" spans="1:36" s="40" customFormat="1" ht="19.5" customHeight="1">
      <c r="A933" s="25">
        <f t="shared" si="14"/>
        <v>928</v>
      </c>
      <c r="B933" s="26">
        <v>6279162</v>
      </c>
      <c r="C933" s="27">
        <v>46112</v>
      </c>
      <c r="D933" s="28">
        <v>2249.7600000000002</v>
      </c>
      <c r="E933" s="29">
        <v>17591.32</v>
      </c>
      <c r="F933" s="30" t="s">
        <v>3701</v>
      </c>
      <c r="G933" s="27">
        <v>46114</v>
      </c>
      <c r="H933" s="68">
        <v>2249.7600000000002</v>
      </c>
      <c r="I933" s="29">
        <v>17591.32</v>
      </c>
      <c r="J933" s="34" t="s">
        <v>33</v>
      </c>
      <c r="K933" t="s">
        <v>34</v>
      </c>
      <c r="L933" s="35">
        <v>292300008</v>
      </c>
      <c r="M933" s="36" t="s">
        <v>2129</v>
      </c>
      <c r="N933" s="37" t="s">
        <v>1449</v>
      </c>
      <c r="O933" t="s">
        <v>3645</v>
      </c>
      <c r="P933" t="s">
        <v>3636</v>
      </c>
      <c r="Q933" t="s">
        <v>3637</v>
      </c>
      <c r="R933" s="332">
        <v>46113</v>
      </c>
      <c r="S933" s="333">
        <v>46477</v>
      </c>
      <c r="T933" s="332">
        <v>46113</v>
      </c>
      <c r="U933" s="333">
        <v>46477</v>
      </c>
      <c r="V933" s="40" t="s">
        <v>1654</v>
      </c>
      <c r="W933" s="41" t="s">
        <v>3151</v>
      </c>
      <c r="X933" s="40" t="s">
        <v>3638</v>
      </c>
      <c r="Y933" s="40" t="s">
        <v>56</v>
      </c>
      <c r="Z933"/>
      <c r="AA933" s="62"/>
      <c r="AB933" s="44"/>
      <c r="AC933" s="63">
        <v>10000322627</v>
      </c>
      <c r="AD933" s="46">
        <v>46132</v>
      </c>
      <c r="AE933">
        <v>3207445</v>
      </c>
      <c r="AF933" s="39">
        <v>46165</v>
      </c>
      <c r="AG933" s="49"/>
      <c r="AH933" s="49"/>
      <c r="AI933" s="49"/>
      <c r="AJ933"/>
    </row>
    <row r="934" spans="1:36" s="40" customFormat="1" ht="19.5" customHeight="1">
      <c r="A934" s="25">
        <f t="shared" si="14"/>
        <v>929</v>
      </c>
      <c r="B934" s="26">
        <v>6279170</v>
      </c>
      <c r="C934" s="27">
        <v>46112</v>
      </c>
      <c r="D934" s="219" t="s">
        <v>141</v>
      </c>
      <c r="E934" s="72">
        <v>42530</v>
      </c>
      <c r="F934" s="30" t="s">
        <v>3702</v>
      </c>
      <c r="G934" s="27">
        <v>46113</v>
      </c>
      <c r="H934" s="293" t="s">
        <v>141</v>
      </c>
      <c r="I934" s="220">
        <v>38277</v>
      </c>
      <c r="J934" s="34" t="s">
        <v>33</v>
      </c>
      <c r="K934" t="s">
        <v>139</v>
      </c>
      <c r="L934" s="35">
        <v>80005389</v>
      </c>
      <c r="M934" s="36" t="s">
        <v>3703</v>
      </c>
      <c r="N934" s="75" t="s">
        <v>1404</v>
      </c>
      <c r="O934" t="s">
        <v>3698</v>
      </c>
      <c r="P934" t="s">
        <v>3699</v>
      </c>
      <c r="Q934" t="s">
        <v>3653</v>
      </c>
      <c r="R934" s="332">
        <v>46023</v>
      </c>
      <c r="S934" s="333">
        <v>46387</v>
      </c>
      <c r="T934" s="50" t="s">
        <v>141</v>
      </c>
      <c r="U934" s="47" t="s">
        <v>141</v>
      </c>
      <c r="V934" s="40" t="s">
        <v>521</v>
      </c>
      <c r="W934" s="41" t="s">
        <v>39</v>
      </c>
      <c r="X934" s="40" t="s">
        <v>3704</v>
      </c>
      <c r="Y934" s="40" t="s">
        <v>185</v>
      </c>
      <c r="Z934"/>
      <c r="AA934" s="62">
        <v>90007816</v>
      </c>
      <c r="AB934" s="44">
        <v>46184</v>
      </c>
      <c r="AC934" s="63">
        <v>60017862</v>
      </c>
      <c r="AD934" s="46">
        <v>46184</v>
      </c>
      <c r="AE934">
        <v>3217625</v>
      </c>
      <c r="AF934" s="39">
        <v>46246</v>
      </c>
      <c r="AG934" s="49"/>
      <c r="AH934" s="49"/>
      <c r="AI934" s="49"/>
      <c r="AJ934"/>
    </row>
    <row r="935" spans="1:36" s="40" customFormat="1" ht="19.5" customHeight="1">
      <c r="A935" s="25">
        <f t="shared" si="14"/>
        <v>930</v>
      </c>
      <c r="B935" s="26">
        <v>6280003</v>
      </c>
      <c r="C935" s="27">
        <v>46113</v>
      </c>
      <c r="D935" s="28">
        <v>1850.2</v>
      </c>
      <c r="E935" s="29">
        <v>14482.26</v>
      </c>
      <c r="F935" s="30" t="s">
        <v>3705</v>
      </c>
      <c r="G935" s="27">
        <v>46120</v>
      </c>
      <c r="H935" s="68">
        <v>1850.2</v>
      </c>
      <c r="I935" s="29">
        <v>14482.26</v>
      </c>
      <c r="J935" s="34" t="s">
        <v>33</v>
      </c>
      <c r="K935" t="s">
        <v>34</v>
      </c>
      <c r="L935" s="35">
        <v>402019805</v>
      </c>
      <c r="M935" s="36" t="s">
        <v>2149</v>
      </c>
      <c r="N935" s="37" t="s">
        <v>1346</v>
      </c>
      <c r="O935" t="s">
        <v>3706</v>
      </c>
      <c r="P935" t="s">
        <v>3707</v>
      </c>
      <c r="Q935" t="s">
        <v>3450</v>
      </c>
      <c r="R935" s="332">
        <v>46113</v>
      </c>
      <c r="S935" s="333">
        <v>46477</v>
      </c>
      <c r="T935" s="332">
        <v>46113</v>
      </c>
      <c r="U935" s="333">
        <v>46477</v>
      </c>
      <c r="V935" s="40" t="s">
        <v>521</v>
      </c>
      <c r="W935" s="41" t="s">
        <v>3151</v>
      </c>
      <c r="X935" s="40" t="s">
        <v>3708</v>
      </c>
      <c r="Y935" s="40" t="s">
        <v>56</v>
      </c>
      <c r="Z935"/>
      <c r="AA935" s="62"/>
      <c r="AB935" s="44"/>
      <c r="AC935" s="63">
        <v>10000322579</v>
      </c>
      <c r="AD935" s="46">
        <v>46132</v>
      </c>
      <c r="AE935"/>
      <c r="AF935" s="39"/>
      <c r="AG935" s="49"/>
      <c r="AH935" s="49"/>
      <c r="AI935" s="49"/>
      <c r="AJ935"/>
    </row>
    <row r="936" spans="1:36" s="40" customFormat="1" ht="19.5" customHeight="1">
      <c r="A936" s="25">
        <f t="shared" si="14"/>
        <v>931</v>
      </c>
      <c r="B936" s="26">
        <v>6280088</v>
      </c>
      <c r="C936" s="27">
        <v>46114</v>
      </c>
      <c r="D936" s="28">
        <v>427.36</v>
      </c>
      <c r="E936" s="29">
        <v>3345.12</v>
      </c>
      <c r="F936" s="30" t="s">
        <v>3709</v>
      </c>
      <c r="G936" s="27">
        <v>46122</v>
      </c>
      <c r="H936" s="28">
        <v>427.36</v>
      </c>
      <c r="I936" s="29">
        <v>3345.12</v>
      </c>
      <c r="J936" s="34" t="s">
        <v>33</v>
      </c>
      <c r="K936" t="s">
        <v>34</v>
      </c>
      <c r="L936" s="35">
        <v>342240075</v>
      </c>
      <c r="M936" s="36" t="s">
        <v>3710</v>
      </c>
      <c r="N936" s="37" t="s">
        <v>1346</v>
      </c>
      <c r="O936" t="s">
        <v>3711</v>
      </c>
      <c r="P936" t="s">
        <v>3712</v>
      </c>
      <c r="Q936" t="s">
        <v>3713</v>
      </c>
      <c r="R936" s="332">
        <v>46113</v>
      </c>
      <c r="S936" s="333">
        <v>46477</v>
      </c>
      <c r="T936" s="332">
        <v>46113</v>
      </c>
      <c r="U936" s="333">
        <v>46477</v>
      </c>
      <c r="V936" s="40" t="s">
        <v>735</v>
      </c>
      <c r="W936" s="41" t="s">
        <v>3151</v>
      </c>
      <c r="X936" s="40" t="s">
        <v>3714</v>
      </c>
      <c r="Y936" s="40" t="s">
        <v>56</v>
      </c>
      <c r="Z936"/>
      <c r="AA936" s="62"/>
      <c r="AB936" s="44"/>
      <c r="AC936" s="63">
        <v>10000322631</v>
      </c>
      <c r="AD936" s="46">
        <v>46132</v>
      </c>
      <c r="AE936"/>
      <c r="AF936" s="39"/>
      <c r="AG936" s="49"/>
      <c r="AH936" s="49"/>
      <c r="AI936" s="49"/>
      <c r="AJ936"/>
    </row>
    <row r="937" spans="1:36" s="40" customFormat="1" ht="19.5" customHeight="1">
      <c r="A937" s="25">
        <f t="shared" si="14"/>
        <v>932</v>
      </c>
      <c r="B937" s="26">
        <v>6280179</v>
      </c>
      <c r="C937" s="27">
        <v>46114</v>
      </c>
      <c r="D937" s="80" t="s">
        <v>141</v>
      </c>
      <c r="E937" s="29">
        <v>108613.35</v>
      </c>
      <c r="F937" s="30" t="s">
        <v>3715</v>
      </c>
      <c r="G937" s="27">
        <v>46120</v>
      </c>
      <c r="H937" s="28" t="s">
        <v>141</v>
      </c>
      <c r="I937" s="33">
        <v>108613.35</v>
      </c>
      <c r="J937" s="34" t="s">
        <v>103</v>
      </c>
      <c r="K937" t="s">
        <v>107</v>
      </c>
      <c r="L937" s="35" t="s">
        <v>3716</v>
      </c>
      <c r="M937" s="36" t="s">
        <v>3717</v>
      </c>
      <c r="N937" s="37" t="s">
        <v>1458</v>
      </c>
      <c r="O937" t="s">
        <v>3718</v>
      </c>
      <c r="P937" t="s">
        <v>3719</v>
      </c>
      <c r="Q937" t="s">
        <v>3210</v>
      </c>
      <c r="R937" s="332">
        <v>46158</v>
      </c>
      <c r="S937" s="333">
        <v>46522</v>
      </c>
      <c r="T937" s="332">
        <v>46158</v>
      </c>
      <c r="U937" s="333">
        <v>46522</v>
      </c>
      <c r="V937" s="40" t="s">
        <v>1654</v>
      </c>
      <c r="W937" s="41" t="s">
        <v>39</v>
      </c>
      <c r="X937" s="40" t="s">
        <v>3720</v>
      </c>
      <c r="Y937" s="40" t="s">
        <v>56</v>
      </c>
      <c r="Z937"/>
      <c r="AA937" s="62" t="s">
        <v>3721</v>
      </c>
      <c r="AB937" s="44">
        <v>46127</v>
      </c>
      <c r="AC937" s="63"/>
      <c r="AD937" s="46"/>
      <c r="AE937"/>
      <c r="AF937" s="39"/>
      <c r="AG937" s="49"/>
      <c r="AH937" s="49"/>
      <c r="AI937" s="49"/>
      <c r="AJ937"/>
    </row>
    <row r="938" spans="1:36" s="40" customFormat="1" ht="19.5" customHeight="1">
      <c r="A938" s="25">
        <f t="shared" si="14"/>
        <v>933</v>
      </c>
      <c r="B938" s="26">
        <v>6280253</v>
      </c>
      <c r="C938" s="27">
        <v>46114</v>
      </c>
      <c r="D938" s="80" t="s">
        <v>141</v>
      </c>
      <c r="E938" s="29">
        <v>4200</v>
      </c>
      <c r="F938" s="30" t="s">
        <v>3722</v>
      </c>
      <c r="G938" s="27">
        <v>46120</v>
      </c>
      <c r="H938" s="80" t="s">
        <v>141</v>
      </c>
      <c r="I938" s="33">
        <v>4200</v>
      </c>
      <c r="J938" s="34" t="s">
        <v>33</v>
      </c>
      <c r="K938" t="s">
        <v>139</v>
      </c>
      <c r="L938" s="35">
        <v>80005409</v>
      </c>
      <c r="M938" s="36" t="s">
        <v>3723</v>
      </c>
      <c r="N938" s="37" t="s">
        <v>3724</v>
      </c>
      <c r="O938" t="s">
        <v>3569</v>
      </c>
      <c r="P938" t="s">
        <v>3570</v>
      </c>
      <c r="Q938" t="s">
        <v>3571</v>
      </c>
      <c r="R938" s="332">
        <v>46092</v>
      </c>
      <c r="S938" s="333">
        <v>46456</v>
      </c>
      <c r="T938" s="332">
        <v>46092</v>
      </c>
      <c r="U938" s="333">
        <v>46456</v>
      </c>
      <c r="V938" s="40" t="s">
        <v>3485</v>
      </c>
      <c r="W938" s="41" t="s">
        <v>39</v>
      </c>
      <c r="X938" s="40" t="s">
        <v>3572</v>
      </c>
      <c r="Y938" s="40" t="s">
        <v>56</v>
      </c>
      <c r="Z938"/>
      <c r="AA938" s="62" t="s">
        <v>3725</v>
      </c>
      <c r="AB938" s="44">
        <v>46121</v>
      </c>
      <c r="AC938" s="63">
        <v>60017537</v>
      </c>
      <c r="AD938" s="46">
        <v>46114</v>
      </c>
      <c r="AE938"/>
      <c r="AF938" s="39"/>
      <c r="AG938" s="49"/>
      <c r="AH938" s="49"/>
      <c r="AI938" s="49"/>
      <c r="AJ938"/>
    </row>
    <row r="939" spans="1:36" s="201" customFormat="1" ht="19.5" customHeight="1">
      <c r="A939" s="193">
        <f t="shared" si="14"/>
        <v>934</v>
      </c>
      <c r="B939" s="91">
        <v>6280497</v>
      </c>
      <c r="C939" s="92">
        <v>46120</v>
      </c>
      <c r="D939" s="352" t="s">
        <v>141</v>
      </c>
      <c r="E939" s="244"/>
      <c r="F939" s="93" t="s">
        <v>3726</v>
      </c>
      <c r="G939" s="92">
        <v>46121</v>
      </c>
      <c r="H939" s="353" t="s">
        <v>3727</v>
      </c>
      <c r="I939" s="244"/>
      <c r="J939" s="94" t="s">
        <v>159</v>
      </c>
      <c r="K939" s="95" t="s">
        <v>398</v>
      </c>
      <c r="L939" s="95" t="s">
        <v>3728</v>
      </c>
      <c r="M939" s="96" t="s">
        <v>3729</v>
      </c>
      <c r="N939" s="245" t="s">
        <v>1563</v>
      </c>
      <c r="O939" s="95" t="s">
        <v>3730</v>
      </c>
      <c r="P939" s="95" t="s">
        <v>3731</v>
      </c>
      <c r="Q939" s="95" t="s">
        <v>3732</v>
      </c>
      <c r="R939" s="354">
        <v>46128</v>
      </c>
      <c r="S939" s="355">
        <v>46492</v>
      </c>
      <c r="T939" s="218" t="s">
        <v>141</v>
      </c>
      <c r="U939" s="199" t="s">
        <v>141</v>
      </c>
      <c r="V939" s="201" t="s">
        <v>1306</v>
      </c>
      <c r="W939" s="202" t="s">
        <v>39</v>
      </c>
      <c r="X939" s="201">
        <v>28737297</v>
      </c>
      <c r="Y939" s="201" t="s">
        <v>56</v>
      </c>
      <c r="Z939" s="95"/>
      <c r="AA939" s="204"/>
      <c r="AB939" s="205"/>
      <c r="AC939" s="206"/>
      <c r="AD939" s="207"/>
      <c r="AE939" s="95"/>
      <c r="AF939" s="200" t="s">
        <v>3733</v>
      </c>
      <c r="AG939" s="209"/>
      <c r="AH939" s="209"/>
      <c r="AI939" s="209"/>
      <c r="AJ939" s="95"/>
    </row>
    <row r="940" spans="1:36" s="40" customFormat="1" ht="19.5" customHeight="1">
      <c r="A940" s="25">
        <f t="shared" si="14"/>
        <v>935</v>
      </c>
      <c r="B940" s="26">
        <v>6280566</v>
      </c>
      <c r="C940" s="27">
        <v>46120</v>
      </c>
      <c r="D940" s="80" t="s">
        <v>141</v>
      </c>
      <c r="E940" s="29">
        <v>2170</v>
      </c>
      <c r="F940" s="30" t="s">
        <v>3734</v>
      </c>
      <c r="G940" s="27">
        <v>46120</v>
      </c>
      <c r="H940" s="80" t="s">
        <v>141</v>
      </c>
      <c r="I940" s="29">
        <v>2170</v>
      </c>
      <c r="J940" s="34" t="s">
        <v>33</v>
      </c>
      <c r="K940" t="s">
        <v>139</v>
      </c>
      <c r="L940" s="35">
        <v>80005392</v>
      </c>
      <c r="M940" s="36" t="s">
        <v>3735</v>
      </c>
      <c r="N940" s="37" t="s">
        <v>1383</v>
      </c>
      <c r="O940" t="s">
        <v>3736</v>
      </c>
      <c r="P940" t="s">
        <v>3737</v>
      </c>
      <c r="Q940" t="s">
        <v>903</v>
      </c>
      <c r="R940" s="332">
        <v>46067</v>
      </c>
      <c r="S940" s="333">
        <v>46804</v>
      </c>
      <c r="T940" s="332">
        <v>46075</v>
      </c>
      <c r="U940" s="333">
        <v>46804</v>
      </c>
      <c r="V940" s="40" t="s">
        <v>375</v>
      </c>
      <c r="W940" s="41" t="s">
        <v>39</v>
      </c>
      <c r="X940" s="40" t="s">
        <v>3738</v>
      </c>
      <c r="Y940" s="40" t="s">
        <v>56</v>
      </c>
      <c r="Z940"/>
      <c r="AA940" s="62"/>
      <c r="AB940" s="44"/>
      <c r="AC940" s="63"/>
      <c r="AD940" s="46"/>
      <c r="AE940">
        <v>3221268</v>
      </c>
      <c r="AF940" s="39">
        <v>46273</v>
      </c>
      <c r="AG940" s="49"/>
      <c r="AH940" s="49"/>
      <c r="AI940" s="49"/>
      <c r="AJ940"/>
    </row>
    <row r="941" spans="1:36" s="40" customFormat="1" ht="19.5" customHeight="1">
      <c r="A941" s="25">
        <f t="shared" si="14"/>
        <v>936</v>
      </c>
      <c r="B941" s="291" t="s">
        <v>141</v>
      </c>
      <c r="C941" s="31" t="s">
        <v>141</v>
      </c>
      <c r="D941" s="219" t="s">
        <v>141</v>
      </c>
      <c r="E941" s="294" t="s">
        <v>141</v>
      </c>
      <c r="F941" s="30" t="s">
        <v>3739</v>
      </c>
      <c r="G941" s="27">
        <v>46120</v>
      </c>
      <c r="H941" s="219" t="s">
        <v>141</v>
      </c>
      <c r="I941" s="74">
        <v>3740</v>
      </c>
      <c r="J941" s="34" t="s">
        <v>3421</v>
      </c>
      <c r="K941" t="s">
        <v>139</v>
      </c>
      <c r="L941" s="35">
        <v>80005393</v>
      </c>
      <c r="M941" s="36" t="s">
        <v>3740</v>
      </c>
      <c r="N941" s="75" t="s">
        <v>1404</v>
      </c>
      <c r="O941" t="s">
        <v>3736</v>
      </c>
      <c r="P941" t="s">
        <v>3737</v>
      </c>
      <c r="Q941" t="s">
        <v>903</v>
      </c>
      <c r="R941" s="332">
        <v>46067</v>
      </c>
      <c r="S941" s="333">
        <v>46804</v>
      </c>
      <c r="T941" s="50" t="s">
        <v>141</v>
      </c>
      <c r="U941" s="47" t="s">
        <v>141</v>
      </c>
      <c r="V941" s="40" t="s">
        <v>375</v>
      </c>
      <c r="W941" s="41" t="s">
        <v>39</v>
      </c>
      <c r="X941" s="40" t="s">
        <v>3738</v>
      </c>
      <c r="Y941" s="40" t="s">
        <v>185</v>
      </c>
      <c r="Z941"/>
      <c r="AA941" s="62">
        <v>90007655</v>
      </c>
      <c r="AB941" s="44">
        <v>46136</v>
      </c>
      <c r="AC941" s="63">
        <v>60017619</v>
      </c>
      <c r="AD941" s="46">
        <v>46136</v>
      </c>
      <c r="AE941">
        <v>3221259</v>
      </c>
      <c r="AF941" s="39">
        <v>46273</v>
      </c>
      <c r="AG941" s="49"/>
      <c r="AH941" s="49"/>
      <c r="AI941" s="49"/>
      <c r="AJ941"/>
    </row>
    <row r="942" spans="1:36" s="40" customFormat="1" ht="19.5" customHeight="1">
      <c r="A942" s="25">
        <f t="shared" si="14"/>
        <v>937</v>
      </c>
      <c r="B942" s="26">
        <v>6280850</v>
      </c>
      <c r="C942" s="27">
        <v>46120</v>
      </c>
      <c r="D942" s="28">
        <v>1796.07</v>
      </c>
      <c r="E942" s="29">
        <v>14058.56</v>
      </c>
      <c r="F942" s="30" t="s">
        <v>3741</v>
      </c>
      <c r="G942" s="27">
        <v>46122</v>
      </c>
      <c r="H942" s="32">
        <v>1764.15</v>
      </c>
      <c r="I942" s="33">
        <v>13808.707710000001</v>
      </c>
      <c r="J942" s="34" t="s">
        <v>33</v>
      </c>
      <c r="K942" t="s">
        <v>34</v>
      </c>
      <c r="L942" s="334">
        <v>382252528</v>
      </c>
      <c r="M942" s="36" t="s">
        <v>3742</v>
      </c>
      <c r="N942" s="37" t="s">
        <v>1346</v>
      </c>
      <c r="O942" t="s">
        <v>3743</v>
      </c>
      <c r="P942" t="s">
        <v>3744</v>
      </c>
      <c r="Q942" t="s">
        <v>3745</v>
      </c>
      <c r="R942" s="332">
        <v>46041</v>
      </c>
      <c r="S942" s="333">
        <v>46405</v>
      </c>
      <c r="T942" s="332">
        <v>46379</v>
      </c>
      <c r="U942" s="333">
        <v>46743</v>
      </c>
      <c r="V942" s="40" t="s">
        <v>3746</v>
      </c>
      <c r="W942" s="41" t="s">
        <v>3151</v>
      </c>
      <c r="X942" s="40" t="s">
        <v>3747</v>
      </c>
      <c r="Y942" s="40" t="s">
        <v>56</v>
      </c>
      <c r="Z942"/>
      <c r="AA942" s="62"/>
      <c r="AB942" s="44"/>
      <c r="AC942" s="63">
        <v>10000322580</v>
      </c>
      <c r="AD942" s="46">
        <v>46132</v>
      </c>
      <c r="AE942"/>
      <c r="AF942" s="39"/>
      <c r="AG942" s="49"/>
      <c r="AH942" s="49"/>
      <c r="AI942" s="49"/>
      <c r="AJ942"/>
    </row>
    <row r="943" spans="1:36" s="40" customFormat="1" ht="19.5" customHeight="1">
      <c r="A943" s="25">
        <f t="shared" si="14"/>
        <v>938</v>
      </c>
      <c r="B943" s="26">
        <v>6281041</v>
      </c>
      <c r="C943" s="27">
        <v>46121</v>
      </c>
      <c r="D943" s="28">
        <v>23641.29</v>
      </c>
      <c r="E943" s="29">
        <v>185049.83</v>
      </c>
      <c r="F943" s="30" t="s">
        <v>3748</v>
      </c>
      <c r="G943" s="27">
        <v>46127</v>
      </c>
      <c r="H943" s="28">
        <v>23641.29</v>
      </c>
      <c r="I943" s="29">
        <v>185049.83</v>
      </c>
      <c r="J943" s="34" t="s">
        <v>33</v>
      </c>
      <c r="K943" t="s">
        <v>34</v>
      </c>
      <c r="L943" s="35">
        <v>222317661</v>
      </c>
      <c r="M943" s="36" t="s">
        <v>3749</v>
      </c>
      <c r="N943" s="37" t="s">
        <v>1346</v>
      </c>
      <c r="O943" t="s">
        <v>3750</v>
      </c>
      <c r="P943" t="s">
        <v>3751</v>
      </c>
      <c r="Q943" t="s">
        <v>3752</v>
      </c>
      <c r="R943" s="332">
        <v>46113</v>
      </c>
      <c r="S943" s="333">
        <v>46112</v>
      </c>
      <c r="T943" s="332">
        <v>46113</v>
      </c>
      <c r="U943" s="333">
        <v>46112</v>
      </c>
      <c r="V943" s="40" t="s">
        <v>3753</v>
      </c>
      <c r="W943" s="41" t="s">
        <v>3151</v>
      </c>
      <c r="X943" s="40" t="s">
        <v>3754</v>
      </c>
      <c r="Y943" s="40" t="s">
        <v>56</v>
      </c>
      <c r="Z943"/>
      <c r="AA943" s="62"/>
      <c r="AB943" s="44"/>
      <c r="AC943" s="63">
        <v>10000322591</v>
      </c>
      <c r="AD943" s="46">
        <v>46132</v>
      </c>
      <c r="AE943"/>
      <c r="AF943" s="39"/>
      <c r="AG943" s="49"/>
      <c r="AH943" s="49"/>
      <c r="AI943" s="49"/>
      <c r="AJ943"/>
    </row>
    <row r="944" spans="1:36" s="40" customFormat="1" ht="19.5" customHeight="1">
      <c r="A944" s="25">
        <f t="shared" si="14"/>
        <v>939</v>
      </c>
      <c r="B944" s="26">
        <v>6281340</v>
      </c>
      <c r="C944" s="27">
        <v>46121</v>
      </c>
      <c r="D944" s="356">
        <v>1033.57</v>
      </c>
      <c r="E944" s="29">
        <v>8090.17</v>
      </c>
      <c r="F944" s="30" t="s">
        <v>3755</v>
      </c>
      <c r="G944" s="27">
        <v>46126</v>
      </c>
      <c r="H944" s="356">
        <v>1033.57</v>
      </c>
      <c r="I944" s="29">
        <v>8090.17</v>
      </c>
      <c r="J944" s="34" t="s">
        <v>33</v>
      </c>
      <c r="K944" t="s">
        <v>34</v>
      </c>
      <c r="L944" s="35">
        <v>302255588</v>
      </c>
      <c r="M944" s="36" t="s">
        <v>2129</v>
      </c>
      <c r="N944" s="37" t="s">
        <v>1346</v>
      </c>
      <c r="O944" t="s">
        <v>3756</v>
      </c>
      <c r="P944" t="s">
        <v>3757</v>
      </c>
      <c r="Q944" t="s">
        <v>3758</v>
      </c>
      <c r="R944" s="332">
        <v>46113</v>
      </c>
      <c r="S944" s="333">
        <v>46557</v>
      </c>
      <c r="T944" s="332">
        <v>46140</v>
      </c>
      <c r="U944" s="333">
        <v>46504</v>
      </c>
      <c r="V944" s="40" t="s">
        <v>38</v>
      </c>
      <c r="W944" s="41" t="s">
        <v>3151</v>
      </c>
      <c r="X944" s="40" t="s">
        <v>3759</v>
      </c>
      <c r="Y944" s="40" t="s">
        <v>185</v>
      </c>
      <c r="Z944"/>
      <c r="AA944" s="62"/>
      <c r="AB944" s="44"/>
      <c r="AC944" s="63">
        <v>10000322635</v>
      </c>
      <c r="AD944" s="46">
        <v>46132</v>
      </c>
      <c r="AE944"/>
      <c r="AF944" s="39"/>
      <c r="AG944" s="49"/>
      <c r="AH944" s="49"/>
      <c r="AI944" s="49"/>
      <c r="AJ944"/>
    </row>
    <row r="945" spans="1:36" s="40" customFormat="1" ht="19.5" customHeight="1">
      <c r="A945" s="25">
        <f t="shared" si="14"/>
        <v>940</v>
      </c>
      <c r="B945" s="26">
        <v>6281164</v>
      </c>
      <c r="C945" s="27">
        <v>46121</v>
      </c>
      <c r="D945" s="219" t="s">
        <v>141</v>
      </c>
      <c r="E945" s="72">
        <v>26720</v>
      </c>
      <c r="F945" s="30" t="s">
        <v>3760</v>
      </c>
      <c r="G945" s="27">
        <v>46121</v>
      </c>
      <c r="H945" s="293" t="s">
        <v>141</v>
      </c>
      <c r="I945" s="72">
        <v>26720</v>
      </c>
      <c r="J945" s="34" t="s">
        <v>33</v>
      </c>
      <c r="K945" t="s">
        <v>139</v>
      </c>
      <c r="L945" s="35">
        <v>80005411</v>
      </c>
      <c r="M945" s="36" t="s">
        <v>3761</v>
      </c>
      <c r="N945" s="75" t="s">
        <v>1404</v>
      </c>
      <c r="O945" t="s">
        <v>3750</v>
      </c>
      <c r="P945" t="s">
        <v>3751</v>
      </c>
      <c r="Q945" t="s">
        <v>3752</v>
      </c>
      <c r="R945" s="332">
        <v>46113</v>
      </c>
      <c r="S945" s="333">
        <v>46112</v>
      </c>
      <c r="T945" s="50" t="s">
        <v>141</v>
      </c>
      <c r="U945" s="47" t="s">
        <v>141</v>
      </c>
      <c r="V945" s="40" t="s">
        <v>375</v>
      </c>
      <c r="W945" s="41" t="s">
        <v>39</v>
      </c>
      <c r="X945" s="40" t="s">
        <v>3754</v>
      </c>
      <c r="Y945" s="40" t="s">
        <v>56</v>
      </c>
      <c r="Z945"/>
      <c r="AA945" s="62">
        <v>90007743</v>
      </c>
      <c r="AB945" s="44">
        <v>46171</v>
      </c>
      <c r="AC945" s="63">
        <v>60017769</v>
      </c>
      <c r="AD945" s="46">
        <v>46171</v>
      </c>
      <c r="AE945"/>
      <c r="AF945" s="39"/>
      <c r="AG945" s="49"/>
      <c r="AH945" s="49"/>
      <c r="AI945" s="49"/>
      <c r="AJ945"/>
    </row>
    <row r="946" spans="1:36" s="40" customFormat="1" ht="19.5" customHeight="1">
      <c r="A946" s="25">
        <f t="shared" si="14"/>
        <v>941</v>
      </c>
      <c r="B946" s="26">
        <v>6281327</v>
      </c>
      <c r="C946" s="27">
        <v>46121</v>
      </c>
      <c r="D946" s="80" t="s">
        <v>141</v>
      </c>
      <c r="E946" s="29">
        <v>49751.9</v>
      </c>
      <c r="F946" s="30" t="s">
        <v>3762</v>
      </c>
      <c r="G946" s="27">
        <v>46121</v>
      </c>
      <c r="H946" s="80" t="s">
        <v>141</v>
      </c>
      <c r="I946" s="29">
        <v>49751.9</v>
      </c>
      <c r="J946" s="34" t="s">
        <v>159</v>
      </c>
      <c r="K946" t="s">
        <v>160</v>
      </c>
      <c r="L946" s="35" t="s">
        <v>3763</v>
      </c>
      <c r="M946" s="36" t="s">
        <v>3764</v>
      </c>
      <c r="N946" s="37" t="s">
        <v>1651</v>
      </c>
      <c r="O946" t="s">
        <v>3765</v>
      </c>
      <c r="P946" t="s">
        <v>3766</v>
      </c>
      <c r="Q946" t="s">
        <v>3767</v>
      </c>
      <c r="R946" s="332">
        <v>46095</v>
      </c>
      <c r="S946" s="333">
        <v>46459</v>
      </c>
      <c r="T946" s="50" t="s">
        <v>141</v>
      </c>
      <c r="U946" s="47" t="s">
        <v>141</v>
      </c>
      <c r="V946" s="40" t="s">
        <v>690</v>
      </c>
      <c r="W946" s="41" t="s">
        <v>39</v>
      </c>
      <c r="X946" s="40" t="s">
        <v>3768</v>
      </c>
      <c r="Y946" s="40" t="s">
        <v>185</v>
      </c>
      <c r="Z946"/>
      <c r="AA946" s="62"/>
      <c r="AB946" s="44"/>
      <c r="AC946" s="63"/>
      <c r="AD946" s="46"/>
      <c r="AE946"/>
      <c r="AF946" s="39"/>
      <c r="AG946" s="49"/>
      <c r="AH946" s="49"/>
      <c r="AI946" s="49"/>
      <c r="AJ946"/>
    </row>
    <row r="947" spans="1:36" s="40" customFormat="1" ht="19.5" customHeight="1">
      <c r="A947" s="25">
        <f t="shared" si="14"/>
        <v>942</v>
      </c>
      <c r="B947" s="26">
        <v>6281343</v>
      </c>
      <c r="C947" s="27">
        <v>46121</v>
      </c>
      <c r="D947" s="80" t="s">
        <v>141</v>
      </c>
      <c r="E947" s="29">
        <v>8981.0400000000009</v>
      </c>
      <c r="F947" s="30" t="s">
        <v>3769</v>
      </c>
      <c r="G947" s="27">
        <v>46121</v>
      </c>
      <c r="H947" s="80" t="s">
        <v>141</v>
      </c>
      <c r="I947" s="29">
        <v>8981.0400000000009</v>
      </c>
      <c r="J947" s="34" t="s">
        <v>159</v>
      </c>
      <c r="K947" t="s">
        <v>160</v>
      </c>
      <c r="L947" s="35" t="s">
        <v>3770</v>
      </c>
      <c r="M947" s="36" t="s">
        <v>3771</v>
      </c>
      <c r="N947" s="37" t="s">
        <v>1615</v>
      </c>
      <c r="O947" t="s">
        <v>3765</v>
      </c>
      <c r="P947" t="s">
        <v>3766</v>
      </c>
      <c r="Q947" t="s">
        <v>3767</v>
      </c>
      <c r="R947" s="332">
        <v>46095</v>
      </c>
      <c r="S947" s="333">
        <v>46459</v>
      </c>
      <c r="T947" s="50" t="s">
        <v>141</v>
      </c>
      <c r="U947" s="47" t="s">
        <v>141</v>
      </c>
      <c r="V947" s="40" t="s">
        <v>690</v>
      </c>
      <c r="W947" s="41" t="s">
        <v>39</v>
      </c>
      <c r="X947" s="40" t="s">
        <v>3768</v>
      </c>
      <c r="Y947" s="40" t="s">
        <v>185</v>
      </c>
      <c r="Z947"/>
      <c r="AA947" s="62"/>
      <c r="AB947" s="44"/>
      <c r="AC947" s="63"/>
      <c r="AD947" s="46"/>
      <c r="AE947"/>
      <c r="AF947" s="39"/>
      <c r="AG947" s="49"/>
      <c r="AH947" s="49"/>
      <c r="AI947" s="49"/>
      <c r="AJ947"/>
    </row>
    <row r="948" spans="1:36" s="40" customFormat="1" ht="19.5" customHeight="1">
      <c r="A948" s="25">
        <f t="shared" si="14"/>
        <v>943</v>
      </c>
      <c r="B948" s="291" t="s">
        <v>141</v>
      </c>
      <c r="C948" s="31" t="s">
        <v>141</v>
      </c>
      <c r="D948" s="219" t="s">
        <v>141</v>
      </c>
      <c r="E948" s="294" t="s">
        <v>141</v>
      </c>
      <c r="F948" s="30" t="s">
        <v>3772</v>
      </c>
      <c r="G948" s="27">
        <v>46122</v>
      </c>
      <c r="H948" s="219" t="s">
        <v>141</v>
      </c>
      <c r="I948" s="74">
        <v>2030</v>
      </c>
      <c r="J948" s="34" t="s">
        <v>33</v>
      </c>
      <c r="K948" t="s">
        <v>139</v>
      </c>
      <c r="L948" s="35">
        <v>80005368</v>
      </c>
      <c r="M948" s="36" t="s">
        <v>3773</v>
      </c>
      <c r="N948" s="75" t="s">
        <v>1404</v>
      </c>
      <c r="O948" t="s">
        <v>3774</v>
      </c>
      <c r="P948" t="s">
        <v>3619</v>
      </c>
      <c r="Q948" t="s">
        <v>3775</v>
      </c>
      <c r="R948" s="332">
        <v>46143</v>
      </c>
      <c r="S948" s="333">
        <v>46507</v>
      </c>
      <c r="T948" s="50" t="s">
        <v>141</v>
      </c>
      <c r="U948" s="47" t="s">
        <v>141</v>
      </c>
      <c r="V948" s="40" t="s">
        <v>1374</v>
      </c>
      <c r="W948" s="41" t="s">
        <v>39</v>
      </c>
      <c r="X948" s="40" t="s">
        <v>3621</v>
      </c>
      <c r="Y948" s="40" t="s">
        <v>185</v>
      </c>
      <c r="Z948"/>
      <c r="AA948" s="62">
        <v>90007743</v>
      </c>
      <c r="AB948" s="44">
        <v>46171</v>
      </c>
      <c r="AC948" s="63">
        <v>60017770</v>
      </c>
      <c r="AD948" s="46">
        <v>46171</v>
      </c>
      <c r="AE948"/>
      <c r="AF948" s="39"/>
      <c r="AG948" s="49"/>
      <c r="AH948" s="49"/>
      <c r="AI948" s="49"/>
      <c r="AJ948"/>
    </row>
    <row r="949" spans="1:36" s="40" customFormat="1" ht="19.5" customHeight="1">
      <c r="A949" s="25">
        <f t="shared" si="14"/>
        <v>944</v>
      </c>
      <c r="B949" s="26">
        <v>6282439</v>
      </c>
      <c r="C949" s="27">
        <v>46126</v>
      </c>
      <c r="D949" s="28">
        <v>18155.18</v>
      </c>
      <c r="E949" s="29">
        <v>142107.85999999999</v>
      </c>
      <c r="F949" s="30" t="s">
        <v>3776</v>
      </c>
      <c r="G949" s="27">
        <v>46129</v>
      </c>
      <c r="H949" s="68">
        <v>18155.18</v>
      </c>
      <c r="I949" s="29">
        <v>142107.85999999999</v>
      </c>
      <c r="J949" s="34" t="s">
        <v>33</v>
      </c>
      <c r="K949" t="s">
        <v>34</v>
      </c>
      <c r="L949" s="35">
        <v>372238691</v>
      </c>
      <c r="M949" s="36" t="s">
        <v>2359</v>
      </c>
      <c r="N949" s="37" t="s">
        <v>1346</v>
      </c>
      <c r="O949" t="s">
        <v>3777</v>
      </c>
      <c r="P949" t="s">
        <v>3778</v>
      </c>
      <c r="Q949" t="s">
        <v>3713</v>
      </c>
      <c r="R949" s="332">
        <v>46113</v>
      </c>
      <c r="S949" s="333">
        <v>46477</v>
      </c>
      <c r="T949" s="332">
        <v>46113</v>
      </c>
      <c r="U949" s="333">
        <v>46477</v>
      </c>
      <c r="V949" s="40" t="s">
        <v>3779</v>
      </c>
      <c r="W949" s="41" t="s">
        <v>3151</v>
      </c>
      <c r="X949" s="342" t="s">
        <v>3780</v>
      </c>
      <c r="Y949" s="40" t="s">
        <v>56</v>
      </c>
      <c r="Z949"/>
      <c r="AA949" s="62"/>
      <c r="AB949" s="44"/>
      <c r="AC949" s="63">
        <v>10000322593</v>
      </c>
      <c r="AD949" s="46">
        <v>46132</v>
      </c>
      <c r="AE949">
        <v>3207393</v>
      </c>
      <c r="AF949" s="39">
        <v>46164</v>
      </c>
      <c r="AG949" s="49"/>
      <c r="AH949" s="49"/>
      <c r="AI949" s="49"/>
      <c r="AJ949"/>
    </row>
    <row r="950" spans="1:36" s="40" customFormat="1" ht="19.5" customHeight="1">
      <c r="A950" s="25">
        <f t="shared" si="14"/>
        <v>945</v>
      </c>
      <c r="B950" s="26">
        <v>6282483</v>
      </c>
      <c r="C950" s="27">
        <v>46126</v>
      </c>
      <c r="D950" s="28">
        <v>902.96</v>
      </c>
      <c r="E950" s="29">
        <v>7067.83</v>
      </c>
      <c r="F950" s="30" t="s">
        <v>3781</v>
      </c>
      <c r="G950" s="27">
        <v>46132</v>
      </c>
      <c r="H950" s="68">
        <v>902.96</v>
      </c>
      <c r="I950" s="29">
        <v>7067.83</v>
      </c>
      <c r="J950" s="34" t="s">
        <v>33</v>
      </c>
      <c r="K950" t="s">
        <v>34</v>
      </c>
      <c r="L950" s="35">
        <v>422010945</v>
      </c>
      <c r="M950" s="36" t="s">
        <v>2359</v>
      </c>
      <c r="N950" s="37" t="s">
        <v>1346</v>
      </c>
      <c r="O950" t="s">
        <v>3782</v>
      </c>
      <c r="P950" t="s">
        <v>3783</v>
      </c>
      <c r="Q950" t="s">
        <v>3784</v>
      </c>
      <c r="R950" s="332">
        <v>46082</v>
      </c>
      <c r="S950" s="333">
        <v>47177</v>
      </c>
      <c r="T950" s="332">
        <v>46082</v>
      </c>
      <c r="U950" s="333">
        <v>46265</v>
      </c>
      <c r="V950" s="40" t="s">
        <v>3390</v>
      </c>
      <c r="W950" s="41" t="s">
        <v>3151</v>
      </c>
      <c r="X950" s="40" t="s">
        <v>3785</v>
      </c>
      <c r="Y950" s="40" t="s">
        <v>56</v>
      </c>
      <c r="Z950"/>
      <c r="AA950" s="62"/>
      <c r="AB950" s="44"/>
      <c r="AC950" s="63">
        <v>10000324005</v>
      </c>
      <c r="AD950" s="46">
        <v>46133</v>
      </c>
      <c r="AE950"/>
      <c r="AF950" s="39"/>
      <c r="AG950" s="49"/>
      <c r="AH950" s="49"/>
      <c r="AI950" s="49"/>
      <c r="AJ950"/>
    </row>
    <row r="951" spans="1:36" s="40" customFormat="1" ht="19.5" customHeight="1">
      <c r="A951" s="25">
        <f t="shared" si="14"/>
        <v>946</v>
      </c>
      <c r="B951" s="26">
        <v>6282487</v>
      </c>
      <c r="C951" s="27">
        <v>46126</v>
      </c>
      <c r="D951" s="28">
        <v>517.79999999999995</v>
      </c>
      <c r="E951" s="29">
        <v>4053.03</v>
      </c>
      <c r="F951" s="30" t="s">
        <v>3786</v>
      </c>
      <c r="G951" s="27">
        <v>46132</v>
      </c>
      <c r="H951" s="68">
        <v>517.79999999999995</v>
      </c>
      <c r="I951" s="29">
        <v>4053.03</v>
      </c>
      <c r="J951" s="34" t="s">
        <v>33</v>
      </c>
      <c r="K951" t="s">
        <v>34</v>
      </c>
      <c r="L951" s="35">
        <v>432014306</v>
      </c>
      <c r="M951" s="36" t="s">
        <v>2129</v>
      </c>
      <c r="N951" s="37" t="s">
        <v>1377</v>
      </c>
      <c r="O951" t="s">
        <v>3782</v>
      </c>
      <c r="P951" t="s">
        <v>3783</v>
      </c>
      <c r="Q951" t="s">
        <v>3784</v>
      </c>
      <c r="R951" s="332">
        <v>46082</v>
      </c>
      <c r="S951" s="333">
        <v>47177</v>
      </c>
      <c r="T951" s="332">
        <v>46082</v>
      </c>
      <c r="U951" s="333">
        <v>46691</v>
      </c>
      <c r="V951" s="40" t="s">
        <v>3390</v>
      </c>
      <c r="W951" s="41" t="s">
        <v>3151</v>
      </c>
      <c r="X951" s="40" t="s">
        <v>3785</v>
      </c>
      <c r="Y951" s="40" t="s">
        <v>56</v>
      </c>
      <c r="Z951"/>
      <c r="AA951" s="62"/>
      <c r="AB951" s="44"/>
      <c r="AC951" s="63">
        <v>10000324023</v>
      </c>
      <c r="AD951" s="46">
        <v>46133</v>
      </c>
      <c r="AE951"/>
      <c r="AF951" s="39"/>
      <c r="AG951" s="49"/>
      <c r="AH951" s="49"/>
      <c r="AI951" s="49"/>
      <c r="AJ951"/>
    </row>
    <row r="952" spans="1:36" s="40" customFormat="1" ht="19.5" customHeight="1">
      <c r="A952" s="25">
        <f t="shared" si="14"/>
        <v>947</v>
      </c>
      <c r="B952" s="26">
        <v>6282523</v>
      </c>
      <c r="C952" s="27">
        <v>46126</v>
      </c>
      <c r="D952" s="219" t="s">
        <v>141</v>
      </c>
      <c r="E952" s="72">
        <v>101896</v>
      </c>
      <c r="F952" s="30" t="s">
        <v>3787</v>
      </c>
      <c r="G952" s="27">
        <v>46132</v>
      </c>
      <c r="H952" s="219" t="s">
        <v>141</v>
      </c>
      <c r="I952" s="74">
        <v>101896</v>
      </c>
      <c r="J952" s="34" t="s">
        <v>159</v>
      </c>
      <c r="K952" t="s">
        <v>160</v>
      </c>
      <c r="L952" s="86" t="s">
        <v>3788</v>
      </c>
      <c r="M952" s="36" t="s">
        <v>3789</v>
      </c>
      <c r="N952" s="75"/>
      <c r="O952"/>
      <c r="P952"/>
      <c r="Q952"/>
      <c r="R952" s="332"/>
      <c r="S952" s="333"/>
      <c r="T952" s="332"/>
      <c r="U952" s="333"/>
      <c r="W952" s="41" t="s">
        <v>39</v>
      </c>
      <c r="X952" s="40" t="s">
        <v>3790</v>
      </c>
      <c r="Y952" s="40" t="s">
        <v>185</v>
      </c>
      <c r="Z952"/>
      <c r="AA952" s="62"/>
      <c r="AB952" s="44">
        <v>46153</v>
      </c>
      <c r="AC952" s="63"/>
      <c r="AD952" s="46"/>
      <c r="AE952"/>
      <c r="AF952" s="39"/>
      <c r="AG952" s="49"/>
      <c r="AH952" s="49"/>
      <c r="AI952" s="49"/>
      <c r="AJ952"/>
    </row>
    <row r="953" spans="1:36" s="40" customFormat="1" ht="19.5" customHeight="1">
      <c r="A953" s="25">
        <f t="shared" si="14"/>
        <v>948</v>
      </c>
      <c r="B953" s="26">
        <v>6282651</v>
      </c>
      <c r="C953" s="27">
        <v>46126</v>
      </c>
      <c r="D953" s="80" t="s">
        <v>141</v>
      </c>
      <c r="E953" s="29">
        <v>46342.080000000002</v>
      </c>
      <c r="F953" s="30" t="s">
        <v>3791</v>
      </c>
      <c r="G953" s="27">
        <v>46128</v>
      </c>
      <c r="H953" s="330" t="s">
        <v>141</v>
      </c>
      <c r="I953" s="29">
        <v>46342.080000000002</v>
      </c>
      <c r="J953" s="34" t="s">
        <v>103</v>
      </c>
      <c r="K953" t="s">
        <v>977</v>
      </c>
      <c r="L953" s="35" t="s">
        <v>3792</v>
      </c>
      <c r="M953" s="36" t="s">
        <v>3793</v>
      </c>
      <c r="N953" s="37" t="s">
        <v>3794</v>
      </c>
      <c r="O953" t="s">
        <v>3795</v>
      </c>
      <c r="P953" t="s">
        <v>3796</v>
      </c>
      <c r="Q953" t="s">
        <v>3186</v>
      </c>
      <c r="R953" s="332">
        <v>46164</v>
      </c>
      <c r="S953" s="333">
        <v>46528</v>
      </c>
      <c r="T953" s="50" t="s">
        <v>141</v>
      </c>
      <c r="U953" s="47" t="s">
        <v>141</v>
      </c>
      <c r="V953" s="40" t="s">
        <v>458</v>
      </c>
      <c r="W953" s="41" t="s">
        <v>39</v>
      </c>
      <c r="X953" s="40" t="s">
        <v>3797</v>
      </c>
      <c r="Y953" s="40" t="s">
        <v>56</v>
      </c>
      <c r="Z953"/>
      <c r="AA953" s="62" t="s">
        <v>3798</v>
      </c>
      <c r="AB953" s="44">
        <v>46157</v>
      </c>
      <c r="AC953" s="63" t="s">
        <v>3799</v>
      </c>
      <c r="AD953" s="46">
        <v>46156</v>
      </c>
      <c r="AE953">
        <v>3213014</v>
      </c>
      <c r="AF953" s="39">
        <v>46210</v>
      </c>
      <c r="AG953" s="49"/>
      <c r="AH953" s="49"/>
      <c r="AI953" s="49"/>
      <c r="AJ953"/>
    </row>
    <row r="954" spans="1:36" s="40" customFormat="1" ht="19.5" customHeight="1">
      <c r="A954" s="25">
        <f t="shared" si="14"/>
        <v>949</v>
      </c>
      <c r="B954" s="26">
        <v>6282823</v>
      </c>
      <c r="C954" s="27">
        <v>46127</v>
      </c>
      <c r="D954" s="80" t="s">
        <v>141</v>
      </c>
      <c r="E954" s="29">
        <v>53928.42</v>
      </c>
      <c r="F954" s="30" t="s">
        <v>3800</v>
      </c>
      <c r="G954" s="27">
        <v>46129</v>
      </c>
      <c r="H954" s="80" t="s">
        <v>141</v>
      </c>
      <c r="I954" s="33">
        <v>53928.42</v>
      </c>
      <c r="J954" s="34" t="s">
        <v>159</v>
      </c>
      <c r="K954" t="s">
        <v>160</v>
      </c>
      <c r="L954" s="86" t="s">
        <v>3801</v>
      </c>
      <c r="M954" s="36" t="s">
        <v>3802</v>
      </c>
      <c r="N954" s="37" t="s">
        <v>1651</v>
      </c>
      <c r="O954" t="s">
        <v>3765</v>
      </c>
      <c r="P954" t="s">
        <v>3803</v>
      </c>
      <c r="Q954" t="s">
        <v>3767</v>
      </c>
      <c r="R954" s="332">
        <v>45901</v>
      </c>
      <c r="S954" s="333">
        <v>46459</v>
      </c>
      <c r="T954" s="50" t="s">
        <v>141</v>
      </c>
      <c r="U954" s="47" t="s">
        <v>141</v>
      </c>
      <c r="V954" s="40" t="s">
        <v>690</v>
      </c>
      <c r="W954" s="41" t="s">
        <v>39</v>
      </c>
      <c r="X954" s="40" t="s">
        <v>3804</v>
      </c>
      <c r="Y954" s="40" t="s">
        <v>185</v>
      </c>
      <c r="Z954"/>
      <c r="AA954" s="62"/>
      <c r="AB954" s="44"/>
      <c r="AC954" s="63"/>
      <c r="AD954" s="46"/>
      <c r="AE954"/>
      <c r="AF954" s="39"/>
      <c r="AG954" s="49"/>
      <c r="AH954" s="49"/>
      <c r="AI954" s="49"/>
      <c r="AJ954"/>
    </row>
    <row r="955" spans="1:36" s="115" customFormat="1" ht="19.5" customHeight="1">
      <c r="A955" s="252">
        <f t="shared" si="14"/>
        <v>950</v>
      </c>
      <c r="B955" s="99">
        <v>6282858</v>
      </c>
      <c r="C955" s="100">
        <v>46127</v>
      </c>
      <c r="D955" s="339" t="s">
        <v>141</v>
      </c>
      <c r="E955" s="222"/>
      <c r="F955" s="93" t="s">
        <v>3805</v>
      </c>
      <c r="G955" s="100">
        <v>46127</v>
      </c>
      <c r="H955" s="339" t="s">
        <v>141</v>
      </c>
      <c r="I955" s="224"/>
      <c r="J955" s="107" t="s">
        <v>159</v>
      </c>
      <c r="K955" s="108" t="s">
        <v>160</v>
      </c>
      <c r="L955" s="357" t="s">
        <v>3806</v>
      </c>
      <c r="M955" s="110" t="s">
        <v>3807</v>
      </c>
      <c r="N955" s="226" t="s">
        <v>1615</v>
      </c>
      <c r="O955" s="108" t="s">
        <v>3765</v>
      </c>
      <c r="P955" s="108" t="s">
        <v>3803</v>
      </c>
      <c r="Q955" s="108" t="s">
        <v>3767</v>
      </c>
      <c r="R955" s="358">
        <v>45901</v>
      </c>
      <c r="S955" s="359">
        <v>46459</v>
      </c>
      <c r="T955" s="360">
        <v>45901</v>
      </c>
      <c r="U955" s="359">
        <v>46459</v>
      </c>
      <c r="V955" s="229" t="s">
        <v>690</v>
      </c>
      <c r="W955" s="230" t="s">
        <v>39</v>
      </c>
      <c r="X955" s="229" t="s">
        <v>3804</v>
      </c>
      <c r="Y955" s="229" t="s">
        <v>185</v>
      </c>
      <c r="Z955" s="112"/>
      <c r="AA955" s="118"/>
      <c r="AB955" s="119"/>
      <c r="AC955" s="120"/>
      <c r="AD955" s="121"/>
      <c r="AE955" s="112"/>
      <c r="AF955" s="114" t="s">
        <v>3244</v>
      </c>
      <c r="AG955" s="124"/>
      <c r="AH955" s="124"/>
      <c r="AI955" s="124"/>
      <c r="AJ955" s="112"/>
    </row>
    <row r="956" spans="1:36" s="40" customFormat="1" ht="19.5" customHeight="1">
      <c r="A956" s="25">
        <f>A955+1</f>
        <v>951</v>
      </c>
      <c r="B956" s="26">
        <v>6282922</v>
      </c>
      <c r="C956" s="27">
        <v>46127</v>
      </c>
      <c r="D956" s="28">
        <v>1950.24</v>
      </c>
      <c r="E956" s="29">
        <v>15265.31</v>
      </c>
      <c r="F956" s="30" t="s">
        <v>3808</v>
      </c>
      <c r="G956" s="27">
        <v>46136</v>
      </c>
      <c r="H956" s="68">
        <v>1950.24</v>
      </c>
      <c r="I956" s="29">
        <v>15265.31</v>
      </c>
      <c r="J956" s="34" t="s">
        <v>33</v>
      </c>
      <c r="K956" t="s">
        <v>34</v>
      </c>
      <c r="L956" s="35">
        <v>332256940</v>
      </c>
      <c r="M956" s="36" t="s">
        <v>3809</v>
      </c>
      <c r="N956" s="37" t="s">
        <v>3810</v>
      </c>
      <c r="O956" t="s">
        <v>3811</v>
      </c>
      <c r="P956" t="s">
        <v>3812</v>
      </c>
      <c r="Q956" t="s">
        <v>3813</v>
      </c>
      <c r="R956" s="332">
        <v>46113</v>
      </c>
      <c r="S956" s="333">
        <v>46659</v>
      </c>
      <c r="T956" s="332">
        <v>46366</v>
      </c>
      <c r="U956" s="333">
        <v>46477</v>
      </c>
      <c r="V956" s="40" t="s">
        <v>3814</v>
      </c>
      <c r="W956" s="41" t="s">
        <v>3151</v>
      </c>
      <c r="X956" s="40" t="s">
        <v>3815</v>
      </c>
      <c r="Y956" s="40" t="s">
        <v>185</v>
      </c>
      <c r="Z956"/>
      <c r="AA956" s="62"/>
      <c r="AB956" s="44"/>
      <c r="AC956" s="63">
        <v>10000334107</v>
      </c>
      <c r="AD956" s="46">
        <v>46137</v>
      </c>
      <c r="AE956">
        <v>3207441</v>
      </c>
      <c r="AF956" s="39">
        <v>46165</v>
      </c>
      <c r="AG956" s="49"/>
      <c r="AH956" s="49"/>
      <c r="AI956" s="49"/>
      <c r="AJ956"/>
    </row>
    <row r="957" spans="1:36" s="40" customFormat="1" ht="19.5" customHeight="1">
      <c r="A957" s="25">
        <f t="shared" si="14"/>
        <v>952</v>
      </c>
      <c r="B957" s="26">
        <v>6282927</v>
      </c>
      <c r="C957" s="27">
        <v>46127</v>
      </c>
      <c r="D957" s="28">
        <v>3423.04</v>
      </c>
      <c r="E957" s="29">
        <v>26793.5</v>
      </c>
      <c r="F957" s="30" t="s">
        <v>3816</v>
      </c>
      <c r="G957" s="27">
        <v>46136</v>
      </c>
      <c r="H957" s="68">
        <v>3423.04</v>
      </c>
      <c r="I957" s="29">
        <v>26793.5</v>
      </c>
      <c r="J957" s="34" t="s">
        <v>33</v>
      </c>
      <c r="K957" t="s">
        <v>34</v>
      </c>
      <c r="L957" s="35">
        <v>392254819</v>
      </c>
      <c r="M957" s="36" t="s">
        <v>3809</v>
      </c>
      <c r="N957" s="37" t="s">
        <v>3817</v>
      </c>
      <c r="O957" t="s">
        <v>3811</v>
      </c>
      <c r="P957" t="s">
        <v>3812</v>
      </c>
      <c r="Q957" t="s">
        <v>3813</v>
      </c>
      <c r="R957" s="332">
        <v>46113</v>
      </c>
      <c r="S957" s="333">
        <v>46659</v>
      </c>
      <c r="T957" s="332">
        <v>46324</v>
      </c>
      <c r="U957" s="333">
        <v>46477</v>
      </c>
      <c r="V957" s="40" t="s">
        <v>3814</v>
      </c>
      <c r="W957" s="41" t="s">
        <v>3151</v>
      </c>
      <c r="X957" s="40" t="s">
        <v>3815</v>
      </c>
      <c r="Y957" s="40" t="s">
        <v>185</v>
      </c>
      <c r="Z957"/>
      <c r="AA957" s="62"/>
      <c r="AB957" s="44"/>
      <c r="AC957" s="63">
        <v>10000334135</v>
      </c>
      <c r="AD957" s="46">
        <v>46137</v>
      </c>
      <c r="AE957">
        <v>3207440</v>
      </c>
      <c r="AF957" s="39">
        <v>46165</v>
      </c>
      <c r="AG957" s="49"/>
      <c r="AH957" s="49"/>
      <c r="AI957" s="49"/>
      <c r="AJ957"/>
    </row>
    <row r="958" spans="1:36" s="40" customFormat="1" ht="19.5" customHeight="1">
      <c r="A958" s="25">
        <f t="shared" si="14"/>
        <v>953</v>
      </c>
      <c r="B958" s="26">
        <v>6282966</v>
      </c>
      <c r="C958" s="27">
        <v>46127</v>
      </c>
      <c r="D958" s="28">
        <v>379.22</v>
      </c>
      <c r="E958" s="29">
        <v>2968.31</v>
      </c>
      <c r="F958" s="30" t="s">
        <v>3818</v>
      </c>
      <c r="G958" s="27">
        <v>46136</v>
      </c>
      <c r="H958" s="68">
        <v>379.22</v>
      </c>
      <c r="I958" s="29">
        <v>2968.31</v>
      </c>
      <c r="J958" s="34" t="s">
        <v>33</v>
      </c>
      <c r="K958" t="s">
        <v>34</v>
      </c>
      <c r="L958" s="35">
        <v>212315357</v>
      </c>
      <c r="M958" s="36" t="s">
        <v>3809</v>
      </c>
      <c r="N958" s="37" t="s">
        <v>3819</v>
      </c>
      <c r="O958" t="s">
        <v>3811</v>
      </c>
      <c r="P958" t="s">
        <v>3812</v>
      </c>
      <c r="Q958" t="s">
        <v>3813</v>
      </c>
      <c r="R958" s="332">
        <v>46113</v>
      </c>
      <c r="S958" s="333">
        <v>46659</v>
      </c>
      <c r="T958" s="332">
        <v>46366</v>
      </c>
      <c r="U958" s="333">
        <v>46477</v>
      </c>
      <c r="V958" s="40" t="s">
        <v>3814</v>
      </c>
      <c r="W958" s="41" t="s">
        <v>3151</v>
      </c>
      <c r="X958" s="40" t="s">
        <v>3815</v>
      </c>
      <c r="Y958" s="40" t="s">
        <v>185</v>
      </c>
      <c r="Z958"/>
      <c r="AA958" s="62"/>
      <c r="AB958" s="44"/>
      <c r="AC958" s="63">
        <v>10000334108</v>
      </c>
      <c r="AD958" s="46">
        <v>46137</v>
      </c>
      <c r="AE958">
        <v>3207439</v>
      </c>
      <c r="AF958" s="39">
        <v>46165</v>
      </c>
      <c r="AG958" s="49"/>
      <c r="AH958" s="49"/>
      <c r="AI958" s="49"/>
      <c r="AJ958"/>
    </row>
    <row r="959" spans="1:36" s="40" customFormat="1" ht="19.5" customHeight="1">
      <c r="A959" s="25">
        <f>A958+1</f>
        <v>954</v>
      </c>
      <c r="B959" s="26">
        <v>6282969</v>
      </c>
      <c r="C959" s="27">
        <v>46127</v>
      </c>
      <c r="D959" s="80" t="s">
        <v>141</v>
      </c>
      <c r="E959" s="29">
        <v>2884.5</v>
      </c>
      <c r="F959" s="30" t="s">
        <v>3820</v>
      </c>
      <c r="G959" s="27">
        <v>46129</v>
      </c>
      <c r="H959" s="80" t="s">
        <v>141</v>
      </c>
      <c r="I959" s="33">
        <v>2884.5</v>
      </c>
      <c r="J959" s="34" t="s">
        <v>159</v>
      </c>
      <c r="K959" t="s">
        <v>160</v>
      </c>
      <c r="L959" s="86" t="s">
        <v>3821</v>
      </c>
      <c r="M959" s="36" t="s">
        <v>3014</v>
      </c>
      <c r="N959" s="37" t="s">
        <v>1651</v>
      </c>
      <c r="O959" t="s">
        <v>3822</v>
      </c>
      <c r="P959" t="s">
        <v>3823</v>
      </c>
      <c r="Q959" t="s">
        <v>2051</v>
      </c>
      <c r="R959" s="332">
        <v>46128</v>
      </c>
      <c r="S959" s="333">
        <v>46492</v>
      </c>
      <c r="T959" s="332">
        <v>46128</v>
      </c>
      <c r="U959" s="333">
        <v>46492</v>
      </c>
      <c r="V959" s="40" t="s">
        <v>64</v>
      </c>
      <c r="W959" s="41" t="s">
        <v>39</v>
      </c>
      <c r="X959" s="40" t="s">
        <v>3824</v>
      </c>
      <c r="Y959" s="40" t="s">
        <v>56</v>
      </c>
      <c r="Z959"/>
      <c r="AA959" s="62"/>
      <c r="AB959" s="44"/>
      <c r="AC959" s="63"/>
      <c r="AD959" s="46"/>
      <c r="AE959"/>
      <c r="AF959" s="39"/>
      <c r="AG959" s="49"/>
      <c r="AH959" s="49"/>
      <c r="AI959" s="49"/>
      <c r="AJ959"/>
    </row>
    <row r="960" spans="1:36" s="40" customFormat="1" ht="19.5" customHeight="1">
      <c r="A960" s="25">
        <f t="shared" si="14"/>
        <v>955</v>
      </c>
      <c r="B960" s="26">
        <v>6283031</v>
      </c>
      <c r="C960" s="27">
        <v>46127</v>
      </c>
      <c r="D960" s="80" t="s">
        <v>141</v>
      </c>
      <c r="E960" s="29">
        <v>7620</v>
      </c>
      <c r="F960" s="30" t="s">
        <v>3825</v>
      </c>
      <c r="G960" s="27">
        <v>46132</v>
      </c>
      <c r="H960" s="330" t="s">
        <v>141</v>
      </c>
      <c r="I960" s="29">
        <v>7620</v>
      </c>
      <c r="J960" s="34" t="s">
        <v>33</v>
      </c>
      <c r="K960" t="s">
        <v>139</v>
      </c>
      <c r="L960" s="35">
        <v>80005404</v>
      </c>
      <c r="M960" s="36" t="s">
        <v>3826</v>
      </c>
      <c r="N960" s="37" t="s">
        <v>1383</v>
      </c>
      <c r="O960" t="s">
        <v>3827</v>
      </c>
      <c r="P960" t="s">
        <v>3828</v>
      </c>
      <c r="Q960" t="s">
        <v>2020</v>
      </c>
      <c r="R960" s="332">
        <v>45658</v>
      </c>
      <c r="S960" s="333">
        <v>46387</v>
      </c>
      <c r="T960" s="332">
        <v>45658</v>
      </c>
      <c r="U960" s="333">
        <v>46387</v>
      </c>
      <c r="V960" s="40" t="s">
        <v>954</v>
      </c>
      <c r="W960" s="41" t="s">
        <v>39</v>
      </c>
      <c r="X960" s="40" t="s">
        <v>3829</v>
      </c>
      <c r="Y960" s="40" t="s">
        <v>185</v>
      </c>
      <c r="Z960"/>
      <c r="AA960" s="62" t="s">
        <v>3830</v>
      </c>
      <c r="AB960" s="44">
        <v>46142</v>
      </c>
      <c r="AC960" s="63">
        <v>60017638</v>
      </c>
      <c r="AD960" s="46">
        <v>46142</v>
      </c>
      <c r="AE960"/>
      <c r="AF960" s="39"/>
      <c r="AG960" s="49"/>
      <c r="AH960" s="49"/>
      <c r="AI960" s="49"/>
      <c r="AJ960"/>
    </row>
    <row r="961" spans="1:36" s="40" customFormat="1" ht="19.5" customHeight="1">
      <c r="A961" s="25">
        <f t="shared" si="14"/>
        <v>956</v>
      </c>
      <c r="B961" s="26">
        <v>6283309</v>
      </c>
      <c r="C961" s="27">
        <v>46128</v>
      </c>
      <c r="D961" s="28">
        <v>7582.62</v>
      </c>
      <c r="E961" s="29">
        <v>59352.2</v>
      </c>
      <c r="F961" s="30" t="s">
        <v>3831</v>
      </c>
      <c r="G961" s="27">
        <v>46134</v>
      </c>
      <c r="H961" s="68">
        <v>7582.62</v>
      </c>
      <c r="I961" s="29">
        <v>59352.2</v>
      </c>
      <c r="J961" s="34" t="s">
        <v>33</v>
      </c>
      <c r="K961" t="s">
        <v>34</v>
      </c>
      <c r="L961" s="35">
        <v>322260185</v>
      </c>
      <c r="M961" s="36" t="s">
        <v>2149</v>
      </c>
      <c r="N961" s="37" t="s">
        <v>1346</v>
      </c>
      <c r="O961" t="s">
        <v>3832</v>
      </c>
      <c r="P961" t="s">
        <v>3833</v>
      </c>
      <c r="Q961" t="s">
        <v>3156</v>
      </c>
      <c r="R961" s="332">
        <v>46126</v>
      </c>
      <c r="S961" s="333">
        <v>46490</v>
      </c>
      <c r="T961" s="332">
        <v>46158</v>
      </c>
      <c r="U961" s="333">
        <v>46522</v>
      </c>
      <c r="V961" s="40" t="s">
        <v>227</v>
      </c>
      <c r="W961" s="41" t="s">
        <v>3151</v>
      </c>
      <c r="X961" s="361" t="s">
        <v>3834</v>
      </c>
      <c r="Y961" s="40" t="s">
        <v>56</v>
      </c>
      <c r="Z961"/>
      <c r="AA961" s="62"/>
      <c r="AB961" s="44"/>
      <c r="AC961" s="63">
        <v>10000329046</v>
      </c>
      <c r="AD961" s="46">
        <v>46135</v>
      </c>
      <c r="AE961">
        <v>3207395</v>
      </c>
      <c r="AF961" s="39">
        <v>46164</v>
      </c>
      <c r="AG961" s="49"/>
      <c r="AH961" s="49"/>
      <c r="AI961" s="49"/>
      <c r="AJ961"/>
    </row>
    <row r="962" spans="1:36" s="40" customFormat="1" ht="19.5" customHeight="1" thickBot="1">
      <c r="A962" s="25">
        <f t="shared" si="14"/>
        <v>957</v>
      </c>
      <c r="B962" s="26">
        <v>6283312</v>
      </c>
      <c r="C962" s="27">
        <v>46128</v>
      </c>
      <c r="D962" s="28">
        <v>353.29</v>
      </c>
      <c r="E962" s="29">
        <v>2765.34</v>
      </c>
      <c r="F962" s="30" t="s">
        <v>3835</v>
      </c>
      <c r="G962" s="27">
        <v>46134</v>
      </c>
      <c r="H962" s="68">
        <v>353.29</v>
      </c>
      <c r="I962" s="29">
        <v>2765.34</v>
      </c>
      <c r="J962" s="34" t="s">
        <v>33</v>
      </c>
      <c r="K962" t="s">
        <v>34</v>
      </c>
      <c r="L962" s="35">
        <v>332261418</v>
      </c>
      <c r="M962" s="36" t="s">
        <v>2149</v>
      </c>
      <c r="N962" s="37" t="s">
        <v>1540</v>
      </c>
      <c r="O962" t="s">
        <v>3832</v>
      </c>
      <c r="P962" t="s">
        <v>3833</v>
      </c>
      <c r="Q962" t="s">
        <v>3156</v>
      </c>
      <c r="R962" s="332">
        <v>46126</v>
      </c>
      <c r="S962" s="333">
        <v>46490</v>
      </c>
      <c r="T962" s="332"/>
      <c r="U962" s="333"/>
      <c r="V962" s="40" t="s">
        <v>227</v>
      </c>
      <c r="W962" s="41" t="s">
        <v>3151</v>
      </c>
      <c r="X962" s="361" t="s">
        <v>3834</v>
      </c>
      <c r="Y962" s="40" t="s">
        <v>56</v>
      </c>
      <c r="Z962"/>
      <c r="AA962" s="62"/>
      <c r="AB962" s="44"/>
      <c r="AC962" s="63">
        <v>10000329048</v>
      </c>
      <c r="AD962" s="46">
        <v>46135</v>
      </c>
      <c r="AE962">
        <v>3207409</v>
      </c>
      <c r="AF962" s="39">
        <v>46164</v>
      </c>
      <c r="AG962" s="49"/>
      <c r="AH962" s="49"/>
      <c r="AI962" s="49"/>
      <c r="AJ962"/>
    </row>
    <row r="963" spans="1:36" s="40" customFormat="1" ht="19.5" customHeight="1">
      <c r="A963">
        <f t="shared" si="14"/>
        <v>958</v>
      </c>
      <c r="B963" s="135">
        <v>6283231</v>
      </c>
      <c r="C963" s="136">
        <v>46128</v>
      </c>
      <c r="D963" s="362" t="s">
        <v>141</v>
      </c>
      <c r="E963" s="177">
        <v>44887</v>
      </c>
      <c r="F963" s="139" t="s">
        <v>3836</v>
      </c>
      <c r="G963" s="136">
        <v>46133</v>
      </c>
      <c r="H963" s="178" t="s">
        <v>141</v>
      </c>
      <c r="I963" s="179">
        <f>44887-31001</f>
        <v>13886</v>
      </c>
      <c r="J963" s="140" t="s">
        <v>33</v>
      </c>
      <c r="K963" s="141" t="s">
        <v>193</v>
      </c>
      <c r="L963" s="142" t="s">
        <v>3837</v>
      </c>
      <c r="M963" s="143" t="s">
        <v>3838</v>
      </c>
      <c r="N963" s="144"/>
      <c r="O963" s="141"/>
      <c r="P963" s="141"/>
      <c r="Q963" s="141" t="s">
        <v>3839</v>
      </c>
      <c r="R963" s="363"/>
      <c r="S963" s="364"/>
      <c r="T963" s="363"/>
      <c r="U963" s="364"/>
      <c r="V963" s="147"/>
      <c r="W963" s="148" t="s">
        <v>39</v>
      </c>
      <c r="X963" s="147"/>
      <c r="Y963" s="147" t="s">
        <v>185</v>
      </c>
      <c r="Z963" s="141"/>
      <c r="AA963" s="150" t="s">
        <v>3840</v>
      </c>
      <c r="AB963" s="151">
        <v>46140</v>
      </c>
      <c r="AC963" s="152" t="s">
        <v>3841</v>
      </c>
      <c r="AD963" s="153">
        <v>46140</v>
      </c>
      <c r="AE963" s="141"/>
      <c r="AF963" s="146"/>
      <c r="AG963" s="49"/>
      <c r="AH963" s="49"/>
      <c r="AI963" s="49"/>
      <c r="AJ963"/>
    </row>
    <row r="964" spans="1:36" s="40" customFormat="1" ht="19.5" customHeight="1" thickBot="1">
      <c r="A964"/>
      <c r="B964" s="155"/>
      <c r="C964" s="156"/>
      <c r="D964" s="365"/>
      <c r="E964" s="158"/>
      <c r="F964" s="159" t="s">
        <v>3842</v>
      </c>
      <c r="G964" s="156">
        <v>46133</v>
      </c>
      <c r="H964" s="184"/>
      <c r="I964" s="185">
        <f>44887-13886</f>
        <v>31001</v>
      </c>
      <c r="J964" s="160" t="s">
        <v>3843</v>
      </c>
      <c r="K964" s="161" t="s">
        <v>193</v>
      </c>
      <c r="L964" s="162"/>
      <c r="M964" s="163"/>
      <c r="N964" s="164"/>
      <c r="O964" s="161"/>
      <c r="P964" s="161"/>
      <c r="Q964" s="161"/>
      <c r="R964" s="366"/>
      <c r="S964" s="367"/>
      <c r="T964" s="366"/>
      <c r="U964" s="367"/>
      <c r="V964" s="167"/>
      <c r="W964" s="168"/>
      <c r="X964" s="167"/>
      <c r="Y964" s="167"/>
      <c r="Z964" s="161"/>
      <c r="AA964" s="170" t="s">
        <v>3844</v>
      </c>
      <c r="AB964" s="171">
        <v>46142</v>
      </c>
      <c r="AC964" s="172" t="s">
        <v>3845</v>
      </c>
      <c r="AD964" s="173">
        <v>46142</v>
      </c>
      <c r="AE964" s="161"/>
      <c r="AF964" s="166"/>
      <c r="AG964" s="49"/>
      <c r="AH964" s="49"/>
      <c r="AI964" s="49"/>
      <c r="AJ964"/>
    </row>
    <row r="965" spans="1:36" s="40" customFormat="1" ht="19.5" customHeight="1">
      <c r="A965" s="25">
        <f>A963+1</f>
        <v>959</v>
      </c>
      <c r="B965" s="26">
        <v>6283975</v>
      </c>
      <c r="C965" s="27">
        <v>46129</v>
      </c>
      <c r="D965" s="28">
        <v>2516</v>
      </c>
      <c r="E965" s="29">
        <v>19693.740000000002</v>
      </c>
      <c r="F965" s="30" t="s">
        <v>3846</v>
      </c>
      <c r="G965" s="27">
        <v>46134</v>
      </c>
      <c r="H965" s="68">
        <v>2516</v>
      </c>
      <c r="I965" s="29">
        <v>19693.740000000002</v>
      </c>
      <c r="J965" s="34" t="s">
        <v>33</v>
      </c>
      <c r="K965" t="s">
        <v>34</v>
      </c>
      <c r="L965" s="35">
        <v>11001026592</v>
      </c>
      <c r="M965" s="88" t="s">
        <v>3847</v>
      </c>
      <c r="N965" s="37" t="s">
        <v>1346</v>
      </c>
      <c r="O965" t="s">
        <v>3848</v>
      </c>
      <c r="P965" t="s">
        <v>3849</v>
      </c>
      <c r="Q965" t="s">
        <v>3850</v>
      </c>
      <c r="R965" s="332">
        <v>46224</v>
      </c>
      <c r="S965" s="333">
        <v>46588</v>
      </c>
      <c r="T965" s="50" t="s">
        <v>141</v>
      </c>
      <c r="U965" s="47" t="s">
        <v>141</v>
      </c>
      <c r="V965" s="40" t="s">
        <v>3851</v>
      </c>
      <c r="W965" s="41" t="s">
        <v>3151</v>
      </c>
      <c r="X965" s="40" t="s">
        <v>3852</v>
      </c>
      <c r="Y965" s="40" t="s">
        <v>56</v>
      </c>
      <c r="Z965"/>
      <c r="AA965" s="62"/>
      <c r="AB965" s="44"/>
      <c r="AC965" s="63">
        <v>10000568491</v>
      </c>
      <c r="AD965" s="46">
        <v>46219</v>
      </c>
      <c r="AE965"/>
      <c r="AF965" s="39"/>
      <c r="AG965" s="49"/>
      <c r="AH965" s="49"/>
      <c r="AI965" s="49"/>
      <c r="AJ965"/>
    </row>
    <row r="966" spans="1:36" s="40" customFormat="1" ht="19.5" customHeight="1">
      <c r="A966" s="25">
        <f t="shared" ref="A966:A982" si="15">A965+1</f>
        <v>960</v>
      </c>
      <c r="B966" s="26">
        <v>6284007</v>
      </c>
      <c r="C966" s="27">
        <v>46129</v>
      </c>
      <c r="D966" s="219" t="s">
        <v>141</v>
      </c>
      <c r="E966" s="72">
        <v>17530</v>
      </c>
      <c r="F966" s="30" t="s">
        <v>3853</v>
      </c>
      <c r="G966" s="27">
        <v>46141</v>
      </c>
      <c r="H966" s="219" t="s">
        <v>141</v>
      </c>
      <c r="I966" s="74">
        <v>17530</v>
      </c>
      <c r="J966" s="34" t="s">
        <v>33</v>
      </c>
      <c r="K966" t="s">
        <v>139</v>
      </c>
      <c r="L966" s="35" t="s">
        <v>3716</v>
      </c>
      <c r="M966" s="36" t="s">
        <v>3854</v>
      </c>
      <c r="N966" s="75" t="s">
        <v>3855</v>
      </c>
      <c r="O966" t="s">
        <v>3856</v>
      </c>
      <c r="P966" t="s">
        <v>3857</v>
      </c>
      <c r="Q966" t="s">
        <v>3858</v>
      </c>
      <c r="R966" s="332">
        <v>46083</v>
      </c>
      <c r="S966" s="333">
        <v>46813</v>
      </c>
      <c r="T966" s="50" t="s">
        <v>141</v>
      </c>
      <c r="U966" s="47" t="s">
        <v>141</v>
      </c>
      <c r="V966" s="40" t="s">
        <v>590</v>
      </c>
      <c r="W966" s="41" t="s">
        <v>39</v>
      </c>
      <c r="X966" s="40" t="s">
        <v>3859</v>
      </c>
      <c r="Y966" s="40" t="s">
        <v>185</v>
      </c>
      <c r="Z966"/>
      <c r="AA966" s="62">
        <v>90007743</v>
      </c>
      <c r="AB966" s="44">
        <v>46171</v>
      </c>
      <c r="AC966" s="63">
        <v>60017771</v>
      </c>
      <c r="AD966" s="46">
        <v>46171</v>
      </c>
      <c r="AE966"/>
      <c r="AF966" s="39"/>
      <c r="AG966" s="49"/>
      <c r="AH966" s="49"/>
      <c r="AI966" s="49"/>
      <c r="AJ966"/>
    </row>
    <row r="967" spans="1:36" s="40" customFormat="1" ht="19.5" customHeight="1">
      <c r="A967" s="25">
        <f t="shared" si="15"/>
        <v>961</v>
      </c>
      <c r="B967" s="26">
        <v>6284216</v>
      </c>
      <c r="C967" s="27">
        <v>46132</v>
      </c>
      <c r="D967" s="28">
        <v>165.08</v>
      </c>
      <c r="E967" s="29">
        <v>1292.1500000000001</v>
      </c>
      <c r="F967" s="30" t="s">
        <v>3860</v>
      </c>
      <c r="G967" s="27">
        <v>46136</v>
      </c>
      <c r="H967" s="68">
        <v>165.08</v>
      </c>
      <c r="I967" s="29">
        <v>1292.1500000000001</v>
      </c>
      <c r="J967" s="34" t="s">
        <v>33</v>
      </c>
      <c r="K967" t="s">
        <v>34</v>
      </c>
      <c r="L967" s="35">
        <v>382247327</v>
      </c>
      <c r="M967" s="36" t="s">
        <v>2129</v>
      </c>
      <c r="N967" s="37" t="s">
        <v>1346</v>
      </c>
      <c r="O967" t="s">
        <v>3861</v>
      </c>
      <c r="P967" t="s">
        <v>3862</v>
      </c>
      <c r="Q967" t="s">
        <v>3863</v>
      </c>
      <c r="R967" s="332">
        <v>46115</v>
      </c>
      <c r="S967" s="333">
        <v>46479</v>
      </c>
      <c r="T967" s="332">
        <v>46115</v>
      </c>
      <c r="U967" s="333">
        <v>46479</v>
      </c>
      <c r="V967" s="40" t="s">
        <v>2108</v>
      </c>
      <c r="W967" s="41" t="s">
        <v>3151</v>
      </c>
      <c r="X967" s="40" t="s">
        <v>3864</v>
      </c>
      <c r="Y967" s="40" t="s">
        <v>56</v>
      </c>
      <c r="Z967"/>
      <c r="AA967" s="62"/>
      <c r="AB967" s="44"/>
      <c r="AC967" s="63"/>
      <c r="AD967" s="46"/>
      <c r="AE967">
        <v>3207414</v>
      </c>
      <c r="AF967" s="39">
        <v>46164</v>
      </c>
      <c r="AG967" s="49"/>
      <c r="AH967" s="49"/>
      <c r="AI967" s="49"/>
      <c r="AJ967"/>
    </row>
    <row r="968" spans="1:36" s="40" customFormat="1" ht="19.5" customHeight="1">
      <c r="A968" s="25">
        <f t="shared" si="15"/>
        <v>962</v>
      </c>
      <c r="B968" s="26">
        <v>6284623</v>
      </c>
      <c r="C968" s="27">
        <v>46133</v>
      </c>
      <c r="D968" s="28">
        <v>5801.82</v>
      </c>
      <c r="E968" s="29">
        <v>45413.17</v>
      </c>
      <c r="F968" s="30" t="s">
        <v>3865</v>
      </c>
      <c r="G968" s="27">
        <v>46140</v>
      </c>
      <c r="H968" s="68">
        <v>5801.82</v>
      </c>
      <c r="I968" s="29">
        <v>45413.17</v>
      </c>
      <c r="J968" s="34" t="s">
        <v>33</v>
      </c>
      <c r="K968" t="s">
        <v>34</v>
      </c>
      <c r="L968" s="35">
        <v>312249518</v>
      </c>
      <c r="M968" s="36" t="s">
        <v>2149</v>
      </c>
      <c r="N968" s="37" t="s">
        <v>1346</v>
      </c>
      <c r="O968" t="s">
        <v>3866</v>
      </c>
      <c r="P968" t="s">
        <v>3867</v>
      </c>
      <c r="Q968" t="s">
        <v>3868</v>
      </c>
      <c r="R968" s="332">
        <v>46113</v>
      </c>
      <c r="S968" s="333">
        <v>46477</v>
      </c>
      <c r="T968" s="332">
        <v>46113</v>
      </c>
      <c r="U968" s="333">
        <v>46477</v>
      </c>
      <c r="V968" s="40" t="s">
        <v>175</v>
      </c>
      <c r="W968" s="41" t="s">
        <v>3151</v>
      </c>
      <c r="X968" s="342" t="s">
        <v>3869</v>
      </c>
      <c r="Y968" s="40" t="s">
        <v>56</v>
      </c>
      <c r="Z968"/>
      <c r="AA968" s="62"/>
      <c r="AB968" s="44"/>
      <c r="AC968" s="63">
        <v>10000354553</v>
      </c>
      <c r="AD968" s="46">
        <v>46142</v>
      </c>
      <c r="AE968">
        <v>3207305</v>
      </c>
      <c r="AF968" s="39">
        <v>46164</v>
      </c>
      <c r="AG968" s="49"/>
      <c r="AH968" s="49"/>
      <c r="AI968" s="49"/>
      <c r="AJ968"/>
    </row>
    <row r="969" spans="1:36" s="40" customFormat="1" ht="19.5" customHeight="1">
      <c r="A969" s="25">
        <f t="shared" si="15"/>
        <v>963</v>
      </c>
      <c r="B969" s="26">
        <v>6284619</v>
      </c>
      <c r="C969" s="27">
        <v>46133</v>
      </c>
      <c r="D969" s="80" t="s">
        <v>141</v>
      </c>
      <c r="E969" s="29">
        <v>15720</v>
      </c>
      <c r="F969" s="30" t="s">
        <v>3870</v>
      </c>
      <c r="G969" s="27">
        <v>46133</v>
      </c>
      <c r="H969" s="80" t="s">
        <v>141</v>
      </c>
      <c r="I969" s="29">
        <v>15720</v>
      </c>
      <c r="J969" s="34" t="s">
        <v>33</v>
      </c>
      <c r="K969" t="s">
        <v>139</v>
      </c>
      <c r="L969" s="35">
        <v>80005424</v>
      </c>
      <c r="M969" s="36" t="s">
        <v>572</v>
      </c>
      <c r="N969" s="37" t="s">
        <v>1383</v>
      </c>
      <c r="O969" t="s">
        <v>3871</v>
      </c>
      <c r="P969" t="s">
        <v>3872</v>
      </c>
      <c r="Q969" t="s">
        <v>3873</v>
      </c>
      <c r="R969" s="332">
        <v>46140</v>
      </c>
      <c r="S969" s="333">
        <v>46504</v>
      </c>
      <c r="T969" s="332">
        <v>46140</v>
      </c>
      <c r="U969" s="333">
        <v>46504</v>
      </c>
      <c r="V969" s="40" t="s">
        <v>3390</v>
      </c>
      <c r="W969" s="41" t="s">
        <v>39</v>
      </c>
      <c r="X969" s="40" t="s">
        <v>3874</v>
      </c>
      <c r="Y969" s="40" t="s">
        <v>56</v>
      </c>
      <c r="Z969"/>
      <c r="AA969" s="62" t="s">
        <v>3875</v>
      </c>
      <c r="AB969" s="44">
        <v>46142</v>
      </c>
      <c r="AC969" s="63">
        <v>60017637</v>
      </c>
      <c r="AD969" s="46">
        <v>46142</v>
      </c>
      <c r="AE969"/>
      <c r="AF969" s="39"/>
      <c r="AG969" s="49"/>
      <c r="AH969" s="49"/>
      <c r="AI969" s="49"/>
      <c r="AJ969"/>
    </row>
    <row r="970" spans="1:36" s="40" customFormat="1" ht="19.5" customHeight="1">
      <c r="A970" s="25">
        <f t="shared" si="15"/>
        <v>964</v>
      </c>
      <c r="B970" s="26">
        <v>6284929</v>
      </c>
      <c r="C970" s="27">
        <v>46133</v>
      </c>
      <c r="D970" s="28">
        <v>2070.2399999999998</v>
      </c>
      <c r="E970" s="29">
        <v>16204.6</v>
      </c>
      <c r="F970" s="30" t="s">
        <v>3876</v>
      </c>
      <c r="G970" s="27">
        <v>46135</v>
      </c>
      <c r="H970" s="68">
        <v>2070.2399999999998</v>
      </c>
      <c r="I970" s="29">
        <v>16204.6</v>
      </c>
      <c r="J970" s="34" t="s">
        <v>3877</v>
      </c>
      <c r="K970" t="s">
        <v>34</v>
      </c>
      <c r="L970" s="35">
        <v>11001227476</v>
      </c>
      <c r="M970" s="36" t="s">
        <v>3878</v>
      </c>
      <c r="N970" s="37" t="s">
        <v>1377</v>
      </c>
      <c r="O970" t="s">
        <v>3645</v>
      </c>
      <c r="P970" t="s">
        <v>3645</v>
      </c>
      <c r="Q970" t="s">
        <v>3637</v>
      </c>
      <c r="R970" s="332">
        <v>46113</v>
      </c>
      <c r="S970" s="333">
        <v>46477</v>
      </c>
      <c r="T970" s="50" t="s">
        <v>141</v>
      </c>
      <c r="U970" s="47" t="s">
        <v>141</v>
      </c>
      <c r="V970" s="40" t="s">
        <v>1654</v>
      </c>
      <c r="W970" s="41" t="s">
        <v>3151</v>
      </c>
      <c r="X970" s="40" t="s">
        <v>3638</v>
      </c>
      <c r="Y970" s="40" t="s">
        <v>56</v>
      </c>
      <c r="Z970"/>
      <c r="AA970" s="62"/>
      <c r="AB970" s="44"/>
      <c r="AC970" s="63">
        <v>6501252064</v>
      </c>
      <c r="AD970" s="46">
        <v>46175</v>
      </c>
      <c r="AE970">
        <v>3211956</v>
      </c>
      <c r="AF970" s="39">
        <v>46202</v>
      </c>
      <c r="AG970" s="49"/>
      <c r="AH970" s="49"/>
      <c r="AI970" s="49"/>
      <c r="AJ970"/>
    </row>
    <row r="971" spans="1:36" s="40" customFormat="1" ht="19.5" customHeight="1">
      <c r="A971" s="257">
        <f t="shared" si="15"/>
        <v>965</v>
      </c>
      <c r="B971" s="299">
        <v>6277653</v>
      </c>
      <c r="C971" s="300">
        <v>46107</v>
      </c>
      <c r="D971" s="301" t="s">
        <v>141</v>
      </c>
      <c r="E971" s="321">
        <v>101896</v>
      </c>
      <c r="F971" s="30" t="s">
        <v>3879</v>
      </c>
      <c r="G971" s="300">
        <v>46132</v>
      </c>
      <c r="H971" s="301" t="s">
        <v>141</v>
      </c>
      <c r="I971" s="303">
        <v>101896</v>
      </c>
      <c r="J971" s="304" t="s">
        <v>159</v>
      </c>
      <c r="K971" s="279" t="s">
        <v>160</v>
      </c>
      <c r="L971" s="368" t="s">
        <v>3880</v>
      </c>
      <c r="M971" s="306" t="s">
        <v>3789</v>
      </c>
      <c r="N971" s="307"/>
      <c r="O971" s="279"/>
      <c r="P971" s="279"/>
      <c r="Q971" s="279"/>
      <c r="R971" s="350"/>
      <c r="S971" s="351"/>
      <c r="T971" s="350"/>
      <c r="U971" s="351"/>
      <c r="V971" s="280"/>
      <c r="W971" s="312" t="s">
        <v>39</v>
      </c>
      <c r="X971" s="280" t="s">
        <v>3790</v>
      </c>
      <c r="Y971" s="280" t="s">
        <v>185</v>
      </c>
      <c r="Z971" s="279"/>
      <c r="AA971" s="313"/>
      <c r="AB971" s="314"/>
      <c r="AC971" s="315"/>
      <c r="AD971" s="316"/>
      <c r="AE971" s="279"/>
      <c r="AF971" s="309"/>
      <c r="AG971"/>
      <c r="AH971"/>
      <c r="AI971"/>
      <c r="AJ971"/>
    </row>
    <row r="972" spans="1:36" s="40" customFormat="1" ht="19.5" customHeight="1">
      <c r="A972" s="25">
        <f t="shared" si="15"/>
        <v>966</v>
      </c>
      <c r="B972" s="26">
        <v>6285059</v>
      </c>
      <c r="C972" s="27">
        <v>46133</v>
      </c>
      <c r="D972" s="28">
        <v>8108.24</v>
      </c>
      <c r="E972" s="29">
        <v>63466.44</v>
      </c>
      <c r="F972" s="30" t="s">
        <v>3881</v>
      </c>
      <c r="G972" s="27">
        <v>46141</v>
      </c>
      <c r="H972" s="68">
        <v>8108.24</v>
      </c>
      <c r="I972" s="29">
        <v>63466.44</v>
      </c>
      <c r="J972" s="34" t="s">
        <v>33</v>
      </c>
      <c r="K972" t="s">
        <v>34</v>
      </c>
      <c r="L972" s="35">
        <v>212319276</v>
      </c>
      <c r="M972" s="36" t="s">
        <v>2129</v>
      </c>
      <c r="N972" s="37" t="s">
        <v>1346</v>
      </c>
      <c r="O972" t="s">
        <v>3882</v>
      </c>
      <c r="P972" t="s">
        <v>3883</v>
      </c>
      <c r="Q972" t="s">
        <v>3884</v>
      </c>
      <c r="R972" s="332">
        <v>46183</v>
      </c>
      <c r="S972" s="333">
        <v>46913</v>
      </c>
      <c r="T972" s="332">
        <v>46184</v>
      </c>
      <c r="U972" s="333">
        <v>46913</v>
      </c>
      <c r="V972" s="40" t="s">
        <v>458</v>
      </c>
      <c r="W972" s="41" t="s">
        <v>3151</v>
      </c>
      <c r="X972" s="40" t="s">
        <v>3885</v>
      </c>
      <c r="Y972" s="40" t="s">
        <v>185</v>
      </c>
      <c r="Z972"/>
      <c r="AA972" s="62"/>
      <c r="AB972" s="44"/>
      <c r="AC972" s="63">
        <v>10000354521</v>
      </c>
      <c r="AD972" s="46">
        <v>46142</v>
      </c>
      <c r="AE972"/>
      <c r="AF972" s="39"/>
      <c r="AG972" s="49"/>
      <c r="AH972" s="49"/>
      <c r="AI972" s="49"/>
      <c r="AJ972"/>
    </row>
    <row r="973" spans="1:36" s="40" customFormat="1" ht="19.5" customHeight="1">
      <c r="A973" s="25">
        <f t="shared" si="15"/>
        <v>967</v>
      </c>
      <c r="B973" s="26">
        <v>6285062</v>
      </c>
      <c r="C973" s="27">
        <v>46133</v>
      </c>
      <c r="D973" s="219" t="s">
        <v>141</v>
      </c>
      <c r="E973" s="72">
        <v>16670</v>
      </c>
      <c r="F973" s="30" t="s">
        <v>3886</v>
      </c>
      <c r="G973" s="27">
        <v>46134</v>
      </c>
      <c r="H973" s="219" t="s">
        <v>141</v>
      </c>
      <c r="I973" s="72">
        <v>16670</v>
      </c>
      <c r="J973" s="34" t="s">
        <v>33</v>
      </c>
      <c r="K973" t="s">
        <v>139</v>
      </c>
      <c r="L973" s="35" t="s">
        <v>3887</v>
      </c>
      <c r="M973" s="36" t="s">
        <v>3888</v>
      </c>
      <c r="N973" s="75" t="s">
        <v>1404</v>
      </c>
      <c r="O973" t="s">
        <v>3882</v>
      </c>
      <c r="P973" t="s">
        <v>3883</v>
      </c>
      <c r="Q973" t="s">
        <v>3884</v>
      </c>
      <c r="R973" s="332">
        <v>46183</v>
      </c>
      <c r="S973" s="333">
        <v>46913</v>
      </c>
      <c r="T973" s="50" t="s">
        <v>141</v>
      </c>
      <c r="U973" s="47" t="s">
        <v>141</v>
      </c>
      <c r="V973" s="40" t="s">
        <v>458</v>
      </c>
      <c r="W973" s="41" t="s">
        <v>39</v>
      </c>
      <c r="X973" s="40" t="s">
        <v>3885</v>
      </c>
      <c r="Y973" s="40" t="s">
        <v>185</v>
      </c>
      <c r="Z973"/>
      <c r="AA973" s="62">
        <v>90007743</v>
      </c>
      <c r="AB973" s="44">
        <v>46171</v>
      </c>
      <c r="AC973" s="63">
        <v>60017772</v>
      </c>
      <c r="AD973" s="46">
        <v>46171</v>
      </c>
      <c r="AE973"/>
      <c r="AF973" s="39"/>
      <c r="AG973" s="49"/>
      <c r="AH973" s="49"/>
      <c r="AI973" s="49"/>
      <c r="AJ973"/>
    </row>
    <row r="974" spans="1:36" s="40" customFormat="1" ht="19.5" customHeight="1">
      <c r="A974" s="25">
        <f t="shared" si="15"/>
        <v>968</v>
      </c>
      <c r="B974" s="26">
        <v>6285292</v>
      </c>
      <c r="C974" s="27">
        <v>46134</v>
      </c>
      <c r="D974" s="28">
        <v>1937.53</v>
      </c>
      <c r="E974" s="29">
        <v>15165.82</v>
      </c>
      <c r="F974" s="30" t="s">
        <v>3889</v>
      </c>
      <c r="G974" s="27">
        <v>46140</v>
      </c>
      <c r="H974" s="68">
        <v>1937.53</v>
      </c>
      <c r="I974" s="29">
        <v>15165.82</v>
      </c>
      <c r="J974" s="34" t="s">
        <v>33</v>
      </c>
      <c r="K974" t="s">
        <v>34</v>
      </c>
      <c r="L974" s="35">
        <v>202322832</v>
      </c>
      <c r="M974" s="36" t="s">
        <v>2149</v>
      </c>
      <c r="N974" s="37" t="s">
        <v>1346</v>
      </c>
      <c r="O974" t="s">
        <v>3890</v>
      </c>
      <c r="P974" t="s">
        <v>3891</v>
      </c>
      <c r="Q974" t="s">
        <v>3892</v>
      </c>
      <c r="R974" s="332">
        <v>46143</v>
      </c>
      <c r="S974" s="333">
        <v>46507</v>
      </c>
      <c r="T974" s="332">
        <v>46143</v>
      </c>
      <c r="U974" s="333">
        <v>46507</v>
      </c>
      <c r="V974" s="40" t="s">
        <v>3893</v>
      </c>
      <c r="W974" s="41" t="s">
        <v>3151</v>
      </c>
      <c r="X974" s="40" t="s">
        <v>3894</v>
      </c>
      <c r="Y974" s="40" t="s">
        <v>56</v>
      </c>
      <c r="Z974"/>
      <c r="AA974" s="62"/>
      <c r="AB974" s="44"/>
      <c r="AC974" s="63">
        <v>10000354556</v>
      </c>
      <c r="AD974" s="46">
        <v>46142</v>
      </c>
      <c r="AE974"/>
      <c r="AF974" s="39"/>
      <c r="AG974" s="49"/>
      <c r="AH974" s="49"/>
      <c r="AI974" s="49"/>
      <c r="AJ974"/>
    </row>
    <row r="975" spans="1:36" s="40" customFormat="1" ht="19.5" customHeight="1">
      <c r="A975" s="257">
        <f t="shared" si="15"/>
        <v>969</v>
      </c>
      <c r="B975" s="369" t="s">
        <v>141</v>
      </c>
      <c r="C975" s="370" t="s">
        <v>141</v>
      </c>
      <c r="D975" s="301" t="s">
        <v>141</v>
      </c>
      <c r="E975" s="371" t="s">
        <v>141</v>
      </c>
      <c r="F975" s="372" t="s">
        <v>3895</v>
      </c>
      <c r="G975" s="373">
        <v>46135</v>
      </c>
      <c r="H975" s="374"/>
      <c r="I975" s="375"/>
      <c r="J975" s="376" t="s">
        <v>3421</v>
      </c>
      <c r="K975" s="377" t="s">
        <v>1177</v>
      </c>
      <c r="L975" s="378" t="s">
        <v>3896</v>
      </c>
      <c r="M975" s="379" t="s">
        <v>3897</v>
      </c>
      <c r="N975" s="380" t="s">
        <v>3898</v>
      </c>
      <c r="O975" s="377" t="s">
        <v>3241</v>
      </c>
      <c r="P975" s="377" t="s">
        <v>3242</v>
      </c>
      <c r="Q975" s="377" t="s">
        <v>903</v>
      </c>
      <c r="R975" s="381">
        <v>46075</v>
      </c>
      <c r="S975" s="382">
        <v>46439</v>
      </c>
      <c r="T975" s="383" t="s">
        <v>141</v>
      </c>
      <c r="U975" s="384" t="s">
        <v>141</v>
      </c>
      <c r="V975" s="385" t="s">
        <v>245</v>
      </c>
      <c r="W975" s="386" t="s">
        <v>39</v>
      </c>
      <c r="X975" s="385" t="s">
        <v>3243</v>
      </c>
      <c r="Y975" s="385" t="s">
        <v>185</v>
      </c>
      <c r="Z975" s="279"/>
      <c r="AA975" s="313"/>
      <c r="AB975" s="314"/>
      <c r="AC975" s="315"/>
      <c r="AD975" s="316"/>
      <c r="AE975" s="279"/>
      <c r="AF975" s="309" t="s">
        <v>3899</v>
      </c>
      <c r="AG975" s="49"/>
      <c r="AH975" s="49"/>
      <c r="AI975" s="49"/>
      <c r="AJ975"/>
    </row>
    <row r="976" spans="1:36" s="40" customFormat="1" ht="19.5" customHeight="1">
      <c r="A976" s="25">
        <f t="shared" si="15"/>
        <v>970</v>
      </c>
      <c r="B976" s="26">
        <v>6285869</v>
      </c>
      <c r="C976" s="27">
        <v>46136</v>
      </c>
      <c r="D976" s="28">
        <v>830.59</v>
      </c>
      <c r="E976" s="29">
        <v>6501.36</v>
      </c>
      <c r="F976" s="30" t="s">
        <v>3900</v>
      </c>
      <c r="G976" s="27">
        <v>46141</v>
      </c>
      <c r="H976" s="28">
        <v>830.59</v>
      </c>
      <c r="I976" s="29">
        <v>6501.36</v>
      </c>
      <c r="J976" s="34" t="s">
        <v>33</v>
      </c>
      <c r="K976" t="s">
        <v>34</v>
      </c>
      <c r="L976" s="35">
        <v>492017760</v>
      </c>
      <c r="M976" s="36" t="s">
        <v>2129</v>
      </c>
      <c r="N976" s="37" t="s">
        <v>1346</v>
      </c>
      <c r="O976" t="s">
        <v>3901</v>
      </c>
      <c r="P976" t="s">
        <v>3902</v>
      </c>
      <c r="Q976" t="s">
        <v>3903</v>
      </c>
      <c r="R976" s="332">
        <v>46082</v>
      </c>
      <c r="S976" s="333">
        <v>46446</v>
      </c>
      <c r="T976" s="332">
        <v>46169</v>
      </c>
      <c r="U976" s="333">
        <v>46533</v>
      </c>
      <c r="V976" s="40" t="s">
        <v>1374</v>
      </c>
      <c r="W976" s="41" t="s">
        <v>3151</v>
      </c>
      <c r="X976" s="40" t="s">
        <v>3904</v>
      </c>
      <c r="Y976" s="40" t="s">
        <v>185</v>
      </c>
      <c r="Z976"/>
      <c r="AA976" s="62"/>
      <c r="AB976" s="44"/>
      <c r="AC976" s="63">
        <v>10000354513</v>
      </c>
      <c r="AD976" s="46">
        <v>46142</v>
      </c>
      <c r="AE976">
        <v>3207443</v>
      </c>
      <c r="AF976" s="39">
        <v>46165</v>
      </c>
      <c r="AG976" s="49"/>
      <c r="AH976" s="49"/>
      <c r="AI976" s="49"/>
      <c r="AJ976"/>
    </row>
    <row r="977" spans="1:36" s="40" customFormat="1" ht="19.5" customHeight="1">
      <c r="A977" s="25">
        <f t="shared" si="15"/>
        <v>971</v>
      </c>
      <c r="B977" s="26">
        <v>6285881</v>
      </c>
      <c r="C977" s="27">
        <v>46136</v>
      </c>
      <c r="D977" s="28">
        <v>944.24</v>
      </c>
      <c r="E977" s="29">
        <v>7390.94</v>
      </c>
      <c r="F977" s="30" t="s">
        <v>3905</v>
      </c>
      <c r="G977" s="27">
        <v>46139</v>
      </c>
      <c r="H977" s="32">
        <v>944.24</v>
      </c>
      <c r="I977" s="33">
        <v>7390.94</v>
      </c>
      <c r="J977" s="34" t="s">
        <v>33</v>
      </c>
      <c r="K977" t="s">
        <v>34</v>
      </c>
      <c r="L977" s="35">
        <v>482015648</v>
      </c>
      <c r="M977" s="36" t="s">
        <v>2129</v>
      </c>
      <c r="N977" s="37" t="s">
        <v>2543</v>
      </c>
      <c r="O977" t="s">
        <v>3901</v>
      </c>
      <c r="P977" t="s">
        <v>3902</v>
      </c>
      <c r="Q977" t="s">
        <v>3903</v>
      </c>
      <c r="R977" s="332">
        <v>46082</v>
      </c>
      <c r="S977" s="333">
        <v>46446</v>
      </c>
      <c r="T977" s="332">
        <v>46185</v>
      </c>
      <c r="U977" s="333">
        <v>46549</v>
      </c>
      <c r="V977" s="40" t="s">
        <v>1374</v>
      </c>
      <c r="W977" s="41" t="s">
        <v>3151</v>
      </c>
      <c r="X977" s="40" t="s">
        <v>3904</v>
      </c>
      <c r="Y977" s="40" t="s">
        <v>185</v>
      </c>
      <c r="Z977"/>
      <c r="AA977" s="62"/>
      <c r="AB977" s="44"/>
      <c r="AC977" s="63"/>
      <c r="AD977" s="46"/>
      <c r="AE977">
        <v>3207442</v>
      </c>
      <c r="AF977" s="39">
        <v>46165</v>
      </c>
      <c r="AG977" s="49"/>
      <c r="AH977" s="49"/>
      <c r="AI977" s="49"/>
      <c r="AJ977"/>
    </row>
    <row r="978" spans="1:36" s="40" customFormat="1" ht="19.5" customHeight="1">
      <c r="A978" s="25">
        <f t="shared" si="15"/>
        <v>972</v>
      </c>
      <c r="B978" s="26">
        <v>6285887</v>
      </c>
      <c r="C978" s="27">
        <v>46136</v>
      </c>
      <c r="D978" s="80" t="s">
        <v>141</v>
      </c>
      <c r="E978" s="29">
        <v>97177.67</v>
      </c>
      <c r="F978" s="30" t="s">
        <v>3906</v>
      </c>
      <c r="G978" s="27">
        <v>46141</v>
      </c>
      <c r="H978" s="80" t="s">
        <v>141</v>
      </c>
      <c r="I978" s="29">
        <v>97177.67</v>
      </c>
      <c r="J978" s="34" t="s">
        <v>103</v>
      </c>
      <c r="K978" t="s">
        <v>107</v>
      </c>
      <c r="L978" s="35" t="s">
        <v>3907</v>
      </c>
      <c r="M978" s="36" t="s">
        <v>3908</v>
      </c>
      <c r="N978" s="37" t="s">
        <v>3909</v>
      </c>
      <c r="O978" t="s">
        <v>3901</v>
      </c>
      <c r="P978" t="s">
        <v>3902</v>
      </c>
      <c r="Q978" t="s">
        <v>3903</v>
      </c>
      <c r="R978" s="332">
        <v>46082</v>
      </c>
      <c r="S978" s="333">
        <v>46446</v>
      </c>
      <c r="T978" s="332">
        <v>46138</v>
      </c>
      <c r="U978" s="333">
        <v>46502</v>
      </c>
      <c r="V978" s="40" t="s">
        <v>1374</v>
      </c>
      <c r="W978" s="41" t="s">
        <v>39</v>
      </c>
      <c r="X978" s="40" t="s">
        <v>3910</v>
      </c>
      <c r="Y978" s="40" t="s">
        <v>56</v>
      </c>
      <c r="Z978"/>
      <c r="AA978" s="62" t="s">
        <v>3911</v>
      </c>
      <c r="AB978" s="44">
        <v>46148</v>
      </c>
      <c r="AC978" s="63"/>
      <c r="AD978" s="46"/>
      <c r="AE978"/>
      <c r="AF978" s="39"/>
      <c r="AG978" s="49"/>
      <c r="AH978" s="49"/>
      <c r="AI978" s="49"/>
      <c r="AJ978"/>
    </row>
    <row r="979" spans="1:36" s="40" customFormat="1" ht="19.5" customHeight="1">
      <c r="A979" s="25">
        <f t="shared" si="15"/>
        <v>973</v>
      </c>
      <c r="B979" s="26">
        <v>6286219</v>
      </c>
      <c r="C979" s="27">
        <v>46136</v>
      </c>
      <c r="D979" s="28">
        <v>68922.05</v>
      </c>
      <c r="E979" s="29">
        <v>539480.44999999995</v>
      </c>
      <c r="F979" s="30" t="s">
        <v>3912</v>
      </c>
      <c r="G979" s="27">
        <v>46147</v>
      </c>
      <c r="H979" s="28">
        <v>66777.36</v>
      </c>
      <c r="I979" s="29">
        <v>522693.10766400001</v>
      </c>
      <c r="J979" s="34" t="s">
        <v>33</v>
      </c>
      <c r="K979" t="s">
        <v>34</v>
      </c>
      <c r="L979" s="35">
        <v>442014148</v>
      </c>
      <c r="M979" s="36" t="s">
        <v>2104</v>
      </c>
      <c r="N979" s="37" t="s">
        <v>2000</v>
      </c>
      <c r="O979" t="s">
        <v>3913</v>
      </c>
      <c r="P979" t="s">
        <v>3914</v>
      </c>
      <c r="Q979" t="s">
        <v>3915</v>
      </c>
      <c r="R979" s="332">
        <v>46143</v>
      </c>
      <c r="S979" s="333">
        <v>46507</v>
      </c>
      <c r="T979" s="332">
        <v>46143</v>
      </c>
      <c r="U979" s="333">
        <v>46507</v>
      </c>
      <c r="V979" s="40" t="s">
        <v>38</v>
      </c>
      <c r="W979" s="41" t="s">
        <v>3151</v>
      </c>
      <c r="X979" s="40" t="s">
        <v>1852</v>
      </c>
      <c r="Y979" s="40" t="s">
        <v>56</v>
      </c>
      <c r="Z979"/>
      <c r="AA979" s="62"/>
      <c r="AB979" s="44"/>
      <c r="AC979" s="63">
        <v>10000376480</v>
      </c>
      <c r="AD979" s="46">
        <v>46149</v>
      </c>
      <c r="AE979"/>
      <c r="AF979" s="39"/>
      <c r="AG979" s="49"/>
      <c r="AH979" s="49"/>
      <c r="AI979" s="49"/>
      <c r="AJ979"/>
    </row>
    <row r="980" spans="1:36" s="40" customFormat="1" ht="19.5" customHeight="1">
      <c r="A980" s="25">
        <f t="shared" si="15"/>
        <v>974</v>
      </c>
      <c r="B980" s="26">
        <v>6286364</v>
      </c>
      <c r="C980" s="27">
        <v>46139</v>
      </c>
      <c r="D980" s="28">
        <v>4591.34</v>
      </c>
      <c r="E980" s="29">
        <v>35938.25</v>
      </c>
      <c r="F980" s="30" t="s">
        <v>3916</v>
      </c>
      <c r="G980" s="27">
        <v>46142</v>
      </c>
      <c r="H980" s="68">
        <v>4591.34</v>
      </c>
      <c r="I980" s="29">
        <v>35938.25</v>
      </c>
      <c r="J980" s="34" t="s">
        <v>33</v>
      </c>
      <c r="K980" t="s">
        <v>34</v>
      </c>
      <c r="L980" s="35">
        <v>372240973</v>
      </c>
      <c r="M980" s="36" t="s">
        <v>2104</v>
      </c>
      <c r="N980" s="37" t="s">
        <v>1674</v>
      </c>
      <c r="O980" t="s">
        <v>3913</v>
      </c>
      <c r="P980" t="s">
        <v>3914</v>
      </c>
      <c r="Q980" t="s">
        <v>3915</v>
      </c>
      <c r="R980" s="332">
        <v>46143</v>
      </c>
      <c r="S980" s="333">
        <v>46507</v>
      </c>
      <c r="T980" s="332">
        <v>46232</v>
      </c>
      <c r="U980" s="333">
        <v>46596</v>
      </c>
      <c r="V980" s="40" t="s">
        <v>38</v>
      </c>
      <c r="W980" s="41" t="s">
        <v>3151</v>
      </c>
      <c r="X980" s="40" t="s">
        <v>1852</v>
      </c>
      <c r="Y980" s="40" t="s">
        <v>56</v>
      </c>
      <c r="Z980"/>
      <c r="AA980" s="62"/>
      <c r="AB980" s="44"/>
      <c r="AC980" s="63">
        <v>10000365029</v>
      </c>
      <c r="AD980" s="46">
        <v>46146</v>
      </c>
      <c r="AE980"/>
      <c r="AF980" s="39"/>
      <c r="AG980" s="49"/>
      <c r="AH980" s="49"/>
      <c r="AI980" s="49"/>
      <c r="AJ980"/>
    </row>
    <row r="981" spans="1:36" s="40" customFormat="1" ht="19.5" customHeight="1">
      <c r="A981" s="25">
        <f t="shared" si="15"/>
        <v>975</v>
      </c>
      <c r="B981" s="26">
        <v>6286369</v>
      </c>
      <c r="C981" s="27">
        <v>46139</v>
      </c>
      <c r="D981" s="28">
        <v>2144.69</v>
      </c>
      <c r="E981" s="29">
        <v>16787.349999999999</v>
      </c>
      <c r="F981" s="30" t="s">
        <v>3917</v>
      </c>
      <c r="G981" s="27">
        <v>46142</v>
      </c>
      <c r="H981" s="68">
        <v>2144.69</v>
      </c>
      <c r="I981" s="29">
        <v>16787.349999999999</v>
      </c>
      <c r="J981" s="34" t="s">
        <v>33</v>
      </c>
      <c r="K981" t="s">
        <v>34</v>
      </c>
      <c r="L981" s="35">
        <v>312251457</v>
      </c>
      <c r="M981" s="36" t="s">
        <v>2104</v>
      </c>
      <c r="N981" s="37" t="s">
        <v>1684</v>
      </c>
      <c r="O981" t="s">
        <v>3913</v>
      </c>
      <c r="P981" t="s">
        <v>3914</v>
      </c>
      <c r="Q981" t="s">
        <v>3915</v>
      </c>
      <c r="R981" s="332">
        <v>46143</v>
      </c>
      <c r="S981" s="333">
        <v>46507</v>
      </c>
      <c r="T981" s="332">
        <v>46143</v>
      </c>
      <c r="U981" s="333">
        <v>46507</v>
      </c>
      <c r="V981" s="40" t="s">
        <v>38</v>
      </c>
      <c r="W981" s="41" t="s">
        <v>3151</v>
      </c>
      <c r="X981" s="40" t="s">
        <v>1852</v>
      </c>
      <c r="Y981" s="40" t="s">
        <v>56</v>
      </c>
      <c r="Z981"/>
      <c r="AA981" s="62"/>
      <c r="AB981" s="44"/>
      <c r="AC981" s="63">
        <v>10000365030</v>
      </c>
      <c r="AD981" s="46">
        <v>46146</v>
      </c>
      <c r="AE981"/>
      <c r="AF981" s="39"/>
      <c r="AG981" s="49"/>
      <c r="AH981" s="49"/>
      <c r="AI981" s="49"/>
      <c r="AJ981"/>
    </row>
    <row r="982" spans="1:36" s="40" customFormat="1" ht="19.5" customHeight="1">
      <c r="A982" s="25">
        <f t="shared" si="15"/>
        <v>976</v>
      </c>
      <c r="B982" s="26">
        <v>6286371</v>
      </c>
      <c r="C982" s="27">
        <v>46139</v>
      </c>
      <c r="D982" s="28">
        <v>917.92</v>
      </c>
      <c r="E982" s="29">
        <v>7184.93</v>
      </c>
      <c r="F982" s="30" t="s">
        <v>3918</v>
      </c>
      <c r="G982" s="27">
        <v>46142</v>
      </c>
      <c r="H982" s="28">
        <v>917.92</v>
      </c>
      <c r="I982" s="29">
        <v>7184.93</v>
      </c>
      <c r="J982" s="34" t="s">
        <v>33</v>
      </c>
      <c r="K982" t="s">
        <v>34</v>
      </c>
      <c r="L982" s="35">
        <v>442016195</v>
      </c>
      <c r="M982" s="36" t="s">
        <v>2129</v>
      </c>
      <c r="N982" s="37" t="s">
        <v>2551</v>
      </c>
      <c r="O982" t="s">
        <v>3913</v>
      </c>
      <c r="P982" t="s">
        <v>3914</v>
      </c>
      <c r="Q982" t="s">
        <v>3915</v>
      </c>
      <c r="R982" s="332">
        <v>46143</v>
      </c>
      <c r="S982" s="333">
        <v>46507</v>
      </c>
      <c r="T982" s="332">
        <v>46263</v>
      </c>
      <c r="U982" s="333">
        <v>46262</v>
      </c>
      <c r="V982" s="40" t="s">
        <v>38</v>
      </c>
      <c r="W982" s="41" t="s">
        <v>3151</v>
      </c>
      <c r="X982" s="40" t="s">
        <v>1852</v>
      </c>
      <c r="Y982" s="40" t="s">
        <v>56</v>
      </c>
      <c r="Z982"/>
      <c r="AA982" s="62"/>
      <c r="AB982" s="44"/>
      <c r="AC982" s="63">
        <v>10000365026</v>
      </c>
      <c r="AD982" s="46">
        <v>46146</v>
      </c>
      <c r="AE982"/>
      <c r="AF982" s="39"/>
      <c r="AG982" s="49"/>
      <c r="AH982" s="49"/>
      <c r="AI982" s="49"/>
      <c r="AJ982"/>
    </row>
    <row r="983" spans="1:36" s="40" customFormat="1" ht="19.5" customHeight="1">
      <c r="A983" s="25">
        <f>A982+1</f>
        <v>977</v>
      </c>
      <c r="B983" s="26">
        <v>6286404</v>
      </c>
      <c r="C983" s="27">
        <v>46139</v>
      </c>
      <c r="D983" s="28">
        <v>54185.35</v>
      </c>
      <c r="E983" s="29">
        <v>424130.41</v>
      </c>
      <c r="F983" s="30" t="s">
        <v>3919</v>
      </c>
      <c r="G983" s="27">
        <v>46147</v>
      </c>
      <c r="H983" s="28">
        <v>54185.35</v>
      </c>
      <c r="I983" s="29">
        <v>424130.41</v>
      </c>
      <c r="J983" s="34" t="s">
        <v>33</v>
      </c>
      <c r="K983" t="s">
        <v>34</v>
      </c>
      <c r="L983" s="35">
        <v>352255846</v>
      </c>
      <c r="M983" s="36" t="s">
        <v>2129</v>
      </c>
      <c r="N983" s="37" t="s">
        <v>1346</v>
      </c>
      <c r="O983" t="s">
        <v>3920</v>
      </c>
      <c r="P983" t="s">
        <v>3921</v>
      </c>
      <c r="Q983" t="s">
        <v>3922</v>
      </c>
      <c r="R983" s="332">
        <v>46143</v>
      </c>
      <c r="S983" s="333">
        <v>46507</v>
      </c>
      <c r="T983" s="332">
        <v>46143</v>
      </c>
      <c r="U983" s="333">
        <v>46873</v>
      </c>
      <c r="V983" s="40" t="s">
        <v>51</v>
      </c>
      <c r="W983" s="41" t="s">
        <v>3151</v>
      </c>
      <c r="X983" s="342" t="s">
        <v>3923</v>
      </c>
      <c r="Y983" s="40" t="s">
        <v>56</v>
      </c>
      <c r="Z983"/>
      <c r="AA983" s="62"/>
      <c r="AB983" s="44"/>
      <c r="AC983" s="63">
        <v>10000373569</v>
      </c>
      <c r="AD983" s="46">
        <v>46148</v>
      </c>
      <c r="AE983"/>
      <c r="AF983" s="39"/>
      <c r="AG983" s="49"/>
      <c r="AH983" s="49"/>
      <c r="AI983" s="49"/>
      <c r="AJ983"/>
    </row>
    <row r="984" spans="1:36" s="40" customFormat="1" ht="19.5" customHeight="1">
      <c r="A984" s="25">
        <f t="shared" ref="A984:A1047" si="16">A983+1</f>
        <v>978</v>
      </c>
      <c r="B984" s="26">
        <v>6286402</v>
      </c>
      <c r="C984" s="27">
        <v>46139</v>
      </c>
      <c r="D984" s="80" t="s">
        <v>141</v>
      </c>
      <c r="E984" s="29">
        <v>1942.5</v>
      </c>
      <c r="F984" s="30" t="s">
        <v>3924</v>
      </c>
      <c r="G984" s="27">
        <v>46142</v>
      </c>
      <c r="H984" s="80" t="s">
        <v>141</v>
      </c>
      <c r="I984" s="33">
        <v>1942.5</v>
      </c>
      <c r="J984" s="34" t="s">
        <v>99</v>
      </c>
      <c r="K984" t="s">
        <v>1308</v>
      </c>
      <c r="L984" s="35" t="s">
        <v>3925</v>
      </c>
      <c r="M984" s="36" t="s">
        <v>1310</v>
      </c>
      <c r="N984" s="37" t="s">
        <v>3926</v>
      </c>
      <c r="O984" t="s">
        <v>3730</v>
      </c>
      <c r="P984" t="s">
        <v>3731</v>
      </c>
      <c r="Q984" t="s">
        <v>3927</v>
      </c>
      <c r="R984" s="332">
        <v>46128</v>
      </c>
      <c r="S984" s="333">
        <v>46492</v>
      </c>
      <c r="T984" s="332">
        <v>46128</v>
      </c>
      <c r="U984" s="333">
        <v>45397</v>
      </c>
      <c r="V984" s="40" t="s">
        <v>1306</v>
      </c>
      <c r="W984" s="41" t="s">
        <v>39</v>
      </c>
      <c r="X984" s="40" t="s">
        <v>3928</v>
      </c>
      <c r="Y984" s="40" t="s">
        <v>185</v>
      </c>
      <c r="Z984"/>
      <c r="AA984" s="62"/>
      <c r="AB984" s="44"/>
      <c r="AC984" s="63">
        <v>260560071</v>
      </c>
      <c r="AD984" s="46">
        <v>46150</v>
      </c>
      <c r="AE984"/>
      <c r="AF984" s="39"/>
      <c r="AG984" s="49"/>
      <c r="AH984" s="49"/>
      <c r="AI984" s="49"/>
      <c r="AJ984"/>
    </row>
    <row r="985" spans="1:36" s="201" customFormat="1" ht="19.5" customHeight="1">
      <c r="A985" s="193">
        <f t="shared" si="16"/>
        <v>979</v>
      </c>
      <c r="B985" s="91">
        <v>6286735</v>
      </c>
      <c r="C985" s="92">
        <v>46139</v>
      </c>
      <c r="D985" s="330" t="s">
        <v>141</v>
      </c>
      <c r="E985" s="330" t="s">
        <v>141</v>
      </c>
      <c r="F985" s="93" t="s">
        <v>141</v>
      </c>
      <c r="G985" s="92" t="s">
        <v>3929</v>
      </c>
      <c r="H985" s="215"/>
      <c r="I985" s="387"/>
      <c r="J985" s="94" t="s">
        <v>33</v>
      </c>
      <c r="K985" s="95" t="s">
        <v>34</v>
      </c>
      <c r="L985" s="196">
        <v>471975383</v>
      </c>
      <c r="M985" s="96" t="s">
        <v>2550</v>
      </c>
      <c r="N985" s="197" t="s">
        <v>1346</v>
      </c>
      <c r="O985" s="95" t="s">
        <v>3930</v>
      </c>
      <c r="P985" s="95" t="s">
        <v>3931</v>
      </c>
      <c r="Q985" s="95" t="s">
        <v>3528</v>
      </c>
      <c r="R985" s="354">
        <v>45658</v>
      </c>
      <c r="S985" s="355">
        <v>45688</v>
      </c>
      <c r="T985" s="354">
        <v>46108</v>
      </c>
      <c r="U985" s="355">
        <v>46472</v>
      </c>
      <c r="V985" s="201" t="s">
        <v>1374</v>
      </c>
      <c r="W985" s="202" t="s">
        <v>3151</v>
      </c>
      <c r="X985" s="201" t="s">
        <v>3932</v>
      </c>
      <c r="Y985" s="201" t="s">
        <v>185</v>
      </c>
      <c r="Z985" s="95"/>
      <c r="AA985" s="204"/>
      <c r="AB985" s="205"/>
      <c r="AC985" s="206"/>
      <c r="AD985" s="207"/>
      <c r="AE985" s="95"/>
      <c r="AF985" s="39" t="s">
        <v>3933</v>
      </c>
      <c r="AG985" s="209"/>
      <c r="AH985" s="209"/>
      <c r="AI985" s="209"/>
      <c r="AJ985" s="95"/>
    </row>
    <row r="986" spans="1:36" s="40" customFormat="1" ht="19.5" customHeight="1">
      <c r="A986" s="25">
        <f t="shared" si="16"/>
        <v>980</v>
      </c>
      <c r="B986" s="26">
        <v>6286736</v>
      </c>
      <c r="C986" s="27">
        <v>46139</v>
      </c>
      <c r="D986" s="219" t="s">
        <v>141</v>
      </c>
      <c r="E986" s="72">
        <v>10701</v>
      </c>
      <c r="F986" s="30" t="s">
        <v>3934</v>
      </c>
      <c r="G986" s="27">
        <v>46155</v>
      </c>
      <c r="H986" s="219" t="s">
        <v>141</v>
      </c>
      <c r="I986" s="74">
        <v>10701</v>
      </c>
      <c r="J986" s="34" t="s">
        <v>33</v>
      </c>
      <c r="K986" t="s">
        <v>139</v>
      </c>
      <c r="L986" s="35">
        <v>80005403</v>
      </c>
      <c r="M986" s="36" t="s">
        <v>3935</v>
      </c>
      <c r="N986" s="75" t="s">
        <v>1749</v>
      </c>
      <c r="O986" t="s">
        <v>3930</v>
      </c>
      <c r="P986" t="s">
        <v>3931</v>
      </c>
      <c r="Q986" t="s">
        <v>3528</v>
      </c>
      <c r="R986" s="332">
        <v>45658</v>
      </c>
      <c r="S986" s="333">
        <v>46022</v>
      </c>
      <c r="T986" s="50" t="s">
        <v>141</v>
      </c>
      <c r="U986" s="47" t="s">
        <v>141</v>
      </c>
      <c r="V986" s="40" t="s">
        <v>1374</v>
      </c>
      <c r="W986" s="41" t="s">
        <v>39</v>
      </c>
      <c r="X986" s="40" t="s">
        <v>3932</v>
      </c>
      <c r="Y986" s="40" t="s">
        <v>185</v>
      </c>
      <c r="Z986"/>
      <c r="AA986" s="62">
        <v>90007781</v>
      </c>
      <c r="AB986" s="44">
        <v>46181</v>
      </c>
      <c r="AC986" s="63">
        <v>60017825</v>
      </c>
      <c r="AD986" s="46">
        <v>46181</v>
      </c>
      <c r="AE986"/>
      <c r="AF986" s="39"/>
      <c r="AG986" s="49"/>
      <c r="AH986" s="49"/>
      <c r="AI986" s="49"/>
      <c r="AJ986"/>
    </row>
    <row r="987" spans="1:36" s="40" customFormat="1" ht="19.5" customHeight="1">
      <c r="A987" s="25">
        <f t="shared" si="16"/>
        <v>981</v>
      </c>
      <c r="B987" s="26">
        <v>6287205</v>
      </c>
      <c r="C987" s="27">
        <v>46140</v>
      </c>
      <c r="D987" s="80" t="s">
        <v>141</v>
      </c>
      <c r="E987" s="29">
        <v>97912.49</v>
      </c>
      <c r="F987" s="30" t="s">
        <v>3936</v>
      </c>
      <c r="G987" s="27">
        <v>46142</v>
      </c>
      <c r="H987" s="80" t="s">
        <v>141</v>
      </c>
      <c r="I987" s="33">
        <v>97912.49</v>
      </c>
      <c r="J987" s="34" t="s">
        <v>103</v>
      </c>
      <c r="K987" t="s">
        <v>107</v>
      </c>
      <c r="L987" s="35" t="s">
        <v>3937</v>
      </c>
      <c r="M987" s="36" t="s">
        <v>3938</v>
      </c>
      <c r="N987" s="37" t="s">
        <v>1458</v>
      </c>
      <c r="O987" t="s">
        <v>3939</v>
      </c>
      <c r="P987" t="s">
        <v>3940</v>
      </c>
      <c r="Q987" t="s">
        <v>3941</v>
      </c>
      <c r="R987" s="332">
        <v>46194</v>
      </c>
      <c r="S987" s="333">
        <v>46558</v>
      </c>
      <c r="T987" s="332">
        <v>46194</v>
      </c>
      <c r="U987" s="333">
        <v>46558</v>
      </c>
      <c r="V987" s="40" t="s">
        <v>590</v>
      </c>
      <c r="W987" s="41" t="s">
        <v>39</v>
      </c>
      <c r="X987" s="40" t="s">
        <v>3942</v>
      </c>
      <c r="Y987" s="40" t="s">
        <v>56</v>
      </c>
      <c r="Z987"/>
      <c r="AA987" s="62" t="s">
        <v>3943</v>
      </c>
      <c r="AB987" s="44">
        <v>46149</v>
      </c>
      <c r="AC987" s="63" t="s">
        <v>3944</v>
      </c>
      <c r="AD987" s="46">
        <v>46149</v>
      </c>
      <c r="AE987">
        <v>3214133</v>
      </c>
      <c r="AF987" s="39">
        <v>46219</v>
      </c>
      <c r="AG987" s="49"/>
      <c r="AH987" s="49"/>
      <c r="AI987" s="49"/>
      <c r="AJ987"/>
    </row>
    <row r="988" spans="1:36" s="201" customFormat="1" ht="19.5" customHeight="1">
      <c r="A988" s="193">
        <f t="shared" si="16"/>
        <v>982</v>
      </c>
      <c r="B988" s="91">
        <v>6287809</v>
      </c>
      <c r="C988" s="92">
        <v>46141</v>
      </c>
      <c r="D988" s="194">
        <v>7934.36</v>
      </c>
      <c r="E988" s="195">
        <v>62105.41</v>
      </c>
      <c r="F988" s="93" t="s">
        <v>3945</v>
      </c>
      <c r="G988" s="92">
        <v>46153</v>
      </c>
      <c r="H988" s="215">
        <v>7797.18</v>
      </c>
      <c r="I988" s="387">
        <v>61031.646732000001</v>
      </c>
      <c r="J988" s="94" t="s">
        <v>33</v>
      </c>
      <c r="K988" s="95" t="s">
        <v>34</v>
      </c>
      <c r="L988" s="196">
        <v>492016036</v>
      </c>
      <c r="M988" s="96" t="s">
        <v>2149</v>
      </c>
      <c r="N988" s="197" t="s">
        <v>2543</v>
      </c>
      <c r="O988" s="95" t="s">
        <v>3946</v>
      </c>
      <c r="P988" s="95" t="s">
        <v>3947</v>
      </c>
      <c r="Q988" s="95" t="s">
        <v>3948</v>
      </c>
      <c r="R988" s="354">
        <v>46091</v>
      </c>
      <c r="S988" s="355">
        <v>46660</v>
      </c>
      <c r="T988" s="354">
        <v>46113</v>
      </c>
      <c r="U988" s="355">
        <v>46477</v>
      </c>
      <c r="V988" s="201" t="s">
        <v>3949</v>
      </c>
      <c r="W988" s="202" t="s">
        <v>3151</v>
      </c>
      <c r="X988" s="201" t="s">
        <v>3950</v>
      </c>
      <c r="Y988" s="201" t="s">
        <v>185</v>
      </c>
      <c r="Z988" s="95"/>
      <c r="AA988" s="204"/>
      <c r="AB988" s="205"/>
      <c r="AC988" s="206"/>
      <c r="AD988" s="207"/>
      <c r="AE988" s="95"/>
      <c r="AF988" s="200" t="s">
        <v>3951</v>
      </c>
      <c r="AG988" s="209"/>
      <c r="AH988" s="209"/>
      <c r="AI988" s="209"/>
      <c r="AJ988" s="95"/>
    </row>
    <row r="989" spans="1:36" s="40" customFormat="1" ht="19.5" customHeight="1">
      <c r="A989" s="25">
        <f t="shared" si="16"/>
        <v>983</v>
      </c>
      <c r="B989" s="26">
        <v>6287788</v>
      </c>
      <c r="C989" s="27">
        <v>46141</v>
      </c>
      <c r="D989" s="28">
        <v>14025.62</v>
      </c>
      <c r="E989" s="29">
        <v>109784.14</v>
      </c>
      <c r="F989" s="30" t="s">
        <v>3952</v>
      </c>
      <c r="G989" s="27">
        <v>46147</v>
      </c>
      <c r="H989" s="28">
        <v>14025.62</v>
      </c>
      <c r="I989" s="29">
        <v>109784.14</v>
      </c>
      <c r="J989" s="34" t="s">
        <v>33</v>
      </c>
      <c r="K989" t="s">
        <v>34</v>
      </c>
      <c r="L989" s="35">
        <v>431974813</v>
      </c>
      <c r="M989" s="36" t="s">
        <v>2550</v>
      </c>
      <c r="N989" s="37" t="s">
        <v>3953</v>
      </c>
      <c r="O989" t="s">
        <v>3930</v>
      </c>
      <c r="P989" t="s">
        <v>3931</v>
      </c>
      <c r="Q989" t="s">
        <v>3528</v>
      </c>
      <c r="R989" s="332">
        <v>45658</v>
      </c>
      <c r="S989" s="333">
        <v>46022</v>
      </c>
      <c r="T989" s="332">
        <v>46432</v>
      </c>
      <c r="U989" s="333">
        <v>46787</v>
      </c>
      <c r="V989" s="40" t="s">
        <v>1374</v>
      </c>
      <c r="W989" s="41" t="s">
        <v>3151</v>
      </c>
      <c r="X989" s="40" t="s">
        <v>3954</v>
      </c>
      <c r="Y989" s="40" t="s">
        <v>185</v>
      </c>
      <c r="Z989"/>
      <c r="AA989" s="62"/>
      <c r="AB989" s="44"/>
      <c r="AC989" s="63">
        <v>10000373528</v>
      </c>
      <c r="AD989" s="46">
        <v>46148</v>
      </c>
      <c r="AE989"/>
      <c r="AF989" s="39"/>
      <c r="AG989" s="49"/>
      <c r="AH989" s="49"/>
      <c r="AI989" s="49"/>
      <c r="AJ989"/>
    </row>
    <row r="990" spans="1:36" s="40" customFormat="1" ht="19.5" customHeight="1" thickBot="1">
      <c r="A990" s="25">
        <f t="shared" si="16"/>
        <v>984</v>
      </c>
      <c r="B990" s="26">
        <v>6287793</v>
      </c>
      <c r="C990" s="27">
        <v>46141</v>
      </c>
      <c r="D990" s="28">
        <v>14217.93</v>
      </c>
      <c r="E990" s="29">
        <v>111289.43</v>
      </c>
      <c r="F990" s="30" t="s">
        <v>3955</v>
      </c>
      <c r="G990" s="27">
        <v>46147</v>
      </c>
      <c r="H990" s="28">
        <v>14217.93</v>
      </c>
      <c r="I990" s="29">
        <v>111289.43</v>
      </c>
      <c r="J990" s="34" t="s">
        <v>33</v>
      </c>
      <c r="K990" t="s">
        <v>34</v>
      </c>
      <c r="L990" s="35">
        <v>272326203</v>
      </c>
      <c r="M990" s="36" t="s">
        <v>2550</v>
      </c>
      <c r="N990" s="37" t="s">
        <v>3956</v>
      </c>
      <c r="O990" t="s">
        <v>3930</v>
      </c>
      <c r="P990" t="s">
        <v>3931</v>
      </c>
      <c r="Q990" t="s">
        <v>3528</v>
      </c>
      <c r="R990" s="332">
        <v>45658</v>
      </c>
      <c r="S990" s="333">
        <v>46022</v>
      </c>
      <c r="T990" s="332">
        <v>46174</v>
      </c>
      <c r="U990" s="333">
        <v>46446</v>
      </c>
      <c r="V990" s="40" t="s">
        <v>1374</v>
      </c>
      <c r="W990" s="41" t="s">
        <v>3151</v>
      </c>
      <c r="X990" s="40" t="s">
        <v>3954</v>
      </c>
      <c r="Y990" s="40" t="s">
        <v>185</v>
      </c>
      <c r="Z990"/>
      <c r="AA990" s="62"/>
      <c r="AB990" s="44"/>
      <c r="AC990" s="63">
        <v>10000376488</v>
      </c>
      <c r="AD990" s="46">
        <v>46149</v>
      </c>
      <c r="AE990"/>
      <c r="AF990" s="39"/>
      <c r="AG990" s="49"/>
      <c r="AH990" s="49"/>
      <c r="AI990" s="49"/>
      <c r="AJ990"/>
    </row>
    <row r="991" spans="1:36" s="40" customFormat="1" ht="19.5" customHeight="1">
      <c r="A991" s="143">
        <f t="shared" si="16"/>
        <v>985</v>
      </c>
      <c r="B991" s="135">
        <v>6287803</v>
      </c>
      <c r="C991" s="136">
        <v>46141</v>
      </c>
      <c r="D991" s="176">
        <v>19322.3</v>
      </c>
      <c r="E991" s="177">
        <v>151243.37</v>
      </c>
      <c r="F991" s="139" t="s">
        <v>3957</v>
      </c>
      <c r="G991" s="136">
        <v>46147</v>
      </c>
      <c r="H991" s="176">
        <f>19322.3-9595.24</f>
        <v>9727.06</v>
      </c>
      <c r="I991" s="177">
        <f>H991*(151243.37/19322.3)</f>
        <v>76137.588930520695</v>
      </c>
      <c r="J991" s="140" t="s">
        <v>33</v>
      </c>
      <c r="K991" s="141" t="s">
        <v>34</v>
      </c>
      <c r="L991" s="142">
        <v>242327018</v>
      </c>
      <c r="M991" s="143" t="s">
        <v>2550</v>
      </c>
      <c r="N991" s="144" t="s">
        <v>3958</v>
      </c>
      <c r="O991" s="141" t="s">
        <v>3930</v>
      </c>
      <c r="P991" s="141" t="s">
        <v>3931</v>
      </c>
      <c r="Q991" s="141" t="s">
        <v>3528</v>
      </c>
      <c r="R991" s="363">
        <v>45658</v>
      </c>
      <c r="S991" s="364">
        <v>46022</v>
      </c>
      <c r="T991" s="363">
        <v>46174</v>
      </c>
      <c r="U991" s="364">
        <v>46468</v>
      </c>
      <c r="V991" s="147" t="s">
        <v>1374</v>
      </c>
      <c r="W991" s="148" t="s">
        <v>3151</v>
      </c>
      <c r="X991" s="147" t="s">
        <v>3954</v>
      </c>
      <c r="Y991" s="147" t="s">
        <v>185</v>
      </c>
      <c r="Z991" s="141"/>
      <c r="AA991" s="150"/>
      <c r="AB991" s="151"/>
      <c r="AC991" s="152">
        <v>10000379389</v>
      </c>
      <c r="AD991" s="153">
        <v>46150</v>
      </c>
      <c r="AE991" s="141"/>
      <c r="AF991" s="146"/>
      <c r="AG991" s="49"/>
      <c r="AH991" s="49"/>
      <c r="AI991" s="49"/>
      <c r="AJ991"/>
    </row>
    <row r="992" spans="1:36" s="40" customFormat="1" ht="19.5" customHeight="1" thickBot="1">
      <c r="A992" s="163"/>
      <c r="B992" s="155">
        <v>6287803</v>
      </c>
      <c r="C992" s="156"/>
      <c r="D992" s="157"/>
      <c r="E992" s="158"/>
      <c r="F992" s="159" t="s">
        <v>3957</v>
      </c>
      <c r="G992" s="156">
        <v>46147</v>
      </c>
      <c r="H992" s="157">
        <f>19322.3-9727.06</f>
        <v>9595.24</v>
      </c>
      <c r="I992" s="158">
        <f>H992*(151243.37/19322.3)</f>
        <v>75105.781069479301</v>
      </c>
      <c r="J992" s="160" t="s">
        <v>33</v>
      </c>
      <c r="K992" s="161" t="s">
        <v>34</v>
      </c>
      <c r="L992" s="162">
        <v>492024288</v>
      </c>
      <c r="M992" s="163"/>
      <c r="N992" s="164"/>
      <c r="O992" s="161" t="s">
        <v>3930</v>
      </c>
      <c r="P992" s="161" t="s">
        <v>3931</v>
      </c>
      <c r="Q992" s="161"/>
      <c r="R992" s="366"/>
      <c r="S992" s="367"/>
      <c r="T992" s="366"/>
      <c r="U992" s="367"/>
      <c r="V992" s="167"/>
      <c r="W992" s="168"/>
      <c r="X992" s="167"/>
      <c r="Y992" s="167"/>
      <c r="Z992" s="161"/>
      <c r="AA992" s="170"/>
      <c r="AB992" s="171"/>
      <c r="AC992" s="172">
        <v>10000388702</v>
      </c>
      <c r="AD992" s="173">
        <v>46154</v>
      </c>
      <c r="AE992" s="161"/>
      <c r="AF992" s="166"/>
      <c r="AG992" s="49"/>
      <c r="AH992" s="49"/>
      <c r="AI992" s="49"/>
      <c r="AJ992"/>
    </row>
    <row r="993" spans="1:36" s="40" customFormat="1" ht="19.5" customHeight="1">
      <c r="A993" s="25">
        <f>A991+1</f>
        <v>986</v>
      </c>
      <c r="B993" s="26">
        <v>6288920</v>
      </c>
      <c r="C993" s="27">
        <v>46147</v>
      </c>
      <c r="D993" s="219" t="s">
        <v>141</v>
      </c>
      <c r="E993" s="72">
        <v>335951.05</v>
      </c>
      <c r="F993" s="30" t="s">
        <v>3959</v>
      </c>
      <c r="G993" s="27">
        <v>46150</v>
      </c>
      <c r="H993" s="293" t="s">
        <v>141</v>
      </c>
      <c r="I993" s="72">
        <v>335951.05</v>
      </c>
      <c r="J993" s="34" t="s">
        <v>103</v>
      </c>
      <c r="K993" t="s">
        <v>107</v>
      </c>
      <c r="L993" s="35" t="s">
        <v>3960</v>
      </c>
      <c r="M993" s="36" t="s">
        <v>3961</v>
      </c>
      <c r="N993" s="75" t="s">
        <v>1687</v>
      </c>
      <c r="O993" t="s">
        <v>3962</v>
      </c>
      <c r="P993" t="s">
        <v>3963</v>
      </c>
      <c r="Q993" t="s">
        <v>2755</v>
      </c>
      <c r="R993" s="332">
        <v>45663</v>
      </c>
      <c r="S993" s="333">
        <v>46736</v>
      </c>
      <c r="T993" s="332">
        <v>46372</v>
      </c>
      <c r="U993" s="333">
        <v>46736</v>
      </c>
      <c r="V993" s="40" t="s">
        <v>64</v>
      </c>
      <c r="W993" s="41" t="s">
        <v>39</v>
      </c>
      <c r="X993" s="40" t="s">
        <v>3964</v>
      </c>
      <c r="Y993" s="40" t="s">
        <v>56</v>
      </c>
      <c r="Z993"/>
      <c r="AA993" s="62" t="s">
        <v>3965</v>
      </c>
      <c r="AB993" s="44">
        <v>46155</v>
      </c>
      <c r="AC993" s="63" t="s">
        <v>3966</v>
      </c>
      <c r="AD993" s="46">
        <v>46155</v>
      </c>
      <c r="AE993">
        <v>3214169</v>
      </c>
      <c r="AF993" s="39">
        <v>46220</v>
      </c>
      <c r="AG993" s="49"/>
      <c r="AH993" s="49"/>
      <c r="AI993" s="49"/>
      <c r="AJ993"/>
    </row>
    <row r="994" spans="1:36" s="40" customFormat="1" ht="19.5" customHeight="1">
      <c r="A994" s="25">
        <f t="shared" si="16"/>
        <v>987</v>
      </c>
      <c r="B994" s="26">
        <v>6289049</v>
      </c>
      <c r="C994" s="27">
        <v>46147</v>
      </c>
      <c r="D994" s="80" t="s">
        <v>141</v>
      </c>
      <c r="E994" s="29">
        <v>1300440.8400000001</v>
      </c>
      <c r="F994" s="30" t="s">
        <v>3967</v>
      </c>
      <c r="G994" s="27">
        <v>46150</v>
      </c>
      <c r="H994" s="80" t="s">
        <v>141</v>
      </c>
      <c r="I994" s="33">
        <v>1300440.8400000001</v>
      </c>
      <c r="J994" s="34" t="s">
        <v>103</v>
      </c>
      <c r="K994" t="s">
        <v>107</v>
      </c>
      <c r="L994" s="35" t="s">
        <v>3968</v>
      </c>
      <c r="M994" s="36" t="s">
        <v>3969</v>
      </c>
      <c r="N994" s="37" t="s">
        <v>1416</v>
      </c>
      <c r="O994" t="s">
        <v>3962</v>
      </c>
      <c r="P994" t="s">
        <v>3963</v>
      </c>
      <c r="Q994" t="s">
        <v>2755</v>
      </c>
      <c r="R994" s="332">
        <v>45663</v>
      </c>
      <c r="S994" s="333">
        <v>46736</v>
      </c>
      <c r="T994" s="332">
        <v>45663</v>
      </c>
      <c r="U994" s="333">
        <v>46387</v>
      </c>
      <c r="V994" s="40" t="s">
        <v>64</v>
      </c>
      <c r="W994" s="41" t="s">
        <v>39</v>
      </c>
      <c r="X994" s="40" t="s">
        <v>3970</v>
      </c>
      <c r="Y994" s="40" t="s">
        <v>56</v>
      </c>
      <c r="Z994"/>
      <c r="AA994" s="62" t="s">
        <v>3971</v>
      </c>
      <c r="AB994" s="44">
        <v>46155</v>
      </c>
      <c r="AC994" s="63"/>
      <c r="AD994" s="46"/>
      <c r="AE994"/>
      <c r="AF994" s="39"/>
      <c r="AG994" s="49"/>
      <c r="AH994" s="49"/>
      <c r="AI994" s="49"/>
      <c r="AJ994"/>
    </row>
    <row r="995" spans="1:36" s="40" customFormat="1" ht="19.5" customHeight="1">
      <c r="A995" s="25">
        <f t="shared" si="16"/>
        <v>988</v>
      </c>
      <c r="B995" s="26">
        <v>6289158</v>
      </c>
      <c r="C995" s="27">
        <v>46147</v>
      </c>
      <c r="D995" s="28">
        <v>5586.24</v>
      </c>
      <c r="E995" s="29">
        <v>43771.54</v>
      </c>
      <c r="F995" s="30" t="s">
        <v>3972</v>
      </c>
      <c r="G995" s="27">
        <v>46153</v>
      </c>
      <c r="H995" s="28">
        <v>5586.24</v>
      </c>
      <c r="I995" s="29">
        <v>43771.54</v>
      </c>
      <c r="J995" s="34" t="s">
        <v>33</v>
      </c>
      <c r="K995" t="s">
        <v>34</v>
      </c>
      <c r="L995" s="35">
        <v>352251394</v>
      </c>
      <c r="M995" s="36" t="s">
        <v>2104</v>
      </c>
      <c r="N995" s="37" t="s">
        <v>1346</v>
      </c>
      <c r="O995" t="s">
        <v>3973</v>
      </c>
      <c r="P995" t="s">
        <v>3974</v>
      </c>
      <c r="Q995" t="s">
        <v>3975</v>
      </c>
      <c r="R995" s="332">
        <v>46032</v>
      </c>
      <c r="S995" s="333">
        <v>46565</v>
      </c>
      <c r="T995" s="332">
        <v>46174</v>
      </c>
      <c r="U995" s="333">
        <v>46538</v>
      </c>
      <c r="V995" s="40" t="s">
        <v>3976</v>
      </c>
      <c r="W995" s="41" t="s">
        <v>3151</v>
      </c>
      <c r="X995" s="40" t="s">
        <v>3977</v>
      </c>
      <c r="Y995" s="40" t="s">
        <v>56</v>
      </c>
      <c r="Z995"/>
      <c r="AA995" s="62"/>
      <c r="AB995" s="44"/>
      <c r="AC995" s="63">
        <v>10000388659</v>
      </c>
      <c r="AD995" s="46">
        <v>46154</v>
      </c>
      <c r="AE995"/>
      <c r="AF995" s="39"/>
      <c r="AG995" s="49"/>
      <c r="AH995" s="49"/>
      <c r="AI995" s="49"/>
      <c r="AJ995"/>
    </row>
    <row r="996" spans="1:36" s="40" customFormat="1" ht="19.5" customHeight="1">
      <c r="A996" s="25">
        <f t="shared" si="16"/>
        <v>989</v>
      </c>
      <c r="B996" s="26">
        <v>6289154</v>
      </c>
      <c r="C996" s="27">
        <v>46147</v>
      </c>
      <c r="D996" s="80" t="s">
        <v>141</v>
      </c>
      <c r="E996" s="29">
        <v>2195.0700000000002</v>
      </c>
      <c r="F996" s="30" t="s">
        <v>3978</v>
      </c>
      <c r="G996" s="27">
        <v>46149</v>
      </c>
      <c r="H996" s="330" t="s">
        <v>141</v>
      </c>
      <c r="I996" s="29">
        <v>2195.0700000000002</v>
      </c>
      <c r="J996" s="34" t="s">
        <v>159</v>
      </c>
      <c r="K996" t="s">
        <v>398</v>
      </c>
      <c r="L996" s="35" t="s">
        <v>3979</v>
      </c>
      <c r="M996" s="36" t="s">
        <v>3980</v>
      </c>
      <c r="N996" s="37" t="s">
        <v>3981</v>
      </c>
      <c r="O996" t="s">
        <v>3730</v>
      </c>
      <c r="P996" t="s">
        <v>3731</v>
      </c>
      <c r="Q996" t="s">
        <v>3732</v>
      </c>
      <c r="R996" s="332">
        <v>46128</v>
      </c>
      <c r="S996" s="333">
        <v>46492</v>
      </c>
      <c r="T996" s="50" t="s">
        <v>141</v>
      </c>
      <c r="U996" s="47" t="s">
        <v>141</v>
      </c>
      <c r="V996" s="40" t="s">
        <v>1306</v>
      </c>
      <c r="W996" s="41" t="s">
        <v>39</v>
      </c>
      <c r="X996" s="40">
        <v>28737297</v>
      </c>
      <c r="Y996" s="40" t="s">
        <v>56</v>
      </c>
      <c r="Z996"/>
      <c r="AA996" s="62" t="s">
        <v>3982</v>
      </c>
      <c r="AB996" s="44">
        <v>46153</v>
      </c>
      <c r="AC996" s="63" t="s">
        <v>3983</v>
      </c>
      <c r="AD996" s="46">
        <v>46153</v>
      </c>
      <c r="AE996"/>
      <c r="AF996" s="39"/>
      <c r="AG996" s="49"/>
      <c r="AH996" s="49"/>
      <c r="AI996" s="49"/>
      <c r="AJ996"/>
    </row>
    <row r="997" spans="1:36" s="40" customFormat="1" ht="19.5" customHeight="1">
      <c r="A997" s="25">
        <f>A996+1</f>
        <v>990</v>
      </c>
      <c r="B997" s="26">
        <v>6289417</v>
      </c>
      <c r="C997" s="27">
        <v>46148</v>
      </c>
      <c r="D997" s="71">
        <v>16220.34</v>
      </c>
      <c r="E997" s="72">
        <v>127096.1</v>
      </c>
      <c r="F997" s="30" t="s">
        <v>3984</v>
      </c>
      <c r="G997" s="27">
        <v>46153</v>
      </c>
      <c r="H997" s="250">
        <f>16220.34-91.04</f>
        <v>16129.3</v>
      </c>
      <c r="I997" s="220">
        <f>127096.1/16220.34*H997</f>
        <v>126382.7469541329</v>
      </c>
      <c r="J997" s="34" t="s">
        <v>33</v>
      </c>
      <c r="K997" t="s">
        <v>34</v>
      </c>
      <c r="L997" s="35">
        <v>382293048</v>
      </c>
      <c r="M997" s="36" t="s">
        <v>2129</v>
      </c>
      <c r="N997" s="75" t="s">
        <v>3985</v>
      </c>
      <c r="O997" t="s">
        <v>3962</v>
      </c>
      <c r="P997" t="s">
        <v>3963</v>
      </c>
      <c r="Q997" t="s">
        <v>3986</v>
      </c>
      <c r="R997" s="332">
        <v>46023</v>
      </c>
      <c r="S997" s="333">
        <v>46697</v>
      </c>
      <c r="T997" s="332">
        <v>46235</v>
      </c>
      <c r="U997" s="333">
        <v>46599</v>
      </c>
      <c r="V997" s="40" t="s">
        <v>64</v>
      </c>
      <c r="W997" s="41" t="s">
        <v>3151</v>
      </c>
      <c r="X997" s="40" t="s">
        <v>3987</v>
      </c>
      <c r="Y997" s="40" t="s">
        <v>56</v>
      </c>
      <c r="Z997"/>
      <c r="AA997" s="62"/>
      <c r="AB997" s="44"/>
      <c r="AC997" s="63">
        <v>10000468729</v>
      </c>
      <c r="AD997" s="46">
        <v>46182</v>
      </c>
      <c r="AE997">
        <v>3214157</v>
      </c>
      <c r="AF997" s="39">
        <v>46223</v>
      </c>
      <c r="AG997" s="49"/>
      <c r="AH997" s="49"/>
      <c r="AI997" s="49"/>
      <c r="AJ997"/>
    </row>
    <row r="998" spans="1:36" s="40" customFormat="1" ht="19.5" customHeight="1">
      <c r="A998" s="25">
        <f t="shared" si="16"/>
        <v>991</v>
      </c>
      <c r="B998" s="26">
        <v>6289459</v>
      </c>
      <c r="C998" s="27">
        <v>46148</v>
      </c>
      <c r="D998" s="71">
        <v>6325</v>
      </c>
      <c r="E998" s="72">
        <v>49560.17</v>
      </c>
      <c r="F998" s="30" t="s">
        <v>3988</v>
      </c>
      <c r="G998" s="27">
        <v>46157</v>
      </c>
      <c r="H998" s="73">
        <v>6325</v>
      </c>
      <c r="I998" s="74">
        <v>49560.17</v>
      </c>
      <c r="J998" s="34" t="s">
        <v>33</v>
      </c>
      <c r="K998" t="s">
        <v>1177</v>
      </c>
      <c r="L998" s="35" t="s">
        <v>3989</v>
      </c>
      <c r="M998" s="36" t="s">
        <v>3990</v>
      </c>
      <c r="N998" s="75" t="s">
        <v>3991</v>
      </c>
      <c r="O998" t="s">
        <v>3920</v>
      </c>
      <c r="P998" t="s">
        <v>3921</v>
      </c>
      <c r="Q998" t="s">
        <v>3922</v>
      </c>
      <c r="R998" s="332">
        <v>45413</v>
      </c>
      <c r="S998" s="333">
        <v>46142</v>
      </c>
      <c r="T998" s="50" t="s">
        <v>141</v>
      </c>
      <c r="U998" s="47" t="s">
        <v>141</v>
      </c>
      <c r="V998" s="40" t="s">
        <v>51</v>
      </c>
      <c r="W998" s="41" t="s">
        <v>39</v>
      </c>
      <c r="X998" s="40" t="s">
        <v>3923</v>
      </c>
      <c r="Y998" s="40" t="s">
        <v>185</v>
      </c>
      <c r="Z998"/>
      <c r="AA998" s="62" t="s">
        <v>3989</v>
      </c>
      <c r="AB998" s="44">
        <v>46157</v>
      </c>
      <c r="AC998" s="63" t="s">
        <v>3992</v>
      </c>
      <c r="AD998" s="46">
        <v>46171</v>
      </c>
      <c r="AE998">
        <v>3213029</v>
      </c>
      <c r="AF998" s="39">
        <v>46210</v>
      </c>
      <c r="AG998" s="49"/>
      <c r="AH998" s="49"/>
      <c r="AI998" s="49"/>
      <c r="AJ998"/>
    </row>
    <row r="999" spans="1:36" s="40" customFormat="1" ht="19.5" customHeight="1">
      <c r="A999" s="25">
        <f t="shared" si="16"/>
        <v>992</v>
      </c>
      <c r="B999" s="26">
        <v>6289568</v>
      </c>
      <c r="C999" s="27">
        <v>46148</v>
      </c>
      <c r="D999" s="80" t="s">
        <v>141</v>
      </c>
      <c r="E999" s="29">
        <v>79596.039999999994</v>
      </c>
      <c r="F999" s="30" t="s">
        <v>3993</v>
      </c>
      <c r="G999" s="27">
        <v>46157</v>
      </c>
      <c r="H999" s="80" t="s">
        <v>141</v>
      </c>
      <c r="I999" s="33">
        <v>79596.039999999994</v>
      </c>
      <c r="J999" s="34" t="s">
        <v>159</v>
      </c>
      <c r="K999" t="s">
        <v>160</v>
      </c>
      <c r="L999" s="35" t="s">
        <v>3994</v>
      </c>
      <c r="M999" s="36" t="s">
        <v>3995</v>
      </c>
      <c r="N999" s="37" t="s">
        <v>1615</v>
      </c>
      <c r="O999" t="s">
        <v>3811</v>
      </c>
      <c r="P999" t="s">
        <v>3812</v>
      </c>
      <c r="Q999" t="s">
        <v>3813</v>
      </c>
      <c r="R999" s="332">
        <v>46113</v>
      </c>
      <c r="S999" s="333">
        <v>46659</v>
      </c>
      <c r="T999" s="50" t="s">
        <v>141</v>
      </c>
      <c r="U999" s="47" t="s">
        <v>141</v>
      </c>
      <c r="V999" s="40" t="s">
        <v>2207</v>
      </c>
      <c r="W999" s="41" t="s">
        <v>39</v>
      </c>
      <c r="X999" s="40" t="s">
        <v>3996</v>
      </c>
      <c r="Y999" s="40" t="s">
        <v>185</v>
      </c>
      <c r="Z999"/>
      <c r="AA999" s="62"/>
      <c r="AB999" s="44"/>
      <c r="AC999" s="63" t="s">
        <v>3997</v>
      </c>
      <c r="AD999" s="46">
        <v>46164</v>
      </c>
      <c r="AE999">
        <v>3212539</v>
      </c>
      <c r="AF999" s="39">
        <v>46206</v>
      </c>
      <c r="AG999" s="49"/>
      <c r="AH999" s="49"/>
      <c r="AI999" s="49"/>
      <c r="AJ999"/>
    </row>
    <row r="1000" spans="1:36" s="40" customFormat="1" ht="19.5" customHeight="1">
      <c r="A1000" s="25">
        <f t="shared" si="16"/>
        <v>993</v>
      </c>
      <c r="B1000" s="26">
        <v>6289588</v>
      </c>
      <c r="C1000" s="27">
        <v>46148</v>
      </c>
      <c r="D1000" s="219" t="s">
        <v>141</v>
      </c>
      <c r="E1000" s="72">
        <v>1755</v>
      </c>
      <c r="F1000" s="30" t="s">
        <v>3998</v>
      </c>
      <c r="G1000" s="27">
        <v>46149</v>
      </c>
      <c r="H1000" s="219" t="s">
        <v>141</v>
      </c>
      <c r="I1000" s="74">
        <v>1755</v>
      </c>
      <c r="J1000" s="34" t="s">
        <v>159</v>
      </c>
      <c r="K1000" t="s">
        <v>212</v>
      </c>
      <c r="L1000" s="35" t="s">
        <v>3999</v>
      </c>
      <c r="M1000" s="36" t="s">
        <v>4000</v>
      </c>
      <c r="N1000" s="75" t="s">
        <v>4001</v>
      </c>
      <c r="O1000" t="s">
        <v>3811</v>
      </c>
      <c r="P1000" t="s">
        <v>3812</v>
      </c>
      <c r="Q1000" t="s">
        <v>3813</v>
      </c>
      <c r="R1000" s="332">
        <v>46113</v>
      </c>
      <c r="S1000" s="333">
        <v>46659</v>
      </c>
      <c r="T1000" s="332">
        <v>46471</v>
      </c>
      <c r="U1000" s="333">
        <v>46562</v>
      </c>
      <c r="V1000" s="40" t="s">
        <v>2207</v>
      </c>
      <c r="W1000" s="41" t="s">
        <v>39</v>
      </c>
      <c r="X1000" s="40" t="s">
        <v>3996</v>
      </c>
      <c r="Y1000" s="40" t="s">
        <v>185</v>
      </c>
      <c r="Z1000"/>
      <c r="AA1000" s="62"/>
      <c r="AB1000" s="44"/>
      <c r="AC1000" s="63" t="s">
        <v>4002</v>
      </c>
      <c r="AD1000" s="46">
        <v>46210</v>
      </c>
      <c r="AE1000">
        <v>3214100</v>
      </c>
      <c r="AF1000" s="39">
        <v>46219</v>
      </c>
      <c r="AG1000" s="49"/>
      <c r="AH1000" s="49"/>
      <c r="AI1000" s="49"/>
      <c r="AJ1000"/>
    </row>
    <row r="1001" spans="1:36" s="40" customFormat="1" ht="19.5" customHeight="1">
      <c r="A1001" s="25">
        <f t="shared" si="16"/>
        <v>994</v>
      </c>
      <c r="B1001" s="26">
        <v>6289695</v>
      </c>
      <c r="C1001" s="27">
        <v>46149</v>
      </c>
      <c r="D1001" s="80" t="s">
        <v>141</v>
      </c>
      <c r="E1001" s="29">
        <v>314192.12</v>
      </c>
      <c r="F1001" s="30" t="s">
        <v>4003</v>
      </c>
      <c r="G1001" s="27">
        <v>46157</v>
      </c>
      <c r="H1001" s="80" t="s">
        <v>141</v>
      </c>
      <c r="I1001" s="33">
        <v>314192.12</v>
      </c>
      <c r="J1001" s="34" t="s">
        <v>159</v>
      </c>
      <c r="K1001" t="s">
        <v>2735</v>
      </c>
      <c r="L1001" s="35" t="s">
        <v>4004</v>
      </c>
      <c r="M1001" s="36" t="s">
        <v>4005</v>
      </c>
      <c r="N1001" s="37" t="s">
        <v>4006</v>
      </c>
      <c r="O1001" t="s">
        <v>1181</v>
      </c>
      <c r="P1001" t="s">
        <v>1182</v>
      </c>
      <c r="Q1001" t="s">
        <v>4007</v>
      </c>
      <c r="R1001" s="332">
        <v>45756</v>
      </c>
      <c r="S1001" s="333">
        <v>46942</v>
      </c>
      <c r="T1001" s="332">
        <v>46304</v>
      </c>
      <c r="U1001" s="333">
        <v>47034</v>
      </c>
      <c r="V1001" s="40" t="s">
        <v>38</v>
      </c>
      <c r="W1001" s="41" t="s">
        <v>39</v>
      </c>
      <c r="X1001" s="40" t="s">
        <v>4008</v>
      </c>
      <c r="Y1001" s="40" t="s">
        <v>56</v>
      </c>
      <c r="Z1001"/>
      <c r="AA1001" s="62"/>
      <c r="AB1001" s="44"/>
      <c r="AC1001" s="63"/>
      <c r="AD1001" s="46"/>
      <c r="AE1001"/>
      <c r="AF1001" s="39"/>
      <c r="AG1001" s="49"/>
      <c r="AH1001" s="49"/>
      <c r="AI1001" s="49"/>
      <c r="AJ1001"/>
    </row>
    <row r="1002" spans="1:36" s="40" customFormat="1" ht="19.5" customHeight="1">
      <c r="A1002" s="25">
        <f t="shared" si="16"/>
        <v>995</v>
      </c>
      <c r="B1002" s="26">
        <v>6289764</v>
      </c>
      <c r="C1002" s="27">
        <v>46149</v>
      </c>
      <c r="D1002" s="80" t="s">
        <v>141</v>
      </c>
      <c r="E1002" s="29">
        <v>5940</v>
      </c>
      <c r="F1002" s="30" t="s">
        <v>4009</v>
      </c>
      <c r="G1002" s="27">
        <v>46149</v>
      </c>
      <c r="H1002" s="80" t="s">
        <v>141</v>
      </c>
      <c r="I1002" s="29">
        <v>5940</v>
      </c>
      <c r="J1002" s="34" t="s">
        <v>33</v>
      </c>
      <c r="K1002" t="s">
        <v>139</v>
      </c>
      <c r="L1002" s="35">
        <v>80005410</v>
      </c>
      <c r="M1002" s="36" t="s">
        <v>572</v>
      </c>
      <c r="N1002" s="37" t="s">
        <v>1383</v>
      </c>
      <c r="O1002" t="s">
        <v>4010</v>
      </c>
      <c r="P1002" t="s">
        <v>4011</v>
      </c>
      <c r="Q1002" t="s">
        <v>4012</v>
      </c>
      <c r="R1002" s="332">
        <v>46143</v>
      </c>
      <c r="S1002" s="333">
        <v>46507</v>
      </c>
      <c r="T1002" s="50" t="s">
        <v>141</v>
      </c>
      <c r="U1002" s="47" t="s">
        <v>141</v>
      </c>
      <c r="V1002" s="40" t="s">
        <v>210</v>
      </c>
      <c r="W1002" s="41" t="s">
        <v>39</v>
      </c>
      <c r="X1002" s="40" t="s">
        <v>4013</v>
      </c>
      <c r="Y1002" s="40" t="s">
        <v>56</v>
      </c>
      <c r="Z1002"/>
      <c r="AA1002" s="62" t="s">
        <v>4014</v>
      </c>
      <c r="AB1002" s="44">
        <v>46163</v>
      </c>
      <c r="AC1002" s="63">
        <v>60017745</v>
      </c>
      <c r="AD1002" s="46">
        <v>46163</v>
      </c>
      <c r="AE1002">
        <v>3217631</v>
      </c>
      <c r="AF1002" s="39">
        <v>46246</v>
      </c>
      <c r="AG1002" s="49"/>
      <c r="AH1002" s="49"/>
      <c r="AI1002" s="49"/>
      <c r="AJ1002"/>
    </row>
    <row r="1003" spans="1:36" s="40" customFormat="1" ht="19.5" customHeight="1">
      <c r="A1003" s="25">
        <f t="shared" si="16"/>
        <v>996</v>
      </c>
      <c r="B1003" s="26">
        <v>6290072</v>
      </c>
      <c r="C1003" s="27">
        <v>46150</v>
      </c>
      <c r="D1003" s="28">
        <v>2484</v>
      </c>
      <c r="E1003" s="29">
        <v>19463.599999999999</v>
      </c>
      <c r="F1003" s="30" t="s">
        <v>4015</v>
      </c>
      <c r="G1003" s="27">
        <v>46160</v>
      </c>
      <c r="H1003" s="32">
        <v>2484</v>
      </c>
      <c r="I1003" s="33">
        <v>19463.599999999999</v>
      </c>
      <c r="J1003" s="34" t="s">
        <v>33</v>
      </c>
      <c r="K1003" t="s">
        <v>206</v>
      </c>
      <c r="L1003" s="35" t="s">
        <v>4016</v>
      </c>
      <c r="M1003" s="36" t="s">
        <v>4017</v>
      </c>
      <c r="N1003" s="37" t="s">
        <v>4018</v>
      </c>
      <c r="O1003" t="s">
        <v>4019</v>
      </c>
      <c r="P1003" t="s">
        <v>4020</v>
      </c>
      <c r="Q1003" t="s">
        <v>4021</v>
      </c>
      <c r="R1003" s="332">
        <v>46170</v>
      </c>
      <c r="S1003" s="333">
        <v>46534</v>
      </c>
      <c r="T1003" s="332">
        <v>46170</v>
      </c>
      <c r="U1003" s="333">
        <v>46534</v>
      </c>
      <c r="V1003" s="40" t="s">
        <v>4022</v>
      </c>
      <c r="W1003" s="41" t="s">
        <v>39</v>
      </c>
      <c r="X1003" s="40" t="s">
        <v>4023</v>
      </c>
      <c r="Y1003" s="40" t="s">
        <v>56</v>
      </c>
      <c r="Z1003"/>
      <c r="AA1003" s="62" t="s">
        <v>4024</v>
      </c>
      <c r="AB1003" s="44">
        <v>46164</v>
      </c>
      <c r="AC1003" s="62" t="s">
        <v>4025</v>
      </c>
      <c r="AD1003" s="46">
        <v>46164</v>
      </c>
      <c r="AE1003">
        <v>3217791</v>
      </c>
      <c r="AF1003" s="39">
        <v>46246</v>
      </c>
      <c r="AG1003" s="49"/>
      <c r="AH1003" s="49"/>
      <c r="AI1003" s="49"/>
      <c r="AJ1003"/>
    </row>
    <row r="1004" spans="1:36" s="40" customFormat="1" ht="19.5" customHeight="1">
      <c r="A1004" s="25">
        <f t="shared" si="16"/>
        <v>997</v>
      </c>
      <c r="B1004" s="291" t="s">
        <v>141</v>
      </c>
      <c r="C1004" s="31" t="s">
        <v>141</v>
      </c>
      <c r="D1004" s="219" t="s">
        <v>141</v>
      </c>
      <c r="E1004" s="294" t="s">
        <v>141</v>
      </c>
      <c r="F1004" s="30" t="s">
        <v>4026</v>
      </c>
      <c r="G1004" s="27">
        <v>46150</v>
      </c>
      <c r="H1004" s="219" t="s">
        <v>141</v>
      </c>
      <c r="I1004" s="74">
        <v>4700</v>
      </c>
      <c r="J1004" s="34" t="s">
        <v>3421</v>
      </c>
      <c r="K1004" t="s">
        <v>139</v>
      </c>
      <c r="L1004" s="35">
        <v>80005440</v>
      </c>
      <c r="M1004" s="36" t="s">
        <v>4027</v>
      </c>
      <c r="N1004" s="75" t="s">
        <v>1383</v>
      </c>
      <c r="O1004" t="s">
        <v>4028</v>
      </c>
      <c r="P1004" t="s">
        <v>4029</v>
      </c>
      <c r="Q1004" t="s">
        <v>4030</v>
      </c>
      <c r="R1004" s="332">
        <v>46174</v>
      </c>
      <c r="S1004" s="333">
        <v>46538</v>
      </c>
      <c r="T1004" s="50" t="s">
        <v>141</v>
      </c>
      <c r="U1004" s="47" t="s">
        <v>141</v>
      </c>
      <c r="V1004" s="40" t="s">
        <v>51</v>
      </c>
      <c r="W1004" s="41" t="s">
        <v>39</v>
      </c>
      <c r="X1004" s="40" t="s">
        <v>4031</v>
      </c>
      <c r="Y1004" s="40" t="s">
        <v>185</v>
      </c>
      <c r="Z1004"/>
      <c r="AA1004" s="62">
        <v>90007743</v>
      </c>
      <c r="AB1004" s="44">
        <v>46171</v>
      </c>
      <c r="AC1004" s="63">
        <v>60017773</v>
      </c>
      <c r="AD1004" s="46">
        <v>46171</v>
      </c>
      <c r="AE1004"/>
      <c r="AF1004" s="39"/>
      <c r="AG1004" s="49"/>
      <c r="AH1004" s="49"/>
      <c r="AI1004" s="49"/>
      <c r="AJ1004"/>
    </row>
    <row r="1005" spans="1:36" s="40" customFormat="1" ht="19.5" customHeight="1">
      <c r="A1005" s="25">
        <f t="shared" si="16"/>
        <v>998</v>
      </c>
      <c r="B1005" s="26">
        <v>6290424</v>
      </c>
      <c r="C1005" s="27">
        <v>46150</v>
      </c>
      <c r="D1005" s="28">
        <v>1729.5</v>
      </c>
      <c r="E1005" s="29">
        <v>13551.69</v>
      </c>
      <c r="F1005" s="30" t="s">
        <v>4032</v>
      </c>
      <c r="G1005" s="27">
        <v>46153</v>
      </c>
      <c r="H1005" s="32">
        <v>1729.5</v>
      </c>
      <c r="I1005" s="33">
        <v>13551.69</v>
      </c>
      <c r="J1005" s="34" t="s">
        <v>33</v>
      </c>
      <c r="K1005" t="s">
        <v>206</v>
      </c>
      <c r="L1005" s="35" t="s">
        <v>4033</v>
      </c>
      <c r="M1005" s="36" t="s">
        <v>4034</v>
      </c>
      <c r="N1005" s="37" t="s">
        <v>1330</v>
      </c>
      <c r="O1005" t="s">
        <v>4035</v>
      </c>
      <c r="P1005" t="s">
        <v>4036</v>
      </c>
      <c r="Q1005" t="s">
        <v>4037</v>
      </c>
      <c r="R1005" s="332">
        <v>46158</v>
      </c>
      <c r="S1005" s="333">
        <v>46522</v>
      </c>
      <c r="T1005" s="332">
        <v>46158</v>
      </c>
      <c r="U1005" s="333">
        <v>46522</v>
      </c>
      <c r="V1005" s="40" t="s">
        <v>210</v>
      </c>
      <c r="W1005" s="41" t="s">
        <v>39</v>
      </c>
      <c r="X1005" s="40" t="s">
        <v>4038</v>
      </c>
      <c r="Y1005" s="40" t="s">
        <v>56</v>
      </c>
      <c r="Z1005"/>
      <c r="AA1005" s="62" t="s">
        <v>4039</v>
      </c>
      <c r="AB1005" s="44">
        <v>46175</v>
      </c>
      <c r="AC1005" s="63" t="s">
        <v>4040</v>
      </c>
      <c r="AD1005" s="46">
        <v>46175</v>
      </c>
      <c r="AE1005">
        <v>3217787</v>
      </c>
      <c r="AF1005" s="39">
        <v>46246</v>
      </c>
      <c r="AG1005" s="49"/>
      <c r="AH1005" s="49"/>
      <c r="AI1005" s="49"/>
      <c r="AJ1005"/>
    </row>
    <row r="1006" spans="1:36" s="40" customFormat="1" ht="19.5" customHeight="1">
      <c r="A1006" s="25">
        <f t="shared" si="16"/>
        <v>999</v>
      </c>
      <c r="B1006" s="26">
        <v>6291185</v>
      </c>
      <c r="C1006" s="27">
        <v>46154</v>
      </c>
      <c r="D1006" s="28">
        <v>2849.07</v>
      </c>
      <c r="E1006" s="29">
        <v>22324.17</v>
      </c>
      <c r="F1006" s="30" t="s">
        <v>4041</v>
      </c>
      <c r="G1006" s="27">
        <v>46160</v>
      </c>
      <c r="H1006" s="68">
        <v>2849.07</v>
      </c>
      <c r="I1006" s="29">
        <v>22324.17</v>
      </c>
      <c r="J1006" s="34" t="s">
        <v>33</v>
      </c>
      <c r="K1006" t="s">
        <v>34</v>
      </c>
      <c r="L1006" s="35">
        <v>232330837</v>
      </c>
      <c r="M1006" s="36" t="s">
        <v>2129</v>
      </c>
      <c r="N1006" s="37" t="s">
        <v>1346</v>
      </c>
      <c r="O1006" t="s">
        <v>4042</v>
      </c>
      <c r="P1006" t="s">
        <v>4043</v>
      </c>
      <c r="Q1006" t="s">
        <v>4044</v>
      </c>
      <c r="R1006" s="332">
        <v>46106</v>
      </c>
      <c r="S1006" s="333">
        <v>46470</v>
      </c>
      <c r="T1006" s="332">
        <v>46154</v>
      </c>
      <c r="U1006" s="333">
        <v>46518</v>
      </c>
      <c r="V1006" s="40" t="s">
        <v>590</v>
      </c>
      <c r="W1006" s="41" t="s">
        <v>3151</v>
      </c>
      <c r="X1006" s="40" t="s">
        <v>4045</v>
      </c>
      <c r="Y1006" s="40" t="s">
        <v>56</v>
      </c>
      <c r="Z1006"/>
      <c r="AA1006" s="62"/>
      <c r="AB1006" s="44"/>
      <c r="AC1006" s="63">
        <v>10000406954</v>
      </c>
      <c r="AD1006" s="46">
        <v>46161</v>
      </c>
      <c r="AE1006"/>
      <c r="AF1006" s="39"/>
      <c r="AG1006" s="49"/>
      <c r="AH1006" s="49"/>
      <c r="AI1006" s="49"/>
      <c r="AJ1006"/>
    </row>
    <row r="1007" spans="1:36" s="40" customFormat="1" ht="19.5" customHeight="1">
      <c r="A1007" s="25">
        <f t="shared" si="16"/>
        <v>1000</v>
      </c>
      <c r="B1007" s="26">
        <v>6290720</v>
      </c>
      <c r="C1007" s="27">
        <v>46153</v>
      </c>
      <c r="D1007" s="80" t="s">
        <v>141</v>
      </c>
      <c r="E1007" s="29">
        <v>10865.53</v>
      </c>
      <c r="F1007" s="30" t="s">
        <v>4046</v>
      </c>
      <c r="G1007" s="27">
        <v>46156</v>
      </c>
      <c r="H1007" s="80" t="s">
        <v>141</v>
      </c>
      <c r="I1007" s="33">
        <v>10865.53</v>
      </c>
      <c r="J1007" s="34" t="s">
        <v>159</v>
      </c>
      <c r="K1007" t="s">
        <v>398</v>
      </c>
      <c r="L1007" s="35" t="s">
        <v>4047</v>
      </c>
      <c r="M1007" s="36" t="s">
        <v>4048</v>
      </c>
      <c r="N1007" s="37" t="s">
        <v>2720</v>
      </c>
      <c r="O1007" t="s">
        <v>4049</v>
      </c>
      <c r="P1007" t="s">
        <v>4050</v>
      </c>
      <c r="Q1007" t="s">
        <v>4051</v>
      </c>
      <c r="R1007" s="332">
        <v>46111</v>
      </c>
      <c r="S1007" s="333">
        <v>46475</v>
      </c>
      <c r="T1007" s="50" t="s">
        <v>141</v>
      </c>
      <c r="U1007" s="47" t="s">
        <v>141</v>
      </c>
      <c r="V1007" s="40" t="s">
        <v>1306</v>
      </c>
      <c r="W1007" s="41" t="s">
        <v>39</v>
      </c>
      <c r="X1007" s="40" t="s">
        <v>4052</v>
      </c>
      <c r="Y1007" s="40" t="s">
        <v>56</v>
      </c>
      <c r="Z1007"/>
      <c r="AA1007" s="62" t="s">
        <v>4053</v>
      </c>
      <c r="AB1007" s="44">
        <v>46163</v>
      </c>
      <c r="AC1007" s="63" t="s">
        <v>4054</v>
      </c>
      <c r="AD1007" s="46">
        <v>46163</v>
      </c>
      <c r="AE1007"/>
      <c r="AF1007" s="39"/>
      <c r="AG1007" s="49"/>
      <c r="AH1007" s="49"/>
      <c r="AI1007" s="49"/>
      <c r="AJ1007"/>
    </row>
    <row r="1008" spans="1:36" s="40" customFormat="1" ht="19.5" customHeight="1">
      <c r="A1008" s="25">
        <f t="shared" si="16"/>
        <v>1001</v>
      </c>
      <c r="B1008" s="291" t="s">
        <v>141</v>
      </c>
      <c r="C1008" s="31" t="s">
        <v>141</v>
      </c>
      <c r="D1008" s="80" t="s">
        <v>141</v>
      </c>
      <c r="E1008" s="288" t="s">
        <v>141</v>
      </c>
      <c r="F1008" s="30" t="s">
        <v>4055</v>
      </c>
      <c r="G1008" s="27">
        <v>46154</v>
      </c>
      <c r="H1008" s="80" t="s">
        <v>141</v>
      </c>
      <c r="I1008" s="33">
        <v>670</v>
      </c>
      <c r="J1008" s="34" t="s">
        <v>3421</v>
      </c>
      <c r="K1008" t="s">
        <v>139</v>
      </c>
      <c r="L1008" s="35">
        <v>80005444</v>
      </c>
      <c r="M1008" s="36" t="s">
        <v>4056</v>
      </c>
      <c r="N1008" s="37" t="s">
        <v>1383</v>
      </c>
      <c r="O1008" t="s">
        <v>4057</v>
      </c>
      <c r="P1008" t="s">
        <v>4058</v>
      </c>
      <c r="Q1008" t="s">
        <v>4059</v>
      </c>
      <c r="R1008" s="332">
        <v>46113</v>
      </c>
      <c r="S1008" s="333">
        <v>46477</v>
      </c>
      <c r="T1008" s="50" t="s">
        <v>141</v>
      </c>
      <c r="U1008" s="47" t="s">
        <v>141</v>
      </c>
      <c r="V1008" s="40" t="s">
        <v>1654</v>
      </c>
      <c r="W1008" s="41" t="s">
        <v>39</v>
      </c>
      <c r="X1008" s="40">
        <v>34118788</v>
      </c>
      <c r="Y1008" s="40" t="s">
        <v>185</v>
      </c>
      <c r="Z1008"/>
      <c r="AA1008" s="62">
        <v>90007743</v>
      </c>
      <c r="AB1008" s="44">
        <v>46171</v>
      </c>
      <c r="AC1008" s="63">
        <v>60017774</v>
      </c>
      <c r="AD1008" s="46">
        <v>46171</v>
      </c>
      <c r="AE1008"/>
      <c r="AF1008" s="39"/>
      <c r="AG1008" s="49"/>
      <c r="AH1008" s="49"/>
      <c r="AI1008" s="49"/>
      <c r="AJ1008"/>
    </row>
    <row r="1009" spans="1:36" s="40" customFormat="1" ht="19.5" customHeight="1">
      <c r="A1009" s="25">
        <f t="shared" si="16"/>
        <v>1002</v>
      </c>
      <c r="B1009" s="26">
        <v>6291791</v>
      </c>
      <c r="C1009" s="27">
        <v>46155</v>
      </c>
      <c r="D1009" s="80" t="s">
        <v>141</v>
      </c>
      <c r="E1009" s="29">
        <v>12000</v>
      </c>
      <c r="F1009" s="30" t="s">
        <v>4060</v>
      </c>
      <c r="G1009" s="27">
        <v>46164</v>
      </c>
      <c r="H1009" s="80" t="s">
        <v>141</v>
      </c>
      <c r="I1009" s="33">
        <v>12000</v>
      </c>
      <c r="J1009" s="34" t="s">
        <v>159</v>
      </c>
      <c r="K1009" t="s">
        <v>212</v>
      </c>
      <c r="L1009" s="35" t="s">
        <v>4061</v>
      </c>
      <c r="M1009" s="36" t="s">
        <v>4000</v>
      </c>
      <c r="N1009" s="37" t="s">
        <v>4062</v>
      </c>
      <c r="O1009" t="s">
        <v>4063</v>
      </c>
      <c r="P1009" t="s">
        <v>4064</v>
      </c>
      <c r="Q1009" t="s">
        <v>4065</v>
      </c>
      <c r="R1009" s="332">
        <v>46141</v>
      </c>
      <c r="S1009" s="333">
        <v>46505</v>
      </c>
      <c r="T1009" s="332">
        <v>46141</v>
      </c>
      <c r="U1009" s="333">
        <v>46505</v>
      </c>
      <c r="V1009" s="40" t="s">
        <v>55</v>
      </c>
      <c r="W1009" s="41" t="s">
        <v>39</v>
      </c>
      <c r="X1009" s="40" t="s">
        <v>4066</v>
      </c>
      <c r="Y1009" s="40" t="s">
        <v>56</v>
      </c>
      <c r="Z1009"/>
      <c r="AA1009" s="62"/>
      <c r="AB1009" s="44"/>
      <c r="AC1009" s="63" t="s">
        <v>4067</v>
      </c>
      <c r="AD1009" s="46">
        <v>46220</v>
      </c>
      <c r="AE1009">
        <v>3220628</v>
      </c>
      <c r="AF1009" s="39">
        <v>46267</v>
      </c>
      <c r="AG1009" s="49"/>
      <c r="AH1009" s="49"/>
      <c r="AI1009" s="49"/>
      <c r="AJ1009"/>
    </row>
    <row r="1010" spans="1:36" s="40" customFormat="1" ht="19.5" customHeight="1">
      <c r="A1010" s="25">
        <f t="shared" si="16"/>
        <v>1003</v>
      </c>
      <c r="B1010" s="26">
        <v>6292236</v>
      </c>
      <c r="C1010" s="27">
        <v>46156</v>
      </c>
      <c r="D1010" s="28">
        <v>629.32000000000005</v>
      </c>
      <c r="E1010" s="29">
        <v>4931.1000000000004</v>
      </c>
      <c r="F1010" s="30" t="s">
        <v>4068</v>
      </c>
      <c r="G1010" s="27">
        <v>46161</v>
      </c>
      <c r="H1010" s="28">
        <v>629.32000000000005</v>
      </c>
      <c r="I1010" s="29">
        <v>4931.1000000000004</v>
      </c>
      <c r="J1010" s="34" t="s">
        <v>33</v>
      </c>
      <c r="K1010" t="s">
        <v>34</v>
      </c>
      <c r="L1010" s="35">
        <v>252325621</v>
      </c>
      <c r="M1010" s="36" t="s">
        <v>2149</v>
      </c>
      <c r="N1010" s="37" t="s">
        <v>2543</v>
      </c>
      <c r="O1010" t="s">
        <v>4069</v>
      </c>
      <c r="P1010" t="s">
        <v>4070</v>
      </c>
      <c r="Q1010" t="s">
        <v>4071</v>
      </c>
      <c r="R1010" s="332">
        <v>46167</v>
      </c>
      <c r="S1010" s="333">
        <v>46897</v>
      </c>
      <c r="T1010" s="332">
        <v>46167</v>
      </c>
      <c r="U1010" s="333">
        <v>46897</v>
      </c>
      <c r="V1010" s="40" t="s">
        <v>64</v>
      </c>
      <c r="W1010" s="41" t="s">
        <v>3151</v>
      </c>
      <c r="X1010" s="40" t="s">
        <v>4072</v>
      </c>
      <c r="Y1010" s="40" t="s">
        <v>56</v>
      </c>
      <c r="Z1010"/>
      <c r="AA1010" s="62"/>
      <c r="AB1010" s="44"/>
      <c r="AC1010" s="63">
        <v>10000411157</v>
      </c>
      <c r="AD1010" s="46">
        <v>46162</v>
      </c>
      <c r="AE1010">
        <v>3211959</v>
      </c>
      <c r="AF1010" s="39">
        <v>46202</v>
      </c>
      <c r="AG1010" s="49"/>
      <c r="AH1010" s="49"/>
      <c r="AI1010" s="49"/>
      <c r="AJ1010"/>
    </row>
    <row r="1011" spans="1:36" s="40" customFormat="1" ht="19.5" customHeight="1">
      <c r="A1011" s="25">
        <f t="shared" si="16"/>
        <v>1004</v>
      </c>
      <c r="B1011" s="26">
        <v>6292530</v>
      </c>
      <c r="C1011" s="27">
        <v>46157</v>
      </c>
      <c r="D1011" s="80" t="s">
        <v>141</v>
      </c>
      <c r="E1011" s="29">
        <v>21628.32</v>
      </c>
      <c r="F1011" s="30" t="s">
        <v>4073</v>
      </c>
      <c r="G1011" s="27">
        <v>46157</v>
      </c>
      <c r="H1011" s="80" t="s">
        <v>141</v>
      </c>
      <c r="I1011" s="33">
        <v>21628.32</v>
      </c>
      <c r="J1011" s="34" t="s">
        <v>384</v>
      </c>
      <c r="K1011" t="s">
        <v>977</v>
      </c>
      <c r="L1011" s="35" t="s">
        <v>4074</v>
      </c>
      <c r="M1011" s="36" t="s">
        <v>4075</v>
      </c>
      <c r="N1011" s="37" t="s">
        <v>3794</v>
      </c>
      <c r="O1011" t="s">
        <v>4076</v>
      </c>
      <c r="P1011" t="s">
        <v>4077</v>
      </c>
      <c r="Q1011" t="s">
        <v>3186</v>
      </c>
      <c r="R1011" s="332">
        <v>46193</v>
      </c>
      <c r="S1011" s="333">
        <v>46557</v>
      </c>
      <c r="T1011" s="50" t="s">
        <v>141</v>
      </c>
      <c r="U1011" s="47" t="s">
        <v>141</v>
      </c>
      <c r="V1011" s="40" t="s">
        <v>458</v>
      </c>
      <c r="W1011" s="41" t="s">
        <v>39</v>
      </c>
      <c r="X1011" s="40" t="s">
        <v>4078</v>
      </c>
      <c r="Y1011" s="40" t="s">
        <v>56</v>
      </c>
      <c r="Z1011"/>
      <c r="AA1011" s="62">
        <v>120209363</v>
      </c>
      <c r="AB1011" s="44">
        <v>46175</v>
      </c>
      <c r="AC1011" s="63" t="s">
        <v>4079</v>
      </c>
      <c r="AD1011" s="46">
        <v>46175</v>
      </c>
      <c r="AE1011">
        <v>3217642</v>
      </c>
      <c r="AF1011" s="39">
        <v>46245</v>
      </c>
      <c r="AG1011" s="49"/>
      <c r="AH1011" s="49"/>
      <c r="AI1011" s="49"/>
      <c r="AJ1011"/>
    </row>
    <row r="1012" spans="1:36" s="40" customFormat="1" ht="19.5" customHeight="1">
      <c r="A1012" s="25">
        <f t="shared" si="16"/>
        <v>1005</v>
      </c>
      <c r="B1012" s="26">
        <v>6292784</v>
      </c>
      <c r="C1012" s="27">
        <v>46157</v>
      </c>
      <c r="D1012" s="28">
        <v>251.22</v>
      </c>
      <c r="E1012" s="29">
        <v>1968.46</v>
      </c>
      <c r="F1012" s="30" t="s">
        <v>4080</v>
      </c>
      <c r="G1012" s="27">
        <v>46161</v>
      </c>
      <c r="H1012" s="68">
        <v>251.22</v>
      </c>
      <c r="I1012" s="29">
        <v>1968.46</v>
      </c>
      <c r="J1012" s="34" t="s">
        <v>33</v>
      </c>
      <c r="K1012" t="s">
        <v>34</v>
      </c>
      <c r="L1012" s="35">
        <v>202325966</v>
      </c>
      <c r="M1012" s="36" t="s">
        <v>2129</v>
      </c>
      <c r="N1012" s="37" t="s">
        <v>1346</v>
      </c>
      <c r="O1012" t="s">
        <v>4081</v>
      </c>
      <c r="P1012" t="s">
        <v>4082</v>
      </c>
      <c r="Q1012" t="s">
        <v>4083</v>
      </c>
      <c r="R1012" s="332">
        <v>46206</v>
      </c>
      <c r="S1012" s="333">
        <v>46570</v>
      </c>
      <c r="T1012" s="332">
        <v>46206</v>
      </c>
      <c r="U1012" s="333">
        <v>46570</v>
      </c>
      <c r="V1012" s="40" t="s">
        <v>2926</v>
      </c>
      <c r="W1012" s="41" t="s">
        <v>3151</v>
      </c>
      <c r="X1012" s="40" t="s">
        <v>4084</v>
      </c>
      <c r="Y1012" s="40" t="s">
        <v>56</v>
      </c>
      <c r="Z1012"/>
      <c r="AA1012" s="62"/>
      <c r="AB1012" s="44"/>
      <c r="AC1012" s="63">
        <v>10000411173</v>
      </c>
      <c r="AD1012" s="46">
        <v>46162</v>
      </c>
      <c r="AE1012">
        <v>3212558</v>
      </c>
      <c r="AF1012" s="39">
        <v>46206</v>
      </c>
      <c r="AG1012" s="49"/>
      <c r="AH1012" s="49"/>
      <c r="AI1012" s="49"/>
      <c r="AJ1012"/>
    </row>
    <row r="1013" spans="1:36" s="40" customFormat="1" ht="19.5" customHeight="1">
      <c r="A1013" s="25">
        <f t="shared" si="16"/>
        <v>1006</v>
      </c>
      <c r="B1013" s="291" t="s">
        <v>141</v>
      </c>
      <c r="C1013" s="31" t="s">
        <v>141</v>
      </c>
      <c r="D1013" s="80" t="s">
        <v>141</v>
      </c>
      <c r="E1013" s="288" t="s">
        <v>141</v>
      </c>
      <c r="F1013" s="30" t="s">
        <v>4085</v>
      </c>
      <c r="G1013" s="27">
        <v>46161</v>
      </c>
      <c r="H1013" s="80" t="s">
        <v>141</v>
      </c>
      <c r="I1013" s="33">
        <v>4280</v>
      </c>
      <c r="J1013" s="34" t="s">
        <v>3421</v>
      </c>
      <c r="K1013" t="s">
        <v>139</v>
      </c>
      <c r="L1013" s="35" t="s">
        <v>4086</v>
      </c>
      <c r="M1013" s="36" t="s">
        <v>4087</v>
      </c>
      <c r="N1013" s="37"/>
      <c r="O1013"/>
      <c r="P1013"/>
      <c r="Q1013"/>
      <c r="R1013" s="332"/>
      <c r="S1013" s="333"/>
      <c r="T1013" s="332"/>
      <c r="U1013" s="333"/>
      <c r="W1013" s="41"/>
      <c r="Z1013"/>
      <c r="AA1013" s="62">
        <v>90007781</v>
      </c>
      <c r="AB1013" s="44">
        <v>46181</v>
      </c>
      <c r="AC1013" s="63">
        <v>60017826</v>
      </c>
      <c r="AD1013" s="46">
        <v>46181</v>
      </c>
      <c r="AE1013"/>
      <c r="AF1013" s="39"/>
      <c r="AG1013" s="49"/>
      <c r="AH1013" s="49"/>
      <c r="AI1013" s="49"/>
      <c r="AJ1013"/>
    </row>
    <row r="1014" spans="1:36" s="40" customFormat="1" ht="19.5" customHeight="1" thickBot="1">
      <c r="A1014" s="25">
        <f t="shared" si="16"/>
        <v>1007</v>
      </c>
      <c r="B1014" s="291" t="s">
        <v>141</v>
      </c>
      <c r="C1014" s="31" t="s">
        <v>141</v>
      </c>
      <c r="D1014" s="80" t="s">
        <v>141</v>
      </c>
      <c r="E1014" s="288" t="s">
        <v>141</v>
      </c>
      <c r="F1014" s="30" t="s">
        <v>4088</v>
      </c>
      <c r="G1014" s="27">
        <v>46161</v>
      </c>
      <c r="H1014" s="32">
        <v>190</v>
      </c>
      <c r="I1014" s="33">
        <v>1488.76</v>
      </c>
      <c r="J1014" s="34" t="s">
        <v>3421</v>
      </c>
      <c r="K1014" t="s">
        <v>1177</v>
      </c>
      <c r="L1014" s="35" t="s">
        <v>4086</v>
      </c>
      <c r="M1014" s="36" t="s">
        <v>4089</v>
      </c>
      <c r="N1014" s="37"/>
      <c r="O1014"/>
      <c r="P1014"/>
      <c r="Q1014"/>
      <c r="R1014" s="332"/>
      <c r="S1014" s="333"/>
      <c r="T1014" s="332"/>
      <c r="U1014" s="333"/>
      <c r="W1014" s="41"/>
      <c r="Z1014"/>
      <c r="AA1014" s="62" t="s">
        <v>4090</v>
      </c>
      <c r="AB1014" s="44">
        <v>46169</v>
      </c>
      <c r="AC1014" s="62" t="s">
        <v>4090</v>
      </c>
      <c r="AD1014" s="44">
        <v>46169</v>
      </c>
      <c r="AE1014"/>
      <c r="AF1014" s="39"/>
      <c r="AG1014" s="49"/>
      <c r="AH1014" s="49"/>
      <c r="AI1014" s="49"/>
      <c r="AJ1014"/>
    </row>
    <row r="1015" spans="1:36" s="40" customFormat="1" ht="19.5" customHeight="1">
      <c r="A1015">
        <f t="shared" si="16"/>
        <v>1008</v>
      </c>
      <c r="B1015" s="135">
        <v>6293448</v>
      </c>
      <c r="C1015" s="136">
        <v>46161</v>
      </c>
      <c r="D1015" s="362" t="s">
        <v>141</v>
      </c>
      <c r="E1015" s="177">
        <v>16880</v>
      </c>
      <c r="F1015" s="139" t="s">
        <v>4091</v>
      </c>
      <c r="G1015" s="136">
        <v>46168</v>
      </c>
      <c r="H1015" s="362" t="s">
        <v>141</v>
      </c>
      <c r="I1015" s="179">
        <f>16880-9440</f>
        <v>7440</v>
      </c>
      <c r="J1015" s="140" t="s">
        <v>33</v>
      </c>
      <c r="K1015" s="141" t="s">
        <v>193</v>
      </c>
      <c r="L1015" s="142" t="s">
        <v>4086</v>
      </c>
      <c r="M1015" s="143" t="s">
        <v>4092</v>
      </c>
      <c r="N1015" s="144"/>
      <c r="O1015" s="141"/>
      <c r="P1015" s="141"/>
      <c r="Q1015" s="141"/>
      <c r="R1015" s="363"/>
      <c r="S1015" s="364"/>
      <c r="T1015" s="363"/>
      <c r="U1015" s="364"/>
      <c r="V1015" s="147"/>
      <c r="W1015" s="148"/>
      <c r="X1015" s="147"/>
      <c r="Y1015" s="147"/>
      <c r="Z1015" s="141"/>
      <c r="AA1015" s="150" t="s">
        <v>4093</v>
      </c>
      <c r="AB1015" s="151">
        <v>46188</v>
      </c>
      <c r="AC1015" s="152" t="s">
        <v>4094</v>
      </c>
      <c r="AD1015" s="153">
        <v>46182</v>
      </c>
      <c r="AE1015" s="141"/>
      <c r="AF1015" s="146"/>
      <c r="AG1015" s="49"/>
      <c r="AH1015" s="49"/>
      <c r="AI1015" s="49"/>
      <c r="AJ1015"/>
    </row>
    <row r="1016" spans="1:36" s="40" customFormat="1" ht="19.5" customHeight="1" thickBot="1">
      <c r="A1016"/>
      <c r="B1016" s="155">
        <v>6293448</v>
      </c>
      <c r="C1016" s="156"/>
      <c r="D1016" s="365"/>
      <c r="E1016" s="158"/>
      <c r="F1016" s="159" t="s">
        <v>4091</v>
      </c>
      <c r="G1016" s="156">
        <v>46168</v>
      </c>
      <c r="H1016" s="365"/>
      <c r="I1016" s="185">
        <f>16880-7440</f>
        <v>9440</v>
      </c>
      <c r="J1016" s="160" t="s">
        <v>159</v>
      </c>
      <c r="K1016" s="161" t="s">
        <v>193</v>
      </c>
      <c r="L1016" s="162"/>
      <c r="M1016" s="163" t="s">
        <v>4092</v>
      </c>
      <c r="N1016" s="164"/>
      <c r="O1016" s="161"/>
      <c r="P1016" s="161"/>
      <c r="Q1016" s="161"/>
      <c r="R1016" s="366"/>
      <c r="S1016" s="367"/>
      <c r="T1016" s="366"/>
      <c r="U1016" s="367"/>
      <c r="V1016" s="167"/>
      <c r="W1016" s="168"/>
      <c r="X1016" s="167"/>
      <c r="Y1016" s="167"/>
      <c r="Z1016" s="161"/>
      <c r="AA1016" s="170" t="s">
        <v>4095</v>
      </c>
      <c r="AB1016" s="171">
        <v>46189</v>
      </c>
      <c r="AC1016" s="172" t="s">
        <v>4096</v>
      </c>
      <c r="AD1016" s="173">
        <v>46184</v>
      </c>
      <c r="AE1016" s="161"/>
      <c r="AF1016" s="166"/>
      <c r="AG1016" s="49"/>
      <c r="AH1016" s="49"/>
      <c r="AI1016" s="49"/>
      <c r="AJ1016"/>
    </row>
    <row r="1017" spans="1:36" s="40" customFormat="1" ht="19.5" customHeight="1">
      <c r="A1017" s="25">
        <f>A1015+1</f>
        <v>1009</v>
      </c>
      <c r="B1017" s="26">
        <v>6293636</v>
      </c>
      <c r="C1017" s="27">
        <v>46161</v>
      </c>
      <c r="D1017" s="28">
        <v>289.49</v>
      </c>
      <c r="E1017" s="29">
        <v>2268.33</v>
      </c>
      <c r="F1017" s="30" t="s">
        <v>4097</v>
      </c>
      <c r="G1017" s="27">
        <v>46168</v>
      </c>
      <c r="H1017" s="28">
        <v>289.49</v>
      </c>
      <c r="I1017" s="29">
        <v>2268.33</v>
      </c>
      <c r="J1017" s="34" t="s">
        <v>33</v>
      </c>
      <c r="K1017" t="s">
        <v>34</v>
      </c>
      <c r="L1017" s="35">
        <v>422021751</v>
      </c>
      <c r="M1017" s="36" t="s">
        <v>2149</v>
      </c>
      <c r="N1017" s="37" t="s">
        <v>1346</v>
      </c>
      <c r="O1017" t="s">
        <v>4098</v>
      </c>
      <c r="P1017" t="s">
        <v>4099</v>
      </c>
      <c r="Q1017" t="s">
        <v>4100</v>
      </c>
      <c r="R1017" s="332">
        <v>46204</v>
      </c>
      <c r="S1017" s="333">
        <v>46203</v>
      </c>
      <c r="T1017" s="332"/>
      <c r="U1017" s="333"/>
      <c r="V1017" s="40" t="s">
        <v>3390</v>
      </c>
      <c r="W1017" s="41" t="s">
        <v>3151</v>
      </c>
      <c r="X1017" s="40" t="s">
        <v>4101</v>
      </c>
      <c r="Y1017" s="40" t="s">
        <v>56</v>
      </c>
      <c r="Z1017"/>
      <c r="AA1017" s="62"/>
      <c r="AB1017" s="44"/>
      <c r="AC1017" s="63">
        <v>10000430570</v>
      </c>
      <c r="AD1017" s="46">
        <v>46169</v>
      </c>
      <c r="AE1017">
        <v>3213021</v>
      </c>
      <c r="AF1017" s="39">
        <v>46210</v>
      </c>
      <c r="AG1017" s="49"/>
      <c r="AH1017" s="49"/>
      <c r="AI1017" s="49"/>
      <c r="AJ1017"/>
    </row>
    <row r="1018" spans="1:36" s="40" customFormat="1" ht="19.5" customHeight="1">
      <c r="A1018" s="25">
        <f t="shared" ref="A1018:A1021" si="17">A1017+1</f>
        <v>1010</v>
      </c>
      <c r="B1018" s="26">
        <v>6293922</v>
      </c>
      <c r="C1018" s="27">
        <v>46162</v>
      </c>
      <c r="D1018" s="28">
        <v>1450</v>
      </c>
      <c r="E1018" s="29">
        <v>11361.62</v>
      </c>
      <c r="F1018" s="30" t="s">
        <v>4102</v>
      </c>
      <c r="G1018" s="27">
        <v>46168</v>
      </c>
      <c r="H1018" s="68">
        <v>1450</v>
      </c>
      <c r="I1018" s="29">
        <v>11361.62</v>
      </c>
      <c r="J1018" s="34" t="s">
        <v>33</v>
      </c>
      <c r="K1018" t="s">
        <v>1177</v>
      </c>
      <c r="L1018" s="35" t="s">
        <v>4103</v>
      </c>
      <c r="M1018" s="36" t="s">
        <v>4104</v>
      </c>
      <c r="N1018" s="37" t="s">
        <v>4105</v>
      </c>
      <c r="O1018" t="s">
        <v>4106</v>
      </c>
      <c r="P1018" t="s">
        <v>4107</v>
      </c>
      <c r="Q1018" t="s">
        <v>4108</v>
      </c>
      <c r="R1018" s="332">
        <v>46143</v>
      </c>
      <c r="S1018" s="333">
        <v>46507</v>
      </c>
      <c r="T1018" s="50" t="s">
        <v>141</v>
      </c>
      <c r="U1018" s="47" t="s">
        <v>141</v>
      </c>
      <c r="V1018" s="40" t="s">
        <v>1374</v>
      </c>
      <c r="W1018" s="41" t="s">
        <v>39</v>
      </c>
      <c r="X1018" s="40" t="s">
        <v>4109</v>
      </c>
      <c r="Y1018" s="40" t="s">
        <v>185</v>
      </c>
      <c r="Z1018"/>
      <c r="AA1018" s="62" t="s">
        <v>4110</v>
      </c>
      <c r="AB1018" s="44">
        <v>46195</v>
      </c>
      <c r="AC1018" s="63">
        <v>240753406</v>
      </c>
      <c r="AD1018" s="46">
        <v>46195</v>
      </c>
      <c r="AE1018">
        <v>3213033</v>
      </c>
      <c r="AF1018" s="39">
        <v>46210</v>
      </c>
      <c r="AG1018" s="49"/>
      <c r="AH1018" s="49"/>
      <c r="AI1018" s="49"/>
      <c r="AJ1018"/>
    </row>
    <row r="1019" spans="1:36" s="40" customFormat="1" ht="19.5" customHeight="1">
      <c r="A1019" s="25">
        <f t="shared" si="17"/>
        <v>1011</v>
      </c>
      <c r="B1019" s="26">
        <v>6294132</v>
      </c>
      <c r="C1019" s="27">
        <v>46162</v>
      </c>
      <c r="D1019" s="28">
        <v>1204.24</v>
      </c>
      <c r="E1019" s="29">
        <v>9435.94</v>
      </c>
      <c r="F1019" s="30" t="s">
        <v>4111</v>
      </c>
      <c r="G1019" s="27">
        <v>46171</v>
      </c>
      <c r="H1019" s="68">
        <v>1204.24</v>
      </c>
      <c r="I1019" s="29">
        <v>9435.94</v>
      </c>
      <c r="J1019" s="34" t="s">
        <v>33</v>
      </c>
      <c r="K1019" t="s">
        <v>34</v>
      </c>
      <c r="L1019" s="35">
        <v>272330452</v>
      </c>
      <c r="M1019" s="36" t="s">
        <v>2129</v>
      </c>
      <c r="N1019" s="37" t="s">
        <v>4112</v>
      </c>
      <c r="O1019" t="s">
        <v>3913</v>
      </c>
      <c r="P1019" t="s">
        <v>3914</v>
      </c>
      <c r="Q1019" t="s">
        <v>3915</v>
      </c>
      <c r="R1019" s="332">
        <v>46143</v>
      </c>
      <c r="S1019" s="333">
        <v>46172</v>
      </c>
      <c r="T1019" s="332">
        <v>46441</v>
      </c>
      <c r="U1019" s="333">
        <v>46805</v>
      </c>
      <c r="V1019" s="40" t="s">
        <v>38</v>
      </c>
      <c r="W1019" s="41" t="s">
        <v>3151</v>
      </c>
      <c r="X1019" s="40" t="s">
        <v>4113</v>
      </c>
      <c r="Y1019" s="40" t="s">
        <v>185</v>
      </c>
      <c r="Z1019"/>
      <c r="AA1019" s="62"/>
      <c r="AB1019" s="44"/>
      <c r="AC1019" s="63">
        <v>10000444404</v>
      </c>
      <c r="AD1019" s="46">
        <v>46174</v>
      </c>
      <c r="AE1019">
        <v>3211986</v>
      </c>
      <c r="AF1019" s="39">
        <v>46202</v>
      </c>
      <c r="AG1019" s="49"/>
      <c r="AH1019" s="49"/>
      <c r="AI1019" s="49"/>
      <c r="AJ1019"/>
    </row>
    <row r="1020" spans="1:36" s="40" customFormat="1" ht="19.5" customHeight="1">
      <c r="A1020" s="25">
        <f>A1019+1</f>
        <v>1012</v>
      </c>
      <c r="B1020" s="26">
        <v>6294016</v>
      </c>
      <c r="C1020" s="27">
        <v>46162</v>
      </c>
      <c r="D1020" s="80" t="s">
        <v>141</v>
      </c>
      <c r="E1020" s="29">
        <v>164434</v>
      </c>
      <c r="F1020" s="30" t="s">
        <v>4114</v>
      </c>
      <c r="G1020" s="27">
        <v>46168</v>
      </c>
      <c r="H1020" s="80" t="s">
        <v>141</v>
      </c>
      <c r="I1020" s="33">
        <v>164434</v>
      </c>
      <c r="J1020" s="34" t="s">
        <v>103</v>
      </c>
      <c r="K1020" t="s">
        <v>107</v>
      </c>
      <c r="L1020" s="35" t="s">
        <v>4115</v>
      </c>
      <c r="M1020" s="36" t="s">
        <v>3537</v>
      </c>
      <c r="N1020" s="37" t="s">
        <v>1458</v>
      </c>
      <c r="O1020" t="s">
        <v>4116</v>
      </c>
      <c r="P1020" t="s">
        <v>4117</v>
      </c>
      <c r="Q1020" t="s">
        <v>2465</v>
      </c>
      <c r="R1020" s="332">
        <v>46081</v>
      </c>
      <c r="S1020" s="333">
        <v>47048</v>
      </c>
      <c r="T1020" s="332">
        <v>46168</v>
      </c>
      <c r="U1020" s="333">
        <v>46532</v>
      </c>
      <c r="V1020" s="40" t="s">
        <v>51</v>
      </c>
      <c r="W1020" s="41" t="s">
        <v>39</v>
      </c>
      <c r="X1020" s="40" t="s">
        <v>4118</v>
      </c>
      <c r="Y1020" s="40" t="s">
        <v>56</v>
      </c>
      <c r="Z1020"/>
      <c r="AA1020" s="62" t="s">
        <v>4119</v>
      </c>
      <c r="AB1020" s="44">
        <v>46171</v>
      </c>
      <c r="AC1020" s="63"/>
      <c r="AD1020" s="46"/>
      <c r="AE1020"/>
      <c r="AF1020" s="39"/>
      <c r="AG1020" s="49"/>
      <c r="AH1020" s="49"/>
      <c r="AI1020" s="49"/>
      <c r="AJ1020"/>
    </row>
    <row r="1021" spans="1:36" s="40" customFormat="1" ht="19.5" customHeight="1">
      <c r="A1021" s="25">
        <f t="shared" si="17"/>
        <v>1013</v>
      </c>
      <c r="B1021" s="26">
        <v>6294048</v>
      </c>
      <c r="C1021" s="27">
        <v>46162</v>
      </c>
      <c r="D1021" s="80" t="s">
        <v>141</v>
      </c>
      <c r="E1021" s="29">
        <v>137223.84</v>
      </c>
      <c r="F1021" s="30" t="s">
        <v>4120</v>
      </c>
      <c r="G1021" s="27">
        <v>46169</v>
      </c>
      <c r="H1021" s="80" t="s">
        <v>141</v>
      </c>
      <c r="I1021" s="33">
        <v>137223.84</v>
      </c>
      <c r="J1021" s="34" t="s">
        <v>103</v>
      </c>
      <c r="K1021" t="s">
        <v>107</v>
      </c>
      <c r="L1021" s="35" t="s">
        <v>4121</v>
      </c>
      <c r="M1021" s="36" t="s">
        <v>4122</v>
      </c>
      <c r="N1021" s="37" t="s">
        <v>4123</v>
      </c>
      <c r="O1021" t="s">
        <v>4116</v>
      </c>
      <c r="P1021" t="s">
        <v>4117</v>
      </c>
      <c r="Q1021" t="s">
        <v>2465</v>
      </c>
      <c r="R1021" s="332">
        <v>46081</v>
      </c>
      <c r="S1021" s="333">
        <v>47048</v>
      </c>
      <c r="T1021" s="332">
        <v>46159</v>
      </c>
      <c r="U1021" s="333">
        <v>46523</v>
      </c>
      <c r="V1021" s="40" t="s">
        <v>51</v>
      </c>
      <c r="W1021" s="41" t="s">
        <v>39</v>
      </c>
      <c r="X1021" s="40" t="s">
        <v>4118</v>
      </c>
      <c r="Y1021" s="40" t="s">
        <v>56</v>
      </c>
      <c r="Z1021"/>
      <c r="AA1021" s="62" t="s">
        <v>4124</v>
      </c>
      <c r="AB1021" s="44">
        <v>46182</v>
      </c>
      <c r="AC1021" s="63" t="s">
        <v>4125</v>
      </c>
      <c r="AD1021" s="46">
        <v>46182</v>
      </c>
      <c r="AE1021">
        <v>3219354</v>
      </c>
      <c r="AF1021" s="39">
        <v>46259</v>
      </c>
      <c r="AG1021" s="49"/>
      <c r="AH1021" s="49"/>
      <c r="AI1021" s="49"/>
      <c r="AJ1021"/>
    </row>
    <row r="1022" spans="1:36" s="40" customFormat="1" ht="19.5" customHeight="1">
      <c r="A1022" s="25">
        <f t="shared" si="16"/>
        <v>1014</v>
      </c>
      <c r="B1022" s="26">
        <v>6294091</v>
      </c>
      <c r="C1022" s="27">
        <v>46162</v>
      </c>
      <c r="D1022" s="80" t="s">
        <v>141</v>
      </c>
      <c r="E1022" s="29">
        <v>292098.06</v>
      </c>
      <c r="F1022" s="30" t="s">
        <v>4126</v>
      </c>
      <c r="G1022" s="27">
        <v>46169</v>
      </c>
      <c r="H1022" s="80" t="s">
        <v>141</v>
      </c>
      <c r="I1022" s="33">
        <v>292098.06</v>
      </c>
      <c r="J1022" s="34" t="s">
        <v>103</v>
      </c>
      <c r="K1022" t="s">
        <v>107</v>
      </c>
      <c r="L1022" s="35" t="s">
        <v>4127</v>
      </c>
      <c r="M1022" s="36" t="s">
        <v>4128</v>
      </c>
      <c r="N1022" s="37" t="s">
        <v>4129</v>
      </c>
      <c r="O1022" t="s">
        <v>4116</v>
      </c>
      <c r="P1022" t="s">
        <v>4117</v>
      </c>
      <c r="Q1022" t="s">
        <v>2465</v>
      </c>
      <c r="R1022" s="332">
        <v>46081</v>
      </c>
      <c r="S1022" s="333">
        <v>47048</v>
      </c>
      <c r="T1022" s="332">
        <v>46153</v>
      </c>
      <c r="U1022" s="333">
        <v>46517</v>
      </c>
      <c r="V1022" s="40" t="s">
        <v>51</v>
      </c>
      <c r="W1022" s="41" t="s">
        <v>39</v>
      </c>
      <c r="X1022" s="40" t="s">
        <v>4118</v>
      </c>
      <c r="Y1022" s="40" t="s">
        <v>56</v>
      </c>
      <c r="Z1022"/>
      <c r="AA1022" s="62" t="s">
        <v>4130</v>
      </c>
      <c r="AB1022" s="44">
        <v>46171</v>
      </c>
      <c r="AC1022" s="63"/>
      <c r="AD1022" s="46"/>
      <c r="AE1022">
        <v>3221069</v>
      </c>
      <c r="AF1022" s="39">
        <v>46272</v>
      </c>
      <c r="AG1022" s="49"/>
      <c r="AH1022" s="49"/>
      <c r="AI1022" s="49"/>
      <c r="AJ1022"/>
    </row>
    <row r="1023" spans="1:36" s="40" customFormat="1" ht="19.5" customHeight="1">
      <c r="A1023" s="25">
        <f t="shared" si="16"/>
        <v>1015</v>
      </c>
      <c r="B1023" s="26">
        <v>6294131</v>
      </c>
      <c r="C1023" s="27">
        <v>46162</v>
      </c>
      <c r="D1023" s="80" t="s">
        <v>141</v>
      </c>
      <c r="E1023" s="29">
        <v>31519.61</v>
      </c>
      <c r="F1023" s="30" t="s">
        <v>4131</v>
      </c>
      <c r="G1023" s="27">
        <v>46168</v>
      </c>
      <c r="H1023" s="330" t="s">
        <v>141</v>
      </c>
      <c r="I1023" s="29">
        <v>31519.61</v>
      </c>
      <c r="J1023" s="34" t="s">
        <v>159</v>
      </c>
      <c r="K1023" t="s">
        <v>160</v>
      </c>
      <c r="L1023" s="35" t="s">
        <v>4132</v>
      </c>
      <c r="M1023" s="36" t="s">
        <v>4133</v>
      </c>
      <c r="N1023" s="37" t="s">
        <v>4134</v>
      </c>
      <c r="O1023" t="s">
        <v>4116</v>
      </c>
      <c r="P1023" t="s">
        <v>4117</v>
      </c>
      <c r="Q1023" t="s">
        <v>2465</v>
      </c>
      <c r="R1023" s="332">
        <v>46081</v>
      </c>
      <c r="S1023" s="333">
        <v>47048</v>
      </c>
      <c r="T1023" s="50" t="s">
        <v>141</v>
      </c>
      <c r="U1023" s="47" t="s">
        <v>141</v>
      </c>
      <c r="V1023" s="40" t="s">
        <v>51</v>
      </c>
      <c r="W1023" s="41" t="s">
        <v>39</v>
      </c>
      <c r="X1023" s="40" t="s">
        <v>4118</v>
      </c>
      <c r="Y1023" s="40" t="s">
        <v>56</v>
      </c>
      <c r="Z1023"/>
      <c r="AA1023" s="62"/>
      <c r="AB1023" s="44"/>
      <c r="AC1023" s="63" t="s">
        <v>4135</v>
      </c>
      <c r="AD1023" s="46">
        <v>46172</v>
      </c>
      <c r="AE1023">
        <v>3212031</v>
      </c>
      <c r="AF1023" s="39">
        <v>46202</v>
      </c>
      <c r="AG1023" s="49"/>
      <c r="AH1023" s="49"/>
      <c r="AI1023" s="49"/>
      <c r="AJ1023"/>
    </row>
    <row r="1024" spans="1:36" s="40" customFormat="1" ht="19.5" customHeight="1">
      <c r="A1024" s="25">
        <f t="shared" si="16"/>
        <v>1016</v>
      </c>
      <c r="B1024" s="26">
        <v>6294369</v>
      </c>
      <c r="C1024" s="27">
        <v>46163</v>
      </c>
      <c r="D1024" s="80" t="s">
        <v>141</v>
      </c>
      <c r="E1024" s="29">
        <v>9240</v>
      </c>
      <c r="F1024" s="30" t="s">
        <v>4136</v>
      </c>
      <c r="G1024" s="27">
        <v>46168</v>
      </c>
      <c r="H1024" s="330" t="s">
        <v>141</v>
      </c>
      <c r="I1024" s="326">
        <v>6790</v>
      </c>
      <c r="J1024" s="34" t="s">
        <v>33</v>
      </c>
      <c r="K1024" s="66" t="s">
        <v>193</v>
      </c>
      <c r="L1024" s="35" t="s">
        <v>4137</v>
      </c>
      <c r="M1024" s="36" t="s">
        <v>4138</v>
      </c>
      <c r="N1024" s="37" t="s">
        <v>1185</v>
      </c>
      <c r="O1024" t="s">
        <v>4116</v>
      </c>
      <c r="P1024" t="s">
        <v>4117</v>
      </c>
      <c r="Q1024" t="s">
        <v>2465</v>
      </c>
      <c r="R1024" s="332">
        <v>46081</v>
      </c>
      <c r="S1024" s="333">
        <v>47048</v>
      </c>
      <c r="T1024" s="50" t="s">
        <v>141</v>
      </c>
      <c r="U1024" s="47" t="s">
        <v>141</v>
      </c>
      <c r="V1024" s="40" t="s">
        <v>51</v>
      </c>
      <c r="W1024" s="41" t="s">
        <v>39</v>
      </c>
      <c r="X1024" s="40" t="s">
        <v>4139</v>
      </c>
      <c r="Y1024" s="40" t="s">
        <v>185</v>
      </c>
      <c r="Z1024"/>
      <c r="AA1024" s="62" t="s">
        <v>4140</v>
      </c>
      <c r="AB1024" s="44">
        <v>46184</v>
      </c>
      <c r="AC1024" s="63" t="s">
        <v>4141</v>
      </c>
      <c r="AD1024" s="46">
        <v>46182</v>
      </c>
      <c r="AE1024"/>
      <c r="AF1024" s="39"/>
      <c r="AG1024" s="49"/>
      <c r="AH1024" s="49"/>
      <c r="AI1024" s="49"/>
      <c r="AJ1024"/>
    </row>
    <row r="1025" spans="1:36" s="40" customFormat="1" ht="19.5" customHeight="1">
      <c r="A1025" s="25">
        <f t="shared" si="16"/>
        <v>1017</v>
      </c>
      <c r="B1025" s="26">
        <v>6294723</v>
      </c>
      <c r="C1025" s="27">
        <v>46164</v>
      </c>
      <c r="D1025" s="28">
        <v>30.21</v>
      </c>
      <c r="E1025" s="29">
        <v>236.71</v>
      </c>
      <c r="F1025" s="30" t="s">
        <v>4142</v>
      </c>
      <c r="G1025" s="27">
        <v>46171</v>
      </c>
      <c r="H1025" s="68">
        <v>30.21</v>
      </c>
      <c r="I1025" s="29">
        <v>236.71</v>
      </c>
      <c r="J1025" s="34" t="s">
        <v>33</v>
      </c>
      <c r="K1025" t="s">
        <v>34</v>
      </c>
      <c r="L1025" s="35">
        <v>312269596</v>
      </c>
      <c r="M1025" s="36" t="s">
        <v>2129</v>
      </c>
      <c r="N1025" s="37" t="s">
        <v>1346</v>
      </c>
      <c r="O1025" t="s">
        <v>4143</v>
      </c>
      <c r="P1025" t="s">
        <v>4144</v>
      </c>
      <c r="Q1025" t="s">
        <v>4145</v>
      </c>
      <c r="R1025" s="332">
        <v>46204</v>
      </c>
      <c r="S1025" s="333">
        <v>46265</v>
      </c>
      <c r="T1025" s="332">
        <v>46204</v>
      </c>
      <c r="U1025" s="333">
        <v>46265</v>
      </c>
      <c r="V1025" s="40" t="s">
        <v>60</v>
      </c>
      <c r="W1025" s="41" t="s">
        <v>3151</v>
      </c>
      <c r="X1025" s="40" t="s">
        <v>4146</v>
      </c>
      <c r="Y1025" s="40" t="s">
        <v>56</v>
      </c>
      <c r="Z1025"/>
      <c r="AA1025" s="62"/>
      <c r="AB1025" s="44"/>
      <c r="AC1025" s="63">
        <v>10000444400</v>
      </c>
      <c r="AD1025" s="46">
        <v>46174</v>
      </c>
      <c r="AE1025">
        <v>3212577</v>
      </c>
      <c r="AF1025" s="39">
        <v>46206</v>
      </c>
      <c r="AG1025" s="49"/>
      <c r="AH1025" s="49"/>
      <c r="AI1025" s="49"/>
      <c r="AJ1025"/>
    </row>
    <row r="1026" spans="1:36" s="40" customFormat="1" ht="19.5" customHeight="1">
      <c r="A1026" s="25">
        <f t="shared" si="16"/>
        <v>1018</v>
      </c>
      <c r="B1026" s="26">
        <v>6294732</v>
      </c>
      <c r="C1026" s="27">
        <v>46164</v>
      </c>
      <c r="D1026" s="28">
        <v>347.71</v>
      </c>
      <c r="E1026" s="29">
        <v>2724.52</v>
      </c>
      <c r="F1026" s="30" t="s">
        <v>4147</v>
      </c>
      <c r="G1026" s="27">
        <v>46171</v>
      </c>
      <c r="H1026" s="68">
        <v>347.71</v>
      </c>
      <c r="I1026" s="29">
        <v>2724.52</v>
      </c>
      <c r="J1026" s="34" t="s">
        <v>33</v>
      </c>
      <c r="K1026" t="s">
        <v>34</v>
      </c>
      <c r="L1026" s="35">
        <v>312269602</v>
      </c>
      <c r="M1026" s="36" t="s">
        <v>2129</v>
      </c>
      <c r="N1026" s="37" t="s">
        <v>1540</v>
      </c>
      <c r="O1026" t="s">
        <v>4143</v>
      </c>
      <c r="P1026" t="s">
        <v>4144</v>
      </c>
      <c r="Q1026" t="s">
        <v>4145</v>
      </c>
      <c r="R1026" s="332">
        <v>46204</v>
      </c>
      <c r="S1026" s="333">
        <v>46568</v>
      </c>
      <c r="T1026" s="332">
        <v>46204</v>
      </c>
      <c r="U1026" s="333">
        <v>46568</v>
      </c>
      <c r="V1026" s="40" t="s">
        <v>60</v>
      </c>
      <c r="W1026" s="41" t="s">
        <v>3151</v>
      </c>
      <c r="X1026" s="40" t="s">
        <v>4146</v>
      </c>
      <c r="Y1026" s="40" t="s">
        <v>56</v>
      </c>
      <c r="Z1026"/>
      <c r="AA1026" s="62"/>
      <c r="AB1026" s="44"/>
      <c r="AC1026" s="63">
        <v>10000444399</v>
      </c>
      <c r="AD1026" s="46">
        <v>46174</v>
      </c>
      <c r="AE1026">
        <v>3212579</v>
      </c>
      <c r="AF1026" s="39">
        <v>46206</v>
      </c>
      <c r="AG1026" s="49"/>
      <c r="AH1026" s="49"/>
      <c r="AI1026" s="49"/>
      <c r="AJ1026"/>
    </row>
    <row r="1027" spans="1:36" s="40" customFormat="1" ht="19.5" customHeight="1">
      <c r="A1027" s="25">
        <f t="shared" si="16"/>
        <v>1019</v>
      </c>
      <c r="B1027" s="26">
        <v>6294788</v>
      </c>
      <c r="C1027" s="27">
        <v>46164</v>
      </c>
      <c r="D1027" s="28">
        <v>1257.5999999999999</v>
      </c>
      <c r="E1027" s="29">
        <v>9854.0400000000009</v>
      </c>
      <c r="F1027" s="30" t="s">
        <v>4148</v>
      </c>
      <c r="G1027" s="27">
        <v>46168</v>
      </c>
      <c r="H1027" s="32">
        <v>1257.5999999999999</v>
      </c>
      <c r="I1027" s="33">
        <v>9854.0400000000009</v>
      </c>
      <c r="J1027" s="34" t="s">
        <v>103</v>
      </c>
      <c r="K1027" t="s">
        <v>206</v>
      </c>
      <c r="L1027" s="35" t="s">
        <v>4149</v>
      </c>
      <c r="M1027" s="36" t="s">
        <v>4150</v>
      </c>
      <c r="N1027" s="37" t="s">
        <v>1330</v>
      </c>
      <c r="O1027" t="s">
        <v>4151</v>
      </c>
      <c r="P1027" t="s">
        <v>4152</v>
      </c>
      <c r="Q1027" t="s">
        <v>4153</v>
      </c>
      <c r="R1027" s="332">
        <v>46152</v>
      </c>
      <c r="S1027" s="333">
        <v>46516</v>
      </c>
      <c r="T1027" s="332">
        <v>46152</v>
      </c>
      <c r="U1027" s="333">
        <v>46516</v>
      </c>
      <c r="V1027" s="40" t="s">
        <v>51</v>
      </c>
      <c r="W1027" s="41" t="s">
        <v>39</v>
      </c>
      <c r="X1027" s="40" t="s">
        <v>4154</v>
      </c>
      <c r="Y1027" s="40" t="s">
        <v>56</v>
      </c>
      <c r="Z1027"/>
      <c r="AA1027" s="62" t="s">
        <v>4155</v>
      </c>
      <c r="AB1027" s="44">
        <v>46175</v>
      </c>
      <c r="AC1027" s="63" t="s">
        <v>4156</v>
      </c>
      <c r="AD1027" s="46">
        <v>46175</v>
      </c>
      <c r="AE1027">
        <v>3217786</v>
      </c>
      <c r="AF1027" s="39">
        <v>46246</v>
      </c>
      <c r="AG1027" s="49"/>
      <c r="AH1027" s="49"/>
      <c r="AI1027" s="49"/>
      <c r="AJ1027"/>
    </row>
    <row r="1028" spans="1:36" s="40" customFormat="1" ht="19.5" customHeight="1">
      <c r="A1028" s="25">
        <f t="shared" si="16"/>
        <v>1020</v>
      </c>
      <c r="B1028" s="291" t="s">
        <v>141</v>
      </c>
      <c r="C1028" s="31" t="s">
        <v>141</v>
      </c>
      <c r="D1028" s="80" t="s">
        <v>141</v>
      </c>
      <c r="E1028" s="288" t="s">
        <v>141</v>
      </c>
      <c r="F1028" s="30" t="s">
        <v>4157</v>
      </c>
      <c r="G1028" s="27">
        <v>46164</v>
      </c>
      <c r="H1028" s="80" t="s">
        <v>141</v>
      </c>
      <c r="I1028" s="33">
        <v>2670</v>
      </c>
      <c r="J1028" s="34" t="s">
        <v>3421</v>
      </c>
      <c r="K1028" t="s">
        <v>139</v>
      </c>
      <c r="L1028" s="35" t="s">
        <v>4158</v>
      </c>
      <c r="M1028" s="36" t="s">
        <v>4159</v>
      </c>
      <c r="N1028" s="37" t="s">
        <v>1404</v>
      </c>
      <c r="O1028" t="s">
        <v>4160</v>
      </c>
      <c r="P1028" t="s">
        <v>4161</v>
      </c>
      <c r="Q1028" t="s">
        <v>4162</v>
      </c>
      <c r="R1028" s="332">
        <v>45903</v>
      </c>
      <c r="S1028" s="333">
        <v>46267</v>
      </c>
      <c r="T1028" s="50" t="s">
        <v>141</v>
      </c>
      <c r="U1028" s="47" t="s">
        <v>141</v>
      </c>
      <c r="V1028" s="40" t="s">
        <v>590</v>
      </c>
      <c r="W1028" s="41" t="s">
        <v>39</v>
      </c>
      <c r="X1028" s="40" t="s">
        <v>4163</v>
      </c>
      <c r="Y1028" s="40" t="s">
        <v>185</v>
      </c>
      <c r="Z1028"/>
      <c r="AA1028" s="62">
        <v>90007743</v>
      </c>
      <c r="AB1028" s="44">
        <v>46171</v>
      </c>
      <c r="AC1028" s="63">
        <v>60017775</v>
      </c>
      <c r="AD1028" s="46">
        <v>46171</v>
      </c>
      <c r="AE1028"/>
      <c r="AF1028" s="39"/>
      <c r="AG1028" s="49"/>
      <c r="AH1028" s="49"/>
      <c r="AI1028" s="49"/>
      <c r="AJ1028"/>
    </row>
    <row r="1029" spans="1:36" s="40" customFormat="1" ht="19.5" customHeight="1">
      <c r="A1029" s="25">
        <f t="shared" si="16"/>
        <v>1021</v>
      </c>
      <c r="B1029" s="26">
        <v>6295240</v>
      </c>
      <c r="C1029" s="27">
        <v>46168</v>
      </c>
      <c r="D1029" s="28">
        <v>4503.49</v>
      </c>
      <c r="E1029" s="29">
        <v>35287.550000000003</v>
      </c>
      <c r="F1029" s="30" t="s">
        <v>4164</v>
      </c>
      <c r="G1029" s="27">
        <v>46171</v>
      </c>
      <c r="H1029" s="68">
        <v>4503.49</v>
      </c>
      <c r="I1029" s="29">
        <v>35287.550000000003</v>
      </c>
      <c r="J1029" s="34" t="s">
        <v>33</v>
      </c>
      <c r="K1029" t="s">
        <v>34</v>
      </c>
      <c r="L1029" s="35">
        <v>252327445</v>
      </c>
      <c r="M1029" s="388" t="s">
        <v>2359</v>
      </c>
      <c r="N1029" s="37" t="s">
        <v>1346</v>
      </c>
      <c r="O1029" t="s">
        <v>4165</v>
      </c>
      <c r="P1029" t="s">
        <v>4166</v>
      </c>
      <c r="Q1029" t="s">
        <v>4167</v>
      </c>
      <c r="R1029" s="332">
        <v>46213</v>
      </c>
      <c r="S1029" s="333">
        <v>47308</v>
      </c>
      <c r="T1029" s="332">
        <v>46213</v>
      </c>
      <c r="U1029" s="333">
        <v>47308</v>
      </c>
      <c r="V1029" s="40" t="s">
        <v>80</v>
      </c>
      <c r="W1029" s="41" t="s">
        <v>3151</v>
      </c>
      <c r="X1029" s="40" t="s">
        <v>4168</v>
      </c>
      <c r="Y1029" s="40" t="s">
        <v>56</v>
      </c>
      <c r="Z1029"/>
      <c r="AA1029" s="62"/>
      <c r="AB1029" s="44"/>
      <c r="AC1029" s="63">
        <v>10000444395</v>
      </c>
      <c r="AD1029" s="46">
        <v>46174</v>
      </c>
      <c r="AE1029">
        <v>3213016</v>
      </c>
      <c r="AF1029" s="39">
        <v>46210</v>
      </c>
      <c r="AG1029" s="49"/>
      <c r="AH1029" s="49"/>
      <c r="AI1029" s="49"/>
      <c r="AJ1029"/>
    </row>
    <row r="1030" spans="1:36" s="40" customFormat="1" ht="19.5" customHeight="1">
      <c r="A1030" s="25">
        <f t="shared" si="16"/>
        <v>1022</v>
      </c>
      <c r="B1030" s="26">
        <v>6295954</v>
      </c>
      <c r="C1030" s="27">
        <v>46169</v>
      </c>
      <c r="D1030" s="71">
        <v>37611.89</v>
      </c>
      <c r="E1030" s="72">
        <v>294711.73</v>
      </c>
      <c r="F1030" s="30" t="s">
        <v>4169</v>
      </c>
      <c r="G1030" s="27">
        <v>46171</v>
      </c>
      <c r="H1030" s="289">
        <v>37611.89</v>
      </c>
      <c r="I1030" s="72">
        <v>294711.73</v>
      </c>
      <c r="J1030" s="34" t="s">
        <v>33</v>
      </c>
      <c r="K1030" t="s">
        <v>34</v>
      </c>
      <c r="L1030" s="35">
        <v>272330448</v>
      </c>
      <c r="M1030" s="388" t="s">
        <v>4170</v>
      </c>
      <c r="N1030" s="75" t="s">
        <v>1346</v>
      </c>
      <c r="O1030" t="s">
        <v>4171</v>
      </c>
      <c r="P1030" t="s">
        <v>4172</v>
      </c>
      <c r="Q1030" t="s">
        <v>4173</v>
      </c>
      <c r="R1030" s="332">
        <v>46184</v>
      </c>
      <c r="S1030" s="333">
        <v>48011</v>
      </c>
      <c r="T1030" s="332">
        <v>46184</v>
      </c>
      <c r="U1030" s="333">
        <v>48011</v>
      </c>
      <c r="V1030" s="40" t="s">
        <v>113</v>
      </c>
      <c r="W1030" s="41" t="s">
        <v>3151</v>
      </c>
      <c r="X1030" s="40" t="s">
        <v>4174</v>
      </c>
      <c r="Y1030" s="40" t="s">
        <v>56</v>
      </c>
      <c r="Z1030"/>
      <c r="AA1030" s="62"/>
      <c r="AB1030" s="44"/>
      <c r="AC1030" s="63">
        <v>10000444397</v>
      </c>
      <c r="AD1030" s="46">
        <v>46174</v>
      </c>
      <c r="AE1030">
        <v>3211960</v>
      </c>
      <c r="AF1030" s="39">
        <v>46202</v>
      </c>
      <c r="AG1030" s="49"/>
      <c r="AH1030" s="49"/>
      <c r="AI1030" s="49"/>
      <c r="AJ1030"/>
    </row>
    <row r="1031" spans="1:36" s="40" customFormat="1" ht="19.5" customHeight="1">
      <c r="A1031" s="25">
        <f t="shared" si="16"/>
        <v>1023</v>
      </c>
      <c r="B1031" s="26">
        <v>6295957</v>
      </c>
      <c r="C1031" s="27">
        <v>46169</v>
      </c>
      <c r="D1031" s="28">
        <v>398.76</v>
      </c>
      <c r="E1031" s="29">
        <v>3124.52</v>
      </c>
      <c r="F1031" s="30" t="s">
        <v>4175</v>
      </c>
      <c r="G1031" s="27">
        <v>46170</v>
      </c>
      <c r="H1031" s="68">
        <v>398.76</v>
      </c>
      <c r="I1031" s="29">
        <v>3124.52</v>
      </c>
      <c r="J1031" s="34" t="s">
        <v>33</v>
      </c>
      <c r="K1031" t="s">
        <v>34</v>
      </c>
      <c r="L1031" s="35">
        <v>372284907</v>
      </c>
      <c r="M1031" s="36" t="s">
        <v>2129</v>
      </c>
      <c r="N1031" s="75" t="s">
        <v>1449</v>
      </c>
      <c r="O1031" t="s">
        <v>4171</v>
      </c>
      <c r="P1031" t="s">
        <v>4172</v>
      </c>
      <c r="Q1031" t="s">
        <v>4173</v>
      </c>
      <c r="R1031" s="332">
        <v>46184</v>
      </c>
      <c r="S1031" s="333">
        <v>48011</v>
      </c>
      <c r="T1031" s="332">
        <v>46184</v>
      </c>
      <c r="U1031" s="333">
        <v>48011</v>
      </c>
      <c r="V1031" s="40" t="s">
        <v>113</v>
      </c>
      <c r="W1031" s="41" t="s">
        <v>3151</v>
      </c>
      <c r="X1031" s="40" t="s">
        <v>4174</v>
      </c>
      <c r="Y1031" s="40" t="s">
        <v>56</v>
      </c>
      <c r="Z1031"/>
      <c r="AA1031" s="62"/>
      <c r="AB1031" s="44"/>
      <c r="AC1031" s="63">
        <v>10000438363</v>
      </c>
      <c r="AD1031" s="46">
        <v>46171</v>
      </c>
      <c r="AE1031">
        <v>3211965</v>
      </c>
      <c r="AF1031" s="39">
        <v>46202</v>
      </c>
      <c r="AG1031" s="49"/>
      <c r="AH1031" s="49"/>
      <c r="AI1031" s="49"/>
      <c r="AJ1031"/>
    </row>
    <row r="1032" spans="1:36" s="40" customFormat="1" ht="19.5" customHeight="1">
      <c r="A1032" s="25">
        <f t="shared" si="16"/>
        <v>1024</v>
      </c>
      <c r="B1032" s="26">
        <v>6296017</v>
      </c>
      <c r="C1032" s="27">
        <v>46169</v>
      </c>
      <c r="D1032" s="80" t="s">
        <v>141</v>
      </c>
      <c r="E1032" s="29">
        <v>12667.16</v>
      </c>
      <c r="F1032" s="30" t="s">
        <v>4176</v>
      </c>
      <c r="G1032" s="27">
        <v>46170</v>
      </c>
      <c r="H1032" s="80" t="s">
        <v>141</v>
      </c>
      <c r="I1032" s="33">
        <v>12667.16</v>
      </c>
      <c r="J1032" s="34" t="s">
        <v>159</v>
      </c>
      <c r="K1032" t="s">
        <v>160</v>
      </c>
      <c r="L1032" s="35" t="s">
        <v>4177</v>
      </c>
      <c r="M1032" s="36" t="s">
        <v>4178</v>
      </c>
      <c r="N1032" s="37" t="s">
        <v>1525</v>
      </c>
      <c r="O1032" t="s">
        <v>4171</v>
      </c>
      <c r="P1032" t="s">
        <v>4172</v>
      </c>
      <c r="Q1032" t="s">
        <v>4179</v>
      </c>
      <c r="R1032" s="332">
        <v>46184</v>
      </c>
      <c r="S1032" s="333">
        <v>48011</v>
      </c>
      <c r="T1032" s="50" t="s">
        <v>141</v>
      </c>
      <c r="U1032" s="47" t="s">
        <v>141</v>
      </c>
      <c r="V1032" s="40" t="s">
        <v>113</v>
      </c>
      <c r="W1032" s="41" t="s">
        <v>39</v>
      </c>
      <c r="X1032" s="40" t="s">
        <v>4174</v>
      </c>
      <c r="Y1032" s="40" t="s">
        <v>56</v>
      </c>
      <c r="Z1032"/>
      <c r="AA1032" s="62"/>
      <c r="AB1032" s="44"/>
      <c r="AC1032" s="63" t="s">
        <v>4180</v>
      </c>
      <c r="AD1032" s="46">
        <v>46202</v>
      </c>
      <c r="AE1032">
        <v>3212032</v>
      </c>
      <c r="AF1032" s="39">
        <v>46202</v>
      </c>
      <c r="AG1032" s="49"/>
      <c r="AH1032" s="49"/>
      <c r="AI1032" s="49"/>
      <c r="AJ1032"/>
    </row>
    <row r="1033" spans="1:36" s="40" customFormat="1" ht="19.5" customHeight="1">
      <c r="A1033" s="25">
        <f t="shared" si="16"/>
        <v>1025</v>
      </c>
      <c r="B1033" s="26">
        <v>6296033</v>
      </c>
      <c r="C1033" s="27">
        <v>46169</v>
      </c>
      <c r="D1033" s="28">
        <v>9091</v>
      </c>
      <c r="E1033" s="29">
        <v>71233.440000000002</v>
      </c>
      <c r="F1033" s="30" t="s">
        <v>4181</v>
      </c>
      <c r="G1033" s="27">
        <v>46170</v>
      </c>
      <c r="H1033" s="28">
        <v>9091</v>
      </c>
      <c r="I1033" s="29">
        <v>71233.440000000002</v>
      </c>
      <c r="J1033" s="34" t="s">
        <v>103</v>
      </c>
      <c r="K1033" t="s">
        <v>176</v>
      </c>
      <c r="L1033" s="35" t="s">
        <v>4182</v>
      </c>
      <c r="M1033" s="36" t="s">
        <v>4183</v>
      </c>
      <c r="N1033" s="37" t="s">
        <v>4184</v>
      </c>
      <c r="O1033" t="s">
        <v>4171</v>
      </c>
      <c r="P1033" t="s">
        <v>4172</v>
      </c>
      <c r="Q1033" t="s">
        <v>4179</v>
      </c>
      <c r="R1033" s="332">
        <v>46184</v>
      </c>
      <c r="S1033" s="333">
        <v>48011</v>
      </c>
      <c r="T1033" s="50" t="s">
        <v>141</v>
      </c>
      <c r="U1033" s="47" t="s">
        <v>141</v>
      </c>
      <c r="V1033" s="40" t="s">
        <v>113</v>
      </c>
      <c r="W1033" s="41" t="s">
        <v>39</v>
      </c>
      <c r="X1033" s="40" t="s">
        <v>4174</v>
      </c>
      <c r="Y1033" s="40" t="s">
        <v>56</v>
      </c>
      <c r="Z1033"/>
      <c r="AA1033" s="62"/>
      <c r="AB1033" s="44"/>
      <c r="AC1033" s="63"/>
      <c r="AD1033" s="46"/>
      <c r="AE1033"/>
      <c r="AF1033" s="39"/>
      <c r="AG1033" s="49"/>
      <c r="AH1033" s="49"/>
      <c r="AI1033" s="49"/>
      <c r="AJ1033"/>
    </row>
    <row r="1034" spans="1:36" s="40" customFormat="1" ht="19.5" customHeight="1">
      <c r="A1034" s="25">
        <f t="shared" si="16"/>
        <v>1026</v>
      </c>
      <c r="B1034" s="26">
        <v>6296040</v>
      </c>
      <c r="C1034" s="27">
        <v>46169</v>
      </c>
      <c r="D1034" s="80" t="s">
        <v>141</v>
      </c>
      <c r="E1034" s="29">
        <v>33308</v>
      </c>
      <c r="F1034" s="30" t="s">
        <v>4185</v>
      </c>
      <c r="G1034" s="27">
        <v>46170</v>
      </c>
      <c r="H1034" s="80" t="s">
        <v>141</v>
      </c>
      <c r="I1034" s="33">
        <v>33308</v>
      </c>
      <c r="J1034" s="34" t="s">
        <v>103</v>
      </c>
      <c r="K1034" t="s">
        <v>4186</v>
      </c>
      <c r="L1034" s="35" t="s">
        <v>4187</v>
      </c>
      <c r="M1034" s="36" t="s">
        <v>4188</v>
      </c>
      <c r="N1034" s="37" t="s">
        <v>4189</v>
      </c>
      <c r="O1034" t="s">
        <v>4171</v>
      </c>
      <c r="P1034" t="s">
        <v>4172</v>
      </c>
      <c r="Q1034" t="s">
        <v>4179</v>
      </c>
      <c r="R1034" s="332">
        <v>46184</v>
      </c>
      <c r="S1034" s="333">
        <v>48011</v>
      </c>
      <c r="T1034" s="50" t="s">
        <v>141</v>
      </c>
      <c r="U1034" s="47" t="s">
        <v>141</v>
      </c>
      <c r="V1034" s="40" t="s">
        <v>113</v>
      </c>
      <c r="W1034" s="41" t="s">
        <v>39</v>
      </c>
      <c r="X1034" s="40" t="s">
        <v>4174</v>
      </c>
      <c r="Y1034" s="40" t="s">
        <v>56</v>
      </c>
      <c r="Z1034"/>
      <c r="AA1034" s="62"/>
      <c r="AB1034" s="44"/>
      <c r="AC1034" s="63" t="s">
        <v>4190</v>
      </c>
      <c r="AD1034" s="46">
        <v>46198</v>
      </c>
      <c r="AE1034">
        <v>3219259</v>
      </c>
      <c r="AF1034" s="39">
        <v>46259</v>
      </c>
      <c r="AG1034" s="49"/>
      <c r="AH1034" s="49"/>
      <c r="AI1034" s="49"/>
      <c r="AJ1034"/>
    </row>
    <row r="1035" spans="1:36" s="40" customFormat="1" ht="19.5" customHeight="1">
      <c r="A1035" s="25">
        <f t="shared" si="16"/>
        <v>1027</v>
      </c>
      <c r="B1035" s="26">
        <v>6296223</v>
      </c>
      <c r="C1035" s="27">
        <v>46170</v>
      </c>
      <c r="D1035" s="28">
        <v>34653.199999999997</v>
      </c>
      <c r="E1035" s="29">
        <v>271528.61</v>
      </c>
      <c r="F1035" s="30" t="s">
        <v>4191</v>
      </c>
      <c r="G1035" s="27">
        <v>46174</v>
      </c>
      <c r="H1035" s="68">
        <v>34653.199999999997</v>
      </c>
      <c r="I1035" s="29">
        <v>271528.61</v>
      </c>
      <c r="J1035" s="34" t="s">
        <v>33</v>
      </c>
      <c r="K1035" t="s">
        <v>34</v>
      </c>
      <c r="L1035" s="35">
        <v>202318956</v>
      </c>
      <c r="M1035" s="36" t="s">
        <v>2129</v>
      </c>
      <c r="N1035" s="37" t="s">
        <v>1346</v>
      </c>
      <c r="O1035" t="s">
        <v>4192</v>
      </c>
      <c r="P1035" t="s">
        <v>4193</v>
      </c>
      <c r="Q1035" t="s">
        <v>4194</v>
      </c>
      <c r="R1035" s="332">
        <v>46204</v>
      </c>
      <c r="S1035" s="333">
        <v>47514</v>
      </c>
      <c r="T1035" s="332">
        <v>46204</v>
      </c>
      <c r="U1035" s="333">
        <v>47087</v>
      </c>
      <c r="V1035" s="40" t="s">
        <v>1374</v>
      </c>
      <c r="W1035" s="41" t="s">
        <v>3151</v>
      </c>
      <c r="X1035" s="40" t="s">
        <v>4195</v>
      </c>
      <c r="Y1035" s="40" t="s">
        <v>56</v>
      </c>
      <c r="Z1035"/>
      <c r="AA1035" s="62"/>
      <c r="AB1035" s="44"/>
      <c r="AC1035" s="63">
        <v>10000451974</v>
      </c>
      <c r="AD1035" s="46">
        <v>46176</v>
      </c>
      <c r="AE1035">
        <v>3212547</v>
      </c>
      <c r="AF1035" s="39">
        <v>46206</v>
      </c>
      <c r="AG1035" s="49"/>
      <c r="AH1035" s="49"/>
      <c r="AI1035" s="49"/>
      <c r="AJ1035"/>
    </row>
    <row r="1036" spans="1:36" s="40" customFormat="1" ht="19.5" customHeight="1">
      <c r="A1036" s="25">
        <f t="shared" si="16"/>
        <v>1028</v>
      </c>
      <c r="B1036" s="389" t="s">
        <v>141</v>
      </c>
      <c r="C1036" s="390" t="s">
        <v>141</v>
      </c>
      <c r="D1036" s="391" t="s">
        <v>141</v>
      </c>
      <c r="E1036" s="392" t="s">
        <v>141</v>
      </c>
      <c r="F1036" s="93" t="s">
        <v>4196</v>
      </c>
      <c r="G1036" s="92">
        <v>46170</v>
      </c>
      <c r="H1036" s="391" t="s">
        <v>141</v>
      </c>
      <c r="I1036" s="387">
        <v>0</v>
      </c>
      <c r="J1036" s="94" t="s">
        <v>3421</v>
      </c>
      <c r="K1036" s="95" t="s">
        <v>139</v>
      </c>
      <c r="L1036" s="196">
        <v>80005458</v>
      </c>
      <c r="M1036" s="96" t="s">
        <v>4197</v>
      </c>
      <c r="N1036" s="197" t="s">
        <v>1749</v>
      </c>
      <c r="O1036" s="95" t="s">
        <v>4198</v>
      </c>
      <c r="P1036" s="95" t="s">
        <v>4199</v>
      </c>
      <c r="Q1036" s="95" t="s">
        <v>4200</v>
      </c>
      <c r="R1036" s="354">
        <v>46176</v>
      </c>
      <c r="S1036" s="355">
        <v>46906</v>
      </c>
      <c r="T1036" s="218" t="s">
        <v>141</v>
      </c>
      <c r="U1036" s="199" t="s">
        <v>141</v>
      </c>
      <c r="V1036" s="201" t="s">
        <v>306</v>
      </c>
      <c r="W1036" s="202" t="s">
        <v>39</v>
      </c>
      <c r="X1036" s="201" t="s">
        <v>4201</v>
      </c>
      <c r="Y1036" s="201" t="s">
        <v>185</v>
      </c>
      <c r="Z1036"/>
      <c r="AA1036" s="62"/>
      <c r="AB1036" s="44"/>
      <c r="AC1036" s="63"/>
      <c r="AD1036" s="46"/>
      <c r="AE1036"/>
      <c r="AF1036" s="39" t="s">
        <v>4202</v>
      </c>
      <c r="AG1036" s="49"/>
      <c r="AH1036" s="49"/>
      <c r="AI1036" s="49"/>
      <c r="AJ1036"/>
    </row>
    <row r="1037" spans="1:36" ht="19.5" customHeight="1">
      <c r="A1037" s="25">
        <f>A1036+1</f>
        <v>1029</v>
      </c>
      <c r="B1037" s="393" t="s">
        <v>141</v>
      </c>
      <c r="C1037" s="31" t="s">
        <v>141</v>
      </c>
      <c r="D1037" s="330" t="s">
        <v>141</v>
      </c>
      <c r="E1037" s="288" t="s">
        <v>141</v>
      </c>
      <c r="F1037" s="30" t="s">
        <v>4203</v>
      </c>
      <c r="G1037" s="27">
        <v>46170</v>
      </c>
      <c r="H1037" s="283" t="s">
        <v>141</v>
      </c>
      <c r="I1037" s="33">
        <v>2370</v>
      </c>
      <c r="J1037" s="34" t="s">
        <v>3421</v>
      </c>
      <c r="K1037" t="s">
        <v>139</v>
      </c>
      <c r="L1037" s="35">
        <v>80005461</v>
      </c>
      <c r="M1037" s="36" t="s">
        <v>4204</v>
      </c>
      <c r="N1037" s="43" t="s">
        <v>1404</v>
      </c>
      <c r="O1037" t="s">
        <v>4192</v>
      </c>
      <c r="P1037" t="s">
        <v>4193</v>
      </c>
      <c r="Q1037" t="s">
        <v>1833</v>
      </c>
      <c r="R1037" s="332">
        <v>46204</v>
      </c>
      <c r="S1037" s="333">
        <v>47514</v>
      </c>
      <c r="T1037" s="50" t="s">
        <v>141</v>
      </c>
      <c r="U1037" s="47" t="s">
        <v>141</v>
      </c>
      <c r="V1037" s="40" t="s">
        <v>1374</v>
      </c>
      <c r="W1037" s="41" t="s">
        <v>39</v>
      </c>
      <c r="X1037" s="40" t="s">
        <v>4195</v>
      </c>
      <c r="Y1037" s="40" t="s">
        <v>185</v>
      </c>
      <c r="AA1037" s="62">
        <v>90007823</v>
      </c>
      <c r="AB1037" s="44">
        <v>46198</v>
      </c>
      <c r="AC1037" s="63">
        <v>60017895</v>
      </c>
      <c r="AD1037" s="46">
        <v>46198</v>
      </c>
    </row>
    <row r="1038" spans="1:36" ht="19.5" customHeight="1">
      <c r="A1038" s="25">
        <f>A1037+1</f>
        <v>1030</v>
      </c>
      <c r="B1038" s="26">
        <v>6296336</v>
      </c>
      <c r="C1038" s="27">
        <v>46170</v>
      </c>
      <c r="D1038" s="330" t="s">
        <v>141</v>
      </c>
      <c r="E1038" s="29">
        <v>1024.3599999999999</v>
      </c>
      <c r="F1038" s="30" t="s">
        <v>4205</v>
      </c>
      <c r="G1038" s="27">
        <v>46175</v>
      </c>
      <c r="H1038" s="283" t="s">
        <v>141</v>
      </c>
      <c r="I1038" s="29">
        <v>1024.3599999999999</v>
      </c>
      <c r="J1038" s="34" t="s">
        <v>159</v>
      </c>
      <c r="K1038" t="s">
        <v>398</v>
      </c>
      <c r="L1038" s="35" t="s">
        <v>4206</v>
      </c>
      <c r="M1038" s="36" t="s">
        <v>4207</v>
      </c>
      <c r="N1038" s="43" t="s">
        <v>4208</v>
      </c>
      <c r="O1038" t="s">
        <v>4209</v>
      </c>
      <c r="P1038" t="s">
        <v>4210</v>
      </c>
      <c r="Q1038" t="s">
        <v>2355</v>
      </c>
      <c r="R1038" s="332">
        <v>46194</v>
      </c>
      <c r="S1038" s="333">
        <v>46446</v>
      </c>
      <c r="T1038" s="38" t="s">
        <v>141</v>
      </c>
      <c r="U1038" s="39" t="s">
        <v>141</v>
      </c>
      <c r="V1038" s="40" t="s">
        <v>1306</v>
      </c>
      <c r="W1038" s="41" t="s">
        <v>39</v>
      </c>
      <c r="X1038" s="40">
        <v>22551000</v>
      </c>
      <c r="Y1038" s="40" t="s">
        <v>56</v>
      </c>
      <c r="AA1038" s="62" t="s">
        <v>4211</v>
      </c>
      <c r="AB1038" s="44">
        <v>46178</v>
      </c>
      <c r="AC1038" s="63" t="s">
        <v>4212</v>
      </c>
      <c r="AD1038" s="46">
        <v>46178</v>
      </c>
      <c r="AE1038">
        <v>3212550</v>
      </c>
      <c r="AF1038" s="39">
        <v>46206</v>
      </c>
    </row>
    <row r="1039" spans="1:36" s="40" customFormat="1" ht="19.5" customHeight="1" thickBot="1">
      <c r="A1039" s="25">
        <f>A1038+1</f>
        <v>1031</v>
      </c>
      <c r="B1039" s="26">
        <v>6296417</v>
      </c>
      <c r="C1039" s="27">
        <v>46170</v>
      </c>
      <c r="D1039" s="330" t="s">
        <v>141</v>
      </c>
      <c r="E1039" s="29">
        <v>2200</v>
      </c>
      <c r="F1039" s="30" t="s">
        <v>4213</v>
      </c>
      <c r="G1039" s="27">
        <v>46174</v>
      </c>
      <c r="H1039" s="330" t="s">
        <v>141</v>
      </c>
      <c r="I1039" s="29">
        <v>2200</v>
      </c>
      <c r="J1039" s="34" t="s">
        <v>33</v>
      </c>
      <c r="K1039" s="40" t="s">
        <v>293</v>
      </c>
      <c r="L1039" s="35" t="s">
        <v>4214</v>
      </c>
      <c r="M1039" s="36" t="s">
        <v>3108</v>
      </c>
      <c r="N1039" s="37" t="s">
        <v>2010</v>
      </c>
      <c r="O1039" s="40" t="s">
        <v>4215</v>
      </c>
      <c r="P1039" s="40" t="s">
        <v>4216</v>
      </c>
      <c r="Q1039" s="40" t="s">
        <v>4217</v>
      </c>
      <c r="R1039" s="332">
        <v>46169</v>
      </c>
      <c r="S1039" s="333">
        <v>46533</v>
      </c>
      <c r="T1039" s="38">
        <v>46169</v>
      </c>
      <c r="U1039" s="39">
        <v>46533</v>
      </c>
      <c r="V1039" s="40" t="s">
        <v>1333</v>
      </c>
      <c r="W1039" s="41" t="s">
        <v>39</v>
      </c>
      <c r="X1039" s="40" t="s">
        <v>4218</v>
      </c>
      <c r="Y1039" s="40" t="s">
        <v>56</v>
      </c>
      <c r="AA1039" s="62" t="s">
        <v>4219</v>
      </c>
      <c r="AB1039" s="44">
        <v>46176</v>
      </c>
      <c r="AC1039" s="63" t="s">
        <v>4220</v>
      </c>
      <c r="AD1039" s="46">
        <v>46176</v>
      </c>
      <c r="AE1039" s="325">
        <v>3216954</v>
      </c>
      <c r="AF1039" s="39">
        <v>46239</v>
      </c>
      <c r="AG1039" s="49"/>
      <c r="AH1039" s="49"/>
      <c r="AI1039" s="49"/>
    </row>
    <row r="1040" spans="1:36" s="40" customFormat="1" ht="19.5" customHeight="1">
      <c r="A1040" s="25">
        <f>A1039+1</f>
        <v>1032</v>
      </c>
      <c r="B1040" s="135">
        <v>6296672</v>
      </c>
      <c r="C1040" s="136">
        <v>46171</v>
      </c>
      <c r="D1040" s="362" t="s">
        <v>141</v>
      </c>
      <c r="E1040" s="177">
        <v>22320</v>
      </c>
      <c r="F1040" s="139" t="s">
        <v>4221</v>
      </c>
      <c r="G1040" s="136">
        <v>46175</v>
      </c>
      <c r="H1040" s="362" t="s">
        <v>141</v>
      </c>
      <c r="I1040" s="138">
        <f>3000+6440</f>
        <v>9440</v>
      </c>
      <c r="J1040" s="140" t="s">
        <v>33</v>
      </c>
      <c r="K1040" s="147" t="s">
        <v>193</v>
      </c>
      <c r="L1040" s="142" t="s">
        <v>4222</v>
      </c>
      <c r="M1040" s="143" t="s">
        <v>4223</v>
      </c>
      <c r="N1040" s="144"/>
      <c r="O1040" s="147"/>
      <c r="P1040" s="147"/>
      <c r="Q1040" s="147"/>
      <c r="R1040" s="363"/>
      <c r="S1040" s="364"/>
      <c r="T1040" s="145"/>
      <c r="U1040" s="146"/>
      <c r="V1040" s="147"/>
      <c r="W1040" s="148" t="s">
        <v>39</v>
      </c>
      <c r="X1040" s="147"/>
      <c r="Y1040" s="147"/>
      <c r="Z1040" s="147"/>
      <c r="AA1040" s="150" t="s">
        <v>4224</v>
      </c>
      <c r="AB1040" s="151">
        <v>46212</v>
      </c>
      <c r="AC1040" s="152" t="s">
        <v>4225</v>
      </c>
      <c r="AD1040" s="153">
        <v>46210</v>
      </c>
      <c r="AE1040" s="147"/>
      <c r="AF1040" s="146"/>
      <c r="AG1040" s="49"/>
      <c r="AH1040" s="49"/>
      <c r="AI1040" s="49"/>
    </row>
    <row r="1041" spans="1:36" s="40" customFormat="1" ht="19.5" customHeight="1" thickBot="1">
      <c r="A1041" s="25"/>
      <c r="B1041" s="155">
        <v>6296672</v>
      </c>
      <c r="C1041" s="156"/>
      <c r="D1041" s="365"/>
      <c r="E1041" s="158"/>
      <c r="F1041" s="159" t="s">
        <v>4221</v>
      </c>
      <c r="G1041" s="156"/>
      <c r="H1041" s="365"/>
      <c r="I1041" s="394">
        <f>22320-9440</f>
        <v>12880</v>
      </c>
      <c r="J1041" s="160" t="s">
        <v>33</v>
      </c>
      <c r="K1041" s="167" t="s">
        <v>193</v>
      </c>
      <c r="L1041" s="162"/>
      <c r="M1041" s="163" t="s">
        <v>4226</v>
      </c>
      <c r="N1041" s="164"/>
      <c r="O1041" s="167"/>
      <c r="P1041" s="167"/>
      <c r="Q1041" s="167"/>
      <c r="R1041" s="366"/>
      <c r="S1041" s="367"/>
      <c r="T1041" s="165"/>
      <c r="U1041" s="166"/>
      <c r="V1041" s="167"/>
      <c r="W1041" s="168" t="s">
        <v>39</v>
      </c>
      <c r="X1041" s="167"/>
      <c r="Y1041" s="167"/>
      <c r="Z1041" s="167"/>
      <c r="AA1041" s="170" t="s">
        <v>4227</v>
      </c>
      <c r="AB1041" s="171">
        <v>46217</v>
      </c>
      <c r="AC1041" s="172" t="s">
        <v>4228</v>
      </c>
      <c r="AD1041" s="173">
        <v>46212</v>
      </c>
      <c r="AE1041" s="167"/>
      <c r="AF1041" s="166"/>
      <c r="AG1041" s="49"/>
      <c r="AH1041" s="49"/>
      <c r="AI1041" s="49"/>
    </row>
    <row r="1042" spans="1:36" s="40" customFormat="1" ht="19.5" customHeight="1" thickBot="1">
      <c r="A1042" s="25">
        <f>A1040+1</f>
        <v>1033</v>
      </c>
      <c r="B1042" s="26">
        <v>6296685</v>
      </c>
      <c r="C1042" s="27">
        <v>46171</v>
      </c>
      <c r="D1042" s="80" t="s">
        <v>141</v>
      </c>
      <c r="E1042" s="29">
        <v>61000</v>
      </c>
      <c r="F1042" s="30" t="s">
        <v>4229</v>
      </c>
      <c r="G1042" s="27">
        <v>46177</v>
      </c>
      <c r="H1042" s="80" t="s">
        <v>141</v>
      </c>
      <c r="I1042" s="29">
        <v>61000</v>
      </c>
      <c r="J1042" s="34" t="s">
        <v>33</v>
      </c>
      <c r="K1042" t="s">
        <v>733</v>
      </c>
      <c r="L1042" s="35" t="s">
        <v>4230</v>
      </c>
      <c r="M1042" s="36" t="s">
        <v>4231</v>
      </c>
      <c r="N1042" s="37"/>
      <c r="O1042"/>
      <c r="P1042"/>
      <c r="Q1042"/>
      <c r="R1042" s="332"/>
      <c r="S1042" s="333"/>
      <c r="T1042" s="332"/>
      <c r="U1042" s="333"/>
      <c r="W1042" s="41" t="s">
        <v>39</v>
      </c>
      <c r="Z1042"/>
      <c r="AA1042" s="62" t="s">
        <v>4232</v>
      </c>
      <c r="AB1042" s="44">
        <v>46212</v>
      </c>
      <c r="AC1042" s="62" t="s">
        <v>4233</v>
      </c>
      <c r="AD1042" s="46">
        <v>46212</v>
      </c>
      <c r="AE1042"/>
      <c r="AF1042" s="39"/>
      <c r="AG1042" s="49"/>
      <c r="AH1042" s="49"/>
      <c r="AI1042" s="49"/>
      <c r="AJ1042"/>
    </row>
    <row r="1043" spans="1:36" s="40" customFormat="1" ht="19.5" customHeight="1">
      <c r="A1043" s="25">
        <f t="shared" si="16"/>
        <v>1034</v>
      </c>
      <c r="B1043" s="135">
        <v>6296724</v>
      </c>
      <c r="C1043" s="136">
        <v>46171</v>
      </c>
      <c r="D1043" s="362" t="s">
        <v>141</v>
      </c>
      <c r="E1043" s="177">
        <v>17500</v>
      </c>
      <c r="F1043" s="139" t="s">
        <v>4234</v>
      </c>
      <c r="G1043" s="136">
        <v>46175</v>
      </c>
      <c r="H1043" s="362" t="s">
        <v>141</v>
      </c>
      <c r="I1043" s="177">
        <f>17500-9700</f>
        <v>7800</v>
      </c>
      <c r="J1043" s="140" t="s">
        <v>33</v>
      </c>
      <c r="K1043" s="141" t="s">
        <v>139</v>
      </c>
      <c r="L1043" s="142" t="s">
        <v>4235</v>
      </c>
      <c r="M1043" s="143" t="s">
        <v>4236</v>
      </c>
      <c r="N1043" s="144" t="s">
        <v>2080</v>
      </c>
      <c r="O1043" s="141" t="s">
        <v>4171</v>
      </c>
      <c r="P1043" s="141" t="s">
        <v>4172</v>
      </c>
      <c r="Q1043" s="141" t="s">
        <v>4179</v>
      </c>
      <c r="R1043" s="363">
        <v>46184</v>
      </c>
      <c r="S1043" s="364">
        <v>48011</v>
      </c>
      <c r="T1043" s="180" t="s">
        <v>141</v>
      </c>
      <c r="U1043" s="154" t="s">
        <v>141</v>
      </c>
      <c r="V1043" s="147" t="s">
        <v>113</v>
      </c>
      <c r="W1043" s="148" t="s">
        <v>39</v>
      </c>
      <c r="X1043" s="147" t="s">
        <v>4174</v>
      </c>
      <c r="Y1043" s="147" t="s">
        <v>56</v>
      </c>
      <c r="Z1043" s="141"/>
      <c r="AA1043" s="150" t="s">
        <v>4237</v>
      </c>
      <c r="AB1043" s="151">
        <v>46200</v>
      </c>
      <c r="AC1043" s="152">
        <v>60017960</v>
      </c>
      <c r="AD1043" s="153">
        <v>46200</v>
      </c>
      <c r="AE1043" s="141">
        <v>3217618</v>
      </c>
      <c r="AF1043" s="146">
        <v>46245</v>
      </c>
      <c r="AG1043" s="49"/>
      <c r="AH1043" s="49"/>
      <c r="AI1043" s="49"/>
      <c r="AJ1043"/>
    </row>
    <row r="1044" spans="1:36" s="40" customFormat="1" ht="19.5" customHeight="1" thickBot="1">
      <c r="A1044" s="25">
        <f t="shared" si="16"/>
        <v>1035</v>
      </c>
      <c r="B1044" s="155">
        <v>6296724</v>
      </c>
      <c r="C1044" s="156">
        <v>46171</v>
      </c>
      <c r="D1044" s="365" t="s">
        <v>141</v>
      </c>
      <c r="E1044" s="158"/>
      <c r="F1044" s="159" t="s">
        <v>4234</v>
      </c>
      <c r="G1044" s="156">
        <v>46175</v>
      </c>
      <c r="H1044" s="365" t="s">
        <v>141</v>
      </c>
      <c r="I1044" s="158">
        <f>17500-7800</f>
        <v>9700</v>
      </c>
      <c r="J1044" s="160" t="s">
        <v>33</v>
      </c>
      <c r="K1044" s="161" t="s">
        <v>139</v>
      </c>
      <c r="L1044" s="162" t="s">
        <v>4235</v>
      </c>
      <c r="M1044" s="163" t="s">
        <v>4236</v>
      </c>
      <c r="N1044" s="164" t="s">
        <v>2080</v>
      </c>
      <c r="O1044" s="161" t="s">
        <v>4171</v>
      </c>
      <c r="P1044" s="161" t="s">
        <v>4172</v>
      </c>
      <c r="Q1044" s="161" t="s">
        <v>4179</v>
      </c>
      <c r="R1044" s="366">
        <v>46184</v>
      </c>
      <c r="S1044" s="367">
        <v>48011</v>
      </c>
      <c r="T1044" s="213" t="s">
        <v>141</v>
      </c>
      <c r="U1044" s="174" t="s">
        <v>141</v>
      </c>
      <c r="V1044" s="167" t="s">
        <v>113</v>
      </c>
      <c r="W1044" s="168" t="s">
        <v>39</v>
      </c>
      <c r="X1044" s="167" t="s">
        <v>4174</v>
      </c>
      <c r="Y1044" s="167" t="s">
        <v>56</v>
      </c>
      <c r="Z1044" s="161"/>
      <c r="AA1044" s="170"/>
      <c r="AB1044" s="171"/>
      <c r="AC1044" s="172">
        <v>60017961</v>
      </c>
      <c r="AD1044" s="173">
        <v>46200</v>
      </c>
      <c r="AE1044" s="161">
        <v>3218187</v>
      </c>
      <c r="AF1044" s="166">
        <v>46251</v>
      </c>
      <c r="AG1044" s="49"/>
      <c r="AH1044" s="49"/>
      <c r="AI1044" s="49"/>
      <c r="AJ1044"/>
    </row>
    <row r="1045" spans="1:36" s="40" customFormat="1" ht="19.5" customHeight="1">
      <c r="A1045" s="25">
        <f>A1043+1</f>
        <v>1035</v>
      </c>
      <c r="B1045" s="26">
        <v>6297373</v>
      </c>
      <c r="C1045" s="27">
        <v>46174</v>
      </c>
      <c r="D1045" s="28">
        <v>2785.74</v>
      </c>
      <c r="E1045" s="29">
        <v>21824.880000000001</v>
      </c>
      <c r="F1045" s="30" t="s">
        <v>4238</v>
      </c>
      <c r="G1045" s="27">
        <v>46175</v>
      </c>
      <c r="H1045" s="68">
        <v>2785.74</v>
      </c>
      <c r="I1045" s="29">
        <v>21824.880000000001</v>
      </c>
      <c r="J1045" s="34" t="s">
        <v>33</v>
      </c>
      <c r="K1045" t="s">
        <v>34</v>
      </c>
      <c r="L1045" s="35">
        <v>372284984</v>
      </c>
      <c r="M1045" s="36" t="s">
        <v>2129</v>
      </c>
      <c r="N1045" s="37" t="s">
        <v>1346</v>
      </c>
      <c r="O1045" t="s">
        <v>4239</v>
      </c>
      <c r="P1045" t="s">
        <v>4240</v>
      </c>
      <c r="Q1045" t="s">
        <v>4241</v>
      </c>
      <c r="R1045" s="332">
        <v>46196</v>
      </c>
      <c r="S1045" s="333">
        <v>47291</v>
      </c>
      <c r="T1045" s="332">
        <v>46210</v>
      </c>
      <c r="U1045" s="333">
        <v>47305</v>
      </c>
      <c r="V1045" s="40" t="s">
        <v>590</v>
      </c>
      <c r="W1045" s="41" t="s">
        <v>3151</v>
      </c>
      <c r="X1045" s="342" t="s">
        <v>4242</v>
      </c>
      <c r="Y1045" s="40" t="s">
        <v>56</v>
      </c>
      <c r="Z1045"/>
      <c r="AA1045" s="62"/>
      <c r="AB1045" s="44"/>
      <c r="AC1045" s="63">
        <v>10000451888</v>
      </c>
      <c r="AD1045" s="46">
        <v>46176</v>
      </c>
      <c r="AE1045">
        <v>3211989</v>
      </c>
      <c r="AF1045" s="39">
        <v>46202</v>
      </c>
      <c r="AG1045" s="49"/>
      <c r="AH1045" s="49"/>
      <c r="AI1045" s="49"/>
      <c r="AJ1045"/>
    </row>
    <row r="1046" spans="1:36" s="40" customFormat="1" ht="19.5" customHeight="1">
      <c r="A1046" s="25">
        <f t="shared" si="16"/>
        <v>1036</v>
      </c>
      <c r="B1046" s="26">
        <v>6297396</v>
      </c>
      <c r="C1046" s="27">
        <v>46174</v>
      </c>
      <c r="D1046" s="80" t="s">
        <v>141</v>
      </c>
      <c r="E1046" s="29">
        <v>9770</v>
      </c>
      <c r="F1046" s="30" t="s">
        <v>4243</v>
      </c>
      <c r="G1046" s="27">
        <v>46178</v>
      </c>
      <c r="H1046" s="80" t="s">
        <v>141</v>
      </c>
      <c r="I1046" s="29">
        <v>9770</v>
      </c>
      <c r="J1046" s="34" t="s">
        <v>33</v>
      </c>
      <c r="K1046" t="s">
        <v>139</v>
      </c>
      <c r="L1046" s="35" t="s">
        <v>4244</v>
      </c>
      <c r="M1046" s="36" t="s">
        <v>4245</v>
      </c>
      <c r="N1046" s="37" t="s">
        <v>1404</v>
      </c>
      <c r="O1046" t="s">
        <v>4239</v>
      </c>
      <c r="P1046" t="s">
        <v>4240</v>
      </c>
      <c r="Q1046" t="s">
        <v>4241</v>
      </c>
      <c r="R1046" s="332">
        <v>46196</v>
      </c>
      <c r="S1046" s="333">
        <v>47291</v>
      </c>
      <c r="T1046" s="50" t="s">
        <v>141</v>
      </c>
      <c r="U1046" s="47" t="s">
        <v>141</v>
      </c>
      <c r="V1046" s="40" t="s">
        <v>590</v>
      </c>
      <c r="W1046" s="41" t="s">
        <v>39</v>
      </c>
      <c r="X1046" s="40" t="s">
        <v>4242</v>
      </c>
      <c r="Y1046" s="40" t="s">
        <v>185</v>
      </c>
      <c r="Z1046"/>
      <c r="AA1046" s="62">
        <v>90007958</v>
      </c>
      <c r="AB1046" s="44">
        <v>46226</v>
      </c>
      <c r="AC1046" s="63">
        <v>60018084</v>
      </c>
      <c r="AD1046" s="46">
        <v>46226</v>
      </c>
      <c r="AE1046">
        <v>3221051</v>
      </c>
      <c r="AF1046" s="39">
        <v>46275</v>
      </c>
      <c r="AG1046" s="49"/>
      <c r="AH1046" s="49"/>
      <c r="AI1046" s="49"/>
      <c r="AJ1046"/>
    </row>
    <row r="1047" spans="1:36" s="40" customFormat="1" ht="19.5" customHeight="1">
      <c r="A1047" s="25">
        <f t="shared" si="16"/>
        <v>1037</v>
      </c>
      <c r="B1047" s="26">
        <v>6297597</v>
      </c>
      <c r="C1047" s="27">
        <v>46175</v>
      </c>
      <c r="D1047" s="28">
        <v>5311</v>
      </c>
      <c r="E1047" s="29">
        <v>41609.03</v>
      </c>
      <c r="F1047" s="30" t="s">
        <v>4246</v>
      </c>
      <c r="G1047" s="27">
        <v>46175</v>
      </c>
      <c r="H1047" s="32">
        <v>5311</v>
      </c>
      <c r="I1047" s="33">
        <v>41609.03</v>
      </c>
      <c r="J1047" s="34" t="s">
        <v>33</v>
      </c>
      <c r="K1047" t="s">
        <v>206</v>
      </c>
      <c r="L1047" s="35" t="s">
        <v>4247</v>
      </c>
      <c r="M1047" s="36" t="s">
        <v>4248</v>
      </c>
      <c r="N1047" s="37" t="s">
        <v>1330</v>
      </c>
      <c r="O1047" t="s">
        <v>4249</v>
      </c>
      <c r="P1047" t="s">
        <v>4250</v>
      </c>
      <c r="Q1047" t="s">
        <v>4251</v>
      </c>
      <c r="R1047" s="332">
        <v>46186</v>
      </c>
      <c r="S1047" s="333">
        <v>46550</v>
      </c>
      <c r="T1047" s="332">
        <v>46186</v>
      </c>
      <c r="U1047" s="333">
        <v>46550</v>
      </c>
      <c r="V1047" s="40" t="s">
        <v>1333</v>
      </c>
      <c r="W1047" s="41" t="s">
        <v>39</v>
      </c>
      <c r="X1047" s="40" t="s">
        <v>4252</v>
      </c>
      <c r="Y1047" s="40" t="s">
        <v>56</v>
      </c>
      <c r="Z1047"/>
      <c r="AA1047" s="62" t="s">
        <v>4253</v>
      </c>
      <c r="AB1047" s="44">
        <v>46184</v>
      </c>
      <c r="AC1047" s="63" t="s">
        <v>4254</v>
      </c>
      <c r="AD1047" s="46">
        <v>46184</v>
      </c>
      <c r="AE1047">
        <v>3219250</v>
      </c>
      <c r="AF1047" s="39">
        <v>46259</v>
      </c>
      <c r="AG1047" s="49"/>
      <c r="AH1047" s="49"/>
      <c r="AI1047" s="49"/>
      <c r="AJ1047"/>
    </row>
    <row r="1048" spans="1:36" s="40" customFormat="1" ht="19.5" customHeight="1">
      <c r="A1048" s="25">
        <f t="shared" ref="A1048:A1111" si="18">A1047+1</f>
        <v>1038</v>
      </c>
      <c r="B1048" s="26">
        <v>6297896</v>
      </c>
      <c r="C1048" s="27">
        <v>46175</v>
      </c>
      <c r="D1048" s="80" t="s">
        <v>141</v>
      </c>
      <c r="E1048" s="29">
        <v>690368.36</v>
      </c>
      <c r="F1048" s="30" t="s">
        <v>4255</v>
      </c>
      <c r="G1048" s="27">
        <v>46177</v>
      </c>
      <c r="H1048" s="80" t="s">
        <v>141</v>
      </c>
      <c r="I1048" s="29">
        <v>690368.36</v>
      </c>
      <c r="J1048" s="34" t="s">
        <v>159</v>
      </c>
      <c r="K1048" t="s">
        <v>160</v>
      </c>
      <c r="L1048" s="35" t="s">
        <v>4256</v>
      </c>
      <c r="M1048" s="36" t="s">
        <v>4257</v>
      </c>
      <c r="N1048" s="37" t="s">
        <v>1651</v>
      </c>
      <c r="O1048" t="s">
        <v>4258</v>
      </c>
      <c r="P1048" t="s">
        <v>4259</v>
      </c>
      <c r="Q1048" t="s">
        <v>2491</v>
      </c>
      <c r="R1048" s="332">
        <v>46174</v>
      </c>
      <c r="S1048" s="333">
        <v>46387</v>
      </c>
      <c r="T1048" s="50" t="s">
        <v>141</v>
      </c>
      <c r="U1048" s="47" t="s">
        <v>141</v>
      </c>
      <c r="V1048" s="40" t="s">
        <v>521</v>
      </c>
      <c r="W1048" s="41" t="s">
        <v>39</v>
      </c>
      <c r="X1048" s="40" t="s">
        <v>4260</v>
      </c>
      <c r="Y1048" s="40" t="s">
        <v>56</v>
      </c>
      <c r="Z1048"/>
      <c r="AA1048" s="62"/>
      <c r="AB1048" s="44"/>
      <c r="AC1048" s="63" t="s">
        <v>4261</v>
      </c>
      <c r="AD1048" s="46">
        <v>46198</v>
      </c>
      <c r="AE1048">
        <v>3213017</v>
      </c>
      <c r="AF1048" s="39">
        <v>46210</v>
      </c>
      <c r="AG1048" s="49"/>
      <c r="AH1048" s="49"/>
      <c r="AI1048" s="49"/>
      <c r="AJ1048"/>
    </row>
    <row r="1049" spans="1:36" s="40" customFormat="1" ht="19.5" customHeight="1">
      <c r="A1049" s="25">
        <f t="shared" si="18"/>
        <v>1039</v>
      </c>
      <c r="B1049" s="26">
        <v>6298056</v>
      </c>
      <c r="C1049" s="27">
        <v>46176</v>
      </c>
      <c r="D1049" s="80" t="s">
        <v>141</v>
      </c>
      <c r="E1049" s="29">
        <v>546.02</v>
      </c>
      <c r="F1049" s="30" t="s">
        <v>4262</v>
      </c>
      <c r="G1049" s="27">
        <v>46177</v>
      </c>
      <c r="H1049" s="80" t="s">
        <v>141</v>
      </c>
      <c r="I1049" s="33">
        <v>546.02</v>
      </c>
      <c r="J1049" s="34" t="s">
        <v>159</v>
      </c>
      <c r="K1049" t="s">
        <v>160</v>
      </c>
      <c r="L1049" s="35" t="s">
        <v>4263</v>
      </c>
      <c r="M1049" s="36" t="s">
        <v>4264</v>
      </c>
      <c r="N1049" s="37" t="s">
        <v>1651</v>
      </c>
      <c r="O1049" t="s">
        <v>4265</v>
      </c>
      <c r="P1049" s="342" t="s">
        <v>4266</v>
      </c>
      <c r="Q1049" t="s">
        <v>4267</v>
      </c>
      <c r="R1049" s="332">
        <v>46192</v>
      </c>
      <c r="S1049" s="333">
        <v>46556</v>
      </c>
      <c r="T1049" s="50" t="s">
        <v>141</v>
      </c>
      <c r="U1049" s="47" t="s">
        <v>141</v>
      </c>
      <c r="V1049" s="40" t="s">
        <v>51</v>
      </c>
      <c r="W1049" s="41" t="s">
        <v>39</v>
      </c>
      <c r="X1049" s="40" t="s">
        <v>4268</v>
      </c>
      <c r="Y1049" s="40" t="s">
        <v>185</v>
      </c>
      <c r="Z1049"/>
      <c r="AA1049" s="62"/>
      <c r="AB1049" s="44"/>
      <c r="AC1049" s="63" t="s">
        <v>4269</v>
      </c>
      <c r="AD1049" s="46">
        <v>46185</v>
      </c>
      <c r="AE1049">
        <v>3212499</v>
      </c>
      <c r="AF1049" s="39">
        <v>46206</v>
      </c>
      <c r="AG1049" s="49"/>
      <c r="AH1049" s="49"/>
      <c r="AI1049" s="49"/>
      <c r="AJ1049"/>
    </row>
    <row r="1050" spans="1:36" s="40" customFormat="1" ht="19.5" customHeight="1">
      <c r="A1050" s="25">
        <f t="shared" si="18"/>
        <v>1040</v>
      </c>
      <c r="B1050" s="26">
        <v>6283432</v>
      </c>
      <c r="C1050" s="27">
        <v>46176</v>
      </c>
      <c r="D1050" s="28">
        <v>14909.53</v>
      </c>
      <c r="E1050" s="29">
        <v>116702.86</v>
      </c>
      <c r="F1050" s="30" t="s">
        <v>4270</v>
      </c>
      <c r="G1050" s="27">
        <v>46182</v>
      </c>
      <c r="H1050" s="32">
        <v>14828.57</v>
      </c>
      <c r="I1050" s="33">
        <f>E1050/D1050*H1050</f>
        <v>116069.15366951204</v>
      </c>
      <c r="J1050" s="34" t="s">
        <v>33</v>
      </c>
      <c r="K1050" t="s">
        <v>34</v>
      </c>
      <c r="L1050" s="35">
        <v>352288782</v>
      </c>
      <c r="M1050" s="388" t="s">
        <v>2359</v>
      </c>
      <c r="N1050" s="37" t="s">
        <v>1684</v>
      </c>
      <c r="O1050" t="s">
        <v>3811</v>
      </c>
      <c r="P1050" t="s">
        <v>3812</v>
      </c>
      <c r="Q1050" t="s">
        <v>3813</v>
      </c>
      <c r="R1050" s="332">
        <v>46113</v>
      </c>
      <c r="S1050" s="333">
        <v>46659</v>
      </c>
      <c r="T1050" s="332">
        <v>46204</v>
      </c>
      <c r="U1050" s="333">
        <v>46477</v>
      </c>
      <c r="V1050" s="40" t="s">
        <v>2207</v>
      </c>
      <c r="W1050" s="41" t="s">
        <v>3151</v>
      </c>
      <c r="X1050" s="40" t="s">
        <v>3815</v>
      </c>
      <c r="Y1050" s="40" t="s">
        <v>185</v>
      </c>
      <c r="Z1050"/>
      <c r="AA1050" s="62"/>
      <c r="AB1050" s="44"/>
      <c r="AC1050" s="63">
        <v>10000492193</v>
      </c>
      <c r="AD1050" s="46">
        <v>46190</v>
      </c>
      <c r="AE1050"/>
      <c r="AF1050" s="39"/>
      <c r="AG1050" s="49"/>
      <c r="AH1050" s="49"/>
      <c r="AI1050" s="49"/>
      <c r="AJ1050"/>
    </row>
    <row r="1051" spans="1:36" s="40" customFormat="1" ht="19.5" customHeight="1">
      <c r="A1051" s="25">
        <f t="shared" si="18"/>
        <v>1041</v>
      </c>
      <c r="B1051" s="26">
        <v>6282915</v>
      </c>
      <c r="C1051" s="27">
        <v>46176</v>
      </c>
      <c r="D1051" s="325">
        <v>16648.79</v>
      </c>
      <c r="E1051" s="29">
        <v>130434.95</v>
      </c>
      <c r="F1051" s="30" t="s">
        <v>4271</v>
      </c>
      <c r="G1051" s="27">
        <v>46182</v>
      </c>
      <c r="H1051" s="395">
        <v>16648.79</v>
      </c>
      <c r="I1051" s="29">
        <v>130434.95</v>
      </c>
      <c r="J1051" s="34" t="s">
        <v>33</v>
      </c>
      <c r="K1051" t="s">
        <v>34</v>
      </c>
      <c r="L1051" s="35">
        <v>342289762</v>
      </c>
      <c r="M1051" s="388" t="s">
        <v>4272</v>
      </c>
      <c r="N1051" s="37" t="s">
        <v>1346</v>
      </c>
      <c r="O1051" t="s">
        <v>3811</v>
      </c>
      <c r="P1051" t="s">
        <v>3812</v>
      </c>
      <c r="Q1051" t="s">
        <v>3813</v>
      </c>
      <c r="R1051" s="332">
        <v>46113</v>
      </c>
      <c r="S1051" s="333">
        <v>46659</v>
      </c>
      <c r="T1051" s="332">
        <v>46175</v>
      </c>
      <c r="U1051" s="333">
        <v>46477</v>
      </c>
      <c r="V1051" s="40" t="s">
        <v>2207</v>
      </c>
      <c r="W1051" s="41" t="s">
        <v>3151</v>
      </c>
      <c r="X1051" s="40" t="s">
        <v>3815</v>
      </c>
      <c r="Y1051" s="40" t="s">
        <v>185</v>
      </c>
      <c r="Z1051"/>
      <c r="AA1051" s="62"/>
      <c r="AB1051" s="44"/>
      <c r="AC1051" s="63">
        <v>10000492198</v>
      </c>
      <c r="AD1051" s="46">
        <v>46190</v>
      </c>
      <c r="AE1051">
        <v>3212090</v>
      </c>
      <c r="AF1051" s="39">
        <v>46203</v>
      </c>
      <c r="AG1051" s="49"/>
      <c r="AH1051" s="49"/>
      <c r="AI1051" s="49"/>
      <c r="AJ1051"/>
    </row>
    <row r="1052" spans="1:36" s="40" customFormat="1" ht="19.5" customHeight="1">
      <c r="A1052" s="25">
        <f t="shared" si="18"/>
        <v>1042</v>
      </c>
      <c r="B1052" s="291" t="s">
        <v>141</v>
      </c>
      <c r="C1052" s="31" t="s">
        <v>141</v>
      </c>
      <c r="D1052" s="80" t="s">
        <v>141</v>
      </c>
      <c r="E1052" s="288" t="s">
        <v>141</v>
      </c>
      <c r="F1052" s="30" t="s">
        <v>4273</v>
      </c>
      <c r="G1052" s="27">
        <v>46176</v>
      </c>
      <c r="H1052" s="80" t="s">
        <v>141</v>
      </c>
      <c r="I1052" s="33">
        <v>1040</v>
      </c>
      <c r="J1052" s="34" t="s">
        <v>3421</v>
      </c>
      <c r="K1052" t="s">
        <v>193</v>
      </c>
      <c r="L1052" s="35" t="s">
        <v>4274</v>
      </c>
      <c r="M1052" s="36" t="s">
        <v>4275</v>
      </c>
      <c r="N1052" s="37" t="s">
        <v>4276</v>
      </c>
      <c r="O1052" t="s">
        <v>4265</v>
      </c>
      <c r="P1052" t="s">
        <v>4266</v>
      </c>
      <c r="Q1052" t="s">
        <v>4267</v>
      </c>
      <c r="R1052" s="332">
        <v>46192</v>
      </c>
      <c r="S1052" s="333">
        <v>46556</v>
      </c>
      <c r="T1052" s="50" t="s">
        <v>141</v>
      </c>
      <c r="U1052" s="47" t="s">
        <v>141</v>
      </c>
      <c r="V1052" s="40" t="s">
        <v>51</v>
      </c>
      <c r="W1052" s="41" t="s">
        <v>39</v>
      </c>
      <c r="X1052" s="40" t="s">
        <v>4268</v>
      </c>
      <c r="Y1052" s="40" t="s">
        <v>185</v>
      </c>
      <c r="Z1052"/>
      <c r="AA1052" s="62" t="s">
        <v>4277</v>
      </c>
      <c r="AB1052" s="44">
        <v>46189</v>
      </c>
      <c r="AC1052" s="63" t="s">
        <v>4278</v>
      </c>
      <c r="AD1052" s="46">
        <v>46184</v>
      </c>
      <c r="AE1052"/>
      <c r="AF1052" s="39"/>
      <c r="AG1052" s="49"/>
      <c r="AH1052" s="49"/>
      <c r="AI1052" s="49"/>
      <c r="AJ1052"/>
    </row>
    <row r="1053" spans="1:36" s="40" customFormat="1" ht="19.5" customHeight="1">
      <c r="A1053" s="25">
        <f t="shared" si="18"/>
        <v>1043</v>
      </c>
      <c r="B1053" s="291" t="s">
        <v>141</v>
      </c>
      <c r="C1053" s="31" t="s">
        <v>141</v>
      </c>
      <c r="D1053" s="80" t="s">
        <v>141</v>
      </c>
      <c r="E1053" s="288" t="s">
        <v>141</v>
      </c>
      <c r="F1053" s="30" t="s">
        <v>4279</v>
      </c>
      <c r="G1053" s="27">
        <v>46176</v>
      </c>
      <c r="H1053" s="80" t="s">
        <v>141</v>
      </c>
      <c r="I1053" s="33">
        <v>1770</v>
      </c>
      <c r="J1053" s="34" t="s">
        <v>3421</v>
      </c>
      <c r="K1053" t="s">
        <v>139</v>
      </c>
      <c r="L1053" s="35">
        <v>80005471</v>
      </c>
      <c r="M1053" s="36" t="s">
        <v>4280</v>
      </c>
      <c r="N1053" s="37" t="s">
        <v>1749</v>
      </c>
      <c r="O1053" t="s">
        <v>4258</v>
      </c>
      <c r="P1053" t="s">
        <v>4281</v>
      </c>
      <c r="Q1053" t="s">
        <v>2491</v>
      </c>
      <c r="R1053" s="332">
        <v>46174</v>
      </c>
      <c r="S1053" s="333">
        <v>46387</v>
      </c>
      <c r="T1053" s="50" t="s">
        <v>141</v>
      </c>
      <c r="U1053" s="47" t="s">
        <v>141</v>
      </c>
      <c r="V1053" s="40" t="s">
        <v>521</v>
      </c>
      <c r="W1053" s="41" t="s">
        <v>39</v>
      </c>
      <c r="X1053" s="40" t="s">
        <v>4260</v>
      </c>
      <c r="Y1053" s="40" t="s">
        <v>185</v>
      </c>
      <c r="Z1053"/>
      <c r="AA1053" s="62">
        <v>90007958</v>
      </c>
      <c r="AB1053" s="44">
        <v>46226</v>
      </c>
      <c r="AC1053" s="63">
        <v>60018083</v>
      </c>
      <c r="AD1053" s="46">
        <v>46226</v>
      </c>
      <c r="AE1053">
        <v>3221050</v>
      </c>
      <c r="AF1053" s="39">
        <v>46270</v>
      </c>
      <c r="AG1053" s="49"/>
      <c r="AH1053" s="49"/>
      <c r="AI1053" s="49"/>
      <c r="AJ1053"/>
    </row>
    <row r="1054" spans="1:36" s="40" customFormat="1" ht="19.5" customHeight="1">
      <c r="A1054" s="25">
        <f t="shared" si="18"/>
        <v>1044</v>
      </c>
      <c r="B1054" s="26">
        <v>6298406</v>
      </c>
      <c r="C1054" s="27">
        <v>46176</v>
      </c>
      <c r="D1054" s="80" t="s">
        <v>141</v>
      </c>
      <c r="E1054" s="29">
        <v>3028.2</v>
      </c>
      <c r="F1054" s="30" t="s">
        <v>4282</v>
      </c>
      <c r="G1054" s="27">
        <v>46178</v>
      </c>
      <c r="H1054" s="80" t="s">
        <v>141</v>
      </c>
      <c r="I1054" s="29">
        <v>3028.2</v>
      </c>
      <c r="J1054" s="34" t="s">
        <v>159</v>
      </c>
      <c r="K1054" t="s">
        <v>160</v>
      </c>
      <c r="L1054" s="35" t="s">
        <v>4283</v>
      </c>
      <c r="M1054" s="36" t="s">
        <v>4284</v>
      </c>
      <c r="N1054" s="37" t="s">
        <v>1615</v>
      </c>
      <c r="O1054" t="s">
        <v>4285</v>
      </c>
      <c r="P1054" t="s">
        <v>4286</v>
      </c>
      <c r="Q1054" t="s">
        <v>2051</v>
      </c>
      <c r="R1054" s="332">
        <v>46178</v>
      </c>
      <c r="S1054" s="333">
        <v>46542</v>
      </c>
      <c r="T1054" s="332">
        <v>46455</v>
      </c>
      <c r="U1054" s="333">
        <v>46542</v>
      </c>
      <c r="V1054" s="40" t="s">
        <v>64</v>
      </c>
      <c r="W1054" s="41" t="s">
        <v>39</v>
      </c>
      <c r="X1054" s="40" t="s">
        <v>3305</v>
      </c>
      <c r="Y1054" s="40" t="s">
        <v>56</v>
      </c>
      <c r="Z1054"/>
      <c r="AA1054" s="62"/>
      <c r="AB1054" s="44"/>
      <c r="AC1054" s="63" t="s">
        <v>4287</v>
      </c>
      <c r="AD1054" s="46">
        <v>46189</v>
      </c>
      <c r="AE1054">
        <v>3213023</v>
      </c>
      <c r="AF1054" s="39">
        <v>46210</v>
      </c>
      <c r="AG1054" s="49"/>
      <c r="AH1054" s="49"/>
      <c r="AI1054" s="49"/>
      <c r="AJ1054"/>
    </row>
    <row r="1055" spans="1:36" s="40" customFormat="1" ht="19.5" customHeight="1">
      <c r="A1055" s="25">
        <f t="shared" si="18"/>
        <v>1045</v>
      </c>
      <c r="B1055" s="26">
        <v>6298771</v>
      </c>
      <c r="C1055" s="27">
        <v>46177</v>
      </c>
      <c r="D1055" s="289">
        <v>28950</v>
      </c>
      <c r="E1055" s="72">
        <v>226808.78</v>
      </c>
      <c r="F1055" s="30" t="s">
        <v>4288</v>
      </c>
      <c r="G1055" s="27">
        <v>46178</v>
      </c>
      <c r="H1055" s="289">
        <v>28950</v>
      </c>
      <c r="I1055" s="72">
        <v>226808.78</v>
      </c>
      <c r="J1055" s="34" t="s">
        <v>384</v>
      </c>
      <c r="K1055" t="s">
        <v>34</v>
      </c>
      <c r="L1055" s="35">
        <v>11001507115</v>
      </c>
      <c r="M1055" s="36" t="s">
        <v>4289</v>
      </c>
      <c r="N1055" s="75" t="s">
        <v>1346</v>
      </c>
      <c r="O1055" t="s">
        <v>4171</v>
      </c>
      <c r="P1055" t="s">
        <v>4172</v>
      </c>
      <c r="Q1055" t="s">
        <v>4290</v>
      </c>
      <c r="R1055" s="332">
        <v>46184</v>
      </c>
      <c r="S1055" s="333">
        <v>48011</v>
      </c>
      <c r="T1055" s="50" t="s">
        <v>141</v>
      </c>
      <c r="U1055" s="47" t="s">
        <v>141</v>
      </c>
      <c r="V1055" s="40" t="s">
        <v>113</v>
      </c>
      <c r="W1055" s="41" t="s">
        <v>3151</v>
      </c>
      <c r="X1055" s="40" t="s">
        <v>4174</v>
      </c>
      <c r="Y1055" s="40" t="s">
        <v>56</v>
      </c>
      <c r="Z1055"/>
      <c r="AA1055" s="62"/>
      <c r="AB1055" s="44"/>
      <c r="AC1055" s="63"/>
      <c r="AD1055" s="46"/>
      <c r="AE1055"/>
      <c r="AF1055" s="39"/>
      <c r="AG1055" s="49"/>
      <c r="AH1055" s="49"/>
      <c r="AI1055" s="49"/>
      <c r="AJ1055"/>
    </row>
    <row r="1056" spans="1:36" s="40" customFormat="1" ht="19.5" customHeight="1" thickBot="1">
      <c r="A1056" s="25">
        <f t="shared" si="18"/>
        <v>1046</v>
      </c>
      <c r="B1056" s="91">
        <v>6298762</v>
      </c>
      <c r="C1056" s="92">
        <v>46177</v>
      </c>
      <c r="D1056" s="194">
        <v>1297.75</v>
      </c>
      <c r="E1056" s="195">
        <v>10167.219999999999</v>
      </c>
      <c r="F1056" s="93" t="s">
        <v>4291</v>
      </c>
      <c r="G1056" s="92">
        <v>46178</v>
      </c>
      <c r="H1056" s="194">
        <v>1297.75</v>
      </c>
      <c r="I1056" s="195" t="s">
        <v>4292</v>
      </c>
      <c r="J1056" s="94" t="s">
        <v>33</v>
      </c>
      <c r="K1056" s="95" t="s">
        <v>34</v>
      </c>
      <c r="L1056" s="196">
        <v>402013873</v>
      </c>
      <c r="M1056" s="96" t="s">
        <v>4293</v>
      </c>
      <c r="N1056" s="197" t="s">
        <v>1346</v>
      </c>
      <c r="O1056" s="95" t="s">
        <v>4294</v>
      </c>
      <c r="P1056" s="95" t="s">
        <v>4295</v>
      </c>
      <c r="Q1056" s="95" t="s">
        <v>4296</v>
      </c>
      <c r="R1056" s="354">
        <v>46153</v>
      </c>
      <c r="S1056" s="355">
        <v>46517</v>
      </c>
      <c r="T1056" s="354">
        <v>46153</v>
      </c>
      <c r="U1056" s="355">
        <v>46517</v>
      </c>
      <c r="V1056" s="201" t="s">
        <v>590</v>
      </c>
      <c r="W1056" s="202" t="s">
        <v>3151</v>
      </c>
      <c r="X1056" s="201">
        <v>23111234</v>
      </c>
      <c r="Y1056" s="201" t="s">
        <v>56</v>
      </c>
      <c r="Z1056" s="95"/>
      <c r="AA1056" s="204" t="s">
        <v>4297</v>
      </c>
      <c r="AB1056" s="205"/>
      <c r="AC1056" s="206"/>
      <c r="AD1056" s="207"/>
      <c r="AE1056" s="95"/>
      <c r="AF1056" s="200" t="s">
        <v>4298</v>
      </c>
      <c r="AG1056" s="49"/>
      <c r="AH1056" s="49"/>
      <c r="AI1056" s="49"/>
      <c r="AJ1056"/>
    </row>
    <row r="1057" spans="1:36" s="40" customFormat="1" ht="19.5" customHeight="1">
      <c r="A1057">
        <f t="shared" si="18"/>
        <v>1047</v>
      </c>
      <c r="B1057" s="135">
        <v>6298763</v>
      </c>
      <c r="C1057" s="136">
        <v>46177</v>
      </c>
      <c r="D1057" s="176">
        <v>855.76</v>
      </c>
      <c r="E1057" s="177">
        <v>6704.45</v>
      </c>
      <c r="F1057" s="139" t="s">
        <v>4299</v>
      </c>
      <c r="G1057" s="136">
        <v>46178</v>
      </c>
      <c r="H1057" s="176">
        <f>855.76-437.32</f>
        <v>418.44</v>
      </c>
      <c r="I1057" s="177">
        <f>6704.45/855.76*H1057</f>
        <v>3278.2673389735437</v>
      </c>
      <c r="J1057" s="140" t="s">
        <v>33</v>
      </c>
      <c r="K1057" s="141" t="s">
        <v>34</v>
      </c>
      <c r="L1057" s="142">
        <v>222301089</v>
      </c>
      <c r="M1057" s="396" t="s">
        <v>3409</v>
      </c>
      <c r="N1057" s="144" t="s">
        <v>1346</v>
      </c>
      <c r="O1057" s="141" t="s">
        <v>4294</v>
      </c>
      <c r="P1057" s="141" t="s">
        <v>4295</v>
      </c>
      <c r="Q1057" s="141" t="s">
        <v>4296</v>
      </c>
      <c r="R1057" s="363">
        <v>46153</v>
      </c>
      <c r="S1057" s="364">
        <v>46517</v>
      </c>
      <c r="T1057" s="363">
        <v>46153</v>
      </c>
      <c r="U1057" s="364">
        <v>46517</v>
      </c>
      <c r="V1057" s="147" t="s">
        <v>590</v>
      </c>
      <c r="W1057" s="148" t="s">
        <v>3151</v>
      </c>
      <c r="X1057" s="147">
        <v>23111234</v>
      </c>
      <c r="Y1057" s="147" t="s">
        <v>56</v>
      </c>
      <c r="Z1057" s="141"/>
      <c r="AA1057" s="150"/>
      <c r="AB1057" s="151"/>
      <c r="AC1057" s="152">
        <v>10000475168</v>
      </c>
      <c r="AD1057" s="153">
        <v>46184</v>
      </c>
      <c r="AE1057" s="141">
        <v>3211961</v>
      </c>
      <c r="AF1057" s="146">
        <v>46202</v>
      </c>
      <c r="AG1057" s="49"/>
      <c r="AH1057" s="49"/>
      <c r="AI1057" s="49"/>
      <c r="AJ1057"/>
    </row>
    <row r="1058" spans="1:36" s="40" customFormat="1" ht="19.5" customHeight="1" thickBot="1">
      <c r="A1058"/>
      <c r="B1058" s="155">
        <v>6298763</v>
      </c>
      <c r="C1058" s="156"/>
      <c r="D1058" s="157"/>
      <c r="E1058" s="158"/>
      <c r="F1058" s="159" t="s">
        <v>4299</v>
      </c>
      <c r="G1058" s="156">
        <v>46178</v>
      </c>
      <c r="H1058" s="157">
        <f>855.76-418.44</f>
        <v>437.32</v>
      </c>
      <c r="I1058" s="158">
        <f>6704.45/855.76*H1058</f>
        <v>3426.1826610264561</v>
      </c>
      <c r="J1058" s="160" t="s">
        <v>33</v>
      </c>
      <c r="K1058" s="161" t="s">
        <v>34</v>
      </c>
      <c r="L1058" s="162"/>
      <c r="M1058" s="397" t="s">
        <v>3409</v>
      </c>
      <c r="N1058" s="164"/>
      <c r="O1058" s="161" t="s">
        <v>4294</v>
      </c>
      <c r="P1058" s="161" t="s">
        <v>4295</v>
      </c>
      <c r="Q1058" s="161"/>
      <c r="R1058" s="366"/>
      <c r="S1058" s="367"/>
      <c r="T1058" s="366"/>
      <c r="U1058" s="367"/>
      <c r="V1058" s="167"/>
      <c r="W1058" s="168"/>
      <c r="X1058" s="167"/>
      <c r="Y1058" s="167"/>
      <c r="Z1058" s="161"/>
      <c r="AA1058" s="170"/>
      <c r="AB1058" s="171"/>
      <c r="AC1058" s="172">
        <v>10000475182</v>
      </c>
      <c r="AD1058" s="173">
        <v>46184</v>
      </c>
      <c r="AE1058" s="161">
        <v>3211963</v>
      </c>
      <c r="AF1058" s="166">
        <v>46202</v>
      </c>
      <c r="AG1058" s="49"/>
      <c r="AH1058" s="49"/>
      <c r="AI1058" s="49"/>
      <c r="AJ1058"/>
    </row>
    <row r="1059" spans="1:36" s="40" customFormat="1" ht="19.5" customHeight="1">
      <c r="A1059" s="25">
        <f>A1057+1</f>
        <v>1048</v>
      </c>
      <c r="B1059" s="26">
        <v>6298765</v>
      </c>
      <c r="C1059" s="27">
        <v>46177</v>
      </c>
      <c r="D1059" s="28">
        <v>648.38</v>
      </c>
      <c r="E1059" s="29">
        <v>5079.7299999999996</v>
      </c>
      <c r="F1059" s="30" t="s">
        <v>4300</v>
      </c>
      <c r="G1059" s="27">
        <v>46184</v>
      </c>
      <c r="H1059" s="28">
        <v>648.38</v>
      </c>
      <c r="I1059" s="29">
        <v>5079.7299999999996</v>
      </c>
      <c r="J1059" s="34" t="s">
        <v>33</v>
      </c>
      <c r="K1059" t="s">
        <v>34</v>
      </c>
      <c r="L1059" s="35">
        <v>272321165</v>
      </c>
      <c r="M1059" s="36" t="s">
        <v>2129</v>
      </c>
      <c r="N1059" s="37" t="s">
        <v>1346</v>
      </c>
      <c r="O1059" t="s">
        <v>4301</v>
      </c>
      <c r="P1059" t="s">
        <v>4302</v>
      </c>
      <c r="Q1059" t="s">
        <v>3625</v>
      </c>
      <c r="R1059" s="332">
        <v>46157</v>
      </c>
      <c r="S1059" s="333">
        <v>46521</v>
      </c>
      <c r="T1059" s="332">
        <v>46188</v>
      </c>
      <c r="U1059" s="333">
        <v>46552</v>
      </c>
      <c r="V1059" s="40" t="s">
        <v>175</v>
      </c>
      <c r="W1059" s="41" t="s">
        <v>3151</v>
      </c>
      <c r="X1059" s="40" t="s">
        <v>4303</v>
      </c>
      <c r="Y1059" s="40" t="s">
        <v>56</v>
      </c>
      <c r="Z1059"/>
      <c r="AA1059" s="62"/>
      <c r="AB1059" s="44"/>
      <c r="AC1059" s="63">
        <v>10000475132</v>
      </c>
      <c r="AD1059" s="46">
        <v>46184</v>
      </c>
      <c r="AE1059">
        <v>3213020</v>
      </c>
      <c r="AF1059" s="39">
        <v>46210</v>
      </c>
      <c r="AG1059" s="49"/>
      <c r="AH1059" s="49"/>
      <c r="AI1059" s="49"/>
      <c r="AJ1059"/>
    </row>
    <row r="1060" spans="1:36" s="40" customFormat="1" ht="19.5" customHeight="1">
      <c r="A1060" s="25">
        <f t="shared" si="18"/>
        <v>1049</v>
      </c>
      <c r="B1060" s="26">
        <v>6298995</v>
      </c>
      <c r="C1060" s="27">
        <v>46178</v>
      </c>
      <c r="D1060" s="28">
        <v>6160</v>
      </c>
      <c r="E1060" s="29">
        <v>48260.52</v>
      </c>
      <c r="F1060" s="30" t="s">
        <v>4304</v>
      </c>
      <c r="G1060" s="27">
        <v>46178</v>
      </c>
      <c r="H1060" s="28">
        <v>6160</v>
      </c>
      <c r="I1060" s="29">
        <v>48260.52</v>
      </c>
      <c r="J1060" s="34" t="s">
        <v>384</v>
      </c>
      <c r="K1060" t="s">
        <v>34</v>
      </c>
      <c r="L1060" s="35">
        <v>11001508274</v>
      </c>
      <c r="M1060" s="40" t="s">
        <v>4305</v>
      </c>
      <c r="N1060" s="37" t="s">
        <v>1346</v>
      </c>
      <c r="O1060" s="40" t="s">
        <v>4306</v>
      </c>
      <c r="P1060" s="40" t="s">
        <v>4307</v>
      </c>
      <c r="Q1060" s="40" t="s">
        <v>4308</v>
      </c>
      <c r="R1060" s="69">
        <v>46201</v>
      </c>
      <c r="S1060" s="69">
        <v>46565</v>
      </c>
      <c r="T1060" s="50" t="s">
        <v>141</v>
      </c>
      <c r="U1060" s="47" t="s">
        <v>141</v>
      </c>
      <c r="V1060" s="40" t="s">
        <v>4309</v>
      </c>
      <c r="W1060" s="41" t="s">
        <v>3151</v>
      </c>
      <c r="X1060" s="40" t="s">
        <v>4310</v>
      </c>
      <c r="Y1060" s="40" t="s">
        <v>56</v>
      </c>
      <c r="Z1060"/>
      <c r="AA1060" s="62"/>
      <c r="AB1060" s="44"/>
      <c r="AC1060" s="63">
        <v>10000520139</v>
      </c>
      <c r="AD1060" s="46">
        <v>46201</v>
      </c>
      <c r="AE1060">
        <v>3214171</v>
      </c>
      <c r="AF1060" s="39">
        <v>46220</v>
      </c>
      <c r="AG1060" s="49"/>
      <c r="AH1060" s="49"/>
      <c r="AI1060" s="49"/>
      <c r="AJ1060"/>
    </row>
    <row r="1061" spans="1:36" s="40" customFormat="1" ht="19.5" customHeight="1">
      <c r="A1061" s="25">
        <f t="shared" si="18"/>
        <v>1050</v>
      </c>
      <c r="B1061" s="26">
        <v>6298999</v>
      </c>
      <c r="C1061" s="27">
        <v>46178</v>
      </c>
      <c r="D1061" s="28">
        <v>14400</v>
      </c>
      <c r="E1061" s="29">
        <v>112816.8</v>
      </c>
      <c r="F1061" s="30" t="s">
        <v>4311</v>
      </c>
      <c r="G1061" s="27">
        <v>46182</v>
      </c>
      <c r="H1061" s="68">
        <v>14400</v>
      </c>
      <c r="I1061" s="29">
        <v>112816.8</v>
      </c>
      <c r="J1061" s="34" t="s">
        <v>384</v>
      </c>
      <c r="K1061" t="s">
        <v>34</v>
      </c>
      <c r="L1061" s="35">
        <v>11001505287</v>
      </c>
      <c r="M1061" s="36" t="s">
        <v>4312</v>
      </c>
      <c r="N1061" s="37" t="s">
        <v>1540</v>
      </c>
      <c r="O1061" s="40" t="s">
        <v>4306</v>
      </c>
      <c r="P1061" s="40" t="s">
        <v>4307</v>
      </c>
      <c r="Q1061" t="s">
        <v>4308</v>
      </c>
      <c r="R1061" s="69">
        <v>46201</v>
      </c>
      <c r="S1061" s="69">
        <v>46565</v>
      </c>
      <c r="T1061" s="50" t="s">
        <v>141</v>
      </c>
      <c r="U1061" s="47" t="s">
        <v>141</v>
      </c>
      <c r="V1061" s="40" t="s">
        <v>4309</v>
      </c>
      <c r="W1061" s="41" t="s">
        <v>3151</v>
      </c>
      <c r="X1061" s="40" t="s">
        <v>4310</v>
      </c>
      <c r="Y1061" s="40" t="s">
        <v>56</v>
      </c>
      <c r="Z1061"/>
      <c r="AA1061" s="62"/>
      <c r="AB1061" s="44"/>
      <c r="AC1061" s="63">
        <v>6501266611</v>
      </c>
      <c r="AD1061" s="46">
        <v>46202</v>
      </c>
      <c r="AE1061">
        <v>3214119</v>
      </c>
      <c r="AF1061" s="39">
        <v>46219</v>
      </c>
      <c r="AG1061" s="49"/>
      <c r="AH1061" s="49"/>
      <c r="AI1061" s="49"/>
      <c r="AJ1061"/>
    </row>
    <row r="1062" spans="1:36" s="40" customFormat="1" ht="19.5" customHeight="1">
      <c r="A1062" s="25">
        <f t="shared" si="18"/>
        <v>1051</v>
      </c>
      <c r="B1062" s="26">
        <v>6299005</v>
      </c>
      <c r="C1062" s="27">
        <v>46178</v>
      </c>
      <c r="D1062" s="28">
        <v>5440</v>
      </c>
      <c r="E1062" s="29">
        <v>42619.68</v>
      </c>
      <c r="F1062" s="30" t="s">
        <v>4313</v>
      </c>
      <c r="G1062" s="27">
        <v>46182</v>
      </c>
      <c r="H1062" s="68">
        <v>5440</v>
      </c>
      <c r="I1062" s="29">
        <v>42619.68</v>
      </c>
      <c r="J1062" s="34" t="s">
        <v>384</v>
      </c>
      <c r="K1062" t="s">
        <v>34</v>
      </c>
      <c r="L1062" s="35">
        <v>11001507689</v>
      </c>
      <c r="M1062" s="36" t="s">
        <v>4314</v>
      </c>
      <c r="N1062" s="37" t="s">
        <v>1377</v>
      </c>
      <c r="O1062" s="40" t="s">
        <v>4306</v>
      </c>
      <c r="P1062" s="40" t="s">
        <v>4307</v>
      </c>
      <c r="Q1062" t="s">
        <v>4308</v>
      </c>
      <c r="R1062" s="69">
        <v>46201</v>
      </c>
      <c r="S1062" s="69">
        <v>46565</v>
      </c>
      <c r="T1062" s="50" t="s">
        <v>141</v>
      </c>
      <c r="U1062" s="47" t="s">
        <v>141</v>
      </c>
      <c r="V1062" s="40" t="s">
        <v>4309</v>
      </c>
      <c r="W1062" s="41" t="s">
        <v>3151</v>
      </c>
      <c r="X1062" s="40" t="s">
        <v>4310</v>
      </c>
      <c r="Y1062" s="40" t="s">
        <v>56</v>
      </c>
      <c r="Z1062"/>
      <c r="AA1062" s="62"/>
      <c r="AB1062" s="44"/>
      <c r="AC1062" s="63">
        <v>6501266612</v>
      </c>
      <c r="AD1062" s="46">
        <v>46202</v>
      </c>
      <c r="AE1062">
        <v>3214103</v>
      </c>
      <c r="AF1062" s="39">
        <v>46219</v>
      </c>
      <c r="AG1062" s="49"/>
      <c r="AH1062" s="49"/>
      <c r="AI1062" s="49"/>
      <c r="AJ1062"/>
    </row>
    <row r="1063" spans="1:36" s="40" customFormat="1" ht="19.5" customHeight="1">
      <c r="A1063" s="25">
        <f t="shared" si="18"/>
        <v>1052</v>
      </c>
      <c r="B1063" s="26">
        <v>6298985</v>
      </c>
      <c r="C1063" s="27">
        <v>46178</v>
      </c>
      <c r="D1063" s="28">
        <v>9559.7999999999993</v>
      </c>
      <c r="E1063" s="29">
        <v>74896.25</v>
      </c>
      <c r="F1063" s="30" t="s">
        <v>4315</v>
      </c>
      <c r="G1063" s="27">
        <v>46178</v>
      </c>
      <c r="H1063" s="28">
        <v>9559.7999999999993</v>
      </c>
      <c r="I1063" s="29">
        <v>74896.25</v>
      </c>
      <c r="J1063" s="34" t="s">
        <v>33</v>
      </c>
      <c r="K1063" t="s">
        <v>34</v>
      </c>
      <c r="L1063" s="35">
        <v>372284999</v>
      </c>
      <c r="M1063" s="36" t="s">
        <v>3809</v>
      </c>
      <c r="N1063" s="37" t="s">
        <v>2000</v>
      </c>
      <c r="O1063" s="40" t="s">
        <v>4316</v>
      </c>
      <c r="P1063" s="40" t="s">
        <v>4307</v>
      </c>
      <c r="Q1063" t="s">
        <v>4308</v>
      </c>
      <c r="R1063" s="69">
        <v>46201</v>
      </c>
      <c r="S1063" s="69">
        <v>46565</v>
      </c>
      <c r="T1063" s="332">
        <v>46230</v>
      </c>
      <c r="U1063" s="333">
        <v>46595</v>
      </c>
      <c r="V1063" s="40" t="s">
        <v>4309</v>
      </c>
      <c r="W1063" s="41" t="s">
        <v>3151</v>
      </c>
      <c r="X1063" s="40" t="s">
        <v>4310</v>
      </c>
      <c r="Y1063" s="40" t="s">
        <v>56</v>
      </c>
      <c r="Z1063"/>
      <c r="AA1063" s="62"/>
      <c r="AB1063" s="44"/>
      <c r="AC1063" s="63">
        <v>10000496114</v>
      </c>
      <c r="AD1063" s="46">
        <v>46191</v>
      </c>
      <c r="AE1063">
        <v>3212097</v>
      </c>
      <c r="AF1063" s="39">
        <v>46203</v>
      </c>
      <c r="AG1063" s="49"/>
      <c r="AH1063" s="49"/>
      <c r="AI1063" s="49"/>
      <c r="AJ1063"/>
    </row>
    <row r="1064" spans="1:36" s="40" customFormat="1" ht="19.5" customHeight="1">
      <c r="A1064" s="25">
        <f t="shared" si="18"/>
        <v>1053</v>
      </c>
      <c r="B1064" s="26">
        <v>6299034</v>
      </c>
      <c r="C1064" s="27">
        <v>46178</v>
      </c>
      <c r="D1064" s="28">
        <v>4612.4799999999996</v>
      </c>
      <c r="E1064" s="29">
        <v>36136.47</v>
      </c>
      <c r="F1064" s="30" t="s">
        <v>4317</v>
      </c>
      <c r="G1064" s="27">
        <v>46182</v>
      </c>
      <c r="H1064" s="28">
        <v>4612.4799999999996</v>
      </c>
      <c r="I1064" s="29">
        <v>36136.47</v>
      </c>
      <c r="J1064" s="34" t="s">
        <v>33</v>
      </c>
      <c r="K1064" t="s">
        <v>34</v>
      </c>
      <c r="L1064" s="35">
        <v>412027847</v>
      </c>
      <c r="M1064" s="388" t="s">
        <v>2149</v>
      </c>
      <c r="N1064" s="37" t="s">
        <v>1956</v>
      </c>
      <c r="O1064" t="s">
        <v>3811</v>
      </c>
      <c r="P1064" t="s">
        <v>3812</v>
      </c>
      <c r="Q1064" t="s">
        <v>3813</v>
      </c>
      <c r="R1064" s="332">
        <v>46113</v>
      </c>
      <c r="S1064" s="333">
        <v>46659</v>
      </c>
      <c r="T1064" s="332">
        <v>46382</v>
      </c>
      <c r="U1064" s="333">
        <v>46477</v>
      </c>
      <c r="V1064" s="40" t="s">
        <v>2207</v>
      </c>
      <c r="W1064" s="41" t="s">
        <v>3151</v>
      </c>
      <c r="X1064" s="40" t="s">
        <v>3815</v>
      </c>
      <c r="Y1064" s="40" t="s">
        <v>185</v>
      </c>
      <c r="Z1064"/>
      <c r="AA1064" s="62"/>
      <c r="AB1064" s="44"/>
      <c r="AC1064" s="63">
        <v>10000498652</v>
      </c>
      <c r="AD1064" s="46">
        <v>46192</v>
      </c>
      <c r="AE1064"/>
      <c r="AF1064" s="39"/>
      <c r="AG1064" s="49"/>
      <c r="AH1064" s="49"/>
      <c r="AI1064" s="49"/>
      <c r="AJ1064"/>
    </row>
    <row r="1065" spans="1:36" s="40" customFormat="1" ht="19.5" customHeight="1">
      <c r="A1065" s="25">
        <f t="shared" si="18"/>
        <v>1054</v>
      </c>
      <c r="B1065" s="26">
        <v>6300226</v>
      </c>
      <c r="C1065" s="27">
        <v>46182</v>
      </c>
      <c r="D1065" s="28">
        <v>181.03</v>
      </c>
      <c r="E1065" s="29">
        <v>1418.28</v>
      </c>
      <c r="F1065" s="30" t="s">
        <v>4318</v>
      </c>
      <c r="G1065" s="27">
        <v>46182</v>
      </c>
      <c r="H1065" s="28">
        <v>181.03</v>
      </c>
      <c r="I1065" s="29">
        <v>1418.28</v>
      </c>
      <c r="J1065" s="34" t="s">
        <v>33</v>
      </c>
      <c r="K1065" t="s">
        <v>34</v>
      </c>
      <c r="L1065" s="35">
        <v>372288353</v>
      </c>
      <c r="M1065" s="36" t="s">
        <v>2129</v>
      </c>
      <c r="N1065" s="37" t="s">
        <v>1346</v>
      </c>
      <c r="O1065" t="s">
        <v>4319</v>
      </c>
      <c r="P1065" t="s">
        <v>4320</v>
      </c>
      <c r="Q1065" t="s">
        <v>4321</v>
      </c>
      <c r="R1065" s="332">
        <v>46200</v>
      </c>
      <c r="S1065" s="333">
        <v>46564</v>
      </c>
      <c r="T1065" s="332">
        <v>46200</v>
      </c>
      <c r="U1065" s="333">
        <v>46564</v>
      </c>
      <c r="V1065" s="40" t="s">
        <v>4322</v>
      </c>
      <c r="W1065" s="41" t="s">
        <v>3151</v>
      </c>
      <c r="X1065" s="40" t="s">
        <v>4323</v>
      </c>
      <c r="Y1065" s="40" t="s">
        <v>56</v>
      </c>
      <c r="Z1065"/>
      <c r="AA1065" s="62"/>
      <c r="AB1065" s="44"/>
      <c r="AC1065" s="63">
        <v>10000492197</v>
      </c>
      <c r="AD1065" s="46">
        <v>46190</v>
      </c>
      <c r="AE1065">
        <v>3212095</v>
      </c>
      <c r="AF1065" s="39">
        <v>46203</v>
      </c>
      <c r="AG1065" s="49"/>
      <c r="AH1065" s="49"/>
      <c r="AI1065" s="49"/>
      <c r="AJ1065"/>
    </row>
    <row r="1066" spans="1:36" s="40" customFormat="1" ht="19.5" customHeight="1">
      <c r="A1066" s="25">
        <f t="shared" si="18"/>
        <v>1055</v>
      </c>
      <c r="B1066" s="26">
        <v>6300270</v>
      </c>
      <c r="C1066" s="27">
        <v>46182</v>
      </c>
      <c r="D1066" s="80" t="s">
        <v>141</v>
      </c>
      <c r="E1066" s="29">
        <v>870</v>
      </c>
      <c r="F1066" s="30" t="s">
        <v>4324</v>
      </c>
      <c r="G1066" s="27">
        <v>46182</v>
      </c>
      <c r="H1066" s="80" t="s">
        <v>141</v>
      </c>
      <c r="I1066" s="29">
        <v>870</v>
      </c>
      <c r="J1066" s="34" t="s">
        <v>33</v>
      </c>
      <c r="K1066" t="s">
        <v>139</v>
      </c>
      <c r="L1066" s="35" t="s">
        <v>4325</v>
      </c>
      <c r="M1066" s="36" t="s">
        <v>4326</v>
      </c>
      <c r="N1066" s="37" t="s">
        <v>1383</v>
      </c>
      <c r="O1066" s="40" t="s">
        <v>4327</v>
      </c>
      <c r="P1066" s="40" t="s">
        <v>4328</v>
      </c>
      <c r="Q1066" s="40" t="s">
        <v>4329</v>
      </c>
      <c r="R1066" s="332">
        <v>46196</v>
      </c>
      <c r="S1066" s="333">
        <v>46560</v>
      </c>
      <c r="T1066" s="332">
        <v>46196</v>
      </c>
      <c r="U1066" s="333">
        <v>46560</v>
      </c>
      <c r="V1066" s="40" t="s">
        <v>590</v>
      </c>
      <c r="W1066" s="41" t="s">
        <v>39</v>
      </c>
      <c r="X1066" s="40" t="s">
        <v>4330</v>
      </c>
      <c r="Y1066" s="40" t="s">
        <v>56</v>
      </c>
      <c r="Z1066"/>
      <c r="AA1066" s="62" t="s">
        <v>4331</v>
      </c>
      <c r="AB1066" s="44">
        <v>46200</v>
      </c>
      <c r="AC1066" s="63">
        <v>60017959</v>
      </c>
      <c r="AD1066" s="46">
        <v>46200</v>
      </c>
      <c r="AE1066"/>
      <c r="AF1066" s="39"/>
      <c r="AG1066" s="49"/>
      <c r="AH1066" s="49"/>
      <c r="AI1066" s="49"/>
      <c r="AJ1066"/>
    </row>
    <row r="1067" spans="1:36" s="40" customFormat="1" ht="19.5" customHeight="1">
      <c r="A1067" s="25">
        <f t="shared" si="18"/>
        <v>1056</v>
      </c>
      <c r="B1067" s="291" t="s">
        <v>141</v>
      </c>
      <c r="C1067" s="31" t="s">
        <v>141</v>
      </c>
      <c r="D1067" s="80" t="s">
        <v>141</v>
      </c>
      <c r="E1067" s="288" t="s">
        <v>141</v>
      </c>
      <c r="F1067" s="30" t="s">
        <v>4332</v>
      </c>
      <c r="G1067" s="27">
        <v>46183</v>
      </c>
      <c r="H1067" s="80" t="s">
        <v>141</v>
      </c>
      <c r="I1067" s="33">
        <v>2370</v>
      </c>
      <c r="J1067" s="34" t="s">
        <v>3421</v>
      </c>
      <c r="K1067" t="s">
        <v>139</v>
      </c>
      <c r="L1067" s="35" t="s">
        <v>4333</v>
      </c>
      <c r="M1067" s="36" t="s">
        <v>4334</v>
      </c>
      <c r="N1067" s="37" t="s">
        <v>1383</v>
      </c>
      <c r="O1067" s="40" t="s">
        <v>4335</v>
      </c>
      <c r="P1067" s="40" t="s">
        <v>4336</v>
      </c>
      <c r="Q1067" s="40" t="s">
        <v>4337</v>
      </c>
      <c r="R1067" s="332">
        <v>46170</v>
      </c>
      <c r="S1067" s="333">
        <v>46534</v>
      </c>
      <c r="T1067" s="50" t="s">
        <v>141</v>
      </c>
      <c r="U1067" s="47" t="s">
        <v>141</v>
      </c>
      <c r="V1067" s="40" t="s">
        <v>590</v>
      </c>
      <c r="W1067" s="41" t="s">
        <v>39</v>
      </c>
      <c r="X1067" s="40" t="s">
        <v>4338</v>
      </c>
      <c r="Y1067" s="40" t="s">
        <v>185</v>
      </c>
      <c r="Z1067"/>
      <c r="AA1067" s="62">
        <v>90007958</v>
      </c>
      <c r="AB1067" s="44">
        <v>46226</v>
      </c>
      <c r="AC1067" s="63">
        <v>60018085</v>
      </c>
      <c r="AD1067" s="46">
        <v>46226</v>
      </c>
      <c r="AE1067">
        <v>3221052</v>
      </c>
      <c r="AF1067" s="39">
        <v>46270</v>
      </c>
      <c r="AG1067" s="49"/>
      <c r="AH1067" s="49"/>
      <c r="AI1067" s="49"/>
      <c r="AJ1067"/>
    </row>
    <row r="1068" spans="1:36" s="40" customFormat="1" ht="19.5" customHeight="1">
      <c r="A1068" s="25">
        <f t="shared" si="18"/>
        <v>1057</v>
      </c>
      <c r="B1068" s="26">
        <v>6300990</v>
      </c>
      <c r="C1068" s="27">
        <v>46183</v>
      </c>
      <c r="D1068" s="28">
        <v>24888.82</v>
      </c>
      <c r="E1068" s="29">
        <v>194991.46</v>
      </c>
      <c r="F1068" s="30" t="s">
        <v>4339</v>
      </c>
      <c r="G1068" s="27">
        <v>46185</v>
      </c>
      <c r="H1068" s="28">
        <v>24888.82</v>
      </c>
      <c r="I1068" s="29">
        <v>194991.46</v>
      </c>
      <c r="J1068" s="34" t="s">
        <v>33</v>
      </c>
      <c r="K1068" t="s">
        <v>34</v>
      </c>
      <c r="L1068" s="35">
        <v>382284920</v>
      </c>
      <c r="M1068" s="388" t="s">
        <v>2359</v>
      </c>
      <c r="N1068" s="37" t="s">
        <v>1540</v>
      </c>
      <c r="O1068" t="s">
        <v>4340</v>
      </c>
      <c r="P1068" t="s">
        <v>4341</v>
      </c>
      <c r="Q1068" t="s">
        <v>3190</v>
      </c>
      <c r="R1068" s="332">
        <v>46174</v>
      </c>
      <c r="S1068" s="333">
        <v>46173</v>
      </c>
      <c r="T1068" s="332">
        <v>46174</v>
      </c>
      <c r="U1068" s="333">
        <v>46173</v>
      </c>
      <c r="V1068" s="40" t="s">
        <v>44</v>
      </c>
      <c r="W1068" s="41" t="s">
        <v>3151</v>
      </c>
      <c r="X1068" s="40" t="s">
        <v>4342</v>
      </c>
      <c r="Y1068" s="40" t="s">
        <v>56</v>
      </c>
      <c r="Z1068"/>
      <c r="AA1068" s="62"/>
      <c r="AB1068" s="44"/>
      <c r="AC1068" s="63">
        <v>10000492230</v>
      </c>
      <c r="AD1068" s="46">
        <v>46190</v>
      </c>
      <c r="AE1068">
        <v>3212096</v>
      </c>
      <c r="AF1068" s="39">
        <v>46203</v>
      </c>
      <c r="AG1068" s="49"/>
      <c r="AH1068" s="49"/>
      <c r="AI1068" s="49"/>
      <c r="AJ1068"/>
    </row>
    <row r="1069" spans="1:36" s="40" customFormat="1" ht="19.5" customHeight="1">
      <c r="A1069" s="25">
        <f t="shared" si="18"/>
        <v>1058</v>
      </c>
      <c r="B1069" s="26">
        <v>6301466</v>
      </c>
      <c r="C1069" s="27">
        <v>46184</v>
      </c>
      <c r="D1069" s="28">
        <v>28843.200000000001</v>
      </c>
      <c r="E1069" s="29">
        <v>225972.05</v>
      </c>
      <c r="F1069" s="30" t="s">
        <v>4343</v>
      </c>
      <c r="G1069" s="27">
        <v>46184</v>
      </c>
      <c r="H1069" s="28">
        <v>28843.200000000001</v>
      </c>
      <c r="I1069" s="29">
        <v>225972.05</v>
      </c>
      <c r="J1069" s="34" t="s">
        <v>384</v>
      </c>
      <c r="K1069" t="s">
        <v>34</v>
      </c>
      <c r="L1069" s="25">
        <v>11001553528</v>
      </c>
      <c r="M1069" s="88" t="s">
        <v>4344</v>
      </c>
      <c r="N1069" s="398" t="s">
        <v>4345</v>
      </c>
      <c r="O1069" t="s">
        <v>4346</v>
      </c>
      <c r="P1069" t="s">
        <v>4347</v>
      </c>
      <c r="Q1069" t="s">
        <v>4348</v>
      </c>
      <c r="R1069" s="332">
        <v>46204</v>
      </c>
      <c r="S1069" s="333">
        <v>46568</v>
      </c>
      <c r="T1069" s="50" t="s">
        <v>141</v>
      </c>
      <c r="U1069" s="47" t="s">
        <v>141</v>
      </c>
      <c r="V1069" s="43" t="s">
        <v>1654</v>
      </c>
      <c r="W1069" s="41" t="s">
        <v>3151</v>
      </c>
      <c r="X1069" s="40" t="s">
        <v>4349</v>
      </c>
      <c r="Y1069" s="40" t="s">
        <v>56</v>
      </c>
      <c r="Z1069"/>
      <c r="AA1069" s="62"/>
      <c r="AB1069" s="44"/>
      <c r="AC1069" s="63">
        <v>6501279746</v>
      </c>
      <c r="AD1069" s="46">
        <v>46224</v>
      </c>
      <c r="AE1069"/>
      <c r="AF1069" s="39"/>
      <c r="AG1069" s="49"/>
      <c r="AH1069" s="49"/>
      <c r="AI1069" s="49"/>
      <c r="AJ1069"/>
    </row>
    <row r="1070" spans="1:36" s="40" customFormat="1" ht="19.5" customHeight="1">
      <c r="A1070" s="25">
        <f t="shared" si="18"/>
        <v>1059</v>
      </c>
      <c r="B1070" s="26">
        <v>6301260</v>
      </c>
      <c r="C1070" s="27">
        <v>46184</v>
      </c>
      <c r="D1070" s="80" t="s">
        <v>141</v>
      </c>
      <c r="E1070" s="65">
        <v>8060</v>
      </c>
      <c r="F1070" s="30" t="s">
        <v>4350</v>
      </c>
      <c r="G1070" s="27">
        <v>46185</v>
      </c>
      <c r="H1070" s="80" t="s">
        <v>141</v>
      </c>
      <c r="I1070" s="33">
        <v>8060</v>
      </c>
      <c r="J1070" s="34" t="s">
        <v>33</v>
      </c>
      <c r="K1070" s="66" t="s">
        <v>193</v>
      </c>
      <c r="L1070" s="35">
        <v>80005450</v>
      </c>
      <c r="M1070" s="36" t="s">
        <v>4351</v>
      </c>
      <c r="N1070" s="37" t="s">
        <v>1383</v>
      </c>
      <c r="O1070" t="s">
        <v>4285</v>
      </c>
      <c r="P1070" s="66" t="s">
        <v>4352</v>
      </c>
      <c r="Q1070" t="s">
        <v>2051</v>
      </c>
      <c r="R1070" s="332">
        <v>46178</v>
      </c>
      <c r="S1070" s="333">
        <v>46542</v>
      </c>
      <c r="T1070" s="50" t="s">
        <v>141</v>
      </c>
      <c r="U1070" s="47" t="s">
        <v>141</v>
      </c>
      <c r="V1070" s="40" t="s">
        <v>64</v>
      </c>
      <c r="W1070" s="41" t="s">
        <v>39</v>
      </c>
      <c r="X1070" s="40" t="s">
        <v>3305</v>
      </c>
      <c r="Y1070" s="40" t="s">
        <v>185</v>
      </c>
      <c r="Z1070"/>
      <c r="AA1070" s="62" t="s">
        <v>4353</v>
      </c>
      <c r="AB1070" s="44">
        <v>46224</v>
      </c>
      <c r="AC1070" s="63" t="s">
        <v>4354</v>
      </c>
      <c r="AD1070" s="46">
        <v>46223</v>
      </c>
      <c r="AE1070" s="66"/>
      <c r="AF1070" s="399"/>
      <c r="AG1070" s="49"/>
      <c r="AH1070" s="49"/>
      <c r="AI1070" s="49"/>
      <c r="AJ1070" s="66" t="s">
        <v>4355</v>
      </c>
    </row>
    <row r="1071" spans="1:36" s="40" customFormat="1" ht="19.5" customHeight="1">
      <c r="A1071" s="25">
        <f t="shared" si="18"/>
        <v>1060</v>
      </c>
      <c r="B1071" s="291" t="s">
        <v>141</v>
      </c>
      <c r="C1071" s="31" t="s">
        <v>141</v>
      </c>
      <c r="D1071" s="80" t="s">
        <v>141</v>
      </c>
      <c r="E1071" s="288" t="s">
        <v>141</v>
      </c>
      <c r="F1071" s="30" t="s">
        <v>4356</v>
      </c>
      <c r="G1071" s="27">
        <v>46185</v>
      </c>
      <c r="H1071" s="80" t="s">
        <v>141</v>
      </c>
      <c r="I1071" s="33">
        <v>7420</v>
      </c>
      <c r="J1071" s="34" t="s">
        <v>3421</v>
      </c>
      <c r="K1071" t="s">
        <v>193</v>
      </c>
      <c r="L1071" s="35" t="s">
        <v>4357</v>
      </c>
      <c r="M1071" s="36" t="s">
        <v>4358</v>
      </c>
      <c r="N1071" s="37"/>
      <c r="O1071"/>
      <c r="P1071"/>
      <c r="Q1071"/>
      <c r="R1071" s="332"/>
      <c r="S1071" s="333"/>
      <c r="T1071" s="332"/>
      <c r="U1071" s="333"/>
      <c r="W1071" s="41"/>
      <c r="Z1071"/>
      <c r="AA1071" s="62" t="s">
        <v>4359</v>
      </c>
      <c r="AB1071" s="44">
        <v>46210</v>
      </c>
      <c r="AC1071" s="63" t="s">
        <v>4360</v>
      </c>
      <c r="AD1071" s="46">
        <v>46205</v>
      </c>
      <c r="AE1071"/>
      <c r="AF1071" s="39"/>
      <c r="AG1071" s="49"/>
      <c r="AH1071" s="49"/>
      <c r="AI1071" s="49"/>
      <c r="AJ1071"/>
    </row>
    <row r="1072" spans="1:36" s="40" customFormat="1" ht="19.5" customHeight="1">
      <c r="A1072" s="25">
        <f t="shared" si="18"/>
        <v>1061</v>
      </c>
      <c r="B1072" s="291" t="s">
        <v>141</v>
      </c>
      <c r="C1072" s="31" t="s">
        <v>141</v>
      </c>
      <c r="D1072" s="80" t="s">
        <v>141</v>
      </c>
      <c r="E1072" s="288" t="s">
        <v>141</v>
      </c>
      <c r="F1072" s="30" t="s">
        <v>4361</v>
      </c>
      <c r="G1072" s="27">
        <v>46185</v>
      </c>
      <c r="H1072" s="80" t="s">
        <v>141</v>
      </c>
      <c r="I1072" s="33">
        <v>2700</v>
      </c>
      <c r="J1072" s="34" t="s">
        <v>3421</v>
      </c>
      <c r="K1072" t="s">
        <v>139</v>
      </c>
      <c r="L1072" s="35" t="s">
        <v>3433</v>
      </c>
      <c r="M1072" s="36" t="s">
        <v>4362</v>
      </c>
      <c r="N1072" s="37"/>
      <c r="O1072"/>
      <c r="P1072"/>
      <c r="Q1072"/>
      <c r="R1072" s="332"/>
      <c r="S1072" s="333"/>
      <c r="T1072" s="332"/>
      <c r="U1072" s="333"/>
      <c r="W1072" s="41"/>
      <c r="Z1072"/>
      <c r="AA1072" s="62">
        <v>90007823</v>
      </c>
      <c r="AB1072" s="44">
        <v>46198</v>
      </c>
      <c r="AC1072" s="63">
        <v>60017896</v>
      </c>
      <c r="AD1072" s="46">
        <v>46198</v>
      </c>
      <c r="AE1072"/>
      <c r="AF1072" s="39"/>
      <c r="AG1072" s="49"/>
      <c r="AH1072" s="49"/>
      <c r="AI1072" s="49"/>
      <c r="AJ1072"/>
    </row>
    <row r="1073" spans="1:36" s="40" customFormat="1" ht="19.5" customHeight="1">
      <c r="A1073" s="25">
        <f t="shared" si="18"/>
        <v>1062</v>
      </c>
      <c r="B1073" s="291" t="s">
        <v>141</v>
      </c>
      <c r="C1073" s="31" t="s">
        <v>141</v>
      </c>
      <c r="D1073" s="80" t="s">
        <v>141</v>
      </c>
      <c r="E1073" s="288" t="s">
        <v>141</v>
      </c>
      <c r="F1073" s="30" t="s">
        <v>4363</v>
      </c>
      <c r="G1073" s="27">
        <v>46185</v>
      </c>
      <c r="H1073" s="80" t="s">
        <v>141</v>
      </c>
      <c r="I1073" s="33">
        <v>5700</v>
      </c>
      <c r="J1073" s="34" t="s">
        <v>3421</v>
      </c>
      <c r="K1073" t="s">
        <v>193</v>
      </c>
      <c r="L1073" s="35" t="s">
        <v>4364</v>
      </c>
      <c r="M1073" s="36" t="s">
        <v>4365</v>
      </c>
      <c r="N1073" s="37"/>
      <c r="O1073"/>
      <c r="P1073"/>
      <c r="Q1073"/>
      <c r="R1073" s="332"/>
      <c r="S1073" s="333"/>
      <c r="T1073" s="332"/>
      <c r="U1073" s="333"/>
      <c r="W1073" s="41"/>
      <c r="Z1073"/>
      <c r="AA1073" s="62" t="s">
        <v>4366</v>
      </c>
      <c r="AB1073" s="44">
        <v>46210</v>
      </c>
      <c r="AC1073" s="63" t="s">
        <v>4367</v>
      </c>
      <c r="AD1073" s="46">
        <v>46205</v>
      </c>
      <c r="AE1073"/>
      <c r="AF1073" s="39"/>
      <c r="AG1073" s="49"/>
      <c r="AH1073" s="49"/>
      <c r="AI1073" s="49"/>
      <c r="AJ1073"/>
    </row>
    <row r="1074" spans="1:36" s="40" customFormat="1" ht="19.5" customHeight="1">
      <c r="A1074" s="25">
        <f t="shared" si="18"/>
        <v>1063</v>
      </c>
      <c r="B1074" s="26">
        <v>6301813</v>
      </c>
      <c r="C1074" s="27">
        <v>46185</v>
      </c>
      <c r="D1074" s="80" t="s">
        <v>141</v>
      </c>
      <c r="E1074" s="29">
        <v>37600</v>
      </c>
      <c r="F1074" s="30" t="s">
        <v>4368</v>
      </c>
      <c r="G1074" s="27">
        <v>46188</v>
      </c>
      <c r="H1074" s="32"/>
      <c r="I1074" s="326">
        <v>36000</v>
      </c>
      <c r="J1074" s="34" t="s">
        <v>33</v>
      </c>
      <c r="K1074" t="s">
        <v>733</v>
      </c>
      <c r="L1074" s="35" t="s">
        <v>4369</v>
      </c>
      <c r="M1074" s="36" t="s">
        <v>4370</v>
      </c>
      <c r="N1074" s="37"/>
      <c r="O1074"/>
      <c r="P1074"/>
      <c r="Q1074"/>
      <c r="R1074" s="332"/>
      <c r="S1074" s="333"/>
      <c r="T1074" s="332"/>
      <c r="U1074" s="333"/>
      <c r="W1074" s="41"/>
      <c r="Z1074"/>
      <c r="AA1074" s="62" t="s">
        <v>4371</v>
      </c>
      <c r="AB1074" s="44">
        <v>46231</v>
      </c>
      <c r="AC1074" s="63" t="s">
        <v>4372</v>
      </c>
      <c r="AD1074" s="46">
        <v>46238</v>
      </c>
      <c r="AE1074"/>
      <c r="AF1074" s="39"/>
      <c r="AG1074" s="49"/>
      <c r="AH1074" s="49"/>
      <c r="AI1074" s="49"/>
      <c r="AJ1074"/>
    </row>
    <row r="1075" spans="1:36" s="40" customFormat="1" ht="19.5" customHeight="1">
      <c r="A1075" s="25">
        <f t="shared" si="18"/>
        <v>1064</v>
      </c>
      <c r="B1075" s="26">
        <v>6301889</v>
      </c>
      <c r="C1075" s="27">
        <v>46185</v>
      </c>
      <c r="D1075" s="80" t="s">
        <v>141</v>
      </c>
      <c r="E1075" s="29">
        <v>65380</v>
      </c>
      <c r="F1075" s="30" t="s">
        <v>4373</v>
      </c>
      <c r="G1075" s="27">
        <v>46209</v>
      </c>
      <c r="H1075" s="80" t="s">
        <v>141</v>
      </c>
      <c r="I1075" s="33">
        <v>65380</v>
      </c>
      <c r="J1075" s="34" t="s">
        <v>33</v>
      </c>
      <c r="K1075" t="s">
        <v>139</v>
      </c>
      <c r="L1075" s="35">
        <v>80005468</v>
      </c>
      <c r="M1075" s="36" t="s">
        <v>4374</v>
      </c>
      <c r="N1075" s="37" t="s">
        <v>4375</v>
      </c>
      <c r="O1075" t="s">
        <v>4376</v>
      </c>
      <c r="P1075" t="s">
        <v>4377</v>
      </c>
      <c r="Q1075" t="s">
        <v>4378</v>
      </c>
      <c r="R1075" s="332">
        <v>45992</v>
      </c>
      <c r="S1075" s="333">
        <v>47282</v>
      </c>
      <c r="T1075" s="50" t="s">
        <v>141</v>
      </c>
      <c r="U1075" s="47" t="s">
        <v>141</v>
      </c>
      <c r="V1075" s="40" t="s">
        <v>375</v>
      </c>
      <c r="W1075" s="41" t="s">
        <v>39</v>
      </c>
      <c r="X1075" s="40" t="s">
        <v>4379</v>
      </c>
      <c r="Y1075" s="40" t="s">
        <v>185</v>
      </c>
      <c r="Z1075"/>
      <c r="AA1075" s="62">
        <v>90008014</v>
      </c>
      <c r="AB1075" s="44">
        <v>46233</v>
      </c>
      <c r="AC1075" s="62">
        <v>60018161</v>
      </c>
      <c r="AD1075" s="44">
        <v>46233</v>
      </c>
      <c r="AE1075">
        <v>3221056</v>
      </c>
      <c r="AF1075" s="39">
        <v>46270</v>
      </c>
      <c r="AG1075" s="49"/>
      <c r="AH1075" s="49"/>
      <c r="AI1075" s="49"/>
      <c r="AJ1075"/>
    </row>
    <row r="1076" spans="1:36" s="40" customFormat="1" ht="19.5" customHeight="1">
      <c r="A1076" s="25">
        <f t="shared" si="18"/>
        <v>1065</v>
      </c>
      <c r="B1076" s="26">
        <v>6301953</v>
      </c>
      <c r="C1076" s="27">
        <v>46185</v>
      </c>
      <c r="D1076" s="80" t="s">
        <v>141</v>
      </c>
      <c r="E1076" s="29">
        <v>156710</v>
      </c>
      <c r="F1076" s="30" t="s">
        <v>4380</v>
      </c>
      <c r="G1076" s="27">
        <v>46203</v>
      </c>
      <c r="H1076" s="80" t="s">
        <v>141</v>
      </c>
      <c r="I1076" s="33">
        <v>156710</v>
      </c>
      <c r="J1076" s="34" t="s">
        <v>33</v>
      </c>
      <c r="K1076" t="s">
        <v>139</v>
      </c>
      <c r="L1076" s="35">
        <v>80005476</v>
      </c>
      <c r="M1076" s="36" t="s">
        <v>4381</v>
      </c>
      <c r="N1076" s="37" t="s">
        <v>4382</v>
      </c>
      <c r="O1076" t="s">
        <v>4376</v>
      </c>
      <c r="P1076" t="s">
        <v>4377</v>
      </c>
      <c r="Q1076" t="s">
        <v>4378</v>
      </c>
      <c r="R1076" s="332">
        <v>45992</v>
      </c>
      <c r="S1076" s="333">
        <v>47282</v>
      </c>
      <c r="T1076" s="50" t="s">
        <v>141</v>
      </c>
      <c r="U1076" s="47" t="s">
        <v>141</v>
      </c>
      <c r="V1076" s="40" t="s">
        <v>375</v>
      </c>
      <c r="W1076" s="41" t="s">
        <v>39</v>
      </c>
      <c r="X1076" s="40" t="s">
        <v>4379</v>
      </c>
      <c r="Y1076" s="40" t="s">
        <v>56</v>
      </c>
      <c r="Z1076"/>
      <c r="AA1076" s="62"/>
      <c r="AB1076" s="44"/>
      <c r="AC1076" s="63"/>
      <c r="AD1076" s="46"/>
      <c r="AE1076"/>
      <c r="AF1076" s="39"/>
      <c r="AG1076" s="49"/>
      <c r="AH1076" s="49"/>
      <c r="AI1076" s="49"/>
      <c r="AJ1076"/>
    </row>
    <row r="1077" spans="1:36" s="40" customFormat="1" ht="19.5" customHeight="1">
      <c r="A1077" s="25">
        <f t="shared" si="18"/>
        <v>1066</v>
      </c>
      <c r="B1077" s="26">
        <v>6302234</v>
      </c>
      <c r="C1077" s="27">
        <v>46188</v>
      </c>
      <c r="D1077" s="80" t="s">
        <v>141</v>
      </c>
      <c r="E1077" s="29">
        <v>6396</v>
      </c>
      <c r="F1077" s="30" t="s">
        <v>4383</v>
      </c>
      <c r="G1077" s="27">
        <v>46188</v>
      </c>
      <c r="H1077" s="80" t="s">
        <v>141</v>
      </c>
      <c r="I1077" s="33">
        <v>6396</v>
      </c>
      <c r="J1077" s="34" t="s">
        <v>99</v>
      </c>
      <c r="K1077" t="s">
        <v>1308</v>
      </c>
      <c r="L1077" s="35" t="s">
        <v>4384</v>
      </c>
      <c r="M1077" s="36" t="s">
        <v>4385</v>
      </c>
      <c r="N1077" s="37" t="s">
        <v>1640</v>
      </c>
      <c r="O1077" t="s">
        <v>4386</v>
      </c>
      <c r="P1077" t="s">
        <v>4387</v>
      </c>
      <c r="Q1077" t="s">
        <v>4388</v>
      </c>
      <c r="R1077" s="332">
        <v>46113</v>
      </c>
      <c r="S1077" s="333">
        <v>46477</v>
      </c>
      <c r="T1077" s="332">
        <v>46113</v>
      </c>
      <c r="U1077" s="333">
        <v>46477</v>
      </c>
      <c r="V1077" s="40" t="s">
        <v>1306</v>
      </c>
      <c r="W1077" s="41" t="s">
        <v>39</v>
      </c>
      <c r="X1077" s="40" t="s">
        <v>4389</v>
      </c>
      <c r="Y1077" s="40" t="s">
        <v>56</v>
      </c>
      <c r="Z1077"/>
      <c r="AA1077" s="62"/>
      <c r="AB1077" s="44"/>
      <c r="AC1077" s="63"/>
      <c r="AD1077" s="46"/>
      <c r="AE1077"/>
      <c r="AF1077" s="39"/>
      <c r="AG1077" s="49"/>
      <c r="AH1077" s="49"/>
      <c r="AI1077" s="49"/>
      <c r="AJ1077"/>
    </row>
    <row r="1078" spans="1:36" s="40" customFormat="1" ht="19.5" customHeight="1">
      <c r="A1078" s="25">
        <f t="shared" si="18"/>
        <v>1067</v>
      </c>
      <c r="B1078" s="26">
        <v>6302260</v>
      </c>
      <c r="C1078" s="400">
        <v>46269</v>
      </c>
      <c r="D1078" s="70">
        <v>9163.35</v>
      </c>
      <c r="E1078" s="65">
        <v>71824.17</v>
      </c>
      <c r="F1078" s="401">
        <v>1610986</v>
      </c>
      <c r="G1078" s="400">
        <v>46276</v>
      </c>
      <c r="H1078" s="191">
        <v>9163.35</v>
      </c>
      <c r="I1078" s="326">
        <v>71824.17</v>
      </c>
      <c r="J1078" s="34" t="s">
        <v>99</v>
      </c>
      <c r="K1078" t="s">
        <v>34</v>
      </c>
      <c r="L1078" s="35">
        <v>382266397</v>
      </c>
      <c r="M1078" s="36" t="s">
        <v>2129</v>
      </c>
      <c r="N1078" s="37" t="s">
        <v>1346</v>
      </c>
      <c r="O1078" t="s">
        <v>4376</v>
      </c>
      <c r="P1078" t="s">
        <v>4377</v>
      </c>
      <c r="Q1078" t="s">
        <v>4390</v>
      </c>
      <c r="R1078" s="332">
        <v>45992</v>
      </c>
      <c r="S1078" s="333">
        <v>47282</v>
      </c>
      <c r="T1078" s="332">
        <v>46181</v>
      </c>
      <c r="U1078" s="333">
        <v>46691</v>
      </c>
      <c r="V1078" s="40" t="s">
        <v>375</v>
      </c>
      <c r="W1078" s="41" t="s">
        <v>3151</v>
      </c>
      <c r="X1078" s="402" t="s">
        <v>4391</v>
      </c>
      <c r="Y1078" s="40" t="s">
        <v>185</v>
      </c>
      <c r="Z1078"/>
      <c r="AA1078" s="62"/>
      <c r="AB1078" s="44"/>
      <c r="AC1078" s="63"/>
      <c r="AD1078" s="46"/>
      <c r="AE1078"/>
      <c r="AF1078" s="399" t="s">
        <v>4392</v>
      </c>
      <c r="AG1078" s="49"/>
      <c r="AH1078" s="49"/>
      <c r="AI1078" s="49"/>
      <c r="AJ1078"/>
    </row>
    <row r="1079" spans="1:36" s="40" customFormat="1" ht="19.5" customHeight="1">
      <c r="A1079" s="25">
        <f t="shared" si="18"/>
        <v>1068</v>
      </c>
      <c r="B1079" s="26">
        <v>6302268</v>
      </c>
      <c r="C1079" s="27">
        <v>46188</v>
      </c>
      <c r="D1079" s="28">
        <v>7467.72</v>
      </c>
      <c r="E1079" s="29">
        <v>58505.85</v>
      </c>
      <c r="F1079" s="30" t="s">
        <v>4393</v>
      </c>
      <c r="G1079" s="27">
        <v>46205</v>
      </c>
      <c r="H1079" s="68">
        <v>7467.72</v>
      </c>
      <c r="I1079" s="29">
        <v>58505.85</v>
      </c>
      <c r="J1079" s="34" t="s">
        <v>33</v>
      </c>
      <c r="K1079" t="s">
        <v>34</v>
      </c>
      <c r="L1079" s="35">
        <v>362267533</v>
      </c>
      <c r="M1079" s="36" t="s">
        <v>2129</v>
      </c>
      <c r="N1079" s="37" t="s">
        <v>1540</v>
      </c>
      <c r="O1079" t="s">
        <v>4376</v>
      </c>
      <c r="P1079" t="s">
        <v>4377</v>
      </c>
      <c r="Q1079" t="s">
        <v>4390</v>
      </c>
      <c r="R1079" s="332">
        <v>45992</v>
      </c>
      <c r="S1079" s="333">
        <v>47282</v>
      </c>
      <c r="T1079" s="332">
        <v>46181</v>
      </c>
      <c r="U1079" s="333">
        <v>46507</v>
      </c>
      <c r="V1079" s="40" t="s">
        <v>375</v>
      </c>
      <c r="W1079" s="41" t="s">
        <v>3151</v>
      </c>
      <c r="X1079" s="402" t="s">
        <v>4391</v>
      </c>
      <c r="Y1079" s="40" t="s">
        <v>185</v>
      </c>
      <c r="Z1079"/>
      <c r="AA1079" s="62"/>
      <c r="AB1079" s="44"/>
      <c r="AC1079" s="63">
        <v>10000536271</v>
      </c>
      <c r="AD1079" s="46">
        <v>46206</v>
      </c>
      <c r="AE1079"/>
      <c r="AF1079" s="39"/>
      <c r="AG1079" s="49"/>
      <c r="AH1079" s="49"/>
      <c r="AI1079" s="49"/>
      <c r="AJ1079"/>
    </row>
    <row r="1080" spans="1:36" s="40" customFormat="1" ht="19.5" customHeight="1">
      <c r="A1080" s="25">
        <f t="shared" si="18"/>
        <v>1069</v>
      </c>
      <c r="B1080" s="26">
        <v>6302274</v>
      </c>
      <c r="C1080" s="27">
        <v>46188</v>
      </c>
      <c r="D1080" s="336">
        <v>3725.84</v>
      </c>
      <c r="E1080" s="29">
        <v>29190.09</v>
      </c>
      <c r="F1080" s="30" t="s">
        <v>4394</v>
      </c>
      <c r="G1080" s="27">
        <v>46196</v>
      </c>
      <c r="H1080" s="128">
        <v>3705.12</v>
      </c>
      <c r="I1080" s="403">
        <v>29027.762640000001</v>
      </c>
      <c r="J1080" s="34" t="s">
        <v>33</v>
      </c>
      <c r="K1080" t="s">
        <v>34</v>
      </c>
      <c r="L1080" s="35">
        <v>292319701</v>
      </c>
      <c r="M1080" s="36" t="s">
        <v>2129</v>
      </c>
      <c r="N1080" s="398" t="s">
        <v>4345</v>
      </c>
      <c r="O1080" t="s">
        <v>4376</v>
      </c>
      <c r="P1080" t="s">
        <v>4377</v>
      </c>
      <c r="Q1080" t="s">
        <v>4390</v>
      </c>
      <c r="R1080" s="332">
        <v>45992</v>
      </c>
      <c r="S1080" s="333">
        <v>47282</v>
      </c>
      <c r="T1080" s="332">
        <v>46184</v>
      </c>
      <c r="U1080" s="333">
        <v>46721</v>
      </c>
      <c r="V1080" s="40" t="s">
        <v>375</v>
      </c>
      <c r="W1080" s="41" t="s">
        <v>3151</v>
      </c>
      <c r="X1080" s="402" t="s">
        <v>4391</v>
      </c>
      <c r="Y1080" s="40" t="s">
        <v>185</v>
      </c>
      <c r="Z1080"/>
      <c r="AA1080" s="62"/>
      <c r="AB1080" s="44"/>
      <c r="AC1080" s="63">
        <v>10000510527</v>
      </c>
      <c r="AD1080" s="46">
        <v>46197</v>
      </c>
      <c r="AE1080"/>
      <c r="AF1080" s="39"/>
      <c r="AG1080" s="49"/>
      <c r="AH1080" s="49"/>
      <c r="AI1080" s="49"/>
      <c r="AJ1080"/>
    </row>
    <row r="1081" spans="1:36" s="40" customFormat="1" ht="19.5" customHeight="1">
      <c r="A1081" s="25">
        <f t="shared" si="18"/>
        <v>1070</v>
      </c>
      <c r="B1081" s="26">
        <v>6302287</v>
      </c>
      <c r="C1081" s="27">
        <v>46188</v>
      </c>
      <c r="D1081" s="336">
        <v>3467.03</v>
      </c>
      <c r="E1081" s="29">
        <v>27102.2</v>
      </c>
      <c r="F1081" s="30" t="s">
        <v>4395</v>
      </c>
      <c r="G1081" s="27">
        <v>46191</v>
      </c>
      <c r="H1081" s="32">
        <v>3459.34</v>
      </c>
      <c r="I1081" s="33">
        <v>27102.199229999998</v>
      </c>
      <c r="J1081" s="34" t="s">
        <v>33</v>
      </c>
      <c r="K1081" t="s">
        <v>34</v>
      </c>
      <c r="L1081" s="35">
        <v>292319673</v>
      </c>
      <c r="M1081" s="388" t="s">
        <v>2359</v>
      </c>
      <c r="N1081" s="398" t="s">
        <v>4396</v>
      </c>
      <c r="O1081" t="s">
        <v>4397</v>
      </c>
      <c r="P1081" t="s">
        <v>4377</v>
      </c>
      <c r="Q1081" t="s">
        <v>4390</v>
      </c>
      <c r="R1081" s="332">
        <v>45992</v>
      </c>
      <c r="S1081" s="333">
        <v>47282</v>
      </c>
      <c r="T1081" s="332">
        <v>46184</v>
      </c>
      <c r="U1081" s="333">
        <v>46721</v>
      </c>
      <c r="V1081" s="40" t="s">
        <v>375</v>
      </c>
      <c r="W1081" s="41" t="s">
        <v>3151</v>
      </c>
      <c r="X1081" s="402" t="s">
        <v>4391</v>
      </c>
      <c r="Y1081" s="40" t="s">
        <v>185</v>
      </c>
      <c r="Z1081"/>
      <c r="AA1081" s="62"/>
      <c r="AB1081" s="44"/>
      <c r="AC1081" s="63">
        <v>10000496148</v>
      </c>
      <c r="AD1081" s="46">
        <v>46191</v>
      </c>
      <c r="AE1081">
        <v>3212439</v>
      </c>
      <c r="AF1081" s="39">
        <v>46205</v>
      </c>
      <c r="AG1081" s="49"/>
      <c r="AH1081" s="49"/>
      <c r="AI1081" s="49"/>
      <c r="AJ1081"/>
    </row>
    <row r="1082" spans="1:36" s="40" customFormat="1" ht="19.5" customHeight="1">
      <c r="A1082" s="25">
        <f t="shared" si="18"/>
        <v>1071</v>
      </c>
      <c r="B1082" s="26">
        <v>6302289</v>
      </c>
      <c r="C1082" s="27">
        <v>46188</v>
      </c>
      <c r="D1082" s="336">
        <v>3577.76</v>
      </c>
      <c r="E1082" s="29">
        <v>28029.96</v>
      </c>
      <c r="F1082" s="30" t="s">
        <v>4398</v>
      </c>
      <c r="G1082" s="27">
        <v>46195</v>
      </c>
      <c r="H1082" s="336">
        <v>3577.76</v>
      </c>
      <c r="I1082" s="29">
        <v>28029.96</v>
      </c>
      <c r="J1082" s="34" t="s">
        <v>33</v>
      </c>
      <c r="K1082" t="s">
        <v>34</v>
      </c>
      <c r="L1082" s="35">
        <v>282323447</v>
      </c>
      <c r="M1082" s="36" t="s">
        <v>2129</v>
      </c>
      <c r="N1082" s="398" t="s">
        <v>4399</v>
      </c>
      <c r="O1082" t="s">
        <v>4376</v>
      </c>
      <c r="P1082" t="s">
        <v>4377</v>
      </c>
      <c r="Q1082" t="s">
        <v>4390</v>
      </c>
      <c r="R1082" s="332">
        <v>45992</v>
      </c>
      <c r="S1082" s="333">
        <v>47282</v>
      </c>
      <c r="T1082" s="332">
        <v>46256</v>
      </c>
      <c r="U1082" s="333">
        <v>46996</v>
      </c>
      <c r="V1082" s="40" t="s">
        <v>375</v>
      </c>
      <c r="W1082" s="41" t="s">
        <v>3151</v>
      </c>
      <c r="X1082" s="402" t="s">
        <v>4391</v>
      </c>
      <c r="Y1082" s="40" t="s">
        <v>185</v>
      </c>
      <c r="Z1082"/>
      <c r="AA1082" s="62"/>
      <c r="AB1082" s="44"/>
      <c r="AC1082" s="63"/>
      <c r="AD1082" s="46"/>
      <c r="AE1082"/>
      <c r="AF1082" s="39"/>
      <c r="AG1082" s="49"/>
      <c r="AH1082" s="49"/>
      <c r="AI1082" s="49"/>
      <c r="AJ1082"/>
    </row>
    <row r="1083" spans="1:36" s="40" customFormat="1" ht="19.5" customHeight="1">
      <c r="A1083" s="25">
        <f t="shared" si="18"/>
        <v>1072</v>
      </c>
      <c r="B1083" s="26">
        <v>6302291</v>
      </c>
      <c r="C1083" s="27">
        <v>46188</v>
      </c>
      <c r="D1083" s="336">
        <v>226.28</v>
      </c>
      <c r="E1083" s="29">
        <v>1772.79</v>
      </c>
      <c r="F1083" s="30" t="s">
        <v>4400</v>
      </c>
      <c r="G1083" s="27">
        <v>46189</v>
      </c>
      <c r="H1083" s="32">
        <v>224.18</v>
      </c>
      <c r="I1083" s="33">
        <v>1756.3382099999999</v>
      </c>
      <c r="J1083" s="34" t="s">
        <v>33</v>
      </c>
      <c r="K1083" t="s">
        <v>34</v>
      </c>
      <c r="L1083" s="35">
        <v>272320447</v>
      </c>
      <c r="M1083" s="36" t="s">
        <v>2129</v>
      </c>
      <c r="N1083" s="398" t="s">
        <v>4401</v>
      </c>
      <c r="O1083" t="s">
        <v>4397</v>
      </c>
      <c r="P1083" t="s">
        <v>4377</v>
      </c>
      <c r="Q1083" t="s">
        <v>4390</v>
      </c>
      <c r="R1083" s="332">
        <v>45992</v>
      </c>
      <c r="S1083" s="333">
        <v>47282</v>
      </c>
      <c r="T1083" s="332">
        <v>46184</v>
      </c>
      <c r="U1083" s="333">
        <v>46721</v>
      </c>
      <c r="V1083" s="40" t="s">
        <v>375</v>
      </c>
      <c r="W1083" s="41" t="s">
        <v>3151</v>
      </c>
      <c r="X1083" s="402" t="s">
        <v>4391</v>
      </c>
      <c r="Y1083" s="40" t="s">
        <v>185</v>
      </c>
      <c r="Z1083"/>
      <c r="AA1083" s="62"/>
      <c r="AB1083" s="44"/>
      <c r="AC1083" s="63">
        <v>10000492228</v>
      </c>
      <c r="AD1083" s="46">
        <v>46190</v>
      </c>
      <c r="AE1083">
        <v>3212093</v>
      </c>
      <c r="AF1083" s="39">
        <v>46203</v>
      </c>
      <c r="AG1083" s="49"/>
      <c r="AH1083" s="49"/>
      <c r="AI1083" s="49"/>
      <c r="AJ1083"/>
    </row>
    <row r="1084" spans="1:36" s="40" customFormat="1" ht="19.5" customHeight="1">
      <c r="A1084" s="25">
        <f t="shared" si="18"/>
        <v>1073</v>
      </c>
      <c r="B1084" s="26">
        <v>6302348</v>
      </c>
      <c r="C1084" s="27">
        <v>46188</v>
      </c>
      <c r="D1084" s="336">
        <v>83.17</v>
      </c>
      <c r="E1084" s="29">
        <v>651.6</v>
      </c>
      <c r="F1084" s="30" t="s">
        <v>4402</v>
      </c>
      <c r="G1084" s="27">
        <v>46188</v>
      </c>
      <c r="H1084" s="336">
        <v>83.17</v>
      </c>
      <c r="I1084" s="29">
        <v>651.6</v>
      </c>
      <c r="J1084" s="34" t="s">
        <v>33</v>
      </c>
      <c r="K1084" t="s">
        <v>34</v>
      </c>
      <c r="L1084" s="35">
        <v>272317899</v>
      </c>
      <c r="M1084" s="36" t="s">
        <v>2129</v>
      </c>
      <c r="N1084" s="398" t="s">
        <v>4403</v>
      </c>
      <c r="O1084" t="s">
        <v>4376</v>
      </c>
      <c r="P1084" t="s">
        <v>4377</v>
      </c>
      <c r="Q1084" t="s">
        <v>4390</v>
      </c>
      <c r="R1084" s="332">
        <v>45992</v>
      </c>
      <c r="S1084" s="333">
        <v>47282</v>
      </c>
      <c r="T1084" s="332">
        <v>46181</v>
      </c>
      <c r="U1084" s="333">
        <v>46843</v>
      </c>
      <c r="V1084" s="40" t="s">
        <v>375</v>
      </c>
      <c r="W1084" s="41" t="s">
        <v>3151</v>
      </c>
      <c r="X1084" s="402" t="s">
        <v>4391</v>
      </c>
      <c r="Y1084" s="40" t="s">
        <v>185</v>
      </c>
      <c r="Z1084"/>
      <c r="AA1084" s="62"/>
      <c r="AB1084" s="44"/>
      <c r="AC1084" s="63">
        <v>10000489919</v>
      </c>
      <c r="AD1084" s="46">
        <v>46189</v>
      </c>
      <c r="AE1084">
        <v>3212002</v>
      </c>
      <c r="AF1084" s="39">
        <v>46202</v>
      </c>
      <c r="AG1084" s="49"/>
      <c r="AH1084" s="49"/>
      <c r="AI1084" s="49"/>
      <c r="AJ1084"/>
    </row>
    <row r="1085" spans="1:36" s="40" customFormat="1" ht="19.5" customHeight="1">
      <c r="A1085" s="25">
        <f t="shared" si="18"/>
        <v>1074</v>
      </c>
      <c r="B1085" s="26">
        <v>6302354</v>
      </c>
      <c r="C1085" s="27">
        <v>46188</v>
      </c>
      <c r="D1085" s="28">
        <v>105.76</v>
      </c>
      <c r="E1085" s="29">
        <v>828.58</v>
      </c>
      <c r="F1085" s="30" t="s">
        <v>4404</v>
      </c>
      <c r="G1085" s="27">
        <v>46188</v>
      </c>
      <c r="H1085" s="191">
        <v>102.08</v>
      </c>
      <c r="I1085" s="326">
        <f>828.58/105.76*102.08</f>
        <v>799.74892586989404</v>
      </c>
      <c r="J1085" s="34" t="s">
        <v>33</v>
      </c>
      <c r="K1085" t="s">
        <v>34</v>
      </c>
      <c r="L1085" s="35">
        <v>252324385</v>
      </c>
      <c r="M1085" s="36" t="s">
        <v>2129</v>
      </c>
      <c r="N1085" s="398" t="s">
        <v>4405</v>
      </c>
      <c r="O1085" t="s">
        <v>4397</v>
      </c>
      <c r="P1085" t="s">
        <v>4377</v>
      </c>
      <c r="Q1085" t="s">
        <v>4390</v>
      </c>
      <c r="R1085" s="332">
        <v>45992</v>
      </c>
      <c r="S1085" s="333">
        <v>47282</v>
      </c>
      <c r="T1085" s="332">
        <v>46184</v>
      </c>
      <c r="U1085" s="333">
        <v>46326</v>
      </c>
      <c r="V1085" s="40" t="s">
        <v>375</v>
      </c>
      <c r="W1085" s="41" t="s">
        <v>3151</v>
      </c>
      <c r="X1085" s="402" t="s">
        <v>4391</v>
      </c>
      <c r="Y1085" s="40" t="s">
        <v>185</v>
      </c>
      <c r="Z1085"/>
      <c r="AA1085" s="62"/>
      <c r="AB1085" s="44"/>
      <c r="AC1085" s="63">
        <v>10000489965</v>
      </c>
      <c r="AD1085" s="46">
        <v>46189</v>
      </c>
      <c r="AE1085">
        <v>3212005</v>
      </c>
      <c r="AF1085" s="39">
        <v>46202</v>
      </c>
      <c r="AG1085" s="49"/>
      <c r="AH1085" s="49"/>
      <c r="AI1085" s="49"/>
      <c r="AJ1085"/>
    </row>
    <row r="1086" spans="1:36" s="40" customFormat="1" ht="19.5" customHeight="1">
      <c r="A1086" s="25">
        <f t="shared" si="18"/>
        <v>1075</v>
      </c>
      <c r="B1086" s="26">
        <v>6302360</v>
      </c>
      <c r="C1086" s="27">
        <v>46188</v>
      </c>
      <c r="D1086" s="28">
        <v>805.12</v>
      </c>
      <c r="E1086" s="29">
        <v>6307.71</v>
      </c>
      <c r="F1086" s="30" t="s">
        <v>4406</v>
      </c>
      <c r="G1086" s="27">
        <v>46189</v>
      </c>
      <c r="H1086" s="68">
        <v>805.12</v>
      </c>
      <c r="I1086" s="29">
        <v>6307.71</v>
      </c>
      <c r="J1086" s="34" t="s">
        <v>33</v>
      </c>
      <c r="K1086" t="s">
        <v>34</v>
      </c>
      <c r="L1086" s="35">
        <v>242321003</v>
      </c>
      <c r="M1086" s="36" t="s">
        <v>2129</v>
      </c>
      <c r="N1086" s="398" t="s">
        <v>4407</v>
      </c>
      <c r="O1086" t="s">
        <v>4376</v>
      </c>
      <c r="P1086" t="s">
        <v>4377</v>
      </c>
      <c r="Q1086" t="s">
        <v>4390</v>
      </c>
      <c r="R1086" s="332">
        <v>45992</v>
      </c>
      <c r="S1086" s="333">
        <v>47282</v>
      </c>
      <c r="T1086" s="332">
        <v>46266</v>
      </c>
      <c r="U1086" s="333">
        <v>46691</v>
      </c>
      <c r="V1086" s="40" t="s">
        <v>375</v>
      </c>
      <c r="W1086" s="41" t="s">
        <v>3151</v>
      </c>
      <c r="X1086" s="402" t="s">
        <v>4391</v>
      </c>
      <c r="Y1086" s="40" t="s">
        <v>185</v>
      </c>
      <c r="Z1086"/>
      <c r="AA1086" s="62"/>
      <c r="AB1086" s="44"/>
      <c r="AC1086" s="63">
        <v>10000489957</v>
      </c>
      <c r="AD1086" s="46">
        <v>46189</v>
      </c>
      <c r="AE1086">
        <v>3212088</v>
      </c>
      <c r="AF1086" s="39">
        <v>46203</v>
      </c>
      <c r="AG1086" s="49"/>
      <c r="AH1086" s="49"/>
      <c r="AI1086" s="49"/>
      <c r="AJ1086"/>
    </row>
    <row r="1087" spans="1:36" s="40" customFormat="1" ht="19.5" customHeight="1">
      <c r="A1087" s="25">
        <f t="shared" si="18"/>
        <v>1076</v>
      </c>
      <c r="B1087" s="26">
        <v>6302452</v>
      </c>
      <c r="C1087" s="27">
        <v>46188</v>
      </c>
      <c r="D1087" s="28">
        <v>151.84</v>
      </c>
      <c r="E1087" s="29">
        <v>1189.5899999999999</v>
      </c>
      <c r="F1087" s="30" t="s">
        <v>4408</v>
      </c>
      <c r="G1087" s="27">
        <v>46188</v>
      </c>
      <c r="H1087" s="68">
        <v>151.84</v>
      </c>
      <c r="I1087" s="29">
        <v>1189.5899999999999</v>
      </c>
      <c r="J1087" s="34" t="s">
        <v>33</v>
      </c>
      <c r="K1087" t="s">
        <v>34</v>
      </c>
      <c r="L1087" s="404">
        <v>232321595</v>
      </c>
      <c r="M1087" s="36" t="s">
        <v>2129</v>
      </c>
      <c r="N1087" s="398" t="s">
        <v>4409</v>
      </c>
      <c r="O1087" t="s">
        <v>4376</v>
      </c>
      <c r="P1087" t="s">
        <v>4377</v>
      </c>
      <c r="Q1087" t="s">
        <v>4390</v>
      </c>
      <c r="R1087" s="332">
        <v>45992</v>
      </c>
      <c r="S1087" s="333">
        <v>47282</v>
      </c>
      <c r="T1087" s="332">
        <v>46181</v>
      </c>
      <c r="U1087" s="333">
        <v>46745</v>
      </c>
      <c r="V1087" s="40" t="s">
        <v>375</v>
      </c>
      <c r="W1087" s="41" t="s">
        <v>3151</v>
      </c>
      <c r="X1087" s="402" t="s">
        <v>4391</v>
      </c>
      <c r="Y1087" s="40" t="s">
        <v>185</v>
      </c>
      <c r="Z1087"/>
      <c r="AA1087" s="62"/>
      <c r="AB1087" s="44"/>
      <c r="AC1087" s="63">
        <v>10000489962</v>
      </c>
      <c r="AD1087" s="46">
        <v>46189</v>
      </c>
      <c r="AE1087">
        <v>3211999</v>
      </c>
      <c r="AF1087" s="39">
        <v>46202</v>
      </c>
      <c r="AG1087" s="49"/>
      <c r="AH1087" s="49"/>
      <c r="AI1087" s="49"/>
      <c r="AJ1087"/>
    </row>
    <row r="1088" spans="1:36" s="40" customFormat="1" ht="19.5" customHeight="1">
      <c r="A1088" s="25">
        <f t="shared" si="18"/>
        <v>1077</v>
      </c>
      <c r="B1088" s="26">
        <v>6302463</v>
      </c>
      <c r="C1088" s="27">
        <v>46188</v>
      </c>
      <c r="D1088" s="68">
        <v>670.18</v>
      </c>
      <c r="E1088" s="29">
        <v>5250.53</v>
      </c>
      <c r="F1088" s="30" t="s">
        <v>4410</v>
      </c>
      <c r="G1088" s="27">
        <v>46191</v>
      </c>
      <c r="H1088" s="68">
        <v>670.18</v>
      </c>
      <c r="I1088" s="29">
        <v>5250.53</v>
      </c>
      <c r="J1088" s="34" t="s">
        <v>3877</v>
      </c>
      <c r="K1088" t="s">
        <v>34</v>
      </c>
      <c r="L1088" s="35">
        <v>232321583</v>
      </c>
      <c r="M1088" s="36" t="s">
        <v>2129</v>
      </c>
      <c r="N1088" s="398" t="s">
        <v>4411</v>
      </c>
      <c r="O1088" t="s">
        <v>4397</v>
      </c>
      <c r="P1088" t="s">
        <v>4377</v>
      </c>
      <c r="Q1088" t="s">
        <v>4390</v>
      </c>
      <c r="R1088" s="332">
        <v>45992</v>
      </c>
      <c r="S1088" s="333">
        <v>47282</v>
      </c>
      <c r="T1088" s="332">
        <v>46181</v>
      </c>
      <c r="U1088" s="333">
        <v>46835</v>
      </c>
      <c r="V1088" s="40" t="s">
        <v>375</v>
      </c>
      <c r="W1088" s="41" t="s">
        <v>3151</v>
      </c>
      <c r="X1088" s="402" t="s">
        <v>4391</v>
      </c>
      <c r="Y1088" s="40" t="s">
        <v>185</v>
      </c>
      <c r="Z1088"/>
      <c r="AA1088" s="62"/>
      <c r="AB1088" s="44"/>
      <c r="AC1088" s="63">
        <v>10000496116</v>
      </c>
      <c r="AD1088" s="46">
        <v>46191</v>
      </c>
      <c r="AE1088">
        <v>3212432</v>
      </c>
      <c r="AF1088" s="39">
        <v>46205</v>
      </c>
      <c r="AG1088" s="49"/>
      <c r="AH1088" s="49"/>
      <c r="AI1088" s="49"/>
      <c r="AJ1088"/>
    </row>
    <row r="1089" spans="1:36" s="40" customFormat="1" ht="19.5" customHeight="1">
      <c r="A1089" s="25">
        <f t="shared" si="18"/>
        <v>1078</v>
      </c>
      <c r="B1089" s="26">
        <v>6302466</v>
      </c>
      <c r="C1089" s="400">
        <v>46267</v>
      </c>
      <c r="D1089" s="70">
        <v>773.87</v>
      </c>
      <c r="E1089" s="65">
        <v>6065.75</v>
      </c>
      <c r="F1089" s="30" t="s">
        <v>4412</v>
      </c>
      <c r="G1089" s="27">
        <v>46198</v>
      </c>
      <c r="H1089" s="68">
        <v>362.02</v>
      </c>
      <c r="I1089" s="29">
        <v>2836.25</v>
      </c>
      <c r="J1089" s="34" t="s">
        <v>33</v>
      </c>
      <c r="K1089" t="s">
        <v>34</v>
      </c>
      <c r="L1089" s="405">
        <v>272340210</v>
      </c>
      <c r="M1089" s="36" t="s">
        <v>2129</v>
      </c>
      <c r="N1089" s="398" t="s">
        <v>4413</v>
      </c>
      <c r="O1089" t="s">
        <v>4376</v>
      </c>
      <c r="P1089" t="s">
        <v>4377</v>
      </c>
      <c r="Q1089" t="s">
        <v>4390</v>
      </c>
      <c r="R1089" s="332">
        <v>45992</v>
      </c>
      <c r="S1089" s="333">
        <v>47282</v>
      </c>
      <c r="T1089" s="332">
        <v>46576</v>
      </c>
      <c r="U1089" s="333">
        <v>47312</v>
      </c>
      <c r="V1089" s="40" t="s">
        <v>375</v>
      </c>
      <c r="W1089" s="41" t="s">
        <v>3151</v>
      </c>
      <c r="X1089" s="402" t="s">
        <v>4391</v>
      </c>
      <c r="Y1089" s="40" t="s">
        <v>185</v>
      </c>
      <c r="Z1089"/>
      <c r="AA1089" s="62"/>
      <c r="AB1089" s="44"/>
      <c r="AC1089" s="63">
        <v>10000718825</v>
      </c>
      <c r="AD1089" s="46">
        <v>46273</v>
      </c>
      <c r="AE1089"/>
      <c r="AF1089" s="399" t="s">
        <v>4414</v>
      </c>
      <c r="AG1089" s="49"/>
      <c r="AH1089" s="49"/>
      <c r="AI1089" s="49"/>
      <c r="AJ1089"/>
    </row>
    <row r="1090" spans="1:36" s="40" customFormat="1" ht="19.5" customHeight="1">
      <c r="A1090" s="25">
        <f t="shared" si="18"/>
        <v>1079</v>
      </c>
      <c r="B1090" s="26">
        <v>6302486</v>
      </c>
      <c r="C1090" s="27">
        <v>46188</v>
      </c>
      <c r="D1090" s="28">
        <v>696.22</v>
      </c>
      <c r="E1090" s="29">
        <v>5454.54</v>
      </c>
      <c r="F1090" s="30" t="s">
        <v>4415</v>
      </c>
      <c r="G1090" s="27">
        <v>46190</v>
      </c>
      <c r="H1090" s="32">
        <v>694.23</v>
      </c>
      <c r="I1090" s="33">
        <v>5438.9449350000004</v>
      </c>
      <c r="J1090" s="34" t="s">
        <v>3877</v>
      </c>
      <c r="K1090" t="s">
        <v>34</v>
      </c>
      <c r="L1090" s="35">
        <v>232321246</v>
      </c>
      <c r="M1090" s="36" t="s">
        <v>2129</v>
      </c>
      <c r="N1090" s="398" t="s">
        <v>4416</v>
      </c>
      <c r="O1090" t="s">
        <v>4397</v>
      </c>
      <c r="P1090" t="s">
        <v>4377</v>
      </c>
      <c r="Q1090" t="s">
        <v>4390</v>
      </c>
      <c r="R1090" s="332">
        <v>45992</v>
      </c>
      <c r="S1090" s="333">
        <v>47282</v>
      </c>
      <c r="T1090" s="332">
        <v>46211</v>
      </c>
      <c r="U1090" s="333">
        <v>46942</v>
      </c>
      <c r="V1090" s="40" t="s">
        <v>375</v>
      </c>
      <c r="W1090" s="41" t="s">
        <v>3151</v>
      </c>
      <c r="X1090" s="402" t="s">
        <v>4391</v>
      </c>
      <c r="Y1090" s="40" t="s">
        <v>185</v>
      </c>
      <c r="Z1090"/>
      <c r="AA1090" s="62"/>
      <c r="AB1090" s="44"/>
      <c r="AC1090" s="63">
        <v>10000496122</v>
      </c>
      <c r="AD1090" s="46">
        <v>46191</v>
      </c>
      <c r="AE1090">
        <v>3212434</v>
      </c>
      <c r="AF1090" s="39">
        <v>46205</v>
      </c>
      <c r="AG1090" s="49"/>
      <c r="AH1090" s="49"/>
      <c r="AI1090" s="49"/>
      <c r="AJ1090"/>
    </row>
    <row r="1091" spans="1:36" s="40" customFormat="1" ht="19.5" customHeight="1">
      <c r="A1091" s="25">
        <f t="shared" si="18"/>
        <v>1080</v>
      </c>
      <c r="B1091" s="26">
        <v>6302488</v>
      </c>
      <c r="C1091" s="27">
        <v>46188</v>
      </c>
      <c r="D1091" s="28">
        <v>3118.95</v>
      </c>
      <c r="E1091" s="29">
        <v>24435.41</v>
      </c>
      <c r="F1091" s="30" t="s">
        <v>4417</v>
      </c>
      <c r="G1091" s="27">
        <v>46190</v>
      </c>
      <c r="H1091" s="68">
        <v>3118.95</v>
      </c>
      <c r="I1091" s="29">
        <v>24435.41</v>
      </c>
      <c r="J1091" s="34" t="s">
        <v>33</v>
      </c>
      <c r="K1091" t="s">
        <v>34</v>
      </c>
      <c r="L1091" s="35">
        <v>232321244</v>
      </c>
      <c r="M1091" s="36" t="s">
        <v>2129</v>
      </c>
      <c r="N1091" s="398" t="s">
        <v>4418</v>
      </c>
      <c r="O1091" t="s">
        <v>4376</v>
      </c>
      <c r="P1091" t="s">
        <v>4377</v>
      </c>
      <c r="Q1091" t="s">
        <v>4390</v>
      </c>
      <c r="R1091" s="332">
        <v>45992</v>
      </c>
      <c r="S1091" s="333">
        <v>47282</v>
      </c>
      <c r="T1091" s="332">
        <v>46181</v>
      </c>
      <c r="U1091" s="333">
        <v>46802</v>
      </c>
      <c r="V1091" s="40" t="s">
        <v>375</v>
      </c>
      <c r="W1091" s="41" t="s">
        <v>3151</v>
      </c>
      <c r="X1091" s="402" t="s">
        <v>4391</v>
      </c>
      <c r="Y1091" s="40" t="s">
        <v>185</v>
      </c>
      <c r="Z1091"/>
      <c r="AA1091" s="62"/>
      <c r="AB1091" s="44"/>
      <c r="AC1091" s="63">
        <v>10000492171</v>
      </c>
      <c r="AD1091" s="46">
        <v>46190</v>
      </c>
      <c r="AE1091">
        <v>3212094</v>
      </c>
      <c r="AF1091" s="39">
        <v>46203</v>
      </c>
      <c r="AG1091" s="49"/>
      <c r="AH1091" s="49"/>
      <c r="AI1091" s="49"/>
      <c r="AJ1091"/>
    </row>
    <row r="1092" spans="1:36" s="40" customFormat="1" ht="19.5" customHeight="1">
      <c r="A1092" s="25">
        <f t="shared" si="18"/>
        <v>1081</v>
      </c>
      <c r="B1092" s="26">
        <v>6302497</v>
      </c>
      <c r="C1092" s="27">
        <v>46188</v>
      </c>
      <c r="D1092" s="28">
        <v>460.8</v>
      </c>
      <c r="E1092" s="29">
        <v>3610.14</v>
      </c>
      <c r="F1092" s="30" t="s">
        <v>4419</v>
      </c>
      <c r="G1092" s="27">
        <v>46196</v>
      </c>
      <c r="H1092" s="68">
        <v>460.8</v>
      </c>
      <c r="I1092" s="29">
        <v>3610.14</v>
      </c>
      <c r="J1092" s="34" t="s">
        <v>33</v>
      </c>
      <c r="K1092" t="s">
        <v>34</v>
      </c>
      <c r="L1092" s="35">
        <v>352260446</v>
      </c>
      <c r="M1092" s="36" t="s">
        <v>2129</v>
      </c>
      <c r="N1092" s="398" t="s">
        <v>4420</v>
      </c>
      <c r="O1092" t="s">
        <v>4376</v>
      </c>
      <c r="P1092" t="s">
        <v>4377</v>
      </c>
      <c r="Q1092" t="s">
        <v>4390</v>
      </c>
      <c r="R1092" s="332">
        <v>45992</v>
      </c>
      <c r="S1092" s="333">
        <v>47282</v>
      </c>
      <c r="T1092" s="332">
        <v>46184</v>
      </c>
      <c r="U1092" s="333">
        <v>46721</v>
      </c>
      <c r="V1092" s="40" t="s">
        <v>375</v>
      </c>
      <c r="W1092" s="41" t="s">
        <v>3151</v>
      </c>
      <c r="X1092" s="402" t="s">
        <v>4391</v>
      </c>
      <c r="Y1092" s="40" t="s">
        <v>185</v>
      </c>
      <c r="Z1092"/>
      <c r="AA1092" s="62"/>
      <c r="AB1092" s="44"/>
      <c r="AC1092" s="63">
        <v>10000510519</v>
      </c>
      <c r="AD1092" s="46">
        <v>46197</v>
      </c>
      <c r="AE1092"/>
      <c r="AF1092" s="39"/>
      <c r="AG1092" s="49"/>
      <c r="AH1092" s="49"/>
      <c r="AI1092" s="49"/>
      <c r="AJ1092"/>
    </row>
    <row r="1093" spans="1:36" s="40" customFormat="1" ht="19.5" customHeight="1">
      <c r="A1093" s="25">
        <f t="shared" si="18"/>
        <v>1082</v>
      </c>
      <c r="B1093" s="26">
        <v>6302502</v>
      </c>
      <c r="C1093" s="27">
        <v>46188</v>
      </c>
      <c r="D1093" s="406">
        <v>3218.9</v>
      </c>
      <c r="E1093" s="29">
        <v>25218.47</v>
      </c>
      <c r="F1093" s="30" t="s">
        <v>4421</v>
      </c>
      <c r="G1093" s="27">
        <v>46197</v>
      </c>
      <c r="H1093" s="32">
        <v>3099.68</v>
      </c>
      <c r="I1093" s="33">
        <v>24284.44296</v>
      </c>
      <c r="J1093" s="34" t="s">
        <v>33</v>
      </c>
      <c r="K1093" t="s">
        <v>34</v>
      </c>
      <c r="L1093" s="407">
        <v>232319044</v>
      </c>
      <c r="M1093" s="36" t="s">
        <v>2129</v>
      </c>
      <c r="N1093" s="398" t="s">
        <v>4422</v>
      </c>
      <c r="O1093" t="s">
        <v>4376</v>
      </c>
      <c r="P1093" t="s">
        <v>4377</v>
      </c>
      <c r="Q1093" t="s">
        <v>4390</v>
      </c>
      <c r="R1093" s="332">
        <v>45992</v>
      </c>
      <c r="S1093" s="333">
        <v>47282</v>
      </c>
      <c r="T1093" s="332">
        <v>46184</v>
      </c>
      <c r="U1093" s="333">
        <v>46507</v>
      </c>
      <c r="V1093" s="40" t="s">
        <v>375</v>
      </c>
      <c r="W1093" s="41" t="s">
        <v>3151</v>
      </c>
      <c r="X1093" s="402" t="s">
        <v>4391</v>
      </c>
      <c r="Y1093" s="40" t="s">
        <v>185</v>
      </c>
      <c r="Z1093"/>
      <c r="AA1093" s="62"/>
      <c r="AB1093" s="44"/>
      <c r="AC1093" s="63">
        <v>10000510557</v>
      </c>
      <c r="AD1093" s="46">
        <v>46197</v>
      </c>
      <c r="AE1093"/>
      <c r="AF1093" s="39"/>
      <c r="AG1093" s="49"/>
      <c r="AH1093" s="49"/>
      <c r="AI1093" s="49"/>
      <c r="AJ1093"/>
    </row>
    <row r="1094" spans="1:36" s="40" customFormat="1" ht="19.5" customHeight="1">
      <c r="A1094" s="25">
        <f t="shared" si="18"/>
        <v>1083</v>
      </c>
      <c r="B1094" s="99">
        <v>6302505</v>
      </c>
      <c r="C1094" s="100">
        <v>46188</v>
      </c>
      <c r="D1094" s="221"/>
      <c r="E1094" s="222"/>
      <c r="F1094" s="408"/>
      <c r="G1094" s="409" t="s">
        <v>4423</v>
      </c>
      <c r="H1094" s="223"/>
      <c r="I1094" s="222" t="s">
        <v>4292</v>
      </c>
      <c r="J1094" s="107" t="s">
        <v>33</v>
      </c>
      <c r="K1094" s="108" t="s">
        <v>34</v>
      </c>
      <c r="L1094" s="108">
        <v>212322842</v>
      </c>
      <c r="M1094" s="110" t="s">
        <v>2129</v>
      </c>
      <c r="N1094" s="410" t="s">
        <v>4424</v>
      </c>
      <c r="O1094" s="108" t="s">
        <v>4376</v>
      </c>
      <c r="P1094" s="108" t="s">
        <v>4377</v>
      </c>
      <c r="Q1094" s="108" t="s">
        <v>4390</v>
      </c>
      <c r="R1094" s="358">
        <v>45992</v>
      </c>
      <c r="S1094" s="359">
        <v>47282</v>
      </c>
      <c r="T1094" s="358">
        <v>46181</v>
      </c>
      <c r="U1094" s="359">
        <v>46721</v>
      </c>
      <c r="V1094" s="229" t="s">
        <v>375</v>
      </c>
      <c r="W1094" s="230" t="s">
        <v>3151</v>
      </c>
      <c r="X1094" s="108" t="s">
        <v>4391</v>
      </c>
      <c r="Y1094" s="229" t="s">
        <v>185</v>
      </c>
      <c r="Z1094" s="112"/>
      <c r="AA1094" s="118"/>
      <c r="AB1094" s="119"/>
      <c r="AC1094" s="120"/>
      <c r="AD1094" s="121"/>
      <c r="AE1094" s="112"/>
      <c r="AF1094" s="411" t="s">
        <v>4425</v>
      </c>
      <c r="AG1094" s="49"/>
      <c r="AH1094" s="49"/>
      <c r="AI1094" s="49"/>
      <c r="AJ1094"/>
    </row>
    <row r="1095" spans="1:36" s="40" customFormat="1" ht="19.5" customHeight="1">
      <c r="A1095" s="25">
        <f t="shared" si="18"/>
        <v>1084</v>
      </c>
      <c r="B1095" s="91">
        <v>6302255</v>
      </c>
      <c r="C1095" s="92">
        <v>46188</v>
      </c>
      <c r="D1095" s="391" t="s">
        <v>141</v>
      </c>
      <c r="E1095" s="195">
        <v>10865.53</v>
      </c>
      <c r="F1095" s="93" t="s">
        <v>4426</v>
      </c>
      <c r="G1095" s="412" t="s">
        <v>4427</v>
      </c>
      <c r="H1095" s="391" t="s">
        <v>141</v>
      </c>
      <c r="I1095" s="195" t="s">
        <v>4292</v>
      </c>
      <c r="J1095" s="94" t="s">
        <v>159</v>
      </c>
      <c r="K1095" s="95" t="s">
        <v>398</v>
      </c>
      <c r="L1095" s="95" t="s">
        <v>4428</v>
      </c>
      <c r="M1095" s="96" t="s">
        <v>4429</v>
      </c>
      <c r="N1095" s="197" t="s">
        <v>4430</v>
      </c>
      <c r="O1095" s="95" t="s">
        <v>4386</v>
      </c>
      <c r="P1095" s="95" t="s">
        <v>4387</v>
      </c>
      <c r="Q1095" s="95" t="s">
        <v>4388</v>
      </c>
      <c r="R1095" s="354">
        <v>46113</v>
      </c>
      <c r="S1095" s="355">
        <v>46477</v>
      </c>
      <c r="T1095" s="354">
        <v>46113</v>
      </c>
      <c r="U1095" s="355">
        <v>46477</v>
      </c>
      <c r="V1095" s="201" t="s">
        <v>1306</v>
      </c>
      <c r="W1095" s="202" t="s">
        <v>39</v>
      </c>
      <c r="X1095" s="201" t="s">
        <v>4389</v>
      </c>
      <c r="Y1095" s="201" t="s">
        <v>56</v>
      </c>
      <c r="Z1095"/>
      <c r="AA1095" s="62"/>
      <c r="AB1095" s="44"/>
      <c r="AC1095" s="63"/>
      <c r="AD1095" s="46"/>
      <c r="AE1095"/>
      <c r="AF1095" s="399" t="s">
        <v>4431</v>
      </c>
      <c r="AG1095" s="49"/>
      <c r="AH1095" s="49"/>
      <c r="AI1095" s="49"/>
      <c r="AJ1095"/>
    </row>
    <row r="1096" spans="1:36" s="40" customFormat="1" ht="19.5" customHeight="1">
      <c r="A1096" s="25">
        <f t="shared" si="18"/>
        <v>1085</v>
      </c>
      <c r="B1096" s="26">
        <v>6302968</v>
      </c>
      <c r="C1096" s="27">
        <v>46189</v>
      </c>
      <c r="D1096" s="28">
        <v>1242</v>
      </c>
      <c r="E1096" s="29">
        <v>9730.4500000000007</v>
      </c>
      <c r="F1096" s="30" t="s">
        <v>4432</v>
      </c>
      <c r="G1096" s="27">
        <v>46189</v>
      </c>
      <c r="H1096" s="32">
        <v>1242</v>
      </c>
      <c r="I1096" s="33">
        <v>9730.4500000000007</v>
      </c>
      <c r="J1096" s="34" t="s">
        <v>33</v>
      </c>
      <c r="K1096" t="s">
        <v>34</v>
      </c>
      <c r="L1096" s="35">
        <v>392259379</v>
      </c>
      <c r="M1096" s="36" t="s">
        <v>3217</v>
      </c>
      <c r="N1096" s="37" t="s">
        <v>1346</v>
      </c>
      <c r="O1096" t="s">
        <v>4433</v>
      </c>
      <c r="P1096" t="s">
        <v>4434</v>
      </c>
      <c r="Q1096" t="s">
        <v>4435</v>
      </c>
      <c r="R1096" s="332">
        <v>46214</v>
      </c>
      <c r="S1096" s="333">
        <v>46578</v>
      </c>
      <c r="T1096" s="332">
        <v>46214</v>
      </c>
      <c r="U1096" s="333">
        <v>46578</v>
      </c>
      <c r="V1096" s="40" t="s">
        <v>245</v>
      </c>
      <c r="W1096" s="41" t="s">
        <v>3151</v>
      </c>
      <c r="X1096" s="40" t="s">
        <v>4436</v>
      </c>
      <c r="Y1096" s="40" t="s">
        <v>56</v>
      </c>
      <c r="Z1096"/>
      <c r="AA1096" s="62"/>
      <c r="AB1096" s="44"/>
      <c r="AC1096" s="63"/>
      <c r="AD1096" s="46"/>
      <c r="AE1096"/>
      <c r="AF1096" s="39"/>
      <c r="AG1096" s="49"/>
      <c r="AH1096" s="49"/>
      <c r="AI1096" s="49"/>
      <c r="AJ1096"/>
    </row>
    <row r="1097" spans="1:36" s="40" customFormat="1" ht="19.5" customHeight="1">
      <c r="A1097" s="25">
        <f t="shared" si="18"/>
        <v>1086</v>
      </c>
      <c r="B1097" s="26">
        <v>6302615</v>
      </c>
      <c r="C1097" s="27">
        <v>46188</v>
      </c>
      <c r="D1097" s="80" t="s">
        <v>141</v>
      </c>
      <c r="E1097" s="29">
        <v>4980</v>
      </c>
      <c r="F1097" s="30" t="s">
        <v>4437</v>
      </c>
      <c r="G1097" s="27">
        <v>46203</v>
      </c>
      <c r="H1097" s="80" t="s">
        <v>141</v>
      </c>
      <c r="I1097" s="33">
        <v>4980</v>
      </c>
      <c r="J1097" s="34" t="s">
        <v>33</v>
      </c>
      <c r="K1097" t="s">
        <v>139</v>
      </c>
      <c r="L1097" s="35">
        <v>80005454</v>
      </c>
      <c r="M1097" s="36" t="s">
        <v>4438</v>
      </c>
      <c r="N1097" s="37" t="s">
        <v>4439</v>
      </c>
      <c r="O1097" t="s">
        <v>4440</v>
      </c>
      <c r="P1097" t="s">
        <v>4341</v>
      </c>
      <c r="Q1097" t="s">
        <v>3190</v>
      </c>
      <c r="R1097" s="332">
        <v>46174</v>
      </c>
      <c r="S1097" s="333">
        <v>46538</v>
      </c>
      <c r="T1097" s="332">
        <v>46174</v>
      </c>
      <c r="U1097" s="333">
        <v>46538</v>
      </c>
      <c r="V1097" s="40" t="s">
        <v>44</v>
      </c>
      <c r="W1097" s="41" t="s">
        <v>39</v>
      </c>
      <c r="X1097" s="40" t="s">
        <v>4441</v>
      </c>
      <c r="Y1097" s="40" t="s">
        <v>56</v>
      </c>
      <c r="Z1097"/>
      <c r="AA1097" s="62"/>
      <c r="AB1097" s="44"/>
      <c r="AC1097" s="63"/>
      <c r="AD1097" s="46"/>
      <c r="AE1097"/>
      <c r="AF1097" s="39"/>
      <c r="AG1097" s="49"/>
      <c r="AH1097" s="49"/>
      <c r="AI1097" s="49"/>
      <c r="AJ1097"/>
    </row>
    <row r="1098" spans="1:36" s="40" customFormat="1" ht="19.5" customHeight="1">
      <c r="A1098" s="25">
        <f t="shared" si="18"/>
        <v>1087</v>
      </c>
      <c r="B1098" s="26">
        <v>6303099</v>
      </c>
      <c r="C1098" s="27">
        <v>46189</v>
      </c>
      <c r="D1098" s="80" t="s">
        <v>141</v>
      </c>
      <c r="E1098" s="29">
        <v>12000</v>
      </c>
      <c r="F1098" s="30" t="s">
        <v>4442</v>
      </c>
      <c r="G1098" s="27">
        <v>46205</v>
      </c>
      <c r="H1098" s="80" t="s">
        <v>141</v>
      </c>
      <c r="I1098" s="33">
        <v>12000</v>
      </c>
      <c r="J1098" s="34" t="s">
        <v>33</v>
      </c>
      <c r="K1098" t="s">
        <v>139</v>
      </c>
      <c r="L1098" s="35">
        <v>80005453</v>
      </c>
      <c r="M1098" s="36" t="s">
        <v>4443</v>
      </c>
      <c r="N1098" s="37" t="s">
        <v>4444</v>
      </c>
      <c r="O1098" t="s">
        <v>4445</v>
      </c>
      <c r="P1098" t="s">
        <v>4446</v>
      </c>
      <c r="Q1098" t="s">
        <v>4200</v>
      </c>
      <c r="R1098" s="332">
        <v>46186</v>
      </c>
      <c r="S1098" s="333">
        <v>46215</v>
      </c>
      <c r="T1098" s="50" t="s">
        <v>141</v>
      </c>
      <c r="U1098" s="47" t="s">
        <v>141</v>
      </c>
      <c r="V1098" s="40" t="s">
        <v>306</v>
      </c>
      <c r="W1098" s="41" t="s">
        <v>39</v>
      </c>
      <c r="X1098" s="40" t="s">
        <v>4447</v>
      </c>
      <c r="Y1098" s="40" t="s">
        <v>56</v>
      </c>
      <c r="Z1098"/>
      <c r="AA1098" s="62"/>
      <c r="AB1098" s="44"/>
      <c r="AC1098" s="63"/>
      <c r="AD1098" s="46"/>
      <c r="AE1098"/>
      <c r="AF1098" s="39"/>
      <c r="AG1098" s="49"/>
      <c r="AH1098" s="49"/>
      <c r="AI1098" s="49"/>
      <c r="AJ1098"/>
    </row>
    <row r="1099" spans="1:36" s="40" customFormat="1" ht="19.5" customHeight="1">
      <c r="A1099" s="25">
        <f t="shared" si="18"/>
        <v>1088</v>
      </c>
      <c r="B1099" s="26">
        <v>6304059</v>
      </c>
      <c r="C1099" s="27">
        <v>46195</v>
      </c>
      <c r="D1099" s="28">
        <v>133.30000000000001</v>
      </c>
      <c r="E1099" s="29">
        <v>1044.3399999999999</v>
      </c>
      <c r="F1099" s="30" t="s">
        <v>4448</v>
      </c>
      <c r="G1099" s="27">
        <v>46196</v>
      </c>
      <c r="H1099" s="32">
        <v>133.30000000000001</v>
      </c>
      <c r="I1099" s="33">
        <v>1044.3399999999999</v>
      </c>
      <c r="J1099" s="34" t="s">
        <v>33</v>
      </c>
      <c r="K1099" t="s">
        <v>34</v>
      </c>
      <c r="L1099" s="35">
        <v>372283797</v>
      </c>
      <c r="M1099" s="36" t="s">
        <v>2550</v>
      </c>
      <c r="N1099" s="37" t="s">
        <v>1540</v>
      </c>
      <c r="O1099" t="s">
        <v>4449</v>
      </c>
      <c r="P1099" t="s">
        <v>4450</v>
      </c>
      <c r="Q1099" t="s">
        <v>4451</v>
      </c>
      <c r="R1099" s="332">
        <v>46174</v>
      </c>
      <c r="S1099" s="333">
        <v>46538</v>
      </c>
      <c r="T1099" s="332">
        <v>46174</v>
      </c>
      <c r="U1099" s="333">
        <v>46630</v>
      </c>
      <c r="V1099" s="40" t="s">
        <v>590</v>
      </c>
      <c r="W1099" s="41" t="s">
        <v>3151</v>
      </c>
      <c r="X1099" s="40" t="s">
        <v>4452</v>
      </c>
      <c r="Y1099" s="40" t="s">
        <v>56</v>
      </c>
      <c r="Z1099"/>
      <c r="AA1099" s="62"/>
      <c r="AB1099" s="44"/>
      <c r="AC1099" s="63">
        <v>10000513331</v>
      </c>
      <c r="AD1099" s="46">
        <v>46198</v>
      </c>
      <c r="AE1099"/>
      <c r="AF1099" s="39"/>
      <c r="AG1099" s="49"/>
      <c r="AH1099" s="49"/>
      <c r="AI1099" s="49"/>
      <c r="AJ1099"/>
    </row>
    <row r="1100" spans="1:36" s="40" customFormat="1" ht="19.5" customHeight="1">
      <c r="A1100" s="25">
        <f t="shared" si="18"/>
        <v>1089</v>
      </c>
      <c r="B1100" s="291" t="s">
        <v>141</v>
      </c>
      <c r="C1100" s="31" t="s">
        <v>141</v>
      </c>
      <c r="D1100" s="80" t="s">
        <v>141</v>
      </c>
      <c r="E1100" s="288" t="s">
        <v>141</v>
      </c>
      <c r="F1100" s="30" t="s">
        <v>4453</v>
      </c>
      <c r="G1100" s="27">
        <v>46191</v>
      </c>
      <c r="H1100" s="296" t="s">
        <v>141</v>
      </c>
      <c r="I1100" s="33">
        <v>1770</v>
      </c>
      <c r="J1100" s="34" t="s">
        <v>3421</v>
      </c>
      <c r="K1100" t="s">
        <v>139</v>
      </c>
      <c r="L1100" s="35" t="s">
        <v>4454</v>
      </c>
      <c r="M1100" s="36" t="s">
        <v>4455</v>
      </c>
      <c r="N1100" s="37" t="s">
        <v>1383</v>
      </c>
      <c r="O1100" t="s">
        <v>4449</v>
      </c>
      <c r="P1100" t="s">
        <v>4450</v>
      </c>
      <c r="Q1100" t="s">
        <v>4451</v>
      </c>
      <c r="R1100" s="332">
        <v>46174</v>
      </c>
      <c r="S1100" s="333">
        <v>46538</v>
      </c>
      <c r="T1100" s="50" t="s">
        <v>141</v>
      </c>
      <c r="U1100" s="47" t="s">
        <v>141</v>
      </c>
      <c r="V1100" s="40" t="s">
        <v>590</v>
      </c>
      <c r="W1100" s="41" t="s">
        <v>39</v>
      </c>
      <c r="X1100" s="40" t="s">
        <v>4452</v>
      </c>
      <c r="Y1100" s="40" t="s">
        <v>185</v>
      </c>
      <c r="Z1100"/>
      <c r="AA1100" s="62">
        <v>90007958</v>
      </c>
      <c r="AB1100" s="44">
        <v>46226</v>
      </c>
      <c r="AC1100" s="63">
        <v>60018086</v>
      </c>
      <c r="AD1100" s="46">
        <v>46226</v>
      </c>
      <c r="AE1100">
        <v>3221053</v>
      </c>
      <c r="AF1100" s="39">
        <v>46270</v>
      </c>
      <c r="AG1100" s="49"/>
      <c r="AH1100" s="49"/>
      <c r="AI1100" s="49"/>
      <c r="AJ1100"/>
    </row>
    <row r="1101" spans="1:36" s="40" customFormat="1" ht="19.5" customHeight="1">
      <c r="A1101" s="25">
        <f t="shared" si="18"/>
        <v>1090</v>
      </c>
      <c r="B1101" s="26">
        <v>6304390</v>
      </c>
      <c r="C1101" s="27">
        <v>46195</v>
      </c>
      <c r="D1101" s="28">
        <v>405.14</v>
      </c>
      <c r="E1101" s="29">
        <v>3174.07</v>
      </c>
      <c r="F1101" s="30" t="s">
        <v>4456</v>
      </c>
      <c r="G1101" s="27">
        <v>46202</v>
      </c>
      <c r="H1101" s="68">
        <v>405.14</v>
      </c>
      <c r="I1101" s="29">
        <v>3174.07</v>
      </c>
      <c r="J1101" s="34" t="s">
        <v>33</v>
      </c>
      <c r="K1101" t="s">
        <v>34</v>
      </c>
      <c r="L1101" s="35">
        <v>282329449</v>
      </c>
      <c r="M1101" s="36" t="s">
        <v>2129</v>
      </c>
      <c r="N1101" s="37" t="s">
        <v>1346</v>
      </c>
      <c r="O1101" t="s">
        <v>4457</v>
      </c>
      <c r="P1101" t="s">
        <v>4458</v>
      </c>
      <c r="Q1101" t="s">
        <v>4459</v>
      </c>
      <c r="R1101" s="332">
        <v>46204</v>
      </c>
      <c r="S1101" s="333">
        <v>46568</v>
      </c>
      <c r="T1101" s="332">
        <v>46204</v>
      </c>
      <c r="U1101" s="333">
        <v>46568</v>
      </c>
      <c r="V1101" s="40" t="s">
        <v>756</v>
      </c>
      <c r="W1101" s="41" t="s">
        <v>3151</v>
      </c>
      <c r="X1101" s="40" t="s">
        <v>4460</v>
      </c>
      <c r="Y1101" s="40" t="s">
        <v>56</v>
      </c>
      <c r="Z1101"/>
      <c r="AA1101" s="62"/>
      <c r="AB1101" s="44"/>
      <c r="AC1101" s="63">
        <v>10000524054</v>
      </c>
      <c r="AD1101" s="46">
        <v>46203</v>
      </c>
      <c r="AE1101"/>
      <c r="AF1101" s="39"/>
      <c r="AG1101" s="49"/>
      <c r="AH1101" s="49"/>
      <c r="AI1101" s="49"/>
      <c r="AJ1101"/>
    </row>
    <row r="1102" spans="1:36" s="40" customFormat="1" ht="19.5" customHeight="1">
      <c r="A1102" s="25">
        <f t="shared" si="18"/>
        <v>1091</v>
      </c>
      <c r="B1102" s="26">
        <v>6304535</v>
      </c>
      <c r="C1102" s="27">
        <v>46196</v>
      </c>
      <c r="D1102" s="80" t="s">
        <v>141</v>
      </c>
      <c r="E1102" s="29">
        <v>137112.15</v>
      </c>
      <c r="F1102" s="30" t="s">
        <v>4461</v>
      </c>
      <c r="G1102" s="27">
        <v>46202</v>
      </c>
      <c r="H1102" s="80" t="s">
        <v>141</v>
      </c>
      <c r="I1102" s="29">
        <v>137112.15</v>
      </c>
      <c r="J1102" s="34" t="s">
        <v>159</v>
      </c>
      <c r="K1102" t="s">
        <v>160</v>
      </c>
      <c r="L1102" s="35" t="s">
        <v>4462</v>
      </c>
      <c r="M1102" s="36" t="s">
        <v>4463</v>
      </c>
      <c r="N1102" s="37" t="s">
        <v>4464</v>
      </c>
      <c r="O1102" t="s">
        <v>4465</v>
      </c>
      <c r="P1102" t="s">
        <v>4466</v>
      </c>
      <c r="Q1102" t="s">
        <v>4308</v>
      </c>
      <c r="R1102" s="332">
        <v>46023</v>
      </c>
      <c r="S1102" s="333">
        <v>46387</v>
      </c>
      <c r="T1102" s="50" t="s">
        <v>141</v>
      </c>
      <c r="U1102" s="47" t="s">
        <v>141</v>
      </c>
      <c r="V1102" s="40" t="s">
        <v>80</v>
      </c>
      <c r="W1102" s="41" t="s">
        <v>39</v>
      </c>
      <c r="X1102" s="40" t="s">
        <v>4467</v>
      </c>
      <c r="Y1102" s="40" t="s">
        <v>56</v>
      </c>
      <c r="Z1102"/>
      <c r="AA1102" s="62"/>
      <c r="AB1102" s="44"/>
      <c r="AC1102" s="63" t="s">
        <v>4468</v>
      </c>
      <c r="AD1102" s="46">
        <v>46203</v>
      </c>
      <c r="AE1102">
        <v>3217057</v>
      </c>
      <c r="AF1102" s="39">
        <v>46240</v>
      </c>
      <c r="AG1102" s="49"/>
      <c r="AH1102" s="49"/>
      <c r="AI1102" s="49"/>
      <c r="AJ1102"/>
    </row>
    <row r="1103" spans="1:36" s="40" customFormat="1" ht="19.5" customHeight="1">
      <c r="A1103" s="25">
        <f t="shared" si="18"/>
        <v>1092</v>
      </c>
      <c r="B1103" s="26">
        <v>6304553</v>
      </c>
      <c r="C1103" s="27">
        <v>46196</v>
      </c>
      <c r="D1103" s="80" t="s">
        <v>141</v>
      </c>
      <c r="E1103" s="29">
        <v>187523.04</v>
      </c>
      <c r="F1103" s="30" t="s">
        <v>4469</v>
      </c>
      <c r="G1103" s="27">
        <v>46202</v>
      </c>
      <c r="H1103" s="80" t="s">
        <v>141</v>
      </c>
      <c r="I1103" s="29">
        <v>187523.04</v>
      </c>
      <c r="J1103" s="34" t="s">
        <v>159</v>
      </c>
      <c r="K1103" t="s">
        <v>160</v>
      </c>
      <c r="L1103" s="35" t="s">
        <v>4470</v>
      </c>
      <c r="M1103" s="36" t="s">
        <v>4463</v>
      </c>
      <c r="N1103" s="37" t="s">
        <v>4471</v>
      </c>
      <c r="O1103" t="s">
        <v>4465</v>
      </c>
      <c r="P1103" t="s">
        <v>4466</v>
      </c>
      <c r="Q1103" t="s">
        <v>4308</v>
      </c>
      <c r="R1103" s="332">
        <v>46023</v>
      </c>
      <c r="S1103" s="333">
        <v>46387</v>
      </c>
      <c r="T1103" s="50" t="s">
        <v>141</v>
      </c>
      <c r="U1103" s="47" t="s">
        <v>141</v>
      </c>
      <c r="V1103" s="40" t="s">
        <v>80</v>
      </c>
      <c r="W1103" s="41" t="s">
        <v>39</v>
      </c>
      <c r="X1103" s="40" t="s">
        <v>4467</v>
      </c>
      <c r="Y1103" s="40" t="s">
        <v>56</v>
      </c>
      <c r="Z1103"/>
      <c r="AA1103" s="62"/>
      <c r="AB1103" s="44"/>
      <c r="AC1103" s="63" t="s">
        <v>4472</v>
      </c>
      <c r="AD1103" s="46">
        <v>46203</v>
      </c>
      <c r="AE1103">
        <v>3217060</v>
      </c>
      <c r="AF1103" s="39">
        <v>46240</v>
      </c>
      <c r="AG1103" s="49"/>
      <c r="AH1103" s="49"/>
      <c r="AI1103" s="49"/>
      <c r="AJ1103"/>
    </row>
    <row r="1104" spans="1:36" s="40" customFormat="1" ht="19.5" customHeight="1">
      <c r="A1104" s="25">
        <f t="shared" si="18"/>
        <v>1093</v>
      </c>
      <c r="B1104" s="26">
        <v>6304569</v>
      </c>
      <c r="C1104" s="27">
        <v>46196</v>
      </c>
      <c r="D1104" s="80" t="s">
        <v>141</v>
      </c>
      <c r="E1104" s="29">
        <v>61266.14</v>
      </c>
      <c r="F1104" s="30" t="s">
        <v>4473</v>
      </c>
      <c r="G1104" s="27">
        <v>46202</v>
      </c>
      <c r="H1104" s="80" t="s">
        <v>141</v>
      </c>
      <c r="I1104" s="29">
        <v>61266.14</v>
      </c>
      <c r="J1104" s="34" t="s">
        <v>159</v>
      </c>
      <c r="K1104" t="s">
        <v>160</v>
      </c>
      <c r="L1104" s="35" t="s">
        <v>4474</v>
      </c>
      <c r="M1104" s="36" t="s">
        <v>4475</v>
      </c>
      <c r="N1104" s="37" t="s">
        <v>4476</v>
      </c>
      <c r="O1104" t="s">
        <v>4465</v>
      </c>
      <c r="P1104" t="s">
        <v>4466</v>
      </c>
      <c r="Q1104" t="s">
        <v>4308</v>
      </c>
      <c r="R1104" s="332">
        <v>46023</v>
      </c>
      <c r="S1104" s="333">
        <v>46387</v>
      </c>
      <c r="T1104" s="50" t="s">
        <v>141</v>
      </c>
      <c r="U1104" s="47" t="s">
        <v>141</v>
      </c>
      <c r="V1104" s="40" t="s">
        <v>80</v>
      </c>
      <c r="W1104" s="41" t="s">
        <v>39</v>
      </c>
      <c r="X1104" s="40" t="s">
        <v>4467</v>
      </c>
      <c r="Y1104" s="40" t="s">
        <v>56</v>
      </c>
      <c r="Z1104"/>
      <c r="AA1104" s="62"/>
      <c r="AB1104" s="44"/>
      <c r="AC1104" s="63" t="s">
        <v>4477</v>
      </c>
      <c r="AD1104" s="46">
        <v>46203</v>
      </c>
      <c r="AE1104">
        <v>3217885</v>
      </c>
      <c r="AF1104" s="39">
        <v>46203</v>
      </c>
      <c r="AG1104" s="49"/>
      <c r="AH1104" s="49"/>
      <c r="AI1104" s="49"/>
      <c r="AJ1104"/>
    </row>
    <row r="1105" spans="1:36" s="40" customFormat="1" ht="19.5" customHeight="1">
      <c r="A1105" s="25">
        <f t="shared" si="18"/>
        <v>1094</v>
      </c>
      <c r="B1105" s="26">
        <v>6304595</v>
      </c>
      <c r="C1105" s="27">
        <v>46196</v>
      </c>
      <c r="D1105" s="80" t="s">
        <v>141</v>
      </c>
      <c r="E1105" s="29">
        <v>81773.58</v>
      </c>
      <c r="F1105" s="30" t="s">
        <v>4478</v>
      </c>
      <c r="G1105" s="27">
        <v>46202</v>
      </c>
      <c r="H1105" s="80" t="s">
        <v>141</v>
      </c>
      <c r="I1105" s="33">
        <v>81773.58</v>
      </c>
      <c r="J1105" s="34" t="s">
        <v>159</v>
      </c>
      <c r="K1105" t="s">
        <v>160</v>
      </c>
      <c r="L1105" s="35" t="s">
        <v>4479</v>
      </c>
      <c r="M1105" s="36" t="s">
        <v>4475</v>
      </c>
      <c r="N1105" s="37" t="s">
        <v>4480</v>
      </c>
      <c r="O1105" t="s">
        <v>4465</v>
      </c>
      <c r="P1105" t="s">
        <v>4466</v>
      </c>
      <c r="Q1105" t="s">
        <v>4308</v>
      </c>
      <c r="R1105" s="332">
        <v>46023</v>
      </c>
      <c r="S1105" s="333">
        <v>46387</v>
      </c>
      <c r="T1105" s="50" t="s">
        <v>141</v>
      </c>
      <c r="U1105" s="47" t="s">
        <v>141</v>
      </c>
      <c r="V1105" s="40" t="s">
        <v>80</v>
      </c>
      <c r="W1105" s="41" t="s">
        <v>39</v>
      </c>
      <c r="X1105" s="40" t="s">
        <v>4467</v>
      </c>
      <c r="Y1105" s="40" t="s">
        <v>56</v>
      </c>
      <c r="Z1105"/>
      <c r="AA1105" s="62"/>
      <c r="AB1105" s="44"/>
      <c r="AC1105" s="63" t="s">
        <v>4481</v>
      </c>
      <c r="AD1105" s="46">
        <v>46203</v>
      </c>
      <c r="AE1105">
        <v>3217843</v>
      </c>
      <c r="AF1105" s="39">
        <v>46247</v>
      </c>
      <c r="AG1105" s="49"/>
      <c r="AH1105" s="49"/>
      <c r="AI1105" s="49"/>
      <c r="AJ1105"/>
    </row>
    <row r="1106" spans="1:36" s="40" customFormat="1" ht="19.5" customHeight="1">
      <c r="A1106" s="25">
        <f t="shared" si="18"/>
        <v>1095</v>
      </c>
      <c r="B1106" s="26">
        <v>6304692</v>
      </c>
      <c r="C1106" s="27">
        <v>46196</v>
      </c>
      <c r="D1106" s="80" t="s">
        <v>141</v>
      </c>
      <c r="E1106" s="29">
        <v>14023.19</v>
      </c>
      <c r="F1106" s="30" t="s">
        <v>4482</v>
      </c>
      <c r="G1106" s="27">
        <v>46197</v>
      </c>
      <c r="H1106" s="80" t="s">
        <v>141</v>
      </c>
      <c r="I1106" s="33">
        <v>14023.19</v>
      </c>
      <c r="J1106" s="34" t="s">
        <v>159</v>
      </c>
      <c r="K1106" t="s">
        <v>160</v>
      </c>
      <c r="L1106" s="35" t="s">
        <v>4483</v>
      </c>
      <c r="M1106" s="36" t="s">
        <v>4475</v>
      </c>
      <c r="N1106" s="37" t="s">
        <v>1615</v>
      </c>
      <c r="O1106" t="s">
        <v>4484</v>
      </c>
      <c r="P1106" t="s">
        <v>4485</v>
      </c>
      <c r="Q1106" t="s">
        <v>2051</v>
      </c>
      <c r="R1106" s="332">
        <v>46204</v>
      </c>
      <c r="S1106" s="333">
        <v>46568</v>
      </c>
      <c r="T1106" s="50" t="s">
        <v>141</v>
      </c>
      <c r="U1106" s="47" t="s">
        <v>141</v>
      </c>
      <c r="V1106" s="40" t="s">
        <v>64</v>
      </c>
      <c r="W1106" s="41" t="s">
        <v>39</v>
      </c>
      <c r="X1106" s="40" t="s">
        <v>4486</v>
      </c>
      <c r="Y1106" s="40" t="s">
        <v>56</v>
      </c>
      <c r="Z1106"/>
      <c r="AA1106" s="62"/>
      <c r="AB1106" s="44"/>
      <c r="AC1106" s="63" t="s">
        <v>4487</v>
      </c>
      <c r="AD1106" s="46">
        <v>46230</v>
      </c>
      <c r="AE1106">
        <v>3219059</v>
      </c>
      <c r="AF1106" s="39">
        <v>46255</v>
      </c>
      <c r="AG1106" s="49"/>
      <c r="AH1106" s="49"/>
      <c r="AI1106" s="49"/>
      <c r="AJ1106"/>
    </row>
    <row r="1107" spans="1:36" s="40" customFormat="1" ht="19.5" customHeight="1">
      <c r="A1107" s="25">
        <f t="shared" si="18"/>
        <v>1096</v>
      </c>
      <c r="B1107" s="26">
        <v>6304696</v>
      </c>
      <c r="C1107" s="27">
        <v>46196</v>
      </c>
      <c r="D1107" s="80" t="s">
        <v>141</v>
      </c>
      <c r="E1107" s="29">
        <v>17324.32</v>
      </c>
      <c r="F1107" s="30" t="s">
        <v>4488</v>
      </c>
      <c r="G1107" s="27">
        <v>46199</v>
      </c>
      <c r="H1107" s="80" t="s">
        <v>141</v>
      </c>
      <c r="I1107" s="29">
        <v>17324.32</v>
      </c>
      <c r="J1107" s="34" t="s">
        <v>159</v>
      </c>
      <c r="K1107" t="s">
        <v>160</v>
      </c>
      <c r="L1107" s="35" t="s">
        <v>4489</v>
      </c>
      <c r="M1107" s="36" t="s">
        <v>4490</v>
      </c>
      <c r="N1107" s="37" t="s">
        <v>1651</v>
      </c>
      <c r="O1107" t="s">
        <v>4484</v>
      </c>
      <c r="P1107" t="s">
        <v>4485</v>
      </c>
      <c r="Q1107" t="s">
        <v>2051</v>
      </c>
      <c r="R1107" s="332">
        <v>46204</v>
      </c>
      <c r="S1107" s="333">
        <v>46568</v>
      </c>
      <c r="T1107" s="50" t="s">
        <v>141</v>
      </c>
      <c r="U1107" s="47" t="s">
        <v>141</v>
      </c>
      <c r="V1107" s="40" t="s">
        <v>64</v>
      </c>
      <c r="W1107" s="41" t="s">
        <v>39</v>
      </c>
      <c r="X1107" s="40" t="s">
        <v>4486</v>
      </c>
      <c r="Y1107" s="40" t="s">
        <v>185</v>
      </c>
      <c r="Z1107"/>
      <c r="AA1107" s="62"/>
      <c r="AB1107" s="44"/>
      <c r="AC1107" s="63" t="s">
        <v>4491</v>
      </c>
      <c r="AD1107" s="46">
        <v>46230</v>
      </c>
      <c r="AE1107">
        <v>3219045</v>
      </c>
      <c r="AF1107" s="39">
        <v>46255</v>
      </c>
      <c r="AG1107" s="49"/>
      <c r="AH1107" s="49"/>
      <c r="AI1107" s="49"/>
      <c r="AJ1107"/>
    </row>
    <row r="1108" spans="1:36" s="40" customFormat="1" ht="19.5" customHeight="1">
      <c r="A1108" s="25">
        <f t="shared" si="18"/>
        <v>1097</v>
      </c>
      <c r="B1108" s="26">
        <v>6304716</v>
      </c>
      <c r="C1108" s="27">
        <v>46196</v>
      </c>
      <c r="D1108" s="28">
        <v>100235.7</v>
      </c>
      <c r="E1108" s="29">
        <v>785296.59</v>
      </c>
      <c r="F1108" s="30" t="s">
        <v>4492</v>
      </c>
      <c r="G1108" s="27">
        <v>46202</v>
      </c>
      <c r="H1108" s="32">
        <f>100235.7-7.46</f>
        <v>100228.23999999999</v>
      </c>
      <c r="I1108" s="33">
        <f>E1108/D1108*H1108</f>
        <v>785238.1446301227</v>
      </c>
      <c r="J1108" s="34" t="s">
        <v>33</v>
      </c>
      <c r="K1108" t="s">
        <v>34</v>
      </c>
      <c r="L1108" s="251">
        <v>342303879</v>
      </c>
      <c r="M1108" s="36" t="s">
        <v>4493</v>
      </c>
      <c r="N1108" s="37" t="s">
        <v>1346</v>
      </c>
      <c r="O1108" t="s">
        <v>4465</v>
      </c>
      <c r="P1108" t="s">
        <v>4466</v>
      </c>
      <c r="Q1108" t="s">
        <v>4308</v>
      </c>
      <c r="R1108" s="332">
        <v>46023</v>
      </c>
      <c r="S1108" s="333">
        <v>46387</v>
      </c>
      <c r="T1108" s="332">
        <v>46189</v>
      </c>
      <c r="U1108" s="333">
        <v>46387</v>
      </c>
      <c r="V1108" s="40" t="s">
        <v>80</v>
      </c>
      <c r="W1108" s="41" t="s">
        <v>39</v>
      </c>
      <c r="X1108" s="40" t="s">
        <v>4467</v>
      </c>
      <c r="Y1108" s="40" t="s">
        <v>56</v>
      </c>
      <c r="Z1108"/>
      <c r="AA1108" s="62"/>
      <c r="AB1108" s="44"/>
      <c r="AC1108" s="63">
        <v>10000536276</v>
      </c>
      <c r="AD1108" s="46">
        <v>46206</v>
      </c>
      <c r="AE1108"/>
      <c r="AF1108" s="39"/>
      <c r="AG1108" s="49"/>
      <c r="AH1108" s="49"/>
      <c r="AI1108" s="49"/>
      <c r="AJ1108"/>
    </row>
    <row r="1109" spans="1:36" s="40" customFormat="1" ht="19.5" customHeight="1">
      <c r="A1109" s="25">
        <f t="shared" si="18"/>
        <v>1098</v>
      </c>
      <c r="B1109" s="26">
        <v>6304800</v>
      </c>
      <c r="C1109" s="27">
        <v>46196</v>
      </c>
      <c r="D1109" s="28">
        <v>5650.68</v>
      </c>
      <c r="E1109" s="29">
        <v>44270.25</v>
      </c>
      <c r="F1109" s="30" t="s">
        <v>4494</v>
      </c>
      <c r="G1109" s="27">
        <v>46202</v>
      </c>
      <c r="H1109" s="32">
        <v>5650.68</v>
      </c>
      <c r="I1109" s="33">
        <v>44270.25</v>
      </c>
      <c r="J1109" s="34" t="s">
        <v>33</v>
      </c>
      <c r="K1109" t="s">
        <v>34</v>
      </c>
      <c r="L1109" s="35">
        <v>222331201</v>
      </c>
      <c r="M1109" s="36" t="s">
        <v>2550</v>
      </c>
      <c r="N1109" s="37" t="s">
        <v>1540</v>
      </c>
      <c r="O1109" t="s">
        <v>4465</v>
      </c>
      <c r="P1109" t="s">
        <v>4466</v>
      </c>
      <c r="Q1109" t="s">
        <v>4308</v>
      </c>
      <c r="R1109" s="332">
        <v>46023</v>
      </c>
      <c r="S1109" s="333">
        <v>46387</v>
      </c>
      <c r="T1109" s="332">
        <v>46211</v>
      </c>
      <c r="U1109" s="333">
        <v>46387</v>
      </c>
      <c r="V1109" s="40" t="s">
        <v>80</v>
      </c>
      <c r="W1109" s="41" t="s">
        <v>39</v>
      </c>
      <c r="X1109" s="40" t="s">
        <v>4467</v>
      </c>
      <c r="Y1109" s="40" t="s">
        <v>56</v>
      </c>
      <c r="Z1109"/>
      <c r="AA1109" s="62"/>
      <c r="AB1109" s="44"/>
      <c r="AC1109" s="63">
        <v>10000524080</v>
      </c>
      <c r="AD1109" s="46">
        <v>46203</v>
      </c>
      <c r="AE1109"/>
      <c r="AF1109" s="39"/>
      <c r="AG1109" s="49"/>
      <c r="AH1109" s="49"/>
      <c r="AI1109" s="49"/>
      <c r="AJ1109"/>
    </row>
    <row r="1110" spans="1:36" s="40" customFormat="1" ht="19.5" customHeight="1">
      <c r="A1110" s="25">
        <f t="shared" si="18"/>
        <v>1099</v>
      </c>
      <c r="B1110" s="26">
        <v>6304812</v>
      </c>
      <c r="C1110" s="27">
        <v>46196</v>
      </c>
      <c r="D1110" s="28">
        <v>1176.8599999999999</v>
      </c>
      <c r="E1110" s="29">
        <v>9220.11</v>
      </c>
      <c r="F1110" s="30" t="s">
        <v>4495</v>
      </c>
      <c r="G1110" s="27">
        <v>46213</v>
      </c>
      <c r="H1110" s="32">
        <v>1176.8599999999999</v>
      </c>
      <c r="I1110" s="33">
        <v>9220.11</v>
      </c>
      <c r="J1110" s="34" t="s">
        <v>33</v>
      </c>
      <c r="K1110" t="s">
        <v>34</v>
      </c>
      <c r="L1110" s="251">
        <v>332305149</v>
      </c>
      <c r="M1110" s="36" t="s">
        <v>2550</v>
      </c>
      <c r="N1110" s="37" t="s">
        <v>1377</v>
      </c>
      <c r="O1110" t="s">
        <v>4465</v>
      </c>
      <c r="P1110" t="s">
        <v>4466</v>
      </c>
      <c r="Q1110" t="s">
        <v>4308</v>
      </c>
      <c r="R1110" s="332">
        <v>46023</v>
      </c>
      <c r="S1110" s="333">
        <v>46387</v>
      </c>
      <c r="T1110" s="332">
        <v>46189</v>
      </c>
      <c r="U1110" s="333">
        <v>46387</v>
      </c>
      <c r="V1110" s="40" t="s">
        <v>80</v>
      </c>
      <c r="W1110" s="41" t="s">
        <v>39</v>
      </c>
      <c r="X1110" s="40" t="s">
        <v>4467</v>
      </c>
      <c r="Y1110" s="40" t="s">
        <v>56</v>
      </c>
      <c r="Z1110"/>
      <c r="AA1110" s="62"/>
      <c r="AB1110" s="44"/>
      <c r="AC1110" s="63">
        <v>10000536314</v>
      </c>
      <c r="AD1110" s="46">
        <v>46206</v>
      </c>
      <c r="AE1110"/>
      <c r="AF1110" s="39"/>
      <c r="AG1110" s="49"/>
      <c r="AH1110" s="49"/>
      <c r="AI1110" s="49"/>
      <c r="AJ1110"/>
    </row>
    <row r="1111" spans="1:36" s="40" customFormat="1" ht="19.5" customHeight="1">
      <c r="A1111" s="25">
        <f t="shared" si="18"/>
        <v>1100</v>
      </c>
      <c r="B1111" s="26">
        <v>6304845</v>
      </c>
      <c r="C1111" s="27">
        <v>46196</v>
      </c>
      <c r="D1111" s="28">
        <v>376.66</v>
      </c>
      <c r="E1111" s="29">
        <v>2950.94</v>
      </c>
      <c r="F1111" s="30" t="s">
        <v>4496</v>
      </c>
      <c r="G1111" s="27">
        <v>46197</v>
      </c>
      <c r="H1111" s="32">
        <v>376.66</v>
      </c>
      <c r="I1111" s="33">
        <v>2950.94</v>
      </c>
      <c r="J1111" s="34" t="s">
        <v>33</v>
      </c>
      <c r="K1111" t="s">
        <v>34</v>
      </c>
      <c r="L1111" s="251">
        <v>332305152</v>
      </c>
      <c r="M1111" s="36" t="s">
        <v>2550</v>
      </c>
      <c r="N1111" s="37" t="s">
        <v>2000</v>
      </c>
      <c r="O1111" t="s">
        <v>4465</v>
      </c>
      <c r="P1111" t="s">
        <v>4466</v>
      </c>
      <c r="Q1111" t="s">
        <v>4308</v>
      </c>
      <c r="R1111" s="332">
        <v>46023</v>
      </c>
      <c r="S1111" s="333">
        <v>46387</v>
      </c>
      <c r="T1111" s="332">
        <v>46189</v>
      </c>
      <c r="U1111" s="333">
        <v>46387</v>
      </c>
      <c r="V1111" s="40" t="s">
        <v>80</v>
      </c>
      <c r="W1111" s="41" t="s">
        <v>39</v>
      </c>
      <c r="X1111" s="40" t="s">
        <v>4467</v>
      </c>
      <c r="Y1111" s="40" t="s">
        <v>56</v>
      </c>
      <c r="Z1111"/>
      <c r="AA1111" s="62"/>
      <c r="AB1111" s="44"/>
      <c r="AC1111" s="63">
        <v>10000536311</v>
      </c>
      <c r="AD1111" s="46">
        <v>46206</v>
      </c>
      <c r="AE1111"/>
      <c r="AF1111" s="39"/>
      <c r="AG1111" s="49"/>
      <c r="AH1111" s="49"/>
      <c r="AI1111" s="49"/>
      <c r="AJ1111"/>
    </row>
    <row r="1112" spans="1:36" s="40" customFormat="1" ht="19.5" customHeight="1">
      <c r="A1112" s="25">
        <f t="shared" ref="A1112:A1175" si="19">A1111+1</f>
        <v>1101</v>
      </c>
      <c r="B1112" s="26">
        <v>6304862</v>
      </c>
      <c r="C1112" s="27">
        <v>46196</v>
      </c>
      <c r="D1112" s="28">
        <v>22830.84</v>
      </c>
      <c r="E1112" s="29">
        <v>178868.22</v>
      </c>
      <c r="F1112" s="30" t="s">
        <v>4497</v>
      </c>
      <c r="G1112" s="27">
        <v>46202</v>
      </c>
      <c r="H1112" s="32">
        <v>22830.84</v>
      </c>
      <c r="I1112" s="33">
        <v>178868.22</v>
      </c>
      <c r="J1112" s="34" t="s">
        <v>33</v>
      </c>
      <c r="K1112" t="s">
        <v>34</v>
      </c>
      <c r="L1112" s="251">
        <v>342303883</v>
      </c>
      <c r="M1112" s="36" t="s">
        <v>2104</v>
      </c>
      <c r="N1112" s="37" t="s">
        <v>4399</v>
      </c>
      <c r="O1112" t="s">
        <v>4465</v>
      </c>
      <c r="P1112" t="s">
        <v>4466</v>
      </c>
      <c r="Q1112" t="s">
        <v>4308</v>
      </c>
      <c r="R1112" s="332">
        <v>46023</v>
      </c>
      <c r="S1112" s="333">
        <v>46387</v>
      </c>
      <c r="T1112" s="332">
        <v>46295</v>
      </c>
      <c r="U1112" s="333">
        <v>46387</v>
      </c>
      <c r="V1112" s="40" t="s">
        <v>80</v>
      </c>
      <c r="W1112" s="41" t="s">
        <v>39</v>
      </c>
      <c r="X1112" s="40" t="s">
        <v>4467</v>
      </c>
      <c r="Y1112" s="40" t="s">
        <v>56</v>
      </c>
      <c r="Z1112"/>
      <c r="AA1112" s="62"/>
      <c r="AB1112" s="44"/>
      <c r="AC1112" s="63">
        <v>10000536315</v>
      </c>
      <c r="AD1112" s="46">
        <v>46206</v>
      </c>
      <c r="AE1112"/>
      <c r="AF1112" s="39"/>
      <c r="AG1112" s="49"/>
      <c r="AH1112" s="49"/>
      <c r="AI1112" s="49"/>
      <c r="AJ1112"/>
    </row>
    <row r="1113" spans="1:36" s="40" customFormat="1" ht="19.5" customHeight="1">
      <c r="A1113" s="25">
        <f t="shared" si="19"/>
        <v>1102</v>
      </c>
      <c r="B1113" s="26">
        <v>6304890</v>
      </c>
      <c r="C1113" s="27">
        <v>46196</v>
      </c>
      <c r="D1113" s="80" t="s">
        <v>141</v>
      </c>
      <c r="E1113" s="29">
        <v>16860</v>
      </c>
      <c r="F1113" s="30" t="s">
        <v>4498</v>
      </c>
      <c r="G1113" s="27">
        <v>46202</v>
      </c>
      <c r="H1113" s="80" t="s">
        <v>141</v>
      </c>
      <c r="I1113" s="33">
        <v>16860</v>
      </c>
      <c r="J1113" s="34" t="s">
        <v>159</v>
      </c>
      <c r="K1113" t="s">
        <v>212</v>
      </c>
      <c r="L1113" s="35" t="s">
        <v>4499</v>
      </c>
      <c r="M1113" s="36" t="s">
        <v>4500</v>
      </c>
      <c r="N1113" s="37" t="s">
        <v>4001</v>
      </c>
      <c r="O1113" t="s">
        <v>4484</v>
      </c>
      <c r="P1113" t="s">
        <v>4485</v>
      </c>
      <c r="Q1113" t="s">
        <v>2051</v>
      </c>
      <c r="R1113" s="332">
        <v>46204</v>
      </c>
      <c r="S1113" s="333">
        <v>46568</v>
      </c>
      <c r="T1113" s="332">
        <v>46204</v>
      </c>
      <c r="U1113" s="333">
        <v>46568</v>
      </c>
      <c r="V1113" s="40" t="s">
        <v>64</v>
      </c>
      <c r="W1113" s="41" t="s">
        <v>39</v>
      </c>
      <c r="X1113" s="40" t="s">
        <v>4486</v>
      </c>
      <c r="Y1113" s="40" t="s">
        <v>56</v>
      </c>
      <c r="Z1113"/>
      <c r="AA1113" s="62"/>
      <c r="AB1113" s="44"/>
      <c r="AC1113" s="63"/>
      <c r="AD1113" s="46"/>
      <c r="AE1113">
        <v>3221048</v>
      </c>
      <c r="AF1113" s="39">
        <v>46270</v>
      </c>
      <c r="AG1113" s="49"/>
      <c r="AH1113" s="49"/>
      <c r="AI1113" s="49"/>
      <c r="AJ1113"/>
    </row>
    <row r="1114" spans="1:36" s="40" customFormat="1" ht="19.5" customHeight="1">
      <c r="A1114" s="25">
        <f t="shared" si="19"/>
        <v>1103</v>
      </c>
      <c r="B1114" s="26">
        <v>6305020</v>
      </c>
      <c r="C1114" s="27">
        <v>46197</v>
      </c>
      <c r="D1114" s="80" t="s">
        <v>141</v>
      </c>
      <c r="E1114" s="65">
        <v>13250</v>
      </c>
      <c r="F1114" s="30" t="s">
        <v>4501</v>
      </c>
      <c r="G1114" s="27">
        <v>46206</v>
      </c>
      <c r="H1114" s="80" t="s">
        <v>141</v>
      </c>
      <c r="I1114" s="33">
        <v>13250</v>
      </c>
      <c r="J1114" s="34" t="s">
        <v>33</v>
      </c>
      <c r="K1114" t="s">
        <v>733</v>
      </c>
      <c r="L1114" s="35" t="s">
        <v>4502</v>
      </c>
      <c r="M1114" s="36" t="s">
        <v>4503</v>
      </c>
      <c r="N1114" s="37" t="s">
        <v>4504</v>
      </c>
      <c r="O1114" t="s">
        <v>4465</v>
      </c>
      <c r="P1114" t="s">
        <v>4466</v>
      </c>
      <c r="Q1114" t="s">
        <v>4308</v>
      </c>
      <c r="R1114" s="332">
        <v>46023</v>
      </c>
      <c r="S1114" s="333">
        <v>46387</v>
      </c>
      <c r="T1114" s="50" t="s">
        <v>141</v>
      </c>
      <c r="U1114" s="47" t="s">
        <v>141</v>
      </c>
      <c r="V1114" s="40" t="s">
        <v>80</v>
      </c>
      <c r="W1114" s="41" t="s">
        <v>39</v>
      </c>
      <c r="X1114" s="40" t="s">
        <v>4467</v>
      </c>
      <c r="Y1114" s="40" t="s">
        <v>185</v>
      </c>
      <c r="Z1114"/>
      <c r="AA1114" s="62" t="s">
        <v>4505</v>
      </c>
      <c r="AB1114" s="44">
        <v>46231</v>
      </c>
      <c r="AC1114" s="63"/>
      <c r="AD1114" s="46"/>
      <c r="AE1114"/>
      <c r="AF1114" s="39"/>
      <c r="AG1114" s="49"/>
      <c r="AH1114" s="49"/>
      <c r="AI1114" s="49"/>
      <c r="AJ1114"/>
    </row>
    <row r="1115" spans="1:36" s="40" customFormat="1" ht="19.5" customHeight="1">
      <c r="A1115" s="25">
        <f t="shared" si="19"/>
        <v>1104</v>
      </c>
      <c r="B1115" s="26">
        <v>6305056</v>
      </c>
      <c r="C1115" s="27">
        <v>46197</v>
      </c>
      <c r="D1115" s="80" t="s">
        <v>141</v>
      </c>
      <c r="E1115" s="65">
        <v>17900</v>
      </c>
      <c r="F1115" s="30" t="s">
        <v>4506</v>
      </c>
      <c r="G1115" s="27">
        <v>46210</v>
      </c>
      <c r="H1115" s="80" t="s">
        <v>141</v>
      </c>
      <c r="I1115" s="33">
        <v>17900</v>
      </c>
      <c r="J1115" s="34" t="s">
        <v>33</v>
      </c>
      <c r="K1115" s="66" t="s">
        <v>193</v>
      </c>
      <c r="L1115" s="35">
        <v>80005477</v>
      </c>
      <c r="M1115" s="36" t="s">
        <v>4507</v>
      </c>
      <c r="N1115" s="37" t="s">
        <v>2048</v>
      </c>
      <c r="O1115" t="s">
        <v>4484</v>
      </c>
      <c r="P1115" t="s">
        <v>4485</v>
      </c>
      <c r="Q1115" t="s">
        <v>2051</v>
      </c>
      <c r="R1115" s="332">
        <v>46204</v>
      </c>
      <c r="S1115" s="333">
        <v>46568</v>
      </c>
      <c r="T1115" s="50" t="s">
        <v>141</v>
      </c>
      <c r="U1115" s="47" t="s">
        <v>141</v>
      </c>
      <c r="V1115" s="40" t="s">
        <v>64</v>
      </c>
      <c r="W1115" s="41" t="s">
        <v>39</v>
      </c>
      <c r="X1115" s="40" t="s">
        <v>4486</v>
      </c>
      <c r="Y1115" s="40" t="s">
        <v>185</v>
      </c>
      <c r="Z1115"/>
      <c r="AA1115" s="62" t="s">
        <v>4508</v>
      </c>
      <c r="AB1115" s="44">
        <v>46226</v>
      </c>
      <c r="AC1115" s="63" t="s">
        <v>4509</v>
      </c>
      <c r="AD1115" s="46">
        <v>46224</v>
      </c>
      <c r="AE1115"/>
      <c r="AF1115" s="39"/>
      <c r="AG1115" s="49"/>
      <c r="AH1115" s="49"/>
      <c r="AI1115" s="49"/>
      <c r="AJ1115"/>
    </row>
    <row r="1116" spans="1:36" s="40" customFormat="1" ht="19.5" customHeight="1">
      <c r="A1116" s="25">
        <f t="shared" si="19"/>
        <v>1105</v>
      </c>
      <c r="B1116" s="26">
        <v>6305127</v>
      </c>
      <c r="C1116" s="27">
        <v>46197</v>
      </c>
      <c r="D1116" s="80" t="s">
        <v>141</v>
      </c>
      <c r="E1116" s="65">
        <v>118200</v>
      </c>
      <c r="F1116" s="30" t="s">
        <v>4510</v>
      </c>
      <c r="G1116" s="27">
        <v>46220</v>
      </c>
      <c r="H1116" s="391" t="s">
        <v>141</v>
      </c>
      <c r="I1116" s="189">
        <v>118200</v>
      </c>
      <c r="J1116" s="34" t="s">
        <v>33</v>
      </c>
      <c r="K1116" s="66" t="s">
        <v>733</v>
      </c>
      <c r="L1116" s="35" t="s">
        <v>4511</v>
      </c>
      <c r="M1116" s="36" t="s">
        <v>4512</v>
      </c>
      <c r="N1116" s="190" t="s">
        <v>1404</v>
      </c>
      <c r="O1116" t="s">
        <v>4513</v>
      </c>
      <c r="P1116" t="s">
        <v>4514</v>
      </c>
      <c r="Q1116" t="s">
        <v>4515</v>
      </c>
      <c r="R1116" s="332">
        <v>46204</v>
      </c>
      <c r="S1116" s="333">
        <v>46754</v>
      </c>
      <c r="T1116" s="50" t="s">
        <v>141</v>
      </c>
      <c r="U1116" s="47" t="s">
        <v>141</v>
      </c>
      <c r="V1116" s="40" t="s">
        <v>590</v>
      </c>
      <c r="W1116" s="41" t="s">
        <v>39</v>
      </c>
      <c r="X1116" s="40" t="s">
        <v>4516</v>
      </c>
      <c r="Y1116" s="40" t="s">
        <v>185</v>
      </c>
      <c r="Z1116"/>
      <c r="AA1116" s="62" t="s">
        <v>4517</v>
      </c>
      <c r="AB1116" s="44">
        <v>46254</v>
      </c>
      <c r="AC1116" s="63" t="s">
        <v>4518</v>
      </c>
      <c r="AD1116" s="46">
        <v>46254</v>
      </c>
      <c r="AE1116"/>
      <c r="AF1116" s="39"/>
      <c r="AG1116" s="49"/>
      <c r="AH1116" s="49"/>
      <c r="AI1116" s="49"/>
      <c r="AJ1116"/>
    </row>
    <row r="1117" spans="1:36" s="40" customFormat="1" ht="19.5" customHeight="1">
      <c r="A1117" s="25">
        <f t="shared" si="19"/>
        <v>1106</v>
      </c>
      <c r="B1117" s="26">
        <v>6305482</v>
      </c>
      <c r="C1117" s="27">
        <v>46198</v>
      </c>
      <c r="D1117" s="28">
        <v>18783.080000000002</v>
      </c>
      <c r="E1117" s="29">
        <v>147156.04</v>
      </c>
      <c r="F1117" s="30" t="s">
        <v>4519</v>
      </c>
      <c r="G1117" s="27">
        <v>46202</v>
      </c>
      <c r="H1117" s="32">
        <v>18783.080000000002</v>
      </c>
      <c r="I1117" s="33">
        <v>147156.04</v>
      </c>
      <c r="J1117" s="34" t="s">
        <v>33</v>
      </c>
      <c r="K1117" t="s">
        <v>34</v>
      </c>
      <c r="L1117" s="35">
        <v>352294188</v>
      </c>
      <c r="M1117" s="36" t="s">
        <v>4520</v>
      </c>
      <c r="N1117" s="37" t="s">
        <v>2000</v>
      </c>
      <c r="O1117" t="s">
        <v>4513</v>
      </c>
      <c r="P1117" t="s">
        <v>4514</v>
      </c>
      <c r="Q1117" t="s">
        <v>4515</v>
      </c>
      <c r="R1117" s="332">
        <v>46204</v>
      </c>
      <c r="S1117" s="333">
        <v>46754</v>
      </c>
      <c r="T1117" s="332">
        <v>46182</v>
      </c>
      <c r="U1117" s="333">
        <v>46546</v>
      </c>
      <c r="V1117" s="40" t="s">
        <v>590</v>
      </c>
      <c r="W1117" s="41" t="s">
        <v>39</v>
      </c>
      <c r="X1117" s="40" t="s">
        <v>4516</v>
      </c>
      <c r="Y1117" s="40" t="s">
        <v>56</v>
      </c>
      <c r="Z1117"/>
      <c r="AA1117" s="62"/>
      <c r="AB1117" s="44"/>
      <c r="AC1117" s="63">
        <v>10000528880</v>
      </c>
      <c r="AD1117" s="46">
        <v>46204</v>
      </c>
      <c r="AE1117"/>
      <c r="AF1117" s="39"/>
      <c r="AG1117" s="49"/>
      <c r="AH1117" s="49"/>
      <c r="AI1117" s="49"/>
      <c r="AJ1117"/>
    </row>
    <row r="1118" spans="1:36" s="40" customFormat="1" ht="19.5" customHeight="1">
      <c r="A1118" s="25">
        <f t="shared" si="19"/>
        <v>1107</v>
      </c>
      <c r="B1118" s="26">
        <v>6305537</v>
      </c>
      <c r="C1118" s="27">
        <v>46198</v>
      </c>
      <c r="D1118" s="28">
        <v>12866.57</v>
      </c>
      <c r="E1118" s="29">
        <v>100803.04</v>
      </c>
      <c r="F1118" s="30" t="s">
        <v>4521</v>
      </c>
      <c r="G1118" s="27">
        <v>46202</v>
      </c>
      <c r="H1118" s="32">
        <v>12866.57</v>
      </c>
      <c r="I1118" s="33">
        <v>100803.14</v>
      </c>
      <c r="J1118" s="34" t="s">
        <v>33</v>
      </c>
      <c r="K1118" t="s">
        <v>34</v>
      </c>
      <c r="L1118" s="35">
        <v>402030055</v>
      </c>
      <c r="M1118" s="36" t="s">
        <v>2149</v>
      </c>
      <c r="N1118" s="37" t="s">
        <v>4399</v>
      </c>
      <c r="O1118" t="s">
        <v>4513</v>
      </c>
      <c r="P1118" t="s">
        <v>4514</v>
      </c>
      <c r="Q1118" t="s">
        <v>4515</v>
      </c>
      <c r="R1118" s="332">
        <v>46204</v>
      </c>
      <c r="S1118" s="333">
        <v>46754</v>
      </c>
      <c r="T1118" s="332">
        <v>46310</v>
      </c>
      <c r="U1118" s="333">
        <v>46674</v>
      </c>
      <c r="V1118" s="40" t="s">
        <v>590</v>
      </c>
      <c r="W1118" s="41" t="s">
        <v>39</v>
      </c>
      <c r="X1118" s="40" t="s">
        <v>4516</v>
      </c>
      <c r="Y1118" s="40" t="s">
        <v>56</v>
      </c>
      <c r="Z1118"/>
      <c r="AA1118" s="62"/>
      <c r="AB1118" s="44"/>
      <c r="AC1118" s="63">
        <v>10000524115</v>
      </c>
      <c r="AD1118" s="46">
        <v>46203</v>
      </c>
      <c r="AE1118"/>
      <c r="AF1118" s="39"/>
      <c r="AG1118" s="49"/>
      <c r="AH1118" s="49"/>
      <c r="AI1118" s="49"/>
      <c r="AJ1118"/>
    </row>
    <row r="1119" spans="1:36" s="40" customFormat="1" ht="19.5" customHeight="1">
      <c r="A1119" s="25">
        <f t="shared" si="19"/>
        <v>1108</v>
      </c>
      <c r="B1119" s="26">
        <v>6305555</v>
      </c>
      <c r="C1119" s="27">
        <v>46198</v>
      </c>
      <c r="D1119" s="28">
        <v>2843.1</v>
      </c>
      <c r="E1119" s="29">
        <v>22274.27</v>
      </c>
      <c r="F1119" s="30" t="s">
        <v>4522</v>
      </c>
      <c r="G1119" s="27">
        <v>46203</v>
      </c>
      <c r="H1119" s="32">
        <v>2843.1</v>
      </c>
      <c r="I1119" s="29">
        <v>22274.27</v>
      </c>
      <c r="J1119" s="34" t="s">
        <v>33</v>
      </c>
      <c r="K1119" t="s">
        <v>34</v>
      </c>
      <c r="L1119" s="35">
        <v>412028743</v>
      </c>
      <c r="M1119" s="36" t="s">
        <v>2129</v>
      </c>
      <c r="N1119" s="37" t="s">
        <v>1684</v>
      </c>
      <c r="O1119" t="s">
        <v>4513</v>
      </c>
      <c r="P1119" t="s">
        <v>4514</v>
      </c>
      <c r="Q1119" t="s">
        <v>4515</v>
      </c>
      <c r="R1119" s="332">
        <v>46204</v>
      </c>
      <c r="S1119" s="333">
        <v>46754</v>
      </c>
      <c r="T1119" s="332">
        <v>46204</v>
      </c>
      <c r="U1119" s="333">
        <v>46568</v>
      </c>
      <c r="V1119" s="40" t="s">
        <v>590</v>
      </c>
      <c r="W1119" s="41" t="s">
        <v>39</v>
      </c>
      <c r="X1119" s="40" t="s">
        <v>4516</v>
      </c>
      <c r="Y1119" s="40" t="s">
        <v>56</v>
      </c>
      <c r="Z1119"/>
      <c r="AA1119" s="62"/>
      <c r="AB1119" s="44"/>
      <c r="AC1119" s="63">
        <v>10000524085</v>
      </c>
      <c r="AD1119" s="46">
        <v>46203</v>
      </c>
      <c r="AE1119"/>
      <c r="AF1119" s="39"/>
      <c r="AG1119" s="49"/>
      <c r="AH1119" s="49"/>
      <c r="AI1119" s="49"/>
      <c r="AJ1119"/>
    </row>
    <row r="1120" spans="1:36" s="40" customFormat="1" ht="19.5" customHeight="1">
      <c r="A1120" s="25">
        <f t="shared" si="19"/>
        <v>1109</v>
      </c>
      <c r="B1120" s="26">
        <v>6305578</v>
      </c>
      <c r="C1120" s="27">
        <v>46198</v>
      </c>
      <c r="D1120" s="28">
        <v>206.56</v>
      </c>
      <c r="E1120" s="29">
        <v>1618.29</v>
      </c>
      <c r="F1120" s="30" t="s">
        <v>4523</v>
      </c>
      <c r="G1120" s="27">
        <v>46206</v>
      </c>
      <c r="H1120" s="32">
        <v>206.56</v>
      </c>
      <c r="I1120" s="33">
        <v>1618.29</v>
      </c>
      <c r="J1120" s="34" t="s">
        <v>33</v>
      </c>
      <c r="K1120" t="s">
        <v>34</v>
      </c>
      <c r="L1120" s="35">
        <v>452028440</v>
      </c>
      <c r="M1120" s="36" t="s">
        <v>2129</v>
      </c>
      <c r="N1120" s="37" t="s">
        <v>4403</v>
      </c>
      <c r="O1120" t="s">
        <v>4513</v>
      </c>
      <c r="P1120" t="s">
        <v>4514</v>
      </c>
      <c r="Q1120" t="s">
        <v>4515</v>
      </c>
      <c r="R1120" s="332">
        <v>46204</v>
      </c>
      <c r="S1120" s="333">
        <v>46754</v>
      </c>
      <c r="T1120" s="332">
        <v>46310</v>
      </c>
      <c r="U1120" s="333">
        <v>46674</v>
      </c>
      <c r="V1120" s="40" t="s">
        <v>590</v>
      </c>
      <c r="W1120" s="41" t="s">
        <v>39</v>
      </c>
      <c r="X1120" s="40" t="s">
        <v>4516</v>
      </c>
      <c r="Y1120" s="40" t="s">
        <v>56</v>
      </c>
      <c r="Z1120"/>
      <c r="AA1120" s="62"/>
      <c r="AB1120" s="44"/>
      <c r="AC1120" s="63">
        <v>10000524086</v>
      </c>
      <c r="AD1120" s="46">
        <v>46203</v>
      </c>
      <c r="AE1120"/>
      <c r="AF1120" s="39"/>
      <c r="AG1120" s="49"/>
      <c r="AH1120" s="49"/>
      <c r="AI1120" s="49"/>
      <c r="AJ1120"/>
    </row>
    <row r="1121" spans="1:36" s="40" customFormat="1" ht="19.5" customHeight="1">
      <c r="A1121" s="25">
        <f t="shared" si="19"/>
        <v>1110</v>
      </c>
      <c r="B1121" s="26">
        <v>6305594</v>
      </c>
      <c r="C1121" s="27">
        <v>46198</v>
      </c>
      <c r="D1121" s="28">
        <v>1824.8</v>
      </c>
      <c r="E1121" s="29">
        <v>14296.4</v>
      </c>
      <c r="F1121" s="30" t="s">
        <v>4524</v>
      </c>
      <c r="G1121" s="27">
        <v>46203</v>
      </c>
      <c r="H1121" s="32">
        <v>1824.8</v>
      </c>
      <c r="I1121" s="33">
        <v>14296.4</v>
      </c>
      <c r="J1121" s="34" t="s">
        <v>33</v>
      </c>
      <c r="K1121" t="s">
        <v>34</v>
      </c>
      <c r="L1121" s="35">
        <v>412028767</v>
      </c>
      <c r="M1121" s="36" t="s">
        <v>2149</v>
      </c>
      <c r="N1121" s="37" t="s">
        <v>1449</v>
      </c>
      <c r="O1121" t="s">
        <v>4513</v>
      </c>
      <c r="P1121" t="s">
        <v>4514</v>
      </c>
      <c r="Q1121" t="s">
        <v>4515</v>
      </c>
      <c r="R1121" s="332">
        <v>46204</v>
      </c>
      <c r="S1121" s="333">
        <v>46754</v>
      </c>
      <c r="T1121" s="332">
        <v>46310</v>
      </c>
      <c r="U1121" s="333">
        <v>46507</v>
      </c>
      <c r="V1121" s="40" t="s">
        <v>590</v>
      </c>
      <c r="W1121" s="41" t="s">
        <v>39</v>
      </c>
      <c r="X1121" s="40" t="s">
        <v>4516</v>
      </c>
      <c r="Y1121" s="40" t="s">
        <v>56</v>
      </c>
      <c r="Z1121"/>
      <c r="AA1121" s="62"/>
      <c r="AB1121" s="44"/>
      <c r="AC1121" s="63">
        <v>10000528955</v>
      </c>
      <c r="AD1121" s="46">
        <v>46204</v>
      </c>
      <c r="AE1121"/>
      <c r="AF1121" s="39"/>
      <c r="AG1121" s="49"/>
      <c r="AH1121" s="49"/>
      <c r="AI1121" s="49"/>
      <c r="AJ1121"/>
    </row>
    <row r="1122" spans="1:36" s="40" customFormat="1" ht="19.5" customHeight="1">
      <c r="A1122" s="25">
        <f t="shared" si="19"/>
        <v>1111</v>
      </c>
      <c r="B1122" s="26">
        <v>6305599</v>
      </c>
      <c r="C1122" s="27">
        <v>46198</v>
      </c>
      <c r="D1122" s="28">
        <v>1571.1</v>
      </c>
      <c r="E1122" s="29">
        <v>12308.78</v>
      </c>
      <c r="F1122" s="30" t="s">
        <v>4525</v>
      </c>
      <c r="G1122" s="27">
        <v>46205</v>
      </c>
      <c r="H1122" s="32">
        <v>1571.1</v>
      </c>
      <c r="I1122" s="33">
        <v>12319.62</v>
      </c>
      <c r="J1122" s="34" t="s">
        <v>33</v>
      </c>
      <c r="K1122" t="s">
        <v>34</v>
      </c>
      <c r="L1122" s="35">
        <v>422027265</v>
      </c>
      <c r="M1122" s="36" t="s">
        <v>2129</v>
      </c>
      <c r="N1122" s="37" t="s">
        <v>4405</v>
      </c>
      <c r="O1122" t="s">
        <v>4513</v>
      </c>
      <c r="P1122" t="s">
        <v>4514</v>
      </c>
      <c r="Q1122" t="s">
        <v>4515</v>
      </c>
      <c r="R1122" s="332">
        <v>46204</v>
      </c>
      <c r="S1122" s="333">
        <v>46754</v>
      </c>
      <c r="T1122" s="332">
        <v>46204</v>
      </c>
      <c r="U1122" s="333">
        <v>46568</v>
      </c>
      <c r="V1122" s="40" t="s">
        <v>590</v>
      </c>
      <c r="W1122" s="41" t="s">
        <v>39</v>
      </c>
      <c r="X1122" s="40" t="s">
        <v>4516</v>
      </c>
      <c r="Y1122" s="40" t="s">
        <v>56</v>
      </c>
      <c r="Z1122"/>
      <c r="AA1122" s="62"/>
      <c r="AB1122" s="44"/>
      <c r="AC1122" s="63">
        <v>10000536321</v>
      </c>
      <c r="AD1122" s="46">
        <v>46206</v>
      </c>
      <c r="AE1122"/>
      <c r="AF1122" s="39"/>
      <c r="AG1122" s="49"/>
      <c r="AH1122" s="49"/>
      <c r="AI1122" s="49"/>
      <c r="AJ1122"/>
    </row>
    <row r="1123" spans="1:36" s="40" customFormat="1" ht="19.5" customHeight="1">
      <c r="A1123" s="25">
        <f t="shared" si="19"/>
        <v>1112</v>
      </c>
      <c r="B1123" s="291" t="s">
        <v>141</v>
      </c>
      <c r="C1123" s="31" t="s">
        <v>141</v>
      </c>
      <c r="D1123" s="80" t="s">
        <v>141</v>
      </c>
      <c r="E1123" s="288" t="s">
        <v>141</v>
      </c>
      <c r="F1123" s="30" t="s">
        <v>4526</v>
      </c>
      <c r="G1123" s="27">
        <v>46199</v>
      </c>
      <c r="H1123" s="80" t="s">
        <v>141</v>
      </c>
      <c r="I1123" s="33">
        <v>4870</v>
      </c>
      <c r="J1123" s="34" t="s">
        <v>33</v>
      </c>
      <c r="K1123" t="s">
        <v>139</v>
      </c>
      <c r="L1123" s="35">
        <v>80005518</v>
      </c>
      <c r="M1123" s="36" t="s">
        <v>4527</v>
      </c>
      <c r="N1123" s="37" t="s">
        <v>1383</v>
      </c>
      <c r="O1123" t="s">
        <v>4528</v>
      </c>
      <c r="P1123" t="s">
        <v>4529</v>
      </c>
      <c r="Q1123" t="s">
        <v>3479</v>
      </c>
      <c r="R1123" s="332">
        <v>46113</v>
      </c>
      <c r="S1123" s="333">
        <v>46477</v>
      </c>
      <c r="T1123" s="50" t="s">
        <v>141</v>
      </c>
      <c r="U1123" s="47" t="s">
        <v>141</v>
      </c>
      <c r="V1123" s="40" t="s">
        <v>1374</v>
      </c>
      <c r="W1123" s="41" t="s">
        <v>39</v>
      </c>
      <c r="X1123" s="40" t="s">
        <v>2987</v>
      </c>
      <c r="Y1123" s="40" t="s">
        <v>185</v>
      </c>
      <c r="Z1123"/>
      <c r="AA1123" s="62">
        <v>90007958</v>
      </c>
      <c r="AB1123" s="44">
        <v>46226</v>
      </c>
      <c r="AC1123" s="63">
        <v>60018087</v>
      </c>
      <c r="AD1123" s="46">
        <v>46226</v>
      </c>
      <c r="AE1123"/>
      <c r="AF1123" s="39"/>
      <c r="AG1123" s="49"/>
      <c r="AH1123" s="49"/>
      <c r="AI1123" s="49"/>
      <c r="AJ1123"/>
    </row>
    <row r="1124" spans="1:36" s="40" customFormat="1" ht="19.5" customHeight="1">
      <c r="A1124" s="25">
        <f t="shared" si="19"/>
        <v>1113</v>
      </c>
      <c r="B1124" s="26">
        <v>6306768</v>
      </c>
      <c r="C1124" s="27">
        <v>46203</v>
      </c>
      <c r="D1124" s="28">
        <v>5321.18</v>
      </c>
      <c r="E1124" s="29">
        <v>41688.78</v>
      </c>
      <c r="F1124" s="30" t="s">
        <v>4530</v>
      </c>
      <c r="G1124" s="27">
        <v>46211</v>
      </c>
      <c r="H1124" s="32">
        <v>5321.18</v>
      </c>
      <c r="I1124" s="33">
        <v>41688.78</v>
      </c>
      <c r="J1124" s="34" t="s">
        <v>33</v>
      </c>
      <c r="K1124" t="s">
        <v>34</v>
      </c>
      <c r="L1124" s="35">
        <v>452031785</v>
      </c>
      <c r="M1124" s="36" t="s">
        <v>2149</v>
      </c>
      <c r="N1124" s="37" t="s">
        <v>1540</v>
      </c>
      <c r="O1124" t="s">
        <v>3856</v>
      </c>
      <c r="P1124" t="s">
        <v>3857</v>
      </c>
      <c r="Q1124" t="s">
        <v>3858</v>
      </c>
      <c r="R1124" s="332">
        <v>46083</v>
      </c>
      <c r="S1124" s="333">
        <v>46813</v>
      </c>
      <c r="T1124" s="332">
        <v>46198</v>
      </c>
      <c r="U1124" s="333">
        <v>46813</v>
      </c>
      <c r="V1124" s="40" t="s">
        <v>590</v>
      </c>
      <c r="W1124" s="41" t="s">
        <v>39</v>
      </c>
      <c r="X1124" s="40" t="s">
        <v>3859</v>
      </c>
      <c r="Y1124" s="40" t="s">
        <v>56</v>
      </c>
      <c r="Z1124"/>
      <c r="AA1124" s="62"/>
      <c r="AB1124" s="44"/>
      <c r="AC1124" s="63">
        <v>10000552652</v>
      </c>
      <c r="AD1124" s="46">
        <v>46212</v>
      </c>
      <c r="AE1124"/>
      <c r="AF1124" s="39"/>
      <c r="AG1124" s="49"/>
      <c r="AH1124" s="49"/>
      <c r="AI1124" s="49"/>
      <c r="AJ1124"/>
    </row>
    <row r="1125" spans="1:36" s="40" customFormat="1" ht="19.5" customHeight="1">
      <c r="A1125" s="25">
        <f t="shared" si="19"/>
        <v>1114</v>
      </c>
      <c r="B1125" s="26">
        <v>6306777</v>
      </c>
      <c r="C1125" s="27">
        <v>46203</v>
      </c>
      <c r="D1125" s="28">
        <v>6050.88</v>
      </c>
      <c r="E1125" s="29">
        <v>47405.62</v>
      </c>
      <c r="F1125" s="30" t="s">
        <v>4531</v>
      </c>
      <c r="G1125" s="27">
        <v>46211</v>
      </c>
      <c r="H1125" s="32">
        <v>6050.88</v>
      </c>
      <c r="I1125" s="33">
        <v>47405.62</v>
      </c>
      <c r="J1125" s="34" t="s">
        <v>33</v>
      </c>
      <c r="K1125" t="s">
        <v>34</v>
      </c>
      <c r="L1125" s="35">
        <v>492033654</v>
      </c>
      <c r="M1125" s="36" t="s">
        <v>2149</v>
      </c>
      <c r="N1125" s="37" t="s">
        <v>1377</v>
      </c>
      <c r="O1125" t="s">
        <v>3856</v>
      </c>
      <c r="P1125" t="s">
        <v>3857</v>
      </c>
      <c r="Q1125" t="s">
        <v>3858</v>
      </c>
      <c r="R1125" s="332">
        <v>46083</v>
      </c>
      <c r="S1125" s="333">
        <v>46813</v>
      </c>
      <c r="T1125" s="332">
        <v>46198</v>
      </c>
      <c r="U1125" s="333">
        <v>46813</v>
      </c>
      <c r="V1125" s="40" t="s">
        <v>590</v>
      </c>
      <c r="W1125" s="41" t="s">
        <v>39</v>
      </c>
      <c r="X1125" s="40" t="s">
        <v>3859</v>
      </c>
      <c r="Y1125" s="40" t="s">
        <v>56</v>
      </c>
      <c r="Z1125"/>
      <c r="AA1125" s="62"/>
      <c r="AB1125" s="44"/>
      <c r="AC1125" s="63">
        <v>10000552587</v>
      </c>
      <c r="AD1125" s="46">
        <v>46212</v>
      </c>
      <c r="AE1125"/>
      <c r="AF1125" s="39"/>
      <c r="AG1125" s="49"/>
      <c r="AH1125" s="49"/>
      <c r="AI1125" s="49"/>
      <c r="AJ1125"/>
    </row>
    <row r="1126" spans="1:36" s="40" customFormat="1" ht="19.5" customHeight="1">
      <c r="A1126" s="25">
        <f t="shared" si="19"/>
        <v>1115</v>
      </c>
      <c r="B1126" s="26">
        <v>6306802</v>
      </c>
      <c r="C1126" s="27">
        <v>46203</v>
      </c>
      <c r="D1126" s="28">
        <v>2185</v>
      </c>
      <c r="E1126" s="29">
        <v>17118.38</v>
      </c>
      <c r="F1126" s="30" t="s">
        <v>4532</v>
      </c>
      <c r="G1126" s="27">
        <v>46206</v>
      </c>
      <c r="H1126" s="32">
        <v>2185</v>
      </c>
      <c r="I1126" s="33">
        <v>17118.38</v>
      </c>
      <c r="J1126" s="34" t="s">
        <v>384</v>
      </c>
      <c r="K1126" t="s">
        <v>34</v>
      </c>
      <c r="L1126" s="35">
        <v>11001675356</v>
      </c>
      <c r="M1126" s="36" t="s">
        <v>4312</v>
      </c>
      <c r="N1126" s="37" t="s">
        <v>1346</v>
      </c>
      <c r="O1126" t="s">
        <v>4533</v>
      </c>
      <c r="P1126" t="s">
        <v>4534</v>
      </c>
      <c r="Q1126" t="s">
        <v>4515</v>
      </c>
      <c r="R1126" s="332">
        <v>46204</v>
      </c>
      <c r="S1126" s="333">
        <v>46934</v>
      </c>
      <c r="T1126" s="413">
        <v>46230</v>
      </c>
      <c r="U1126" s="333">
        <v>46594</v>
      </c>
      <c r="V1126" s="40" t="s">
        <v>590</v>
      </c>
      <c r="W1126" s="41" t="s">
        <v>39</v>
      </c>
      <c r="X1126" s="40" t="s">
        <v>4535</v>
      </c>
      <c r="Y1126" s="40" t="s">
        <v>56</v>
      </c>
      <c r="Z1126"/>
      <c r="AA1126" s="62"/>
      <c r="AB1126" s="44"/>
      <c r="AC1126" s="63"/>
      <c r="AD1126" s="46"/>
      <c r="AE1126"/>
      <c r="AF1126" s="39"/>
      <c r="AG1126" s="49"/>
      <c r="AH1126" s="49"/>
      <c r="AI1126" s="49"/>
      <c r="AJ1126"/>
    </row>
    <row r="1127" spans="1:36" s="40" customFormat="1" ht="19.5" customHeight="1">
      <c r="A1127" s="25">
        <f t="shared" si="19"/>
        <v>1116</v>
      </c>
      <c r="B1127" s="26">
        <v>6306832</v>
      </c>
      <c r="C1127" s="27">
        <v>46203</v>
      </c>
      <c r="D1127" s="28">
        <v>9950</v>
      </c>
      <c r="E1127" s="29">
        <v>77953.279999999999</v>
      </c>
      <c r="F1127" s="30" t="s">
        <v>4536</v>
      </c>
      <c r="G1127" s="27">
        <v>46206</v>
      </c>
      <c r="H1127" s="32">
        <v>9950</v>
      </c>
      <c r="I1127" s="33">
        <v>77953.279999999999</v>
      </c>
      <c r="J1127" s="34" t="s">
        <v>384</v>
      </c>
      <c r="K1127" t="s">
        <v>34</v>
      </c>
      <c r="L1127" s="35">
        <v>11001675355</v>
      </c>
      <c r="M1127" s="36" t="s">
        <v>4312</v>
      </c>
      <c r="N1127" s="37" t="s">
        <v>1540</v>
      </c>
      <c r="O1127" t="s">
        <v>4533</v>
      </c>
      <c r="P1127" t="s">
        <v>4534</v>
      </c>
      <c r="Q1127" t="s">
        <v>4515</v>
      </c>
      <c r="R1127" s="332">
        <v>46204</v>
      </c>
      <c r="S1127" s="333">
        <v>46934</v>
      </c>
      <c r="T1127" s="332">
        <v>46231</v>
      </c>
      <c r="U1127" s="333">
        <v>46595</v>
      </c>
      <c r="V1127" s="40" t="s">
        <v>590</v>
      </c>
      <c r="W1127" s="41" t="s">
        <v>39</v>
      </c>
      <c r="X1127" s="40" t="s">
        <v>4535</v>
      </c>
      <c r="Y1127" s="40" t="s">
        <v>56</v>
      </c>
      <c r="Z1127"/>
      <c r="AA1127" s="62"/>
      <c r="AB1127" s="44"/>
      <c r="AC1127" s="63"/>
      <c r="AD1127" s="46"/>
      <c r="AE1127"/>
      <c r="AF1127" s="39"/>
      <c r="AG1127" s="49"/>
      <c r="AH1127" s="49"/>
      <c r="AI1127" s="49"/>
      <c r="AJ1127"/>
    </row>
    <row r="1128" spans="1:36" s="40" customFormat="1" ht="19.5" customHeight="1">
      <c r="A1128" s="25">
        <f t="shared" si="19"/>
        <v>1117</v>
      </c>
      <c r="B1128" s="26">
        <v>6306959</v>
      </c>
      <c r="C1128" s="27">
        <v>46203</v>
      </c>
      <c r="D1128" s="28">
        <v>26065.33</v>
      </c>
      <c r="E1128" s="29">
        <v>204208.83</v>
      </c>
      <c r="F1128" s="30" t="s">
        <v>4537</v>
      </c>
      <c r="G1128" s="27">
        <v>46205</v>
      </c>
      <c r="H1128" s="32">
        <v>26065.33</v>
      </c>
      <c r="I1128" s="33">
        <v>204388.68</v>
      </c>
      <c r="J1128" s="34" t="s">
        <v>33</v>
      </c>
      <c r="K1128" t="s">
        <v>34</v>
      </c>
      <c r="L1128" s="35">
        <v>342254660</v>
      </c>
      <c r="M1128" s="36" t="s">
        <v>2129</v>
      </c>
      <c r="N1128" s="37" t="s">
        <v>1346</v>
      </c>
      <c r="O1128" t="s">
        <v>4538</v>
      </c>
      <c r="P1128" t="s">
        <v>4539</v>
      </c>
      <c r="Q1128" s="414" t="s">
        <v>4540</v>
      </c>
      <c r="R1128" s="332">
        <v>46204</v>
      </c>
      <c r="S1128" s="333">
        <v>46568</v>
      </c>
      <c r="T1128" s="332">
        <v>46204</v>
      </c>
      <c r="U1128" s="333">
        <v>46568</v>
      </c>
      <c r="V1128" s="40" t="s">
        <v>80</v>
      </c>
      <c r="W1128" s="41" t="s">
        <v>39</v>
      </c>
      <c r="X1128" s="40" t="s">
        <v>4541</v>
      </c>
      <c r="Y1128" s="40" t="s">
        <v>56</v>
      </c>
      <c r="Z1128"/>
      <c r="AA1128" s="62"/>
      <c r="AB1128" s="44"/>
      <c r="AC1128" s="63">
        <v>10000536260</v>
      </c>
      <c r="AD1128" s="46">
        <v>46206</v>
      </c>
      <c r="AE1128"/>
      <c r="AF1128" s="39"/>
      <c r="AG1128" s="49"/>
      <c r="AH1128" s="49"/>
      <c r="AI1128" s="49"/>
      <c r="AJ1128"/>
    </row>
    <row r="1129" spans="1:36" ht="19.5" customHeight="1">
      <c r="A1129" s="25">
        <f t="shared" si="19"/>
        <v>1118</v>
      </c>
      <c r="B1129" s="415" t="s">
        <v>141</v>
      </c>
      <c r="C1129" s="31" t="s">
        <v>141</v>
      </c>
      <c r="D1129" s="80" t="s">
        <v>141</v>
      </c>
      <c r="E1129" s="288" t="s">
        <v>141</v>
      </c>
      <c r="F1129" s="30" t="s">
        <v>4542</v>
      </c>
      <c r="G1129" s="27">
        <v>46203</v>
      </c>
      <c r="H1129" s="283" t="s">
        <v>141</v>
      </c>
      <c r="I1129" s="33">
        <v>2790</v>
      </c>
      <c r="J1129" s="34" t="s">
        <v>3421</v>
      </c>
      <c r="K1129" t="s">
        <v>139</v>
      </c>
      <c r="L1129" s="35" t="s">
        <v>4543</v>
      </c>
      <c r="M1129" s="36" t="s">
        <v>4544</v>
      </c>
      <c r="N1129" s="43" t="s">
        <v>1404</v>
      </c>
      <c r="O1129" t="s">
        <v>4538</v>
      </c>
      <c r="P1129" t="s">
        <v>4539</v>
      </c>
      <c r="Q1129" t="s">
        <v>4540</v>
      </c>
      <c r="R1129" s="332">
        <v>46204</v>
      </c>
      <c r="S1129" s="333">
        <v>46568</v>
      </c>
      <c r="T1129" s="50" t="s">
        <v>141</v>
      </c>
      <c r="U1129" s="47" t="s">
        <v>141</v>
      </c>
      <c r="V1129" s="40" t="s">
        <v>80</v>
      </c>
      <c r="W1129" s="41" t="s">
        <v>39</v>
      </c>
      <c r="X1129" s="40" t="s">
        <v>4541</v>
      </c>
      <c r="Y1129" s="40" t="s">
        <v>185</v>
      </c>
      <c r="AA1129" s="62">
        <v>90007958</v>
      </c>
      <c r="AB1129" s="44">
        <v>46226</v>
      </c>
      <c r="AC1129" s="63">
        <v>60018088</v>
      </c>
      <c r="AD1129" s="46">
        <v>46226</v>
      </c>
      <c r="AE1129">
        <v>3221055</v>
      </c>
      <c r="AF1129" s="39">
        <v>46270</v>
      </c>
    </row>
    <row r="1130" spans="1:36" ht="19.5" customHeight="1">
      <c r="A1130" s="25">
        <f t="shared" si="19"/>
        <v>1119</v>
      </c>
      <c r="B1130" s="26">
        <v>6307045</v>
      </c>
      <c r="C1130" s="27">
        <v>46203</v>
      </c>
      <c r="D1130" s="80" t="s">
        <v>141</v>
      </c>
      <c r="E1130" s="29">
        <v>4590.4799999999996</v>
      </c>
      <c r="F1130" s="30" t="s">
        <v>4545</v>
      </c>
      <c r="G1130" s="27">
        <v>46209</v>
      </c>
      <c r="H1130" s="416" t="s">
        <v>141</v>
      </c>
      <c r="I1130" s="33">
        <v>4590.4799999999996</v>
      </c>
      <c r="J1130" s="34" t="s">
        <v>159</v>
      </c>
      <c r="K1130" t="s">
        <v>160</v>
      </c>
      <c r="L1130" s="35" t="s">
        <v>4546</v>
      </c>
      <c r="M1130" s="36" t="s">
        <v>4547</v>
      </c>
      <c r="N1130" s="43" t="s">
        <v>1525</v>
      </c>
      <c r="O1130" t="s">
        <v>4548</v>
      </c>
      <c r="P1130" t="s">
        <v>4549</v>
      </c>
      <c r="Q1130" t="s">
        <v>4550</v>
      </c>
      <c r="R1130" s="332">
        <v>46203</v>
      </c>
      <c r="S1130" s="333">
        <v>46567</v>
      </c>
      <c r="T1130" s="50" t="s">
        <v>141</v>
      </c>
      <c r="U1130" s="47" t="s">
        <v>141</v>
      </c>
      <c r="V1130" s="40" t="s">
        <v>1306</v>
      </c>
      <c r="W1130" s="41" t="s">
        <v>39</v>
      </c>
      <c r="X1130" s="40" t="s">
        <v>4551</v>
      </c>
      <c r="Y1130" s="40" t="s">
        <v>185</v>
      </c>
      <c r="AC1130" s="63" t="s">
        <v>4552</v>
      </c>
      <c r="AD1130" s="46">
        <v>46230</v>
      </c>
      <c r="AE1130">
        <v>3219037</v>
      </c>
      <c r="AF1130" s="39">
        <v>46255</v>
      </c>
    </row>
    <row r="1131" spans="1:36" ht="19.5" customHeight="1">
      <c r="A1131" s="25">
        <f t="shared" si="19"/>
        <v>1120</v>
      </c>
      <c r="B1131" s="26">
        <v>6307081</v>
      </c>
      <c r="C1131" s="27">
        <v>46203</v>
      </c>
      <c r="D1131" s="80" t="s">
        <v>141</v>
      </c>
      <c r="E1131" s="29">
        <v>58000</v>
      </c>
      <c r="F1131" s="30" t="s">
        <v>4553</v>
      </c>
      <c r="G1131" s="27">
        <v>46206</v>
      </c>
      <c r="H1131" s="330" t="s">
        <v>141</v>
      </c>
      <c r="I1131" s="29">
        <v>58000</v>
      </c>
      <c r="J1131" s="34" t="s">
        <v>33</v>
      </c>
      <c r="K1131" t="s">
        <v>193</v>
      </c>
      <c r="L1131" s="35" t="s">
        <v>4554</v>
      </c>
      <c r="M1131" s="36" t="s">
        <v>4555</v>
      </c>
      <c r="N1131" s="43" t="s">
        <v>4276</v>
      </c>
      <c r="O1131" t="s">
        <v>4556</v>
      </c>
      <c r="P1131" t="s">
        <v>4557</v>
      </c>
      <c r="Q1131" t="s">
        <v>3892</v>
      </c>
      <c r="R1131" s="332">
        <v>46204</v>
      </c>
      <c r="S1131" s="333">
        <v>46568</v>
      </c>
      <c r="T1131" s="50" t="s">
        <v>141</v>
      </c>
      <c r="U1131" s="47" t="s">
        <v>141</v>
      </c>
      <c r="V1131" s="40" t="s">
        <v>1306</v>
      </c>
      <c r="W1131" s="41" t="s">
        <v>39</v>
      </c>
      <c r="X1131" s="40" t="s">
        <v>4558</v>
      </c>
      <c r="Y1131" s="40" t="s">
        <v>185</v>
      </c>
      <c r="AA1131" s="62" t="s">
        <v>4559</v>
      </c>
      <c r="AB1131" s="44">
        <v>46237</v>
      </c>
      <c r="AC1131" s="63" t="s">
        <v>4560</v>
      </c>
      <c r="AD1131" s="46">
        <v>46237</v>
      </c>
    </row>
    <row r="1132" spans="1:36" ht="19.5" customHeight="1">
      <c r="A1132" s="25">
        <f t="shared" si="19"/>
        <v>1121</v>
      </c>
      <c r="B1132" s="26">
        <v>6307312</v>
      </c>
      <c r="C1132" s="27">
        <v>46205</v>
      </c>
      <c r="D1132" s="28">
        <v>7797.18</v>
      </c>
      <c r="E1132" s="29">
        <v>61140.81</v>
      </c>
      <c r="F1132" s="30" t="s">
        <v>4561</v>
      </c>
      <c r="G1132" s="27">
        <v>46211</v>
      </c>
      <c r="H1132" s="398">
        <v>7797.18</v>
      </c>
      <c r="I1132" s="33">
        <v>61140.81</v>
      </c>
      <c r="J1132" s="34" t="s">
        <v>33</v>
      </c>
      <c r="K1132" t="s">
        <v>34</v>
      </c>
      <c r="L1132" s="35">
        <v>292338463</v>
      </c>
      <c r="M1132" s="36" t="s">
        <v>3067</v>
      </c>
      <c r="N1132" s="43" t="s">
        <v>1540</v>
      </c>
      <c r="O1132" t="s">
        <v>3946</v>
      </c>
      <c r="P1132" t="s">
        <v>3947</v>
      </c>
      <c r="Q1132" t="s">
        <v>3948</v>
      </c>
      <c r="R1132" s="332">
        <v>46091</v>
      </c>
      <c r="S1132" s="333">
        <v>46660</v>
      </c>
      <c r="T1132" s="332">
        <v>46202</v>
      </c>
      <c r="U1132" s="333">
        <v>46566</v>
      </c>
      <c r="V1132" s="40" t="s">
        <v>4562</v>
      </c>
      <c r="W1132" s="41" t="s">
        <v>39</v>
      </c>
      <c r="X1132" s="40" t="s">
        <v>3950</v>
      </c>
      <c r="Y1132" s="40" t="s">
        <v>185</v>
      </c>
      <c r="AC1132" s="63">
        <v>10000552609</v>
      </c>
      <c r="AD1132" s="46">
        <v>46212</v>
      </c>
    </row>
    <row r="1133" spans="1:36" ht="19.5" customHeight="1">
      <c r="A1133" s="25">
        <f t="shared" si="19"/>
        <v>1122</v>
      </c>
      <c r="B1133" s="26">
        <v>6307384</v>
      </c>
      <c r="C1133" s="27">
        <v>46205</v>
      </c>
      <c r="D1133" s="28">
        <v>1116.45</v>
      </c>
      <c r="E1133" s="29">
        <v>8754.5300000000007</v>
      </c>
      <c r="F1133" s="30" t="s">
        <v>4563</v>
      </c>
      <c r="G1133" s="27">
        <v>46211</v>
      </c>
      <c r="H1133" s="398">
        <v>1116.45</v>
      </c>
      <c r="I1133" s="33">
        <v>8754.5300000000007</v>
      </c>
      <c r="J1133" s="34" t="s">
        <v>33</v>
      </c>
      <c r="K1133" t="s">
        <v>34</v>
      </c>
      <c r="L1133" s="35">
        <v>282328449</v>
      </c>
      <c r="M1133" s="36" t="s">
        <v>2104</v>
      </c>
      <c r="N1133" s="43" t="s">
        <v>1346</v>
      </c>
      <c r="O1133" t="s">
        <v>4564</v>
      </c>
      <c r="P1133" t="s">
        <v>4565</v>
      </c>
      <c r="Q1133" t="s">
        <v>3479</v>
      </c>
      <c r="R1133" s="332">
        <v>46242</v>
      </c>
      <c r="S1133" s="333">
        <v>46606</v>
      </c>
      <c r="T1133" s="332">
        <v>46973</v>
      </c>
      <c r="U1133" s="333">
        <v>47337</v>
      </c>
      <c r="V1133" s="40" t="s">
        <v>1374</v>
      </c>
      <c r="W1133" s="41" t="s">
        <v>39</v>
      </c>
      <c r="X1133" s="40" t="s">
        <v>4566</v>
      </c>
      <c r="Y1133" s="40" t="s">
        <v>56</v>
      </c>
      <c r="AC1133" s="63">
        <v>10000552646</v>
      </c>
      <c r="AD1133" s="46">
        <v>46212</v>
      </c>
    </row>
    <row r="1134" spans="1:36" ht="19.5" customHeight="1">
      <c r="A1134" s="25">
        <f t="shared" si="19"/>
        <v>1123</v>
      </c>
      <c r="B1134" s="26">
        <v>6307409</v>
      </c>
      <c r="C1134" s="27">
        <v>46205</v>
      </c>
      <c r="D1134" s="28">
        <v>6282.35</v>
      </c>
      <c r="E1134" s="29">
        <v>49262.42</v>
      </c>
      <c r="F1134" s="30" t="s">
        <v>4567</v>
      </c>
      <c r="G1134" s="27">
        <v>46206</v>
      </c>
      <c r="H1134" s="398">
        <v>6282.35</v>
      </c>
      <c r="I1134" s="33">
        <v>49262.42</v>
      </c>
      <c r="J1134" s="34" t="s">
        <v>33</v>
      </c>
      <c r="K1134" t="s">
        <v>34</v>
      </c>
      <c r="L1134" s="35">
        <v>242339316</v>
      </c>
      <c r="M1134" s="36" t="s">
        <v>2482</v>
      </c>
      <c r="N1134" s="43" t="s">
        <v>1377</v>
      </c>
      <c r="O1134" t="s">
        <v>4556</v>
      </c>
      <c r="P1134" t="s">
        <v>4557</v>
      </c>
      <c r="Q1134" t="s">
        <v>3892</v>
      </c>
      <c r="R1134" s="332">
        <v>46204</v>
      </c>
      <c r="S1134" s="333">
        <v>46568</v>
      </c>
      <c r="T1134" s="332">
        <v>46204</v>
      </c>
      <c r="U1134" s="333">
        <v>46568</v>
      </c>
      <c r="V1134" s="40" t="s">
        <v>1306</v>
      </c>
      <c r="W1134" s="41" t="s">
        <v>39</v>
      </c>
      <c r="X1134" s="40" t="s">
        <v>4558</v>
      </c>
      <c r="Y1134" s="40" t="s">
        <v>56</v>
      </c>
      <c r="AC1134" s="63">
        <v>10000541845</v>
      </c>
      <c r="AD1134" s="46">
        <v>46209</v>
      </c>
    </row>
    <row r="1135" spans="1:36" ht="19.5" customHeight="1">
      <c r="A1135" s="25">
        <f t="shared" si="19"/>
        <v>1124</v>
      </c>
      <c r="B1135" s="26">
        <v>6307602</v>
      </c>
      <c r="C1135" s="27">
        <v>46205</v>
      </c>
      <c r="D1135" s="28">
        <v>4016.26</v>
      </c>
      <c r="E1135" s="29">
        <v>31493.1</v>
      </c>
      <c r="F1135" s="30" t="s">
        <v>4568</v>
      </c>
      <c r="G1135" s="27">
        <v>46209</v>
      </c>
      <c r="H1135" s="417">
        <v>4016.26</v>
      </c>
      <c r="I1135" s="33">
        <v>31493.1</v>
      </c>
      <c r="J1135" s="34" t="s">
        <v>33</v>
      </c>
      <c r="K1135" t="s">
        <v>34</v>
      </c>
      <c r="L1135" s="35">
        <v>202324018</v>
      </c>
      <c r="M1135" s="36" t="s">
        <v>2550</v>
      </c>
      <c r="N1135" s="43" t="s">
        <v>1346</v>
      </c>
      <c r="O1135" t="s">
        <v>4569</v>
      </c>
      <c r="P1135" t="s">
        <v>4570</v>
      </c>
      <c r="Q1135" t="s">
        <v>3597</v>
      </c>
      <c r="R1135" s="332">
        <v>46079</v>
      </c>
      <c r="S1135" s="333">
        <v>46443</v>
      </c>
      <c r="T1135" s="332">
        <v>46244</v>
      </c>
      <c r="U1135" s="333">
        <v>46588</v>
      </c>
      <c r="V1135" s="40" t="s">
        <v>1374</v>
      </c>
      <c r="W1135" s="41" t="s">
        <v>39</v>
      </c>
      <c r="X1135" s="40" t="s">
        <v>3011</v>
      </c>
      <c r="Y1135" s="40" t="s">
        <v>56</v>
      </c>
      <c r="AC1135" s="63">
        <v>10000545972</v>
      </c>
      <c r="AD1135" s="46">
        <v>46210</v>
      </c>
    </row>
    <row r="1136" spans="1:36" ht="19.5" customHeight="1">
      <c r="A1136" s="25">
        <f t="shared" si="19"/>
        <v>1125</v>
      </c>
      <c r="B1136" s="26">
        <v>6307612</v>
      </c>
      <c r="C1136" s="27">
        <v>46205</v>
      </c>
      <c r="D1136" s="28">
        <v>4285.4399999999996</v>
      </c>
      <c r="E1136" s="29">
        <v>33603.839999999997</v>
      </c>
      <c r="F1136" s="30" t="s">
        <v>4571</v>
      </c>
      <c r="G1136" s="27">
        <v>46210</v>
      </c>
      <c r="H1136" s="398">
        <v>4285.4399999999996</v>
      </c>
      <c r="I1136" s="33">
        <v>33603.839999999997</v>
      </c>
      <c r="J1136" s="34" t="s">
        <v>33</v>
      </c>
      <c r="K1136" t="s">
        <v>206</v>
      </c>
      <c r="L1136" s="35" t="s">
        <v>4572</v>
      </c>
      <c r="M1136" s="36" t="s">
        <v>4573</v>
      </c>
      <c r="N1136" s="43" t="s">
        <v>1330</v>
      </c>
      <c r="O1136" t="s">
        <v>4574</v>
      </c>
      <c r="P1136" t="s">
        <v>4575</v>
      </c>
      <c r="Q1136" t="s">
        <v>3868</v>
      </c>
      <c r="R1136" s="332">
        <v>46203</v>
      </c>
      <c r="S1136" s="333">
        <v>46567</v>
      </c>
      <c r="T1136" s="332">
        <v>46203</v>
      </c>
      <c r="U1136" s="333">
        <v>46567</v>
      </c>
      <c r="V1136" s="40" t="s">
        <v>458</v>
      </c>
      <c r="W1136" s="41" t="s">
        <v>39</v>
      </c>
      <c r="X1136" s="40" t="s">
        <v>4576</v>
      </c>
      <c r="Y1136" s="40" t="s">
        <v>56</v>
      </c>
      <c r="AC1136" s="63" t="s">
        <v>4577</v>
      </c>
      <c r="AE1136">
        <v>3220619</v>
      </c>
      <c r="AF1136" s="39">
        <v>46267</v>
      </c>
    </row>
    <row r="1137" spans="1:32" ht="19.5" customHeight="1">
      <c r="A1137" s="25">
        <f t="shared" si="19"/>
        <v>1126</v>
      </c>
      <c r="B1137" s="26">
        <v>6307676</v>
      </c>
      <c r="C1137" s="27">
        <v>46205</v>
      </c>
      <c r="D1137" s="80" t="s">
        <v>141</v>
      </c>
      <c r="E1137" s="29">
        <v>1480</v>
      </c>
      <c r="F1137" s="30" t="s">
        <v>4578</v>
      </c>
      <c r="G1137" s="27">
        <v>46209</v>
      </c>
      <c r="H1137" s="330" t="s">
        <v>141</v>
      </c>
      <c r="I1137" s="33">
        <v>1480</v>
      </c>
      <c r="J1137" s="34" t="s">
        <v>33</v>
      </c>
      <c r="K1137" t="s">
        <v>139</v>
      </c>
      <c r="L1137" s="35">
        <v>80005524</v>
      </c>
      <c r="M1137" s="36" t="s">
        <v>4579</v>
      </c>
      <c r="N1137" s="43" t="s">
        <v>1404</v>
      </c>
      <c r="O1137" t="s">
        <v>4574</v>
      </c>
      <c r="P1137" t="s">
        <v>4575</v>
      </c>
      <c r="Q1137" t="s">
        <v>3868</v>
      </c>
      <c r="R1137" s="332">
        <v>46203</v>
      </c>
      <c r="S1137" s="333">
        <v>46567</v>
      </c>
      <c r="T1137" s="50" t="s">
        <v>141</v>
      </c>
      <c r="U1137" s="47" t="s">
        <v>141</v>
      </c>
      <c r="V1137" s="40" t="s">
        <v>458</v>
      </c>
      <c r="W1137" s="41" t="s">
        <v>39</v>
      </c>
      <c r="X1137" s="40" t="s">
        <v>4576</v>
      </c>
      <c r="Y1137" s="40" t="s">
        <v>56</v>
      </c>
      <c r="AE1137">
        <v>3221049</v>
      </c>
      <c r="AF1137" s="39">
        <v>46270</v>
      </c>
    </row>
    <row r="1138" spans="1:32" ht="19.5" customHeight="1">
      <c r="A1138" s="25">
        <f t="shared" si="19"/>
        <v>1127</v>
      </c>
      <c r="B1138" s="291" t="s">
        <v>141</v>
      </c>
      <c r="C1138" s="31" t="s">
        <v>141</v>
      </c>
      <c r="D1138" s="80" t="s">
        <v>141</v>
      </c>
      <c r="E1138" s="288" t="s">
        <v>141</v>
      </c>
      <c r="F1138" s="30" t="s">
        <v>4580</v>
      </c>
      <c r="G1138" s="27">
        <v>46206</v>
      </c>
      <c r="H1138" s="330" t="s">
        <v>141</v>
      </c>
      <c r="I1138" s="33">
        <v>1340</v>
      </c>
      <c r="J1138" s="34" t="s">
        <v>3421</v>
      </c>
      <c r="K1138" t="s">
        <v>139</v>
      </c>
      <c r="L1138" s="35" t="s">
        <v>4581</v>
      </c>
      <c r="M1138" s="36" t="s">
        <v>4582</v>
      </c>
      <c r="N1138" s="43" t="s">
        <v>4583</v>
      </c>
      <c r="O1138" t="s">
        <v>4465</v>
      </c>
      <c r="P1138" t="s">
        <v>4466</v>
      </c>
      <c r="Q1138" t="s">
        <v>4308</v>
      </c>
      <c r="R1138" s="332">
        <v>46023</v>
      </c>
      <c r="S1138" s="333">
        <v>46387</v>
      </c>
      <c r="T1138" s="50" t="s">
        <v>141</v>
      </c>
      <c r="U1138" s="47" t="s">
        <v>141</v>
      </c>
      <c r="V1138" s="40" t="s">
        <v>80</v>
      </c>
      <c r="W1138" s="41" t="s">
        <v>39</v>
      </c>
      <c r="X1138" s="40" t="s">
        <v>4467</v>
      </c>
      <c r="Y1138" s="40" t="s">
        <v>185</v>
      </c>
      <c r="AA1138" s="62">
        <v>90008142</v>
      </c>
      <c r="AB1138" s="44">
        <v>46261</v>
      </c>
      <c r="AC1138" s="63">
        <v>60018359</v>
      </c>
      <c r="AD1138" s="46">
        <v>46261</v>
      </c>
    </row>
    <row r="1139" spans="1:32" ht="19.5" customHeight="1">
      <c r="A1139" s="25">
        <f t="shared" si="19"/>
        <v>1128</v>
      </c>
      <c r="B1139" s="26">
        <v>6308439</v>
      </c>
      <c r="C1139" s="27">
        <v>46209</v>
      </c>
      <c r="D1139" s="80" t="s">
        <v>141</v>
      </c>
      <c r="E1139" s="29">
        <v>1792790</v>
      </c>
      <c r="F1139" s="30" t="s">
        <v>4584</v>
      </c>
      <c r="G1139" s="27">
        <v>46210</v>
      </c>
      <c r="H1139" s="330" t="s">
        <v>141</v>
      </c>
      <c r="I1139" s="33">
        <v>1792790</v>
      </c>
      <c r="J1139" s="34" t="s">
        <v>4585</v>
      </c>
      <c r="K1139" t="s">
        <v>977</v>
      </c>
      <c r="L1139" s="35" t="s">
        <v>4586</v>
      </c>
      <c r="M1139" s="36" t="s">
        <v>4587</v>
      </c>
      <c r="N1139" s="43" t="s">
        <v>3794</v>
      </c>
      <c r="O1139" t="s">
        <v>4588</v>
      </c>
      <c r="P1139" t="s">
        <v>4589</v>
      </c>
      <c r="Q1139" t="s">
        <v>4590</v>
      </c>
      <c r="R1139" s="332">
        <v>46203</v>
      </c>
      <c r="S1139" s="333">
        <v>48273</v>
      </c>
      <c r="T1139" s="332">
        <v>46203</v>
      </c>
      <c r="U1139" s="333">
        <v>47634</v>
      </c>
      <c r="V1139" s="40" t="s">
        <v>1374</v>
      </c>
      <c r="W1139" s="41" t="s">
        <v>39</v>
      </c>
      <c r="X1139" s="40" t="s">
        <v>4591</v>
      </c>
      <c r="Y1139" s="40" t="s">
        <v>56</v>
      </c>
      <c r="AA1139" s="62" t="s">
        <v>4592</v>
      </c>
      <c r="AB1139" s="44">
        <v>46226</v>
      </c>
      <c r="AC1139" s="63" t="s">
        <v>4593</v>
      </c>
      <c r="AD1139" s="46">
        <v>46225</v>
      </c>
      <c r="AE1139">
        <v>3221061</v>
      </c>
      <c r="AF1139" s="39">
        <v>46272</v>
      </c>
    </row>
    <row r="1140" spans="1:32" ht="19.5" customHeight="1">
      <c r="A1140" s="25">
        <f t="shared" si="19"/>
        <v>1129</v>
      </c>
      <c r="B1140" s="26">
        <v>6308451</v>
      </c>
      <c r="C1140" s="27">
        <v>46209</v>
      </c>
      <c r="D1140" s="80" t="s">
        <v>141</v>
      </c>
      <c r="E1140" s="29">
        <v>1769709</v>
      </c>
      <c r="F1140" s="30" t="s">
        <v>4594</v>
      </c>
      <c r="G1140" s="27">
        <v>46210</v>
      </c>
      <c r="H1140" s="330" t="s">
        <v>141</v>
      </c>
      <c r="I1140" s="33">
        <v>1769709</v>
      </c>
      <c r="J1140" s="34" t="s">
        <v>4585</v>
      </c>
      <c r="K1140" t="s">
        <v>977</v>
      </c>
      <c r="L1140" s="35" t="s">
        <v>4595</v>
      </c>
      <c r="M1140" s="36" t="s">
        <v>2104</v>
      </c>
      <c r="N1140" s="43" t="s">
        <v>3794</v>
      </c>
      <c r="O1140" t="s">
        <v>4588</v>
      </c>
      <c r="P1140" t="s">
        <v>4589</v>
      </c>
      <c r="Q1140" t="s">
        <v>4590</v>
      </c>
      <c r="R1140" s="332">
        <v>46203</v>
      </c>
      <c r="S1140" s="333">
        <v>48273</v>
      </c>
      <c r="T1140" s="332">
        <v>46203</v>
      </c>
      <c r="U1140" s="333">
        <v>46599</v>
      </c>
      <c r="V1140" s="40" t="s">
        <v>1374</v>
      </c>
      <c r="W1140" s="41" t="s">
        <v>39</v>
      </c>
      <c r="X1140" s="40" t="s">
        <v>4591</v>
      </c>
      <c r="Y1140" s="40" t="s">
        <v>56</v>
      </c>
      <c r="AE1140">
        <v>3221060</v>
      </c>
      <c r="AF1140" s="39">
        <v>46272</v>
      </c>
    </row>
    <row r="1141" spans="1:32" ht="19.5" customHeight="1">
      <c r="A1141" s="25">
        <f t="shared" si="19"/>
        <v>1130</v>
      </c>
      <c r="B1141" s="291" t="s">
        <v>141</v>
      </c>
      <c r="C1141" s="31" t="s">
        <v>141</v>
      </c>
      <c r="D1141" s="80" t="s">
        <v>141</v>
      </c>
      <c r="E1141" s="288" t="s">
        <v>141</v>
      </c>
      <c r="F1141" s="30" t="s">
        <v>4596</v>
      </c>
      <c r="G1141" s="27">
        <v>46211</v>
      </c>
      <c r="H1141" s="330" t="s">
        <v>141</v>
      </c>
      <c r="I1141" s="33">
        <v>1370</v>
      </c>
      <c r="J1141" s="34" t="s">
        <v>3421</v>
      </c>
      <c r="K1141" t="s">
        <v>139</v>
      </c>
      <c r="L1141" s="35">
        <v>80005530</v>
      </c>
      <c r="M1141" s="36" t="s">
        <v>4597</v>
      </c>
      <c r="N1141" s="43" t="s">
        <v>1404</v>
      </c>
      <c r="O1141" t="s">
        <v>4598</v>
      </c>
      <c r="P1141" t="s">
        <v>4599</v>
      </c>
      <c r="Q1141" t="s">
        <v>4600</v>
      </c>
      <c r="R1141" s="332">
        <v>46227</v>
      </c>
      <c r="S1141" s="333">
        <v>46591</v>
      </c>
      <c r="T1141" s="50" t="s">
        <v>141</v>
      </c>
      <c r="U1141" s="47" t="s">
        <v>141</v>
      </c>
      <c r="V1141" s="40" t="s">
        <v>38</v>
      </c>
      <c r="W1141" s="41" t="s">
        <v>39</v>
      </c>
      <c r="X1141" s="40">
        <v>37018888</v>
      </c>
      <c r="Y1141" s="40" t="s">
        <v>185</v>
      </c>
      <c r="AA1141" s="62">
        <v>90008014</v>
      </c>
      <c r="AB1141" s="44">
        <v>46233</v>
      </c>
      <c r="AC1141" s="63">
        <v>60018162</v>
      </c>
      <c r="AD1141" s="44">
        <v>46233</v>
      </c>
    </row>
    <row r="1142" spans="1:32" ht="19.5" customHeight="1">
      <c r="A1142" s="25">
        <f t="shared" si="19"/>
        <v>1131</v>
      </c>
      <c r="B1142" s="291" t="s">
        <v>141</v>
      </c>
      <c r="C1142" s="31" t="s">
        <v>141</v>
      </c>
      <c r="D1142" s="80" t="s">
        <v>141</v>
      </c>
      <c r="E1142" s="288" t="s">
        <v>141</v>
      </c>
      <c r="F1142" s="30" t="s">
        <v>4601</v>
      </c>
      <c r="G1142" s="27">
        <v>46211</v>
      </c>
      <c r="H1142" s="330" t="s">
        <v>141</v>
      </c>
      <c r="I1142" s="33">
        <v>2020</v>
      </c>
      <c r="J1142" s="34" t="s">
        <v>3421</v>
      </c>
      <c r="K1142" t="s">
        <v>139</v>
      </c>
      <c r="L1142" s="35">
        <v>80005532</v>
      </c>
      <c r="M1142" s="36" t="s">
        <v>4602</v>
      </c>
      <c r="N1142" s="43" t="s">
        <v>1383</v>
      </c>
      <c r="O1142" t="s">
        <v>4603</v>
      </c>
      <c r="P1142" t="s">
        <v>4604</v>
      </c>
      <c r="Q1142" t="s">
        <v>4605</v>
      </c>
      <c r="R1142" s="332">
        <v>46224</v>
      </c>
      <c r="S1142" s="333">
        <v>46588</v>
      </c>
      <c r="T1142" s="50" t="s">
        <v>141</v>
      </c>
      <c r="U1142" s="47" t="s">
        <v>141</v>
      </c>
      <c r="V1142" s="40" t="s">
        <v>458</v>
      </c>
      <c r="W1142" s="41" t="s">
        <v>39</v>
      </c>
      <c r="X1142" s="40" t="s">
        <v>4606</v>
      </c>
      <c r="Y1142" s="40" t="s">
        <v>185</v>
      </c>
      <c r="AA1142" s="62">
        <v>90008014</v>
      </c>
      <c r="AB1142" s="44">
        <v>46233</v>
      </c>
      <c r="AC1142" s="63">
        <v>60018163</v>
      </c>
      <c r="AD1142" s="46">
        <v>46233</v>
      </c>
    </row>
    <row r="1143" spans="1:32" ht="19.5" customHeight="1">
      <c r="A1143" s="25">
        <f t="shared" si="19"/>
        <v>1132</v>
      </c>
      <c r="B1143" s="26">
        <v>6309691</v>
      </c>
      <c r="C1143" s="27">
        <v>46211</v>
      </c>
      <c r="D1143" s="80" t="s">
        <v>141</v>
      </c>
      <c r="E1143" s="29">
        <v>18720</v>
      </c>
      <c r="F1143" s="30" t="s">
        <v>4607</v>
      </c>
      <c r="G1143" s="27">
        <v>46216</v>
      </c>
      <c r="H1143" s="330" t="s">
        <v>141</v>
      </c>
      <c r="I1143" s="33">
        <v>18720</v>
      </c>
      <c r="J1143" s="34" t="s">
        <v>159</v>
      </c>
      <c r="K1143" t="s">
        <v>212</v>
      </c>
      <c r="L1143" s="35" t="s">
        <v>4608</v>
      </c>
      <c r="M1143" s="36" t="s">
        <v>4000</v>
      </c>
      <c r="N1143" s="43" t="s">
        <v>4609</v>
      </c>
      <c r="O1143" t="s">
        <v>4610</v>
      </c>
      <c r="P1143" t="s">
        <v>4611</v>
      </c>
      <c r="Q1143" t="s">
        <v>1990</v>
      </c>
      <c r="R1143" s="332">
        <v>46204</v>
      </c>
      <c r="S1143" s="333">
        <v>46568</v>
      </c>
      <c r="T1143" s="332">
        <v>46204</v>
      </c>
      <c r="U1143" s="333">
        <v>46568</v>
      </c>
      <c r="V1143" s="40" t="s">
        <v>4612</v>
      </c>
      <c r="W1143" s="41" t="s">
        <v>39</v>
      </c>
      <c r="X1143" s="40" t="s">
        <v>4613</v>
      </c>
      <c r="Y1143" s="40" t="s">
        <v>56</v>
      </c>
    </row>
    <row r="1144" spans="1:32" ht="19.5" customHeight="1">
      <c r="A1144" s="25">
        <f t="shared" si="19"/>
        <v>1133</v>
      </c>
      <c r="B1144" s="26">
        <v>6309710</v>
      </c>
      <c r="C1144" s="27">
        <v>46211</v>
      </c>
      <c r="D1144" s="28">
        <v>14091.48</v>
      </c>
      <c r="E1144" s="29">
        <v>110496.93</v>
      </c>
      <c r="F1144" s="30" t="s">
        <v>4614</v>
      </c>
      <c r="G1144" s="27">
        <v>46213</v>
      </c>
      <c r="H1144" s="398">
        <v>14091.48</v>
      </c>
      <c r="I1144" s="33">
        <v>110496.93</v>
      </c>
      <c r="J1144" s="34" t="s">
        <v>99</v>
      </c>
      <c r="K1144" t="s">
        <v>34</v>
      </c>
      <c r="L1144" s="35">
        <v>272332959</v>
      </c>
      <c r="M1144" s="36" t="s">
        <v>4615</v>
      </c>
      <c r="N1144" s="43" t="s">
        <v>1346</v>
      </c>
      <c r="O1144" t="s">
        <v>4616</v>
      </c>
      <c r="P1144" t="s">
        <v>4617</v>
      </c>
      <c r="Q1144" t="s">
        <v>4618</v>
      </c>
      <c r="R1144" s="332">
        <v>46174</v>
      </c>
      <c r="S1144" s="333">
        <v>46538</v>
      </c>
      <c r="T1144" s="332">
        <v>46210</v>
      </c>
      <c r="U1144" s="333">
        <v>46574</v>
      </c>
      <c r="V1144" s="40" t="s">
        <v>590</v>
      </c>
      <c r="W1144" s="41" t="s">
        <v>39</v>
      </c>
      <c r="X1144" s="40" t="s">
        <v>4619</v>
      </c>
      <c r="Y1144" s="40" t="s">
        <v>185</v>
      </c>
      <c r="AC1144" s="63">
        <v>10000562105</v>
      </c>
      <c r="AD1144" s="46">
        <v>46216</v>
      </c>
      <c r="AE1144">
        <v>3218914</v>
      </c>
      <c r="AF1144" s="39">
        <v>46255</v>
      </c>
    </row>
    <row r="1145" spans="1:32" ht="19.5" customHeight="1">
      <c r="A1145" s="25">
        <f t="shared" si="19"/>
        <v>1134</v>
      </c>
      <c r="B1145" s="26">
        <v>6309910</v>
      </c>
      <c r="C1145" s="27">
        <v>46212</v>
      </c>
      <c r="D1145" s="28">
        <v>11451.34</v>
      </c>
      <c r="E1145" s="29">
        <v>89794.54</v>
      </c>
      <c r="F1145" s="30" t="s">
        <v>4620</v>
      </c>
      <c r="G1145" s="27">
        <v>46216</v>
      </c>
      <c r="H1145" s="398">
        <v>11451.34</v>
      </c>
      <c r="I1145" s="33">
        <v>89794.54</v>
      </c>
      <c r="J1145" s="34" t="s">
        <v>33</v>
      </c>
      <c r="K1145" t="s">
        <v>34</v>
      </c>
      <c r="L1145" s="35">
        <v>462028399</v>
      </c>
      <c r="M1145" s="36" t="s">
        <v>2129</v>
      </c>
      <c r="N1145" s="43" t="s">
        <v>1346</v>
      </c>
      <c r="O1145" t="s">
        <v>4621</v>
      </c>
      <c r="P1145" t="s">
        <v>4622</v>
      </c>
      <c r="Q1145" t="s">
        <v>4623</v>
      </c>
      <c r="R1145" s="332">
        <v>46204</v>
      </c>
      <c r="S1145" s="333">
        <v>46568</v>
      </c>
      <c r="T1145" s="332">
        <v>46204</v>
      </c>
      <c r="U1145" s="333">
        <v>46568</v>
      </c>
      <c r="V1145" s="40" t="s">
        <v>38</v>
      </c>
      <c r="W1145" s="41" t="s">
        <v>39</v>
      </c>
      <c r="X1145" s="40" t="s">
        <v>4624</v>
      </c>
      <c r="Y1145" s="40" t="s">
        <v>185</v>
      </c>
      <c r="AC1145" s="63">
        <v>10000564037</v>
      </c>
      <c r="AD1145" s="46">
        <v>46217</v>
      </c>
      <c r="AE1145">
        <v>3217793</v>
      </c>
      <c r="AF1145" s="39">
        <v>46246</v>
      </c>
    </row>
    <row r="1146" spans="1:32" ht="19.5" customHeight="1">
      <c r="A1146" s="25">
        <f t="shared" si="19"/>
        <v>1135</v>
      </c>
      <c r="B1146" s="291" t="s">
        <v>141</v>
      </c>
      <c r="C1146" s="31" t="s">
        <v>141</v>
      </c>
      <c r="D1146" s="219" t="s">
        <v>141</v>
      </c>
      <c r="E1146" s="294" t="s">
        <v>141</v>
      </c>
      <c r="F1146" s="30" t="s">
        <v>4625</v>
      </c>
      <c r="G1146" s="27">
        <v>46212</v>
      </c>
      <c r="H1146" s="293" t="s">
        <v>141</v>
      </c>
      <c r="I1146" s="74">
        <v>3800</v>
      </c>
      <c r="J1146" s="34" t="s">
        <v>3421</v>
      </c>
      <c r="K1146" t="s">
        <v>338</v>
      </c>
      <c r="L1146" s="35" t="s">
        <v>4626</v>
      </c>
      <c r="M1146" s="36" t="s">
        <v>4627</v>
      </c>
      <c r="N1146" s="43" t="s">
        <v>4628</v>
      </c>
      <c r="O1146" t="s">
        <v>4629</v>
      </c>
      <c r="P1146" t="s">
        <v>4630</v>
      </c>
      <c r="Q1146" t="s">
        <v>1904</v>
      </c>
      <c r="R1146" s="332">
        <v>46226</v>
      </c>
      <c r="S1146" s="333">
        <v>46590</v>
      </c>
      <c r="T1146" s="50" t="s">
        <v>141</v>
      </c>
      <c r="U1146" s="47" t="s">
        <v>141</v>
      </c>
      <c r="V1146" s="40" t="s">
        <v>80</v>
      </c>
      <c r="W1146" s="41" t="s">
        <v>39</v>
      </c>
      <c r="X1146" s="40" t="s">
        <v>4631</v>
      </c>
      <c r="Y1146" s="40" t="s">
        <v>56</v>
      </c>
      <c r="AA1146" s="62" t="s">
        <v>4632</v>
      </c>
      <c r="AB1146" s="44">
        <v>46217</v>
      </c>
      <c r="AC1146" s="63" t="s">
        <v>4633</v>
      </c>
      <c r="AD1146" s="46">
        <v>46217</v>
      </c>
      <c r="AE1146">
        <v>3219266</v>
      </c>
      <c r="AF1146" s="39">
        <v>46259</v>
      </c>
    </row>
    <row r="1147" spans="1:32" ht="19.5" customHeight="1">
      <c r="A1147" s="25">
        <f t="shared" si="19"/>
        <v>1136</v>
      </c>
      <c r="B1147" s="26">
        <v>6310099</v>
      </c>
      <c r="C1147" s="27">
        <v>46212</v>
      </c>
      <c r="D1147" s="71">
        <v>419.19</v>
      </c>
      <c r="E1147" s="72">
        <v>3287.04</v>
      </c>
      <c r="F1147" s="30" t="s">
        <v>4634</v>
      </c>
      <c r="G1147" s="27">
        <v>46216</v>
      </c>
      <c r="H1147" s="418">
        <v>419.19</v>
      </c>
      <c r="I1147" s="74">
        <v>3287.04</v>
      </c>
      <c r="J1147" s="34" t="s">
        <v>33</v>
      </c>
      <c r="K1147" t="s">
        <v>34</v>
      </c>
      <c r="L1147" s="35">
        <v>332290935</v>
      </c>
      <c r="M1147" s="36" t="s">
        <v>2118</v>
      </c>
      <c r="N1147" s="43" t="s">
        <v>1540</v>
      </c>
      <c r="O1147" t="s">
        <v>4629</v>
      </c>
      <c r="P1147" t="s">
        <v>4630</v>
      </c>
      <c r="Q1147" t="s">
        <v>1904</v>
      </c>
      <c r="R1147" s="332">
        <v>46226</v>
      </c>
      <c r="S1147" s="333">
        <v>46590</v>
      </c>
      <c r="T1147" s="332">
        <v>46278</v>
      </c>
      <c r="U1147" s="333">
        <v>46642</v>
      </c>
      <c r="V1147" s="40" t="s">
        <v>80</v>
      </c>
      <c r="W1147" s="41" t="s">
        <v>39</v>
      </c>
      <c r="X1147" s="40" t="s">
        <v>4631</v>
      </c>
      <c r="Y1147" s="40" t="s">
        <v>185</v>
      </c>
      <c r="AC1147" s="63">
        <v>10000563991</v>
      </c>
      <c r="AD1147" s="46">
        <v>46217</v>
      </c>
    </row>
    <row r="1148" spans="1:32" ht="19.5" customHeight="1">
      <c r="A1148" s="25">
        <f t="shared" si="19"/>
        <v>1137</v>
      </c>
      <c r="B1148" s="291" t="s">
        <v>141</v>
      </c>
      <c r="C1148" s="31" t="s">
        <v>141</v>
      </c>
      <c r="D1148" s="80" t="s">
        <v>141</v>
      </c>
      <c r="E1148" s="288" t="s">
        <v>141</v>
      </c>
      <c r="F1148" s="30" t="s">
        <v>4635</v>
      </c>
      <c r="G1148" s="27">
        <v>46212</v>
      </c>
      <c r="H1148" s="330" t="s">
        <v>141</v>
      </c>
      <c r="I1148" s="33">
        <v>7400</v>
      </c>
      <c r="J1148" s="34" t="s">
        <v>3421</v>
      </c>
      <c r="K1148" t="s">
        <v>139</v>
      </c>
      <c r="L1148" s="35" t="s">
        <v>4636</v>
      </c>
      <c r="M1148" s="36" t="s">
        <v>4637</v>
      </c>
      <c r="N1148" s="43" t="s">
        <v>4638</v>
      </c>
      <c r="O1148" t="s">
        <v>4639</v>
      </c>
      <c r="P1148" t="s">
        <v>4640</v>
      </c>
      <c r="Q1148" t="s">
        <v>4641</v>
      </c>
      <c r="R1148" s="332">
        <v>46188</v>
      </c>
      <c r="S1148" s="333">
        <v>46918</v>
      </c>
      <c r="T1148" s="50" t="s">
        <v>141</v>
      </c>
      <c r="U1148" s="47" t="s">
        <v>141</v>
      </c>
      <c r="V1148" s="40" t="s">
        <v>690</v>
      </c>
      <c r="W1148" s="41" t="s">
        <v>39</v>
      </c>
      <c r="X1148" s="40" t="s">
        <v>4642</v>
      </c>
      <c r="Y1148" s="40" t="s">
        <v>56</v>
      </c>
      <c r="AA1148" s="62">
        <v>90008142</v>
      </c>
      <c r="AB1148" s="44">
        <v>46261</v>
      </c>
      <c r="AC1148" s="63">
        <v>60018360</v>
      </c>
      <c r="AD1148" s="46">
        <v>46261</v>
      </c>
    </row>
    <row r="1149" spans="1:32" ht="19.5" customHeight="1">
      <c r="A1149" s="25">
        <f t="shared" si="19"/>
        <v>1138</v>
      </c>
      <c r="B1149" s="26">
        <v>6310215</v>
      </c>
      <c r="C1149" s="27">
        <v>46212</v>
      </c>
      <c r="D1149" s="80" t="s">
        <v>141</v>
      </c>
      <c r="E1149" s="29">
        <v>4733.42</v>
      </c>
      <c r="F1149" s="30" t="s">
        <v>4643</v>
      </c>
      <c r="G1149" s="27">
        <v>46217</v>
      </c>
      <c r="H1149" s="330" t="s">
        <v>141</v>
      </c>
      <c r="I1149" s="29">
        <v>4733.42</v>
      </c>
      <c r="J1149" s="34" t="s">
        <v>103</v>
      </c>
      <c r="K1149" t="s">
        <v>1660</v>
      </c>
      <c r="L1149" s="35" t="s">
        <v>4644</v>
      </c>
      <c r="M1149" s="36" t="s">
        <v>4645</v>
      </c>
      <c r="N1149" s="43" t="s">
        <v>4646</v>
      </c>
      <c r="O1149" t="s">
        <v>4639</v>
      </c>
      <c r="P1149" t="s">
        <v>4640</v>
      </c>
      <c r="Q1149" t="s">
        <v>4641</v>
      </c>
      <c r="R1149" s="332">
        <v>46188</v>
      </c>
      <c r="S1149" s="333">
        <v>46918</v>
      </c>
      <c r="T1149" s="332">
        <v>46309</v>
      </c>
      <c r="U1149" s="333">
        <v>46752</v>
      </c>
      <c r="V1149" s="40" t="s">
        <v>690</v>
      </c>
      <c r="W1149" s="41" t="s">
        <v>39</v>
      </c>
      <c r="X1149" s="40" t="s">
        <v>4642</v>
      </c>
      <c r="Y1149" s="40" t="s">
        <v>56</v>
      </c>
      <c r="AA1149" s="62" t="s">
        <v>4647</v>
      </c>
      <c r="AB1149" s="44">
        <v>46234</v>
      </c>
    </row>
    <row r="1150" spans="1:32" ht="19.5" customHeight="1">
      <c r="A1150" s="25">
        <f t="shared" si="19"/>
        <v>1139</v>
      </c>
      <c r="B1150" s="26">
        <v>6310404</v>
      </c>
      <c r="C1150" s="27">
        <v>46213</v>
      </c>
      <c r="D1150" s="80">
        <v>21976.38</v>
      </c>
      <c r="E1150" s="29">
        <v>172325.25</v>
      </c>
      <c r="F1150" s="30" t="s">
        <v>4648</v>
      </c>
      <c r="G1150" s="27">
        <v>46218</v>
      </c>
      <c r="H1150" s="398">
        <v>21976.33</v>
      </c>
      <c r="I1150" s="33">
        <v>172325.25</v>
      </c>
      <c r="J1150" s="34" t="s">
        <v>103</v>
      </c>
      <c r="K1150" t="s">
        <v>206</v>
      </c>
      <c r="L1150" s="35" t="s">
        <v>4649</v>
      </c>
      <c r="M1150" s="36" t="s">
        <v>4650</v>
      </c>
      <c r="N1150" s="43" t="s">
        <v>1330</v>
      </c>
      <c r="O1150" t="s">
        <v>4639</v>
      </c>
      <c r="P1150" t="s">
        <v>4640</v>
      </c>
      <c r="Q1150" t="s">
        <v>4641</v>
      </c>
      <c r="R1150" s="332">
        <v>46188</v>
      </c>
      <c r="S1150" s="333">
        <v>46918</v>
      </c>
      <c r="T1150" s="332">
        <v>46250</v>
      </c>
      <c r="U1150" s="333">
        <v>46980</v>
      </c>
      <c r="V1150" s="40" t="s">
        <v>690</v>
      </c>
      <c r="W1150" s="41" t="s">
        <v>39</v>
      </c>
      <c r="X1150" s="40" t="s">
        <v>4642</v>
      </c>
      <c r="Y1150" s="40" t="s">
        <v>56</v>
      </c>
    </row>
    <row r="1151" spans="1:32" ht="19.5" customHeight="1" thickBot="1">
      <c r="A1151" s="25">
        <f t="shared" si="19"/>
        <v>1140</v>
      </c>
      <c r="B1151" s="26">
        <v>6310543</v>
      </c>
      <c r="C1151" s="27">
        <v>46213</v>
      </c>
      <c r="D1151" s="80" t="s">
        <v>141</v>
      </c>
      <c r="E1151" s="29">
        <v>121296.84</v>
      </c>
      <c r="F1151" s="30" t="s">
        <v>4651</v>
      </c>
      <c r="G1151" s="27">
        <v>46217</v>
      </c>
      <c r="H1151" s="330" t="s">
        <v>141</v>
      </c>
      <c r="I1151" s="29">
        <v>121296.84</v>
      </c>
      <c r="J1151" s="34" t="s">
        <v>159</v>
      </c>
      <c r="K1151" t="s">
        <v>160</v>
      </c>
      <c r="L1151" s="35" t="s">
        <v>4652</v>
      </c>
      <c r="M1151" s="36" t="s">
        <v>4653</v>
      </c>
      <c r="N1151" s="43" t="s">
        <v>1525</v>
      </c>
      <c r="O1151" t="s">
        <v>4639</v>
      </c>
      <c r="P1151" t="s">
        <v>4640</v>
      </c>
      <c r="Q1151" t="s">
        <v>4641</v>
      </c>
      <c r="R1151" s="332">
        <v>46188</v>
      </c>
      <c r="S1151" s="333">
        <v>46918</v>
      </c>
      <c r="T1151" s="50" t="s">
        <v>141</v>
      </c>
      <c r="U1151" s="47" t="s">
        <v>141</v>
      </c>
      <c r="V1151" s="40" t="s">
        <v>690</v>
      </c>
      <c r="W1151" s="41" t="s">
        <v>39</v>
      </c>
      <c r="X1151" s="40" t="s">
        <v>4642</v>
      </c>
      <c r="Y1151" s="40" t="s">
        <v>56</v>
      </c>
      <c r="AD1151" s="419"/>
      <c r="AE1151">
        <v>3221045</v>
      </c>
      <c r="AF1151" s="39">
        <v>46270</v>
      </c>
    </row>
    <row r="1152" spans="1:32" ht="19.5" customHeight="1" thickBot="1">
      <c r="A1152">
        <f t="shared" si="19"/>
        <v>1141</v>
      </c>
      <c r="B1152" s="135">
        <v>6310555</v>
      </c>
      <c r="C1152" s="136">
        <v>46213</v>
      </c>
      <c r="D1152" s="362" t="s">
        <v>141</v>
      </c>
      <c r="E1152" s="177">
        <v>28940</v>
      </c>
      <c r="F1152" s="139" t="s">
        <v>4654</v>
      </c>
      <c r="G1152" s="136">
        <v>46220</v>
      </c>
      <c r="H1152" s="362" t="s">
        <v>141</v>
      </c>
      <c r="I1152" s="420">
        <v>22970</v>
      </c>
      <c r="J1152" s="140" t="s">
        <v>929</v>
      </c>
      <c r="K1152" s="141" t="s">
        <v>4655</v>
      </c>
      <c r="L1152" s="142">
        <v>80005534</v>
      </c>
      <c r="M1152" s="421" t="s">
        <v>4656</v>
      </c>
      <c r="N1152" s="422" t="s">
        <v>1383</v>
      </c>
      <c r="O1152" s="141" t="s">
        <v>4657</v>
      </c>
      <c r="P1152" s="141" t="s">
        <v>4658</v>
      </c>
      <c r="Q1152" s="141" t="s">
        <v>4659</v>
      </c>
      <c r="R1152" s="363">
        <v>46237</v>
      </c>
      <c r="S1152" s="364">
        <v>46601</v>
      </c>
      <c r="T1152" s="180" t="s">
        <v>141</v>
      </c>
      <c r="U1152" s="154" t="s">
        <v>141</v>
      </c>
      <c r="V1152" s="147" t="s">
        <v>458</v>
      </c>
      <c r="W1152" s="148" t="s">
        <v>39</v>
      </c>
      <c r="X1152" s="147" t="s">
        <v>4660</v>
      </c>
      <c r="Y1152" s="147" t="s">
        <v>56</v>
      </c>
      <c r="Z1152" s="141"/>
      <c r="AA1152" s="150">
        <v>90008014</v>
      </c>
      <c r="AB1152" s="151">
        <v>46233</v>
      </c>
      <c r="AC1152" s="423">
        <v>60018164</v>
      </c>
      <c r="AD1152" s="44">
        <v>46233</v>
      </c>
      <c r="AE1152" s="424"/>
      <c r="AF1152" s="146"/>
    </row>
    <row r="1153" spans="1:32" ht="19.5" customHeight="1" thickBot="1">
      <c r="A1153"/>
      <c r="B1153" s="155">
        <v>6310555</v>
      </c>
      <c r="C1153" s="156"/>
      <c r="D1153" s="365"/>
      <c r="E1153" s="158"/>
      <c r="F1153" s="159" t="s">
        <v>4661</v>
      </c>
      <c r="G1153" s="156">
        <v>46220</v>
      </c>
      <c r="H1153" s="365" t="s">
        <v>141</v>
      </c>
      <c r="I1153" s="425">
        <v>2940</v>
      </c>
      <c r="J1153" s="160" t="s">
        <v>929</v>
      </c>
      <c r="K1153" s="161" t="s">
        <v>4662</v>
      </c>
      <c r="L1153" s="162"/>
      <c r="M1153" s="426" t="s">
        <v>4663</v>
      </c>
      <c r="N1153" s="427"/>
      <c r="O1153" s="161" t="s">
        <v>4664</v>
      </c>
      <c r="P1153" s="161" t="s">
        <v>4658</v>
      </c>
      <c r="Q1153" s="161" t="s">
        <v>4659</v>
      </c>
      <c r="R1153" s="366"/>
      <c r="S1153" s="367"/>
      <c r="T1153" s="213"/>
      <c r="U1153" s="174"/>
      <c r="V1153" s="167"/>
      <c r="W1153" s="148" t="s">
        <v>39</v>
      </c>
      <c r="X1153" s="167"/>
      <c r="Y1153" s="167"/>
      <c r="Z1153" s="161"/>
      <c r="AA1153" s="428" t="s">
        <v>4665</v>
      </c>
      <c r="AB1153" s="171">
        <v>46237</v>
      </c>
      <c r="AC1153" s="429" t="s">
        <v>4666</v>
      </c>
      <c r="AD1153" s="430">
        <v>46237</v>
      </c>
      <c r="AE1153" s="431"/>
      <c r="AF1153" s="166"/>
    </row>
    <row r="1154" spans="1:32" ht="19.5" customHeight="1">
      <c r="A1154" s="25">
        <f>A1152+1</f>
        <v>1142</v>
      </c>
      <c r="B1154" s="26">
        <v>6310838</v>
      </c>
      <c r="C1154" s="27">
        <v>46216</v>
      </c>
      <c r="D1154" s="80" t="s">
        <v>141</v>
      </c>
      <c r="E1154" s="29">
        <v>870</v>
      </c>
      <c r="F1154" s="30" t="s">
        <v>4667</v>
      </c>
      <c r="G1154" s="27">
        <v>46217</v>
      </c>
      <c r="H1154" s="80" t="s">
        <v>141</v>
      </c>
      <c r="I1154" s="29">
        <v>870</v>
      </c>
      <c r="J1154" s="34" t="s">
        <v>929</v>
      </c>
      <c r="K1154" t="s">
        <v>139</v>
      </c>
      <c r="L1154" s="35">
        <v>80005539</v>
      </c>
      <c r="M1154" s="36" t="s">
        <v>4668</v>
      </c>
      <c r="N1154" s="43" t="s">
        <v>1404</v>
      </c>
      <c r="O1154" t="s">
        <v>4669</v>
      </c>
      <c r="P1154" t="s">
        <v>4670</v>
      </c>
      <c r="Q1154" t="s">
        <v>4671</v>
      </c>
      <c r="R1154" s="332">
        <v>46219</v>
      </c>
      <c r="S1154" s="333">
        <v>46583</v>
      </c>
      <c r="T1154" s="332">
        <v>46219</v>
      </c>
      <c r="U1154" s="333">
        <v>46583</v>
      </c>
      <c r="V1154" s="40" t="s">
        <v>3390</v>
      </c>
      <c r="W1154" s="41" t="s">
        <v>39</v>
      </c>
      <c r="X1154" s="40" t="s">
        <v>4672</v>
      </c>
      <c r="Y1154" s="40" t="s">
        <v>56</v>
      </c>
    </row>
    <row r="1155" spans="1:32" ht="19.5" customHeight="1">
      <c r="A1155" s="25">
        <f t="shared" si="19"/>
        <v>1143</v>
      </c>
      <c r="B1155" s="26">
        <v>6311756</v>
      </c>
      <c r="C1155" s="27">
        <v>46217</v>
      </c>
      <c r="D1155" s="28">
        <v>593.11</v>
      </c>
      <c r="E1155" s="29">
        <v>7003.23</v>
      </c>
      <c r="F1155" s="30" t="s">
        <v>4673</v>
      </c>
      <c r="G1155" s="27">
        <v>46220</v>
      </c>
      <c r="H1155" s="66">
        <v>893.11</v>
      </c>
      <c r="I1155" s="326">
        <v>8370.99</v>
      </c>
      <c r="J1155" s="34" t="s">
        <v>929</v>
      </c>
      <c r="K1155" t="s">
        <v>206</v>
      </c>
      <c r="L1155" s="35" t="s">
        <v>4674</v>
      </c>
      <c r="M1155" s="36" t="s">
        <v>4675</v>
      </c>
      <c r="N1155" s="43" t="s">
        <v>4676</v>
      </c>
      <c r="O1155" t="s">
        <v>4677</v>
      </c>
      <c r="P1155" t="s">
        <v>4678</v>
      </c>
      <c r="Q1155" t="s">
        <v>3868</v>
      </c>
      <c r="R1155" s="332">
        <v>46199</v>
      </c>
      <c r="S1155" s="333">
        <v>46563</v>
      </c>
      <c r="T1155" s="332">
        <v>45815</v>
      </c>
      <c r="U1155" s="333">
        <v>46563</v>
      </c>
      <c r="V1155" s="40" t="s">
        <v>175</v>
      </c>
      <c r="W1155" s="41" t="s">
        <v>39</v>
      </c>
      <c r="X1155" s="40" t="s">
        <v>4679</v>
      </c>
      <c r="Y1155" s="40" t="s">
        <v>185</v>
      </c>
    </row>
    <row r="1156" spans="1:32" ht="19.5" customHeight="1" thickBot="1">
      <c r="A1156" s="25">
        <f t="shared" si="19"/>
        <v>1144</v>
      </c>
      <c r="B1156" s="26">
        <v>6311795</v>
      </c>
      <c r="C1156" s="27">
        <v>46217</v>
      </c>
      <c r="D1156" s="28">
        <v>3771.96</v>
      </c>
      <c r="E1156" s="29">
        <v>29577.45</v>
      </c>
      <c r="F1156" s="30" t="s">
        <v>4680</v>
      </c>
      <c r="G1156" s="27">
        <v>46218</v>
      </c>
      <c r="H1156" s="398">
        <v>3771.96</v>
      </c>
      <c r="I1156" s="33">
        <f>H1156*7.8414</f>
        <v>29577.447144000002</v>
      </c>
      <c r="J1156" s="34" t="s">
        <v>99</v>
      </c>
      <c r="K1156" t="s">
        <v>34</v>
      </c>
      <c r="L1156" s="35">
        <v>332290273</v>
      </c>
      <c r="M1156" s="36" t="s">
        <v>2570</v>
      </c>
      <c r="N1156" s="43" t="s">
        <v>1377</v>
      </c>
      <c r="O1156" t="s">
        <v>4681</v>
      </c>
      <c r="P1156" t="s">
        <v>4682</v>
      </c>
      <c r="Q1156" t="s">
        <v>2206</v>
      </c>
      <c r="R1156" s="332">
        <v>46204</v>
      </c>
      <c r="S1156" s="333">
        <v>46568</v>
      </c>
      <c r="T1156" s="332">
        <v>46424</v>
      </c>
      <c r="U1156" s="333">
        <v>46568</v>
      </c>
      <c r="V1156" s="40" t="s">
        <v>4683</v>
      </c>
      <c r="W1156" s="41" t="s">
        <v>39</v>
      </c>
      <c r="X1156" s="40" t="s">
        <v>4684</v>
      </c>
      <c r="Y1156" s="79" t="s">
        <v>56</v>
      </c>
      <c r="AE1156">
        <v>3221044</v>
      </c>
      <c r="AF1156" s="39">
        <v>46270</v>
      </c>
    </row>
    <row r="1157" spans="1:32" ht="19.5" customHeight="1">
      <c r="A1157" s="25">
        <f t="shared" si="19"/>
        <v>1145</v>
      </c>
      <c r="B1157" s="135">
        <v>6311814</v>
      </c>
      <c r="C1157" s="136">
        <v>46217</v>
      </c>
      <c r="D1157" s="176">
        <v>18411.73</v>
      </c>
      <c r="E1157" s="177">
        <v>144373.74</v>
      </c>
      <c r="F1157" s="139" t="s">
        <v>4685</v>
      </c>
      <c r="G1157" s="136">
        <v>46219</v>
      </c>
      <c r="H1157" s="432">
        <f>18333.66-12216.3</f>
        <v>6117.3600000000006</v>
      </c>
      <c r="I1157" s="420">
        <f>H1157*7.8414</f>
        <v>47968.666704000003</v>
      </c>
      <c r="J1157" s="140" t="s">
        <v>99</v>
      </c>
      <c r="K1157" s="141" t="s">
        <v>34</v>
      </c>
      <c r="L1157" s="142">
        <v>322286659</v>
      </c>
      <c r="M1157" s="143" t="s">
        <v>4686</v>
      </c>
      <c r="N1157" s="422" t="s">
        <v>4399</v>
      </c>
      <c r="O1157" s="141" t="s">
        <v>4687</v>
      </c>
      <c r="P1157" s="141" t="s">
        <v>4688</v>
      </c>
      <c r="Q1157" s="141" t="s">
        <v>2206</v>
      </c>
      <c r="R1157" s="363">
        <v>46204</v>
      </c>
      <c r="S1157" s="364">
        <v>46568</v>
      </c>
      <c r="T1157" s="363">
        <v>46510</v>
      </c>
      <c r="U1157" s="364">
        <v>46568</v>
      </c>
      <c r="V1157" s="147" t="s">
        <v>4683</v>
      </c>
      <c r="W1157" s="148" t="s">
        <v>39</v>
      </c>
      <c r="X1157" s="147" t="s">
        <v>4684</v>
      </c>
      <c r="Y1157" s="433" t="s">
        <v>56</v>
      </c>
      <c r="Z1157" s="141"/>
      <c r="AA1157" s="150"/>
      <c r="AB1157" s="151"/>
      <c r="AC1157" s="152">
        <v>10000572262</v>
      </c>
      <c r="AD1157" s="153">
        <v>46220</v>
      </c>
      <c r="AE1157" s="141">
        <v>3221046</v>
      </c>
      <c r="AF1157" s="146">
        <v>46270</v>
      </c>
    </row>
    <row r="1158" spans="1:32" ht="19.5" customHeight="1">
      <c r="B1158" s="26">
        <v>6311814</v>
      </c>
      <c r="F1158" s="30" t="s">
        <v>4685</v>
      </c>
      <c r="G1158" s="27">
        <v>46219</v>
      </c>
      <c r="H1158" s="66">
        <f>18333.66-6117.36-2126.97</f>
        <v>10089.33</v>
      </c>
      <c r="I1158" s="326">
        <f>H1158*7.8414</f>
        <v>79114.472261999996</v>
      </c>
      <c r="J1158" s="34" t="s">
        <v>99</v>
      </c>
      <c r="K1158" t="s">
        <v>34</v>
      </c>
      <c r="L1158" s="35">
        <v>322286659</v>
      </c>
      <c r="M1158" s="36" t="s">
        <v>3153</v>
      </c>
      <c r="O1158" t="s">
        <v>4681</v>
      </c>
      <c r="P1158" t="s">
        <v>4682</v>
      </c>
      <c r="W1158" s="41" t="s">
        <v>39</v>
      </c>
      <c r="Y1158" s="79"/>
      <c r="AC1158" s="63">
        <v>10000572263</v>
      </c>
      <c r="AD1158" s="46">
        <v>46220</v>
      </c>
      <c r="AE1158">
        <v>3221077</v>
      </c>
      <c r="AF1158" s="39">
        <v>46272</v>
      </c>
    </row>
    <row r="1159" spans="1:32" ht="19.5" customHeight="1">
      <c r="B1159" s="26">
        <v>6311814</v>
      </c>
      <c r="F1159" s="30" t="s">
        <v>4685</v>
      </c>
      <c r="G1159" s="27">
        <v>46219</v>
      </c>
      <c r="H1159" s="66">
        <f>18333.66-6117.36-10089.33-1361.31</f>
        <v>765.6599999999994</v>
      </c>
      <c r="I1159" s="326">
        <f>H1159*7.8414</f>
        <v>6003.8463239999955</v>
      </c>
      <c r="J1159" s="34" t="s">
        <v>99</v>
      </c>
      <c r="K1159" t="s">
        <v>34</v>
      </c>
      <c r="L1159" s="35">
        <v>322286659</v>
      </c>
      <c r="M1159" s="36" t="s">
        <v>3153</v>
      </c>
      <c r="O1159" t="s">
        <v>4681</v>
      </c>
      <c r="P1159" t="s">
        <v>4682</v>
      </c>
      <c r="W1159" s="41" t="s">
        <v>39</v>
      </c>
      <c r="Y1159" s="79"/>
      <c r="AC1159" s="63">
        <v>10000572272</v>
      </c>
      <c r="AD1159" s="46">
        <v>46220</v>
      </c>
      <c r="AE1159">
        <v>3221078</v>
      </c>
      <c r="AF1159" s="39">
        <v>46272</v>
      </c>
    </row>
    <row r="1160" spans="1:32" ht="19.5" customHeight="1" thickBot="1">
      <c r="B1160" s="155">
        <v>6311814</v>
      </c>
      <c r="C1160" s="156"/>
      <c r="D1160" s="157"/>
      <c r="E1160" s="158"/>
      <c r="F1160" s="159" t="s">
        <v>4685</v>
      </c>
      <c r="G1160" s="156">
        <v>46219</v>
      </c>
      <c r="H1160" s="241">
        <f>18333.66-6117.36-10089.33-765.66</f>
        <v>1361.3099999999995</v>
      </c>
      <c r="I1160" s="425">
        <f>H1160*7.8414</f>
        <v>10674.576233999996</v>
      </c>
      <c r="J1160" s="160" t="s">
        <v>99</v>
      </c>
      <c r="K1160" s="161" t="s">
        <v>34</v>
      </c>
      <c r="L1160" s="162">
        <v>322286659</v>
      </c>
      <c r="M1160" s="163" t="s">
        <v>3153</v>
      </c>
      <c r="N1160" s="427"/>
      <c r="O1160" s="161" t="s">
        <v>4681</v>
      </c>
      <c r="P1160" s="161" t="s">
        <v>4682</v>
      </c>
      <c r="Q1160" s="161"/>
      <c r="R1160" s="366"/>
      <c r="S1160" s="367"/>
      <c r="T1160" s="366"/>
      <c r="U1160" s="367"/>
      <c r="V1160" s="167"/>
      <c r="W1160" s="168" t="s">
        <v>39</v>
      </c>
      <c r="X1160" s="167"/>
      <c r="Y1160" s="434"/>
      <c r="Z1160" s="161"/>
      <c r="AA1160" s="170"/>
      <c r="AB1160" s="171"/>
      <c r="AC1160" s="172">
        <v>10000572283</v>
      </c>
      <c r="AD1160" s="173">
        <v>46220</v>
      </c>
      <c r="AE1160" s="161">
        <v>3221079</v>
      </c>
      <c r="AF1160" s="166">
        <v>46272</v>
      </c>
    </row>
    <row r="1161" spans="1:32" ht="19.5" customHeight="1">
      <c r="A1161" s="25">
        <f>A1157+1</f>
        <v>1146</v>
      </c>
      <c r="B1161" s="26">
        <v>6312343</v>
      </c>
      <c r="C1161" s="27">
        <v>46219</v>
      </c>
      <c r="D1161" s="28">
        <v>1963.33</v>
      </c>
      <c r="E1161" s="29">
        <v>15395.26</v>
      </c>
      <c r="F1161" s="30" t="s">
        <v>4689</v>
      </c>
      <c r="G1161" s="27">
        <v>46223</v>
      </c>
      <c r="H1161" s="66">
        <v>1945.11</v>
      </c>
      <c r="I1161" s="326">
        <v>15252.39</v>
      </c>
      <c r="J1161" s="34" t="s">
        <v>99</v>
      </c>
      <c r="K1161" t="s">
        <v>34</v>
      </c>
      <c r="L1161" s="35">
        <v>422033460</v>
      </c>
      <c r="M1161" s="36" t="s">
        <v>4690</v>
      </c>
      <c r="N1161" s="43" t="s">
        <v>2000</v>
      </c>
      <c r="O1161" t="s">
        <v>4681</v>
      </c>
      <c r="P1161" t="s">
        <v>4682</v>
      </c>
      <c r="Q1161" t="s">
        <v>2206</v>
      </c>
      <c r="R1161" s="332">
        <v>46204</v>
      </c>
      <c r="S1161" s="333">
        <v>46568</v>
      </c>
      <c r="T1161" s="332">
        <v>46218</v>
      </c>
      <c r="U1161" s="333">
        <v>46568</v>
      </c>
      <c r="V1161" s="40" t="s">
        <v>4683</v>
      </c>
      <c r="W1161" s="41" t="s">
        <v>39</v>
      </c>
      <c r="X1161" s="40" t="s">
        <v>4684</v>
      </c>
      <c r="Y1161" s="79" t="s">
        <v>56</v>
      </c>
    </row>
    <row r="1162" spans="1:32" ht="19.5" customHeight="1">
      <c r="A1162" s="25">
        <f t="shared" si="19"/>
        <v>1147</v>
      </c>
      <c r="B1162" s="26">
        <v>6312387</v>
      </c>
      <c r="C1162" s="27">
        <v>46219</v>
      </c>
      <c r="D1162" s="28">
        <v>69442.25</v>
      </c>
      <c r="E1162" s="29">
        <v>544524.46</v>
      </c>
      <c r="F1162" s="30" t="s">
        <v>4691</v>
      </c>
      <c r="G1162" s="27">
        <v>46225</v>
      </c>
      <c r="H1162" s="435">
        <v>68180.03</v>
      </c>
      <c r="I1162" s="326">
        <v>534626.89</v>
      </c>
      <c r="J1162" s="34" t="s">
        <v>99</v>
      </c>
      <c r="K1162" t="s">
        <v>34</v>
      </c>
      <c r="L1162" s="35">
        <v>332290264</v>
      </c>
      <c r="M1162" s="36" t="s">
        <v>4692</v>
      </c>
      <c r="N1162" s="43" t="s">
        <v>1346</v>
      </c>
      <c r="O1162" t="s">
        <v>4681</v>
      </c>
      <c r="P1162" t="s">
        <v>4682</v>
      </c>
      <c r="Q1162" t="s">
        <v>2206</v>
      </c>
      <c r="R1162" s="332">
        <v>46204</v>
      </c>
      <c r="S1162" s="333">
        <v>46568</v>
      </c>
      <c r="T1162" s="332">
        <v>46209</v>
      </c>
      <c r="U1162" s="333">
        <v>46568</v>
      </c>
      <c r="V1162" s="40" t="s">
        <v>4683</v>
      </c>
      <c r="W1162" s="41" t="s">
        <v>39</v>
      </c>
      <c r="X1162" s="40" t="s">
        <v>4684</v>
      </c>
      <c r="Y1162" s="79" t="s">
        <v>56</v>
      </c>
      <c r="AC1162" s="63">
        <v>10000578143</v>
      </c>
      <c r="AD1162" s="46">
        <v>46226</v>
      </c>
    </row>
    <row r="1163" spans="1:32" ht="19.5" customHeight="1">
      <c r="A1163" s="25">
        <f t="shared" si="19"/>
        <v>1148</v>
      </c>
      <c r="B1163" s="26">
        <v>6312575</v>
      </c>
      <c r="C1163" s="27">
        <v>46219</v>
      </c>
      <c r="D1163" s="28">
        <v>36712.949999999997</v>
      </c>
      <c r="E1163" s="29">
        <v>287880.93</v>
      </c>
      <c r="F1163" s="30" t="s">
        <v>4693</v>
      </c>
      <c r="G1163" s="27">
        <v>46226</v>
      </c>
      <c r="H1163" s="435">
        <f>36712.95-1591.41</f>
        <v>35121.539999999994</v>
      </c>
      <c r="I1163" s="326">
        <f>(287880.93/36712.95)*H1163</f>
        <v>275402.04745824559</v>
      </c>
      <c r="J1163" s="34" t="s">
        <v>99</v>
      </c>
      <c r="K1163" t="s">
        <v>34</v>
      </c>
      <c r="L1163" s="35">
        <v>312288933</v>
      </c>
      <c r="M1163" s="36" t="s">
        <v>4694</v>
      </c>
      <c r="N1163" s="43" t="s">
        <v>1540</v>
      </c>
      <c r="O1163" t="s">
        <v>4681</v>
      </c>
      <c r="P1163" t="s">
        <v>4682</v>
      </c>
      <c r="Q1163" t="s">
        <v>2206</v>
      </c>
      <c r="R1163" s="332">
        <v>46204</v>
      </c>
      <c r="S1163" s="333">
        <v>46568</v>
      </c>
      <c r="T1163" s="332">
        <v>46272</v>
      </c>
      <c r="U1163" s="333">
        <v>46568</v>
      </c>
      <c r="V1163" s="40" t="s">
        <v>4683</v>
      </c>
      <c r="W1163" s="41" t="s">
        <v>39</v>
      </c>
      <c r="X1163" s="40" t="s">
        <v>4684</v>
      </c>
      <c r="Y1163" s="79" t="s">
        <v>56</v>
      </c>
      <c r="AC1163" s="63">
        <v>10000579996</v>
      </c>
      <c r="AD1163" s="46">
        <v>46227</v>
      </c>
    </row>
    <row r="1164" spans="1:32" ht="19.5" customHeight="1">
      <c r="A1164" s="25">
        <f>A1163+1</f>
        <v>1149</v>
      </c>
      <c r="B1164" s="26">
        <v>6312627</v>
      </c>
      <c r="C1164" s="27">
        <v>46219</v>
      </c>
      <c r="D1164" s="28">
        <v>1024.8</v>
      </c>
      <c r="E1164" s="29">
        <v>8035.87</v>
      </c>
      <c r="F1164" s="30" t="s">
        <v>4695</v>
      </c>
      <c r="G1164" s="27">
        <v>46223</v>
      </c>
      <c r="H1164" s="398">
        <v>1024.8</v>
      </c>
      <c r="I1164" s="33">
        <v>8035.87</v>
      </c>
      <c r="J1164" s="34" t="s">
        <v>99</v>
      </c>
      <c r="K1164" t="s">
        <v>34</v>
      </c>
      <c r="L1164" s="35">
        <v>282338145</v>
      </c>
      <c r="M1164" s="36" t="s">
        <v>2129</v>
      </c>
      <c r="N1164" s="43" t="s">
        <v>1346</v>
      </c>
      <c r="O1164" t="s">
        <v>4696</v>
      </c>
      <c r="P1164" t="s">
        <v>4697</v>
      </c>
      <c r="Q1164" t="s">
        <v>4698</v>
      </c>
      <c r="R1164" s="332">
        <v>46214</v>
      </c>
      <c r="S1164" s="333">
        <v>46589</v>
      </c>
      <c r="T1164" s="332">
        <v>46225</v>
      </c>
      <c r="U1164" s="333">
        <v>46589</v>
      </c>
      <c r="V1164" s="40" t="s">
        <v>38</v>
      </c>
      <c r="W1164" s="41" t="s">
        <v>39</v>
      </c>
      <c r="X1164" s="40" t="s">
        <v>4699</v>
      </c>
      <c r="Y1164" s="40" t="s">
        <v>56</v>
      </c>
    </row>
    <row r="1165" spans="1:32" ht="19.5" customHeight="1">
      <c r="A1165" s="25">
        <f t="shared" si="19"/>
        <v>1150</v>
      </c>
      <c r="B1165" s="26">
        <v>6312641</v>
      </c>
      <c r="C1165" s="27">
        <v>46219</v>
      </c>
      <c r="D1165" s="28">
        <v>8070.98</v>
      </c>
      <c r="E1165" s="29">
        <v>63287.78</v>
      </c>
      <c r="F1165" s="401" t="s">
        <v>4700</v>
      </c>
      <c r="G1165" s="27">
        <v>46253</v>
      </c>
      <c r="H1165" s="398">
        <v>8070.98</v>
      </c>
      <c r="I1165" s="33">
        <v>63287.78</v>
      </c>
      <c r="J1165" s="34" t="s">
        <v>99</v>
      </c>
      <c r="K1165" t="s">
        <v>34</v>
      </c>
      <c r="L1165" s="35">
        <v>392288826</v>
      </c>
      <c r="M1165" s="36" t="s">
        <v>2149</v>
      </c>
      <c r="N1165" s="43" t="s">
        <v>1540</v>
      </c>
      <c r="O1165" t="s">
        <v>4701</v>
      </c>
      <c r="P1165" t="s">
        <v>4702</v>
      </c>
      <c r="Q1165" t="s">
        <v>3858</v>
      </c>
      <c r="R1165" s="332">
        <v>46325</v>
      </c>
      <c r="S1165" s="333">
        <v>47055</v>
      </c>
      <c r="T1165" s="332">
        <v>46325</v>
      </c>
      <c r="U1165" s="333">
        <v>47055</v>
      </c>
      <c r="V1165" s="40" t="s">
        <v>590</v>
      </c>
      <c r="W1165" s="41" t="s">
        <v>39</v>
      </c>
      <c r="X1165" s="40" t="s">
        <v>4703</v>
      </c>
      <c r="Y1165" s="40" t="s">
        <v>56</v>
      </c>
      <c r="AC1165" s="63">
        <v>10000575332</v>
      </c>
      <c r="AD1165" s="46">
        <v>46224</v>
      </c>
    </row>
    <row r="1166" spans="1:32" ht="19.5" customHeight="1">
      <c r="A1166" s="25">
        <f t="shared" si="19"/>
        <v>1151</v>
      </c>
      <c r="B1166" s="26">
        <v>6312930</v>
      </c>
      <c r="C1166" s="27">
        <v>46220</v>
      </c>
      <c r="D1166" s="28">
        <v>54985.18</v>
      </c>
      <c r="E1166" s="29">
        <v>431160.79</v>
      </c>
      <c r="F1166" s="30" t="s">
        <v>4704</v>
      </c>
      <c r="G1166" s="27">
        <v>46225</v>
      </c>
      <c r="H1166" s="398">
        <v>54985.18</v>
      </c>
      <c r="I1166" s="33">
        <v>431160.79</v>
      </c>
      <c r="J1166" s="34" t="s">
        <v>99</v>
      </c>
      <c r="K1166" t="s">
        <v>34</v>
      </c>
      <c r="L1166" s="35">
        <v>472035117</v>
      </c>
      <c r="M1166" s="36" t="s">
        <v>3067</v>
      </c>
      <c r="N1166" s="43" t="s">
        <v>1346</v>
      </c>
      <c r="O1166" t="s">
        <v>4705</v>
      </c>
      <c r="P1166" t="s">
        <v>4706</v>
      </c>
      <c r="Q1166" t="s">
        <v>4707</v>
      </c>
      <c r="R1166" s="332">
        <v>46167</v>
      </c>
      <c r="S1166" s="333">
        <v>46897</v>
      </c>
      <c r="T1166" s="332">
        <v>46186</v>
      </c>
      <c r="U1166" s="333">
        <v>46897</v>
      </c>
      <c r="V1166" s="40" t="s">
        <v>4683</v>
      </c>
      <c r="W1166" s="41" t="s">
        <v>39</v>
      </c>
      <c r="X1166" s="40" t="s">
        <v>4708</v>
      </c>
      <c r="Y1166" s="40" t="s">
        <v>56</v>
      </c>
      <c r="AC1166" s="63">
        <v>10000578160</v>
      </c>
      <c r="AD1166" s="46">
        <v>46226</v>
      </c>
    </row>
    <row r="1167" spans="1:32" ht="19.5" customHeight="1">
      <c r="A1167" s="25">
        <f t="shared" si="19"/>
        <v>1152</v>
      </c>
      <c r="B1167" s="26">
        <v>6313787</v>
      </c>
      <c r="C1167" s="27">
        <v>46224</v>
      </c>
      <c r="D1167" s="28">
        <v>192.18</v>
      </c>
      <c r="E1167" s="29">
        <v>1506.96</v>
      </c>
      <c r="F1167" s="30" t="s">
        <v>4709</v>
      </c>
      <c r="G1167" s="27">
        <v>46226</v>
      </c>
      <c r="H1167" s="66">
        <v>178.08</v>
      </c>
      <c r="I1167" s="326">
        <v>1396.4</v>
      </c>
      <c r="J1167" s="34" t="s">
        <v>99</v>
      </c>
      <c r="K1167" t="s">
        <v>34</v>
      </c>
      <c r="L1167" s="35">
        <v>452022344</v>
      </c>
      <c r="M1167" s="36" t="s">
        <v>2129</v>
      </c>
      <c r="N1167" s="43" t="s">
        <v>1346</v>
      </c>
      <c r="O1167" t="s">
        <v>4710</v>
      </c>
      <c r="P1167" t="s">
        <v>4711</v>
      </c>
      <c r="Q1167" t="s">
        <v>4712</v>
      </c>
      <c r="R1167" s="332">
        <v>46196</v>
      </c>
      <c r="S1167" s="333">
        <v>46752</v>
      </c>
      <c r="T1167" s="332">
        <v>46218</v>
      </c>
      <c r="U1167" s="333">
        <v>46326</v>
      </c>
      <c r="V1167" s="40" t="s">
        <v>4713</v>
      </c>
      <c r="W1167" s="41" t="s">
        <v>39</v>
      </c>
      <c r="X1167" s="40" t="s">
        <v>4714</v>
      </c>
      <c r="Y1167" s="40" t="s">
        <v>56</v>
      </c>
      <c r="AC1167" s="63">
        <v>10000580109</v>
      </c>
      <c r="AD1167" s="46">
        <v>46227</v>
      </c>
    </row>
    <row r="1168" spans="1:32" ht="19.5" customHeight="1">
      <c r="A1168" s="25">
        <f t="shared" si="19"/>
        <v>1153</v>
      </c>
      <c r="B1168" s="26">
        <v>6314049</v>
      </c>
      <c r="C1168" s="27">
        <v>46224</v>
      </c>
      <c r="D1168" s="28">
        <v>2316.3000000000002</v>
      </c>
      <c r="E1168" s="29">
        <v>18162.98</v>
      </c>
      <c r="F1168" s="30" t="s">
        <v>4715</v>
      </c>
      <c r="G1168" s="27">
        <v>46226</v>
      </c>
      <c r="H1168" s="68">
        <v>2316.3000000000002</v>
      </c>
      <c r="I1168" s="29">
        <v>18162.98</v>
      </c>
      <c r="J1168" s="34" t="s">
        <v>929</v>
      </c>
      <c r="K1168" t="s">
        <v>206</v>
      </c>
      <c r="L1168" s="35" t="s">
        <v>4716</v>
      </c>
      <c r="M1168" s="36" t="s">
        <v>4717</v>
      </c>
      <c r="N1168" s="43" t="s">
        <v>1330</v>
      </c>
      <c r="O1168" t="s">
        <v>4718</v>
      </c>
      <c r="P1168" t="s">
        <v>4719</v>
      </c>
      <c r="Q1168" t="s">
        <v>4720</v>
      </c>
      <c r="R1168" s="332">
        <v>46229</v>
      </c>
      <c r="S1168" s="333">
        <v>46593</v>
      </c>
      <c r="T1168" s="332">
        <v>46229</v>
      </c>
      <c r="U1168" s="333">
        <v>46593</v>
      </c>
      <c r="V1168" s="40" t="s">
        <v>1333</v>
      </c>
      <c r="W1168" s="41" t="s">
        <v>39</v>
      </c>
      <c r="X1168" s="40" t="s">
        <v>4721</v>
      </c>
      <c r="Y1168" s="40" t="s">
        <v>56</v>
      </c>
    </row>
    <row r="1169" spans="1:32" ht="19.5" customHeight="1">
      <c r="A1169" s="25">
        <f t="shared" si="19"/>
        <v>1154</v>
      </c>
      <c r="B1169" s="26">
        <v>6314197</v>
      </c>
      <c r="C1169" s="27">
        <v>46225</v>
      </c>
      <c r="D1169" s="28">
        <v>2603.04</v>
      </c>
      <c r="E1169" s="29">
        <v>20411.48</v>
      </c>
      <c r="F1169" s="30" t="s">
        <v>4722</v>
      </c>
      <c r="G1169" s="27">
        <v>46225</v>
      </c>
      <c r="H1169" s="28">
        <v>2603.04</v>
      </c>
      <c r="I1169" s="29">
        <v>20411.48</v>
      </c>
      <c r="J1169" s="34" t="s">
        <v>99</v>
      </c>
      <c r="K1169" t="s">
        <v>34</v>
      </c>
      <c r="L1169" s="35">
        <v>202342841</v>
      </c>
      <c r="M1169" s="36" t="s">
        <v>2149</v>
      </c>
      <c r="N1169" s="43" t="s">
        <v>1346</v>
      </c>
      <c r="O1169" t="s">
        <v>4723</v>
      </c>
      <c r="P1169" t="s">
        <v>4724</v>
      </c>
      <c r="Q1169" t="s">
        <v>4725</v>
      </c>
      <c r="R1169" s="332">
        <v>46217</v>
      </c>
      <c r="S1169" s="333">
        <v>46581</v>
      </c>
      <c r="T1169" s="332">
        <v>46126</v>
      </c>
      <c r="U1169" s="333">
        <v>46581</v>
      </c>
      <c r="V1169" s="40" t="s">
        <v>375</v>
      </c>
      <c r="W1169" s="41" t="s">
        <v>39</v>
      </c>
      <c r="X1169" s="40" t="s">
        <v>4726</v>
      </c>
      <c r="Y1169" s="40" t="s">
        <v>56</v>
      </c>
      <c r="AC1169" s="63">
        <v>10000579989</v>
      </c>
      <c r="AD1169" s="46">
        <v>46227</v>
      </c>
    </row>
    <row r="1170" spans="1:32" ht="19.5" customHeight="1">
      <c r="A1170" s="25">
        <f t="shared" si="19"/>
        <v>1155</v>
      </c>
      <c r="B1170" s="26">
        <v>6314333</v>
      </c>
      <c r="C1170" s="27">
        <v>46134</v>
      </c>
      <c r="D1170" s="28">
        <v>1490.28</v>
      </c>
      <c r="E1170" s="29">
        <v>11685.88</v>
      </c>
      <c r="F1170" s="30" t="s">
        <v>4727</v>
      </c>
      <c r="G1170" s="27">
        <v>46227</v>
      </c>
      <c r="H1170" s="398">
        <v>1490.28</v>
      </c>
      <c r="I1170" s="33">
        <v>11685.88</v>
      </c>
      <c r="J1170" s="34" t="s">
        <v>99</v>
      </c>
      <c r="K1170" t="s">
        <v>34</v>
      </c>
      <c r="L1170" s="35">
        <v>412028479</v>
      </c>
      <c r="M1170" s="36" t="s">
        <v>2104</v>
      </c>
      <c r="N1170" s="43" t="s">
        <v>1346</v>
      </c>
      <c r="O1170" t="s">
        <v>4728</v>
      </c>
      <c r="P1170" t="s">
        <v>4729</v>
      </c>
      <c r="Q1170" t="s">
        <v>4730</v>
      </c>
      <c r="R1170" s="332">
        <v>46235</v>
      </c>
      <c r="S1170" s="333">
        <v>46599</v>
      </c>
      <c r="T1170" s="332">
        <v>46271</v>
      </c>
      <c r="U1170" s="333">
        <v>46635</v>
      </c>
      <c r="V1170" s="40" t="s">
        <v>1374</v>
      </c>
      <c r="W1170" s="41" t="s">
        <v>39</v>
      </c>
      <c r="X1170" s="40" t="s">
        <v>4731</v>
      </c>
      <c r="Y1170" s="40" t="s">
        <v>56</v>
      </c>
      <c r="AC1170" s="63">
        <v>10000581610</v>
      </c>
      <c r="AD1170" s="46">
        <v>46228</v>
      </c>
    </row>
    <row r="1171" spans="1:32" ht="19.5" customHeight="1">
      <c r="A1171" s="25">
        <f t="shared" si="19"/>
        <v>1156</v>
      </c>
      <c r="B1171" s="291" t="s">
        <v>141</v>
      </c>
      <c r="C1171" s="31" t="s">
        <v>141</v>
      </c>
      <c r="D1171" s="80" t="s">
        <v>141</v>
      </c>
      <c r="E1171" s="288" t="s">
        <v>141</v>
      </c>
      <c r="F1171" s="30" t="s">
        <v>4732</v>
      </c>
      <c r="G1171" s="27">
        <v>46225</v>
      </c>
      <c r="H1171" s="68" t="s">
        <v>4292</v>
      </c>
      <c r="I1171" s="33">
        <v>4970</v>
      </c>
      <c r="J1171" s="34" t="s">
        <v>3421</v>
      </c>
      <c r="K1171" t="s">
        <v>139</v>
      </c>
      <c r="L1171" s="35">
        <v>80005473</v>
      </c>
      <c r="M1171" s="36" t="s">
        <v>4733</v>
      </c>
      <c r="N1171" s="43" t="s">
        <v>2080</v>
      </c>
      <c r="O1171" t="s">
        <v>4734</v>
      </c>
      <c r="P1171" t="s">
        <v>4735</v>
      </c>
      <c r="Q1171" t="s">
        <v>4736</v>
      </c>
      <c r="R1171" s="332">
        <v>46151</v>
      </c>
      <c r="S1171" s="333">
        <v>46640</v>
      </c>
      <c r="T1171" s="50" t="s">
        <v>141</v>
      </c>
      <c r="U1171" s="47" t="s">
        <v>141</v>
      </c>
      <c r="V1171" s="40" t="s">
        <v>44</v>
      </c>
      <c r="W1171" s="41" t="s">
        <v>39</v>
      </c>
      <c r="X1171" s="40" t="s">
        <v>4737</v>
      </c>
      <c r="Y1171" s="40" t="s">
        <v>56</v>
      </c>
      <c r="AA1171" s="62">
        <v>90008142</v>
      </c>
      <c r="AB1171" s="44">
        <v>46261</v>
      </c>
      <c r="AC1171" s="63">
        <v>60018361</v>
      </c>
      <c r="AD1171" s="46">
        <v>46261</v>
      </c>
    </row>
    <row r="1172" spans="1:32" ht="19.5" customHeight="1">
      <c r="A1172" s="25">
        <f t="shared" si="19"/>
        <v>1157</v>
      </c>
      <c r="B1172" s="26">
        <v>6314764</v>
      </c>
      <c r="C1172" s="27">
        <v>46226</v>
      </c>
      <c r="D1172" s="80" t="s">
        <v>141</v>
      </c>
      <c r="E1172" s="29">
        <v>21130</v>
      </c>
      <c r="F1172" s="30" t="s">
        <v>4738</v>
      </c>
      <c r="G1172" s="27">
        <v>46230</v>
      </c>
      <c r="H1172" s="330" t="s">
        <v>141</v>
      </c>
      <c r="I1172" s="29">
        <v>21130</v>
      </c>
      <c r="J1172" s="34" t="s">
        <v>929</v>
      </c>
      <c r="K1172" t="s">
        <v>139</v>
      </c>
      <c r="L1172" s="35">
        <v>80005546</v>
      </c>
      <c r="M1172" s="36" t="s">
        <v>4739</v>
      </c>
      <c r="N1172" s="43" t="s">
        <v>1383</v>
      </c>
      <c r="O1172" t="s">
        <v>4740</v>
      </c>
      <c r="P1172" t="s">
        <v>4741</v>
      </c>
      <c r="Q1172" t="s">
        <v>4742</v>
      </c>
      <c r="R1172" s="332">
        <v>46207</v>
      </c>
      <c r="S1172" s="333">
        <v>46937</v>
      </c>
      <c r="T1172" s="50" t="s">
        <v>141</v>
      </c>
      <c r="U1172" s="47" t="s">
        <v>141</v>
      </c>
      <c r="V1172" s="40" t="s">
        <v>590</v>
      </c>
      <c r="W1172" s="41" t="s">
        <v>39</v>
      </c>
      <c r="X1172" s="40" t="s">
        <v>4743</v>
      </c>
      <c r="Y1172" s="40" t="s">
        <v>56</v>
      </c>
    </row>
    <row r="1173" spans="1:32" ht="19.5" customHeight="1">
      <c r="A1173" s="25">
        <f t="shared" si="19"/>
        <v>1158</v>
      </c>
      <c r="B1173" s="26">
        <v>6315083</v>
      </c>
      <c r="C1173" s="27">
        <v>46227</v>
      </c>
      <c r="D1173" s="80" t="s">
        <v>141</v>
      </c>
      <c r="E1173" s="29">
        <v>30560.35</v>
      </c>
      <c r="F1173" s="30" t="s">
        <v>4744</v>
      </c>
      <c r="G1173" s="27">
        <v>46267</v>
      </c>
      <c r="H1173" s="283" t="s">
        <v>141</v>
      </c>
      <c r="I1173" s="326">
        <v>26695.79</v>
      </c>
      <c r="J1173" s="34" t="s">
        <v>159</v>
      </c>
      <c r="K1173" t="s">
        <v>160</v>
      </c>
      <c r="L1173" s="35" t="s">
        <v>4745</v>
      </c>
      <c r="M1173" s="36" t="s">
        <v>4746</v>
      </c>
      <c r="N1173" s="43" t="s">
        <v>1651</v>
      </c>
      <c r="O1173" t="s">
        <v>4747</v>
      </c>
      <c r="P1173" t="s">
        <v>4748</v>
      </c>
      <c r="Q1173" t="s">
        <v>4749</v>
      </c>
      <c r="R1173" s="332">
        <v>46204</v>
      </c>
      <c r="S1173" s="333">
        <v>46568</v>
      </c>
      <c r="T1173" s="50" t="s">
        <v>141</v>
      </c>
      <c r="U1173" s="47" t="s">
        <v>141</v>
      </c>
      <c r="V1173" s="40" t="s">
        <v>4750</v>
      </c>
      <c r="W1173" s="41" t="s">
        <v>39</v>
      </c>
      <c r="X1173" s="40" t="s">
        <v>4751</v>
      </c>
      <c r="Y1173" s="40" t="s">
        <v>56</v>
      </c>
    </row>
    <row r="1174" spans="1:32" ht="19.5" customHeight="1">
      <c r="A1174" s="25">
        <f t="shared" si="19"/>
        <v>1159</v>
      </c>
      <c r="B1174" s="26">
        <v>6315087</v>
      </c>
      <c r="C1174" s="27">
        <v>46227</v>
      </c>
      <c r="D1174" s="80" t="s">
        <v>141</v>
      </c>
      <c r="E1174" s="29">
        <v>247532.88</v>
      </c>
      <c r="F1174" s="30" t="s">
        <v>4752</v>
      </c>
      <c r="G1174" s="27">
        <v>46232</v>
      </c>
      <c r="H1174" s="283" t="s">
        <v>141</v>
      </c>
      <c r="I1174" s="33">
        <v>247532.88</v>
      </c>
      <c r="J1174" s="34" t="s">
        <v>159</v>
      </c>
      <c r="K1174" t="s">
        <v>160</v>
      </c>
      <c r="L1174" s="35" t="s">
        <v>4753</v>
      </c>
      <c r="M1174" s="36" t="s">
        <v>4754</v>
      </c>
      <c r="N1174" s="43" t="s">
        <v>1525</v>
      </c>
      <c r="O1174" t="s">
        <v>4755</v>
      </c>
      <c r="P1174" t="s">
        <v>4748</v>
      </c>
      <c r="Q1174" t="s">
        <v>1990</v>
      </c>
      <c r="R1174" s="332">
        <v>46204</v>
      </c>
      <c r="S1174" s="333">
        <v>46568</v>
      </c>
      <c r="T1174" s="50" t="s">
        <v>141</v>
      </c>
      <c r="U1174" s="47" t="s">
        <v>141</v>
      </c>
      <c r="V1174" s="40" t="s">
        <v>4750</v>
      </c>
      <c r="W1174" s="41" t="s">
        <v>39</v>
      </c>
      <c r="X1174" s="40" t="s">
        <v>4751</v>
      </c>
      <c r="Y1174" s="40" t="s">
        <v>56</v>
      </c>
    </row>
    <row r="1175" spans="1:32" ht="19.5" customHeight="1">
      <c r="A1175" s="25">
        <f t="shared" si="19"/>
        <v>1160</v>
      </c>
      <c r="B1175" s="26">
        <v>6315179</v>
      </c>
      <c r="C1175" s="27">
        <v>46227</v>
      </c>
      <c r="D1175" s="80" t="s">
        <v>141</v>
      </c>
      <c r="E1175" s="29">
        <v>17971</v>
      </c>
      <c r="F1175" s="30" t="s">
        <v>4756</v>
      </c>
      <c r="G1175" s="27">
        <v>46237</v>
      </c>
      <c r="H1175" s="330" t="s">
        <v>141</v>
      </c>
      <c r="I1175" s="29">
        <v>17971</v>
      </c>
      <c r="J1175" s="34" t="s">
        <v>929</v>
      </c>
      <c r="K1175" t="s">
        <v>293</v>
      </c>
      <c r="L1175" s="35" t="s">
        <v>4757</v>
      </c>
      <c r="M1175" s="36" t="s">
        <v>3108</v>
      </c>
      <c r="N1175" s="43" t="s">
        <v>2010</v>
      </c>
      <c r="O1175" t="s">
        <v>4758</v>
      </c>
      <c r="P1175" t="s">
        <v>4759</v>
      </c>
      <c r="Q1175" t="s">
        <v>4760</v>
      </c>
      <c r="R1175" s="332">
        <v>46237</v>
      </c>
      <c r="S1175" s="333">
        <v>46601</v>
      </c>
      <c r="T1175" s="332">
        <v>46237</v>
      </c>
      <c r="U1175" s="333">
        <v>46601</v>
      </c>
      <c r="V1175" s="40" t="s">
        <v>1333</v>
      </c>
      <c r="W1175" s="41" t="s">
        <v>39</v>
      </c>
      <c r="X1175" s="40" t="s">
        <v>4761</v>
      </c>
      <c r="Y1175" s="79" t="s">
        <v>185</v>
      </c>
    </row>
    <row r="1176" spans="1:32" ht="19.5" customHeight="1">
      <c r="A1176" s="25">
        <f t="shared" ref="A1176:A1239" si="20">A1175+1</f>
        <v>1161</v>
      </c>
      <c r="B1176" s="26">
        <v>6315275</v>
      </c>
      <c r="C1176" s="27">
        <v>46227</v>
      </c>
      <c r="D1176" s="28">
        <v>5316.96</v>
      </c>
      <c r="E1176" s="29">
        <v>41692.410000000003</v>
      </c>
      <c r="F1176" s="30" t="s">
        <v>4762</v>
      </c>
      <c r="G1176" s="27">
        <v>46231</v>
      </c>
      <c r="H1176" s="28">
        <v>5316.96</v>
      </c>
      <c r="I1176" s="29">
        <v>41692.410000000003</v>
      </c>
      <c r="J1176" s="34" t="s">
        <v>99</v>
      </c>
      <c r="K1176" t="s">
        <v>34</v>
      </c>
      <c r="L1176" s="35">
        <v>202340952</v>
      </c>
      <c r="M1176" s="36" t="s">
        <v>2129</v>
      </c>
      <c r="N1176" s="43" t="s">
        <v>1346</v>
      </c>
      <c r="O1176" t="s">
        <v>4763</v>
      </c>
      <c r="P1176" t="s">
        <v>4764</v>
      </c>
      <c r="Q1176" t="s">
        <v>1822</v>
      </c>
      <c r="R1176" s="332">
        <v>46280</v>
      </c>
      <c r="S1176" s="333">
        <v>46644</v>
      </c>
      <c r="T1176" s="332">
        <v>46280</v>
      </c>
      <c r="U1176" s="333">
        <v>46644</v>
      </c>
      <c r="V1176" s="40" t="s">
        <v>458</v>
      </c>
      <c r="W1176" s="41" t="s">
        <v>39</v>
      </c>
      <c r="X1176" s="40" t="s">
        <v>4765</v>
      </c>
      <c r="Y1176" s="40" t="s">
        <v>185</v>
      </c>
      <c r="AC1176" s="63">
        <v>10000598404</v>
      </c>
      <c r="AD1176" s="46">
        <v>46233</v>
      </c>
    </row>
    <row r="1177" spans="1:32" ht="19.5" customHeight="1">
      <c r="A1177" s="25">
        <f t="shared" si="20"/>
        <v>1162</v>
      </c>
      <c r="B1177" s="26">
        <v>6315963</v>
      </c>
      <c r="C1177" s="27">
        <v>46231</v>
      </c>
      <c r="D1177" s="80" t="s">
        <v>141</v>
      </c>
      <c r="E1177" s="29">
        <v>3690</v>
      </c>
      <c r="F1177" s="30" t="s">
        <v>4766</v>
      </c>
      <c r="G1177" s="27">
        <v>46234</v>
      </c>
      <c r="H1177" s="80" t="s">
        <v>141</v>
      </c>
      <c r="I1177" s="29">
        <v>3690</v>
      </c>
      <c r="J1177" s="34" t="s">
        <v>929</v>
      </c>
      <c r="K1177" t="s">
        <v>139</v>
      </c>
      <c r="L1177" s="35">
        <v>80005536</v>
      </c>
      <c r="M1177" s="36" t="s">
        <v>4767</v>
      </c>
      <c r="N1177" s="43" t="s">
        <v>1383</v>
      </c>
      <c r="O1177" t="s">
        <v>4768</v>
      </c>
      <c r="P1177" t="s">
        <v>4769</v>
      </c>
      <c r="Q1177" t="s">
        <v>4770</v>
      </c>
      <c r="R1177" s="332">
        <v>46262</v>
      </c>
      <c r="S1177" s="333">
        <v>46626</v>
      </c>
      <c r="T1177" s="413">
        <v>46262</v>
      </c>
      <c r="U1177" s="436">
        <v>46626</v>
      </c>
      <c r="V1177" s="40" t="s">
        <v>4771</v>
      </c>
      <c r="W1177" s="41" t="s">
        <v>39</v>
      </c>
      <c r="X1177" s="40" t="s">
        <v>4772</v>
      </c>
      <c r="Y1177" s="40" t="s">
        <v>56</v>
      </c>
    </row>
    <row r="1178" spans="1:32" ht="19.5" customHeight="1" thickBot="1">
      <c r="A1178" s="25">
        <f t="shared" si="20"/>
        <v>1163</v>
      </c>
      <c r="B1178" s="26">
        <v>6316039</v>
      </c>
      <c r="C1178" s="27">
        <v>46140</v>
      </c>
      <c r="D1178" s="28">
        <v>2846.6</v>
      </c>
      <c r="E1178" s="29">
        <v>22321.34</v>
      </c>
      <c r="F1178" s="30" t="s">
        <v>4773</v>
      </c>
      <c r="G1178" s="27">
        <v>46231</v>
      </c>
      <c r="H1178" s="68">
        <v>2846.6</v>
      </c>
      <c r="I1178" s="29">
        <v>22321.34</v>
      </c>
      <c r="J1178" s="34" t="s">
        <v>929</v>
      </c>
      <c r="K1178" t="s">
        <v>4774</v>
      </c>
      <c r="L1178" s="35" t="s">
        <v>4775</v>
      </c>
      <c r="M1178" s="36" t="s">
        <v>4776</v>
      </c>
      <c r="N1178" s="43" t="s">
        <v>1330</v>
      </c>
      <c r="O1178" t="s">
        <v>4777</v>
      </c>
      <c r="P1178" t="s">
        <v>4778</v>
      </c>
      <c r="Q1178" t="s">
        <v>4779</v>
      </c>
      <c r="R1178" s="332">
        <v>46237</v>
      </c>
      <c r="S1178" s="333">
        <v>46601</v>
      </c>
      <c r="T1178" s="332">
        <v>46237</v>
      </c>
      <c r="U1178" s="333">
        <v>46601</v>
      </c>
      <c r="V1178" s="40" t="s">
        <v>1333</v>
      </c>
      <c r="W1178" s="41" t="s">
        <v>39</v>
      </c>
      <c r="X1178" s="40" t="s">
        <v>4780</v>
      </c>
      <c r="Y1178" s="40" t="s">
        <v>56</v>
      </c>
    </row>
    <row r="1179" spans="1:32" ht="19.5" customHeight="1">
      <c r="A1179" s="25">
        <f t="shared" si="20"/>
        <v>1164</v>
      </c>
      <c r="B1179" s="135">
        <v>6316172</v>
      </c>
      <c r="C1179" s="136">
        <v>46240</v>
      </c>
      <c r="D1179" s="362" t="s">
        <v>141</v>
      </c>
      <c r="E1179" s="437">
        <v>3310</v>
      </c>
      <c r="F1179" s="139" t="s">
        <v>4781</v>
      </c>
      <c r="G1179" s="136">
        <v>46241</v>
      </c>
      <c r="H1179" s="438" t="s">
        <v>141</v>
      </c>
      <c r="I1179" s="179">
        <v>3310</v>
      </c>
      <c r="J1179" s="140" t="s">
        <v>929</v>
      </c>
      <c r="K1179" s="432" t="s">
        <v>4655</v>
      </c>
      <c r="L1179" s="439">
        <v>80005537</v>
      </c>
      <c r="M1179" s="421" t="s">
        <v>4782</v>
      </c>
      <c r="N1179" s="440" t="s">
        <v>4783</v>
      </c>
      <c r="O1179" s="141" t="s">
        <v>4784</v>
      </c>
      <c r="P1179" s="141" t="s">
        <v>4785</v>
      </c>
      <c r="Q1179" s="141" t="s">
        <v>4786</v>
      </c>
      <c r="R1179" s="363">
        <v>46251</v>
      </c>
      <c r="S1179" s="364">
        <v>46630</v>
      </c>
      <c r="T1179" s="363">
        <v>46266</v>
      </c>
      <c r="U1179" s="364">
        <v>46630</v>
      </c>
      <c r="V1179" s="147" t="s">
        <v>4771</v>
      </c>
      <c r="W1179" s="148" t="s">
        <v>39</v>
      </c>
      <c r="X1179" s="147" t="s">
        <v>4787</v>
      </c>
      <c r="Y1179" s="147" t="s">
        <v>56</v>
      </c>
      <c r="Z1179" s="141"/>
      <c r="AA1179" s="150"/>
      <c r="AB1179" s="151"/>
      <c r="AC1179" s="152"/>
      <c r="AD1179" s="153"/>
      <c r="AE1179" s="141"/>
      <c r="AF1179" s="146"/>
    </row>
    <row r="1180" spans="1:32" ht="19.5" customHeight="1" thickBot="1">
      <c r="B1180" s="155">
        <v>6316172</v>
      </c>
      <c r="C1180" s="156">
        <v>46240</v>
      </c>
      <c r="D1180" s="441">
        <v>166.5</v>
      </c>
      <c r="E1180" s="442">
        <v>1307.03</v>
      </c>
      <c r="F1180" s="159" t="s">
        <v>4788</v>
      </c>
      <c r="G1180" s="156">
        <v>46244</v>
      </c>
      <c r="H1180" s="443">
        <v>166.5</v>
      </c>
      <c r="I1180" s="425">
        <v>1305.73</v>
      </c>
      <c r="J1180" s="160" t="s">
        <v>929</v>
      </c>
      <c r="K1180" s="241" t="s">
        <v>4774</v>
      </c>
      <c r="L1180" s="444" t="s">
        <v>4789</v>
      </c>
      <c r="M1180" s="426" t="s">
        <v>4790</v>
      </c>
      <c r="N1180" s="445" t="s">
        <v>4783</v>
      </c>
      <c r="O1180" s="161" t="s">
        <v>4784</v>
      </c>
      <c r="P1180" s="161" t="s">
        <v>4785</v>
      </c>
      <c r="Q1180" s="161" t="s">
        <v>4786</v>
      </c>
      <c r="R1180" s="366">
        <v>46251</v>
      </c>
      <c r="S1180" s="367">
        <v>46630</v>
      </c>
      <c r="T1180" s="366">
        <v>46266</v>
      </c>
      <c r="U1180" s="367">
        <v>46630</v>
      </c>
      <c r="V1180" s="167" t="s">
        <v>4771</v>
      </c>
      <c r="W1180" s="168" t="s">
        <v>39</v>
      </c>
      <c r="X1180" s="167" t="s">
        <v>4787</v>
      </c>
      <c r="Y1180" s="167" t="s">
        <v>56</v>
      </c>
      <c r="Z1180" s="161"/>
      <c r="AA1180" s="170"/>
      <c r="AB1180" s="171"/>
      <c r="AC1180" s="172"/>
      <c r="AD1180" s="173"/>
      <c r="AE1180" s="161"/>
      <c r="AF1180" s="166"/>
    </row>
    <row r="1181" spans="1:32" ht="19.5" customHeight="1">
      <c r="A1181" s="25">
        <f>A1179+1</f>
        <v>1165</v>
      </c>
      <c r="B1181" s="26">
        <v>6316334</v>
      </c>
      <c r="C1181" s="27">
        <v>46231</v>
      </c>
      <c r="D1181" s="80" t="s">
        <v>141</v>
      </c>
      <c r="E1181" s="29">
        <v>2325</v>
      </c>
      <c r="F1181" s="30" t="s">
        <v>4791</v>
      </c>
      <c r="G1181" s="27">
        <v>46234</v>
      </c>
      <c r="H1181" s="80" t="s">
        <v>141</v>
      </c>
      <c r="I1181" s="29">
        <v>2325</v>
      </c>
      <c r="J1181" s="34" t="s">
        <v>159</v>
      </c>
      <c r="K1181" t="s">
        <v>176</v>
      </c>
      <c r="L1181" s="35" t="s">
        <v>4792</v>
      </c>
      <c r="M1181" s="36" t="s">
        <v>3195</v>
      </c>
      <c r="N1181" s="43" t="s">
        <v>1656</v>
      </c>
      <c r="O1181" t="s">
        <v>4793</v>
      </c>
      <c r="P1181" t="s">
        <v>4794</v>
      </c>
      <c r="Q1181" t="s">
        <v>4795</v>
      </c>
      <c r="R1181" s="332">
        <v>46293</v>
      </c>
      <c r="S1181" s="333">
        <v>46657</v>
      </c>
      <c r="T1181" s="332">
        <v>46296</v>
      </c>
      <c r="U1181" s="333">
        <v>46660</v>
      </c>
      <c r="V1181" s="40" t="s">
        <v>80</v>
      </c>
      <c r="W1181" s="41" t="s">
        <v>39</v>
      </c>
      <c r="X1181" s="40" t="s">
        <v>4796</v>
      </c>
      <c r="Y1181" s="40" t="s">
        <v>185</v>
      </c>
    </row>
    <row r="1182" spans="1:32" ht="19.5" customHeight="1">
      <c r="A1182" s="25">
        <f t="shared" si="20"/>
        <v>1166</v>
      </c>
      <c r="B1182" s="26">
        <v>6316591</v>
      </c>
      <c r="C1182" s="27">
        <v>46232</v>
      </c>
      <c r="D1182" s="28">
        <v>765.6</v>
      </c>
      <c r="E1182" s="29">
        <v>6003.38</v>
      </c>
      <c r="F1182" s="30" t="s">
        <v>4797</v>
      </c>
      <c r="G1182" s="27">
        <v>46234</v>
      </c>
      <c r="H1182">
        <v>765.6</v>
      </c>
      <c r="I1182" s="33">
        <v>6003.38</v>
      </c>
      <c r="J1182" s="34" t="s">
        <v>99</v>
      </c>
      <c r="K1182" t="s">
        <v>34</v>
      </c>
      <c r="L1182" s="35">
        <v>222337541</v>
      </c>
      <c r="M1182" s="36" t="s">
        <v>2129</v>
      </c>
      <c r="N1182" s="43" t="s">
        <v>1346</v>
      </c>
      <c r="O1182" t="s">
        <v>4171</v>
      </c>
      <c r="P1182" t="s">
        <v>4798</v>
      </c>
      <c r="Q1182" t="s">
        <v>4179</v>
      </c>
      <c r="R1182" s="332">
        <v>46569</v>
      </c>
      <c r="S1182" s="333">
        <v>47299</v>
      </c>
      <c r="T1182" s="332">
        <v>46569</v>
      </c>
      <c r="U1182" s="333">
        <v>47299</v>
      </c>
      <c r="V1182" s="40" t="s">
        <v>113</v>
      </c>
      <c r="W1182" s="41" t="s">
        <v>39</v>
      </c>
      <c r="X1182" s="40" t="s">
        <v>4799</v>
      </c>
      <c r="Y1182" s="40" t="s">
        <v>56</v>
      </c>
      <c r="AC1182" s="45">
        <v>10000617008</v>
      </c>
      <c r="AD1182" s="46">
        <v>46238</v>
      </c>
    </row>
    <row r="1183" spans="1:32" ht="19.5" customHeight="1">
      <c r="A1183" s="25">
        <f t="shared" si="20"/>
        <v>1167</v>
      </c>
      <c r="B1183" s="26">
        <v>6316674</v>
      </c>
      <c r="C1183" s="27">
        <v>46232</v>
      </c>
      <c r="D1183" s="80" t="s">
        <v>141</v>
      </c>
      <c r="E1183" s="29">
        <v>200784</v>
      </c>
      <c r="F1183" s="30" t="s">
        <v>4800</v>
      </c>
      <c r="G1183" s="27">
        <v>46234</v>
      </c>
      <c r="H1183" s="80" t="s">
        <v>141</v>
      </c>
      <c r="I1183" s="29">
        <v>200784</v>
      </c>
      <c r="J1183" s="34" t="s">
        <v>929</v>
      </c>
      <c r="K1183" t="s">
        <v>176</v>
      </c>
      <c r="L1183" s="35" t="s">
        <v>4801</v>
      </c>
      <c r="M1183" s="36" t="s">
        <v>4802</v>
      </c>
      <c r="N1183" s="43" t="s">
        <v>1409</v>
      </c>
      <c r="O1183" t="s">
        <v>4803</v>
      </c>
      <c r="P1183" t="s">
        <v>4804</v>
      </c>
      <c r="Q1183" t="s">
        <v>4805</v>
      </c>
      <c r="R1183" s="332">
        <v>46226</v>
      </c>
      <c r="S1183" s="333">
        <v>47321</v>
      </c>
      <c r="T1183" s="332">
        <v>46328</v>
      </c>
      <c r="U1183" s="333">
        <v>47423</v>
      </c>
      <c r="V1183" s="40" t="s">
        <v>1654</v>
      </c>
      <c r="W1183" s="41" t="s">
        <v>39</v>
      </c>
      <c r="X1183" s="40" t="s">
        <v>4806</v>
      </c>
      <c r="Y1183" s="40" t="s">
        <v>56</v>
      </c>
    </row>
    <row r="1184" spans="1:32" ht="19.5" customHeight="1">
      <c r="A1184" s="25">
        <f t="shared" si="20"/>
        <v>1168</v>
      </c>
      <c r="B1184" s="26">
        <v>6316691</v>
      </c>
      <c r="C1184" s="27">
        <v>46232</v>
      </c>
      <c r="D1184" s="80" t="s">
        <v>141</v>
      </c>
      <c r="E1184" s="29">
        <v>61740</v>
      </c>
      <c r="F1184" s="30" t="s">
        <v>4807</v>
      </c>
      <c r="G1184" s="27">
        <v>46237</v>
      </c>
      <c r="H1184" s="330" t="s">
        <v>141</v>
      </c>
      <c r="I1184" s="29">
        <v>61740</v>
      </c>
      <c r="J1184" s="34" t="s">
        <v>929</v>
      </c>
      <c r="K1184" t="s">
        <v>1388</v>
      </c>
      <c r="L1184" s="35" t="s">
        <v>4808</v>
      </c>
      <c r="M1184" s="36" t="s">
        <v>4809</v>
      </c>
      <c r="N1184" s="43" t="s">
        <v>1391</v>
      </c>
      <c r="O1184" t="s">
        <v>4803</v>
      </c>
      <c r="P1184" t="s">
        <v>4804</v>
      </c>
      <c r="Q1184" t="s">
        <v>4805</v>
      </c>
      <c r="R1184" s="332">
        <v>46226</v>
      </c>
      <c r="S1184" s="333">
        <v>47321</v>
      </c>
      <c r="T1184" s="332">
        <v>46264</v>
      </c>
      <c r="U1184" s="333">
        <v>47361</v>
      </c>
      <c r="V1184" s="40" t="s">
        <v>1654</v>
      </c>
      <c r="W1184" s="41" t="s">
        <v>39</v>
      </c>
      <c r="X1184" s="40" t="s">
        <v>4806</v>
      </c>
      <c r="Y1184" s="40" t="s">
        <v>56</v>
      </c>
    </row>
    <row r="1185" spans="1:30" ht="19.5" customHeight="1">
      <c r="A1185" s="25">
        <f t="shared" si="20"/>
        <v>1169</v>
      </c>
      <c r="B1185" s="26">
        <v>6316737</v>
      </c>
      <c r="C1185" s="27">
        <v>46232</v>
      </c>
      <c r="D1185" s="80" t="s">
        <v>141</v>
      </c>
      <c r="E1185" s="29">
        <v>2682.54</v>
      </c>
      <c r="F1185" s="30" t="s">
        <v>4810</v>
      </c>
      <c r="G1185" s="27">
        <v>46238</v>
      </c>
      <c r="H1185" s="80" t="s">
        <v>141</v>
      </c>
      <c r="I1185" s="29">
        <v>2682.54</v>
      </c>
      <c r="J1185" s="34" t="s">
        <v>159</v>
      </c>
      <c r="K1185" t="s">
        <v>160</v>
      </c>
      <c r="L1185" s="35" t="s">
        <v>4811</v>
      </c>
      <c r="M1185" s="36" t="s">
        <v>4812</v>
      </c>
      <c r="N1185" s="43" t="s">
        <v>1615</v>
      </c>
      <c r="O1185" t="s">
        <v>4813</v>
      </c>
      <c r="P1185" t="s">
        <v>4814</v>
      </c>
      <c r="Q1185" t="s">
        <v>2728</v>
      </c>
      <c r="R1185" s="332">
        <v>46251</v>
      </c>
      <c r="S1185" s="333">
        <v>47370</v>
      </c>
      <c r="T1185" s="50" t="s">
        <v>141</v>
      </c>
      <c r="U1185" s="47" t="s">
        <v>141</v>
      </c>
      <c r="V1185" s="40" t="s">
        <v>51</v>
      </c>
      <c r="W1185" s="41" t="s">
        <v>39</v>
      </c>
      <c r="X1185" s="40" t="s">
        <v>4815</v>
      </c>
      <c r="Y1185" s="40" t="s">
        <v>185</v>
      </c>
    </row>
    <row r="1186" spans="1:30" ht="19.5" customHeight="1">
      <c r="A1186" s="25">
        <f t="shared" si="20"/>
        <v>1170</v>
      </c>
      <c r="B1186" s="26">
        <v>6316752</v>
      </c>
      <c r="C1186" s="27">
        <v>46232</v>
      </c>
      <c r="D1186" s="80" t="s">
        <v>141</v>
      </c>
      <c r="E1186" s="29">
        <v>67597</v>
      </c>
      <c r="F1186" s="30" t="s">
        <v>4816</v>
      </c>
      <c r="G1186" s="27">
        <v>46238</v>
      </c>
      <c r="H1186" s="80" t="s">
        <v>141</v>
      </c>
      <c r="I1186" s="29">
        <v>67597</v>
      </c>
      <c r="J1186" s="34" t="s">
        <v>4817</v>
      </c>
      <c r="K1186" t="s">
        <v>1190</v>
      </c>
      <c r="L1186" s="35" t="s">
        <v>4818</v>
      </c>
      <c r="M1186" s="36" t="s">
        <v>4819</v>
      </c>
      <c r="N1186" s="43" t="s">
        <v>4820</v>
      </c>
      <c r="O1186" t="s">
        <v>4813</v>
      </c>
      <c r="P1186" t="s">
        <v>4814</v>
      </c>
      <c r="Q1186" t="s">
        <v>2728</v>
      </c>
      <c r="R1186" s="332">
        <v>46251</v>
      </c>
      <c r="S1186" s="333">
        <v>47370</v>
      </c>
      <c r="T1186" s="332">
        <v>46275</v>
      </c>
      <c r="U1186" s="333">
        <v>47370</v>
      </c>
      <c r="V1186" s="40" t="s">
        <v>51</v>
      </c>
      <c r="W1186" s="41" t="s">
        <v>39</v>
      </c>
      <c r="X1186" s="40" t="s">
        <v>4821</v>
      </c>
      <c r="Y1186" s="40" t="s">
        <v>56</v>
      </c>
      <c r="AA1186" s="62" t="s">
        <v>4822</v>
      </c>
      <c r="AB1186" s="44">
        <v>46253</v>
      </c>
    </row>
    <row r="1187" spans="1:30" ht="19.5" customHeight="1">
      <c r="A1187" s="25">
        <f t="shared" si="20"/>
        <v>1171</v>
      </c>
      <c r="B1187" s="26">
        <v>6317221</v>
      </c>
      <c r="C1187" s="27">
        <v>46233</v>
      </c>
      <c r="D1187" s="80" t="s">
        <v>141</v>
      </c>
      <c r="E1187" s="29">
        <v>1668.03</v>
      </c>
      <c r="F1187" s="30" t="s">
        <v>4823</v>
      </c>
      <c r="G1187" s="27">
        <v>46238</v>
      </c>
      <c r="H1187" s="80" t="s">
        <v>141</v>
      </c>
      <c r="I1187" s="33">
        <v>1668.03</v>
      </c>
      <c r="J1187" s="34" t="s">
        <v>159</v>
      </c>
      <c r="K1187" t="s">
        <v>398</v>
      </c>
      <c r="L1187" s="446" t="s">
        <v>4824</v>
      </c>
      <c r="M1187" s="36" t="s">
        <v>4825</v>
      </c>
      <c r="N1187" s="43" t="s">
        <v>4826</v>
      </c>
      <c r="O1187" t="s">
        <v>4827</v>
      </c>
      <c r="P1187" t="s">
        <v>4828</v>
      </c>
      <c r="Q1187" t="s">
        <v>4829</v>
      </c>
      <c r="R1187" s="332">
        <v>46155</v>
      </c>
      <c r="S1187" s="333">
        <v>46519</v>
      </c>
      <c r="T1187" s="50" t="s">
        <v>141</v>
      </c>
      <c r="U1187" s="47" t="s">
        <v>141</v>
      </c>
      <c r="V1187" s="40" t="s">
        <v>1306</v>
      </c>
      <c r="W1187" s="41" t="s">
        <v>39</v>
      </c>
      <c r="X1187" s="40" t="s">
        <v>4830</v>
      </c>
      <c r="Y1187" s="40" t="s">
        <v>185</v>
      </c>
      <c r="AA1187" s="62" t="s">
        <v>4831</v>
      </c>
      <c r="AB1187" s="44">
        <v>46247</v>
      </c>
      <c r="AC1187" s="63" t="s">
        <v>4831</v>
      </c>
      <c r="AD1187" s="46">
        <v>46247</v>
      </c>
    </row>
    <row r="1188" spans="1:30" ht="19.5" customHeight="1">
      <c r="A1188" s="25">
        <f t="shared" si="20"/>
        <v>1172</v>
      </c>
      <c r="B1188" s="26">
        <v>6318222</v>
      </c>
      <c r="C1188" s="27">
        <v>46237</v>
      </c>
      <c r="D1188" s="28">
        <v>284.31</v>
      </c>
      <c r="E1188" s="29">
        <v>2229.62</v>
      </c>
      <c r="F1188" s="30" t="s">
        <v>4832</v>
      </c>
      <c r="G1188" s="27">
        <v>46240</v>
      </c>
      <c r="H1188" s="66">
        <v>282.72000000000003</v>
      </c>
      <c r="I1188" s="326">
        <v>2217.15</v>
      </c>
      <c r="J1188" s="34" t="s">
        <v>99</v>
      </c>
      <c r="K1188" t="s">
        <v>34</v>
      </c>
      <c r="L1188" s="35">
        <v>242342425</v>
      </c>
      <c r="M1188" s="36" t="s">
        <v>2129</v>
      </c>
      <c r="N1188" s="43" t="s">
        <v>1346</v>
      </c>
      <c r="O1188" t="s">
        <v>4833</v>
      </c>
      <c r="P1188" t="s">
        <v>4834</v>
      </c>
      <c r="Q1188" t="s">
        <v>4835</v>
      </c>
      <c r="R1188" s="332">
        <v>46235</v>
      </c>
      <c r="S1188" s="333">
        <v>46599</v>
      </c>
      <c r="T1188" s="332">
        <v>46235</v>
      </c>
      <c r="U1188" s="333">
        <v>46599</v>
      </c>
      <c r="V1188" s="40" t="s">
        <v>2207</v>
      </c>
      <c r="W1188" s="41" t="s">
        <v>39</v>
      </c>
      <c r="X1188" s="40" t="s">
        <v>4836</v>
      </c>
      <c r="Y1188" s="40" t="s">
        <v>56</v>
      </c>
    </row>
    <row r="1189" spans="1:30" ht="19.5" customHeight="1">
      <c r="A1189" s="25">
        <f t="shared" si="20"/>
        <v>1173</v>
      </c>
      <c r="B1189" s="26">
        <v>6319091</v>
      </c>
      <c r="C1189" s="27">
        <v>46239</v>
      </c>
      <c r="D1189" s="28">
        <v>3305.2</v>
      </c>
      <c r="E1189" s="29">
        <v>25920.04</v>
      </c>
      <c r="F1189" s="30" t="s">
        <v>4837</v>
      </c>
      <c r="G1189" s="27">
        <v>46240</v>
      </c>
      <c r="H1189" s="28">
        <v>3305.2</v>
      </c>
      <c r="I1189" s="29">
        <v>25920.04</v>
      </c>
      <c r="J1189" s="34" t="s">
        <v>99</v>
      </c>
      <c r="K1189" t="s">
        <v>34</v>
      </c>
      <c r="L1189" s="35">
        <v>292335453</v>
      </c>
      <c r="M1189" s="36" t="s">
        <v>4838</v>
      </c>
      <c r="N1189" s="43" t="s">
        <v>1346</v>
      </c>
      <c r="O1189" t="s">
        <v>4839</v>
      </c>
      <c r="P1189" t="s">
        <v>4840</v>
      </c>
      <c r="Q1189" t="s">
        <v>4841</v>
      </c>
      <c r="R1189" s="332">
        <v>46303</v>
      </c>
      <c r="S1189" s="333">
        <v>46638</v>
      </c>
      <c r="T1189" s="332">
        <v>46033</v>
      </c>
      <c r="U1189" s="333">
        <v>46599</v>
      </c>
      <c r="V1189" s="40" t="s">
        <v>4842</v>
      </c>
      <c r="W1189" s="41" t="s">
        <v>4843</v>
      </c>
      <c r="X1189" s="40" t="s">
        <v>4844</v>
      </c>
      <c r="Y1189" s="40" t="s">
        <v>4845</v>
      </c>
      <c r="AC1189" s="63">
        <v>10000641701</v>
      </c>
      <c r="AD1189" s="46">
        <v>46245</v>
      </c>
    </row>
    <row r="1190" spans="1:30" ht="19.5" customHeight="1">
      <c r="A1190" s="25">
        <f t="shared" si="20"/>
        <v>1174</v>
      </c>
      <c r="B1190" s="26">
        <v>6319085</v>
      </c>
      <c r="C1190" s="27">
        <v>46239</v>
      </c>
      <c r="D1190" s="80" t="s">
        <v>141</v>
      </c>
      <c r="E1190" s="29">
        <v>112150</v>
      </c>
      <c r="F1190" s="401" t="s">
        <v>4846</v>
      </c>
      <c r="G1190" s="27">
        <v>46248</v>
      </c>
      <c r="H1190" s="80" t="s">
        <v>141</v>
      </c>
      <c r="I1190" s="326">
        <v>106542.5</v>
      </c>
      <c r="J1190" s="34" t="s">
        <v>929</v>
      </c>
      <c r="K1190" t="s">
        <v>139</v>
      </c>
      <c r="L1190" s="35">
        <v>80005558</v>
      </c>
      <c r="M1190" s="36" t="s">
        <v>4847</v>
      </c>
      <c r="N1190" s="43" t="s">
        <v>1404</v>
      </c>
      <c r="O1190" t="s">
        <v>4755</v>
      </c>
      <c r="P1190" t="s">
        <v>4848</v>
      </c>
      <c r="Q1190" t="s">
        <v>1990</v>
      </c>
      <c r="R1190" s="332">
        <v>46204</v>
      </c>
      <c r="S1190" s="333">
        <v>46568</v>
      </c>
      <c r="T1190" s="50" t="s">
        <v>141</v>
      </c>
      <c r="U1190" s="47" t="s">
        <v>141</v>
      </c>
      <c r="V1190" s="40" t="s">
        <v>4750</v>
      </c>
      <c r="W1190" s="41" t="s">
        <v>39</v>
      </c>
      <c r="X1190" s="40" t="s">
        <v>4849</v>
      </c>
      <c r="Y1190" s="40" t="s">
        <v>185</v>
      </c>
    </row>
    <row r="1191" spans="1:30" ht="19.5" customHeight="1">
      <c r="A1191" s="25">
        <f t="shared" si="20"/>
        <v>1175</v>
      </c>
      <c r="B1191" s="26">
        <v>6319146</v>
      </c>
      <c r="C1191" s="27">
        <v>46239</v>
      </c>
      <c r="D1191" s="28">
        <v>3936.16</v>
      </c>
      <c r="E1191" s="29">
        <v>30868.15</v>
      </c>
      <c r="F1191" s="30" t="s">
        <v>4850</v>
      </c>
      <c r="G1191" s="27">
        <v>46240</v>
      </c>
      <c r="H1191" s="28">
        <v>3936.16</v>
      </c>
      <c r="I1191" s="29">
        <v>30868.15</v>
      </c>
      <c r="J1191" s="34" t="s">
        <v>99</v>
      </c>
      <c r="K1191" t="s">
        <v>34</v>
      </c>
      <c r="L1191" s="35">
        <v>222324896</v>
      </c>
      <c r="M1191" s="36" t="s">
        <v>4838</v>
      </c>
      <c r="N1191" s="43" t="s">
        <v>1346</v>
      </c>
      <c r="O1191" t="s">
        <v>4851</v>
      </c>
      <c r="P1191" s="128" t="s">
        <v>4852</v>
      </c>
      <c r="Q1191" t="s">
        <v>4853</v>
      </c>
      <c r="R1191" s="332">
        <v>46231</v>
      </c>
      <c r="S1191" s="333">
        <v>46595</v>
      </c>
      <c r="T1191" s="332">
        <v>46231</v>
      </c>
      <c r="U1191" s="333">
        <v>46595</v>
      </c>
      <c r="V1191" s="40" t="s">
        <v>4842</v>
      </c>
      <c r="W1191" s="41" t="s">
        <v>4843</v>
      </c>
      <c r="X1191" s="40" t="s">
        <v>4854</v>
      </c>
      <c r="Y1191" s="40" t="s">
        <v>4845</v>
      </c>
      <c r="AC1191" s="63">
        <v>10000641684</v>
      </c>
      <c r="AD1191" s="46">
        <v>46245</v>
      </c>
    </row>
    <row r="1192" spans="1:30" ht="19.5" customHeight="1">
      <c r="A1192" s="25">
        <f t="shared" si="20"/>
        <v>1176</v>
      </c>
      <c r="B1192" s="26">
        <v>6319140</v>
      </c>
      <c r="C1192" s="27">
        <v>46239</v>
      </c>
      <c r="D1192" s="80" t="s">
        <v>141</v>
      </c>
      <c r="E1192" s="29">
        <v>49540</v>
      </c>
      <c r="F1192" s="401" t="s">
        <v>4855</v>
      </c>
      <c r="G1192" s="27">
        <v>46251</v>
      </c>
      <c r="H1192" s="283" t="s">
        <v>141</v>
      </c>
      <c r="I1192" s="33">
        <v>49540</v>
      </c>
      <c r="J1192" s="34" t="s">
        <v>929</v>
      </c>
      <c r="K1192" t="s">
        <v>193</v>
      </c>
      <c r="L1192" s="35" t="s">
        <v>4856</v>
      </c>
      <c r="M1192" s="36" t="s">
        <v>4857</v>
      </c>
      <c r="N1192" s="43" t="s">
        <v>4858</v>
      </c>
      <c r="O1192" t="s">
        <v>2544</v>
      </c>
      <c r="P1192" t="s">
        <v>2545</v>
      </c>
      <c r="Q1192" t="s">
        <v>4859</v>
      </c>
      <c r="R1192" s="332">
        <v>46023</v>
      </c>
      <c r="S1192" s="333">
        <v>46387</v>
      </c>
      <c r="T1192" s="50" t="s">
        <v>141</v>
      </c>
      <c r="U1192" s="47" t="s">
        <v>141</v>
      </c>
      <c r="V1192" s="40" t="s">
        <v>51</v>
      </c>
      <c r="W1192" s="41" t="s">
        <v>39</v>
      </c>
      <c r="X1192" s="40" t="s">
        <v>4860</v>
      </c>
      <c r="Y1192" s="40" t="s">
        <v>185</v>
      </c>
    </row>
    <row r="1193" spans="1:30" ht="19.5" customHeight="1">
      <c r="A1193" s="25">
        <f t="shared" si="20"/>
        <v>1177</v>
      </c>
      <c r="B1193" s="26">
        <v>6319175</v>
      </c>
      <c r="C1193" s="27">
        <v>46239</v>
      </c>
      <c r="D1193" s="28">
        <v>80.62</v>
      </c>
      <c r="E1193" s="29">
        <v>632.41999999999996</v>
      </c>
      <c r="F1193" s="30" t="s">
        <v>4861</v>
      </c>
      <c r="G1193" s="27">
        <v>46240</v>
      </c>
      <c r="H1193" s="28">
        <v>80.62</v>
      </c>
      <c r="I1193" s="29">
        <v>632.41999999999996</v>
      </c>
      <c r="J1193" s="34" t="s">
        <v>99</v>
      </c>
      <c r="K1193" t="s">
        <v>34</v>
      </c>
      <c r="L1193" s="35">
        <v>452036477</v>
      </c>
      <c r="M1193" s="36" t="s">
        <v>4838</v>
      </c>
      <c r="N1193" s="43" t="s">
        <v>2551</v>
      </c>
      <c r="O1193" t="s">
        <v>4862</v>
      </c>
      <c r="P1193" t="s">
        <v>4863</v>
      </c>
      <c r="Q1193" t="s">
        <v>4864</v>
      </c>
      <c r="R1193" s="332">
        <v>46030</v>
      </c>
      <c r="S1193" s="333">
        <v>46599</v>
      </c>
      <c r="T1193" s="332">
        <v>46030</v>
      </c>
      <c r="U1193" s="333">
        <v>46599</v>
      </c>
      <c r="V1193" s="40" t="s">
        <v>4866</v>
      </c>
      <c r="W1193" s="41" t="s">
        <v>4843</v>
      </c>
      <c r="X1193" s="40" t="s">
        <v>4867</v>
      </c>
      <c r="Y1193" s="40" t="s">
        <v>4845</v>
      </c>
      <c r="AC1193" s="63">
        <v>10000641682</v>
      </c>
      <c r="AD1193" s="46">
        <v>46245</v>
      </c>
    </row>
    <row r="1194" spans="1:30" ht="19.5" customHeight="1">
      <c r="A1194" s="25">
        <f t="shared" si="20"/>
        <v>1178</v>
      </c>
      <c r="B1194" s="26">
        <v>6319299</v>
      </c>
      <c r="C1194" s="27">
        <v>46240</v>
      </c>
      <c r="D1194" s="28">
        <v>5295.14</v>
      </c>
      <c r="E1194" s="29">
        <v>41525.550000000003</v>
      </c>
      <c r="F1194" s="30" t="s">
        <v>4868</v>
      </c>
      <c r="G1194" s="27">
        <v>46241</v>
      </c>
      <c r="H1194" s="28">
        <v>5295.14</v>
      </c>
      <c r="I1194" s="29">
        <v>41525.550000000003</v>
      </c>
      <c r="J1194" s="34" t="s">
        <v>99</v>
      </c>
      <c r="K1194" t="s">
        <v>34</v>
      </c>
      <c r="L1194" s="35">
        <v>452022920</v>
      </c>
      <c r="M1194" s="36" t="s">
        <v>4838</v>
      </c>
      <c r="N1194" s="43" t="s">
        <v>1346</v>
      </c>
      <c r="O1194" t="s">
        <v>4869</v>
      </c>
      <c r="P1194" t="s">
        <v>4870</v>
      </c>
      <c r="Q1194" t="s">
        <v>4871</v>
      </c>
      <c r="R1194" s="44">
        <v>46251</v>
      </c>
      <c r="S1194" s="333">
        <v>46615</v>
      </c>
      <c r="T1194" s="332">
        <v>46263</v>
      </c>
      <c r="U1194" s="333">
        <v>46627</v>
      </c>
      <c r="V1194" s="40" t="s">
        <v>4872</v>
      </c>
      <c r="W1194" s="41" t="s">
        <v>4873</v>
      </c>
      <c r="X1194" s="40" t="s">
        <v>4874</v>
      </c>
      <c r="Y1194" s="40" t="s">
        <v>185</v>
      </c>
      <c r="AC1194" s="63">
        <v>10000650306</v>
      </c>
      <c r="AD1194" s="46">
        <v>46247</v>
      </c>
    </row>
    <row r="1195" spans="1:30" ht="19.5" customHeight="1">
      <c r="A1195" s="25">
        <f t="shared" si="20"/>
        <v>1179</v>
      </c>
      <c r="B1195" s="26">
        <v>6319668</v>
      </c>
      <c r="C1195" s="27">
        <v>46241</v>
      </c>
      <c r="D1195" s="80" t="s">
        <v>141</v>
      </c>
      <c r="E1195" s="29">
        <v>4062867.28</v>
      </c>
      <c r="F1195" s="30" t="s">
        <v>4875</v>
      </c>
      <c r="G1195" s="27">
        <v>46247</v>
      </c>
      <c r="H1195" s="283" t="s">
        <v>141</v>
      </c>
      <c r="I1195" s="33">
        <v>4062867.28</v>
      </c>
      <c r="J1195" s="34" t="s">
        <v>929</v>
      </c>
      <c r="K1195" t="s">
        <v>107</v>
      </c>
      <c r="L1195" s="35" t="s">
        <v>4876</v>
      </c>
      <c r="M1195" s="36" t="s">
        <v>4877</v>
      </c>
      <c r="N1195" s="43" t="s">
        <v>1458</v>
      </c>
      <c r="O1195" t="s">
        <v>4878</v>
      </c>
      <c r="P1195" t="s">
        <v>4879</v>
      </c>
      <c r="Q1195" t="s">
        <v>4859</v>
      </c>
      <c r="R1195" s="332">
        <v>46226</v>
      </c>
      <c r="S1195" s="333">
        <v>46965</v>
      </c>
      <c r="T1195" s="332">
        <v>46226</v>
      </c>
      <c r="U1195" s="333">
        <v>46965</v>
      </c>
      <c r="V1195" s="40" t="s">
        <v>51</v>
      </c>
      <c r="W1195" s="41" t="s">
        <v>39</v>
      </c>
      <c r="X1195" s="40" t="s">
        <v>4880</v>
      </c>
      <c r="Y1195" s="40" t="s">
        <v>56</v>
      </c>
      <c r="AA1195" s="62" t="s">
        <v>4881</v>
      </c>
      <c r="AB1195" s="44">
        <v>46260</v>
      </c>
    </row>
    <row r="1196" spans="1:30" ht="19.5" customHeight="1">
      <c r="A1196" s="25">
        <f t="shared" si="20"/>
        <v>1180</v>
      </c>
      <c r="B1196" s="26">
        <v>6319793</v>
      </c>
      <c r="C1196" s="27">
        <v>46241</v>
      </c>
      <c r="D1196" s="28">
        <v>2331.89</v>
      </c>
      <c r="E1196" s="29">
        <v>18287.150000000001</v>
      </c>
      <c r="F1196" s="30" t="s">
        <v>4882</v>
      </c>
      <c r="G1196" s="27">
        <v>46241</v>
      </c>
      <c r="H1196" s="28">
        <v>2331.89</v>
      </c>
      <c r="I1196" s="29">
        <v>18287.150000000001</v>
      </c>
      <c r="J1196" s="34" t="s">
        <v>99</v>
      </c>
      <c r="K1196" t="s">
        <v>34</v>
      </c>
      <c r="L1196" s="35">
        <v>232344243</v>
      </c>
      <c r="M1196" s="36" t="s">
        <v>4838</v>
      </c>
      <c r="N1196" s="43" t="s">
        <v>1346</v>
      </c>
      <c r="O1196" t="s">
        <v>4883</v>
      </c>
      <c r="P1196" t="s">
        <v>4884</v>
      </c>
      <c r="Q1196" t="s">
        <v>4885</v>
      </c>
      <c r="R1196" s="332">
        <v>46244</v>
      </c>
      <c r="S1196" s="333">
        <v>46578</v>
      </c>
      <c r="T1196" s="332">
        <v>46244</v>
      </c>
      <c r="U1196" s="333">
        <v>46578</v>
      </c>
      <c r="V1196" s="40" t="s">
        <v>4866</v>
      </c>
      <c r="W1196" s="41" t="s">
        <v>4873</v>
      </c>
      <c r="X1196" s="40" t="s">
        <v>4886</v>
      </c>
      <c r="Y1196" s="40" t="s">
        <v>56</v>
      </c>
      <c r="AC1196" s="63">
        <v>10000650323</v>
      </c>
      <c r="AD1196" s="46">
        <v>46247</v>
      </c>
    </row>
    <row r="1197" spans="1:30" ht="19.5" customHeight="1">
      <c r="A1197" s="25">
        <f t="shared" si="20"/>
        <v>1181</v>
      </c>
      <c r="B1197" s="26">
        <v>6319944</v>
      </c>
      <c r="C1197" s="27">
        <v>46241</v>
      </c>
      <c r="D1197" s="80" t="s">
        <v>141</v>
      </c>
      <c r="E1197" s="29">
        <v>23697.86</v>
      </c>
      <c r="F1197" s="30" t="s">
        <v>4887</v>
      </c>
      <c r="G1197" s="27">
        <v>46245</v>
      </c>
      <c r="H1197" s="80" t="s">
        <v>141</v>
      </c>
      <c r="I1197" s="29">
        <v>23697.86</v>
      </c>
      <c r="J1197" s="34" t="s">
        <v>159</v>
      </c>
      <c r="K1197" t="s">
        <v>160</v>
      </c>
      <c r="L1197" s="35" t="s">
        <v>4888</v>
      </c>
      <c r="M1197" s="36" t="s">
        <v>4889</v>
      </c>
      <c r="N1197" s="43" t="s">
        <v>1615</v>
      </c>
      <c r="O1197" t="s">
        <v>4890</v>
      </c>
      <c r="P1197" t="s">
        <v>4888</v>
      </c>
      <c r="Q1197" t="s">
        <v>2491</v>
      </c>
      <c r="R1197" s="332">
        <v>46228</v>
      </c>
      <c r="S1197" s="333">
        <v>46567</v>
      </c>
      <c r="T1197" s="98" t="s">
        <v>141</v>
      </c>
      <c r="U1197" s="47" t="s">
        <v>141</v>
      </c>
      <c r="V1197" s="40" t="s">
        <v>51</v>
      </c>
      <c r="W1197" s="41" t="s">
        <v>39</v>
      </c>
      <c r="X1197" s="40" t="s">
        <v>4891</v>
      </c>
      <c r="Y1197" s="40" t="s">
        <v>185</v>
      </c>
    </row>
    <row r="1198" spans="1:30" ht="19.5" customHeight="1">
      <c r="A1198" s="25">
        <f t="shared" si="20"/>
        <v>1182</v>
      </c>
      <c r="B1198" s="26" t="s">
        <v>4292</v>
      </c>
      <c r="C1198" s="27" t="s">
        <v>4292</v>
      </c>
      <c r="D1198" s="68" t="s">
        <v>4292</v>
      </c>
      <c r="E1198" s="29" t="s">
        <v>4292</v>
      </c>
      <c r="F1198" s="30" t="s">
        <v>4892</v>
      </c>
      <c r="G1198" s="27">
        <v>46241</v>
      </c>
      <c r="H1198" s="330" t="s">
        <v>141</v>
      </c>
      <c r="I1198" s="33">
        <v>1770</v>
      </c>
      <c r="J1198" s="34" t="s">
        <v>4893</v>
      </c>
      <c r="K1198" t="s">
        <v>139</v>
      </c>
      <c r="L1198" s="35">
        <v>80005562</v>
      </c>
      <c r="M1198" s="36" t="s">
        <v>4894</v>
      </c>
      <c r="N1198" s="43" t="s">
        <v>4895</v>
      </c>
      <c r="O1198" t="s">
        <v>4896</v>
      </c>
      <c r="P1198" t="s">
        <v>4897</v>
      </c>
      <c r="Q1198" t="s">
        <v>4898</v>
      </c>
      <c r="R1198" s="332">
        <v>46232</v>
      </c>
      <c r="S1198" s="333">
        <v>46596</v>
      </c>
      <c r="T1198" s="98" t="s">
        <v>141</v>
      </c>
      <c r="U1198" s="47" t="s">
        <v>141</v>
      </c>
      <c r="V1198" s="40" t="s">
        <v>1636</v>
      </c>
      <c r="W1198" s="41" t="s">
        <v>4873</v>
      </c>
      <c r="X1198" s="40" t="s">
        <v>4899</v>
      </c>
      <c r="Y1198" s="40" t="s">
        <v>185</v>
      </c>
      <c r="AA1198" s="62">
        <v>90008142</v>
      </c>
      <c r="AB1198" s="44">
        <v>46261</v>
      </c>
      <c r="AC1198" s="63">
        <v>60018362</v>
      </c>
      <c r="AD1198" s="46">
        <v>46261</v>
      </c>
    </row>
    <row r="1199" spans="1:30" ht="19.5" customHeight="1">
      <c r="A1199" s="25">
        <f t="shared" si="20"/>
        <v>1183</v>
      </c>
      <c r="B1199" s="26">
        <v>6320161</v>
      </c>
      <c r="C1199" s="27">
        <v>46244</v>
      </c>
      <c r="D1199" s="80" t="s">
        <v>141</v>
      </c>
      <c r="E1199" s="29">
        <v>260816.7</v>
      </c>
      <c r="F1199" s="30" t="s">
        <v>4900</v>
      </c>
      <c r="G1199" s="27">
        <v>46246</v>
      </c>
      <c r="H1199" s="80" t="s">
        <v>141</v>
      </c>
      <c r="I1199" s="29">
        <v>260816.7</v>
      </c>
      <c r="J1199" s="34" t="s">
        <v>159</v>
      </c>
      <c r="K1199" t="s">
        <v>160</v>
      </c>
      <c r="L1199" s="35" t="s">
        <v>4901</v>
      </c>
      <c r="M1199" s="36" t="s">
        <v>4902</v>
      </c>
      <c r="N1199" s="43" t="s">
        <v>1615</v>
      </c>
      <c r="O1199" t="s">
        <v>4903</v>
      </c>
      <c r="P1199" t="s">
        <v>4904</v>
      </c>
      <c r="Q1199" t="s">
        <v>2882</v>
      </c>
      <c r="R1199" s="332">
        <v>46290</v>
      </c>
      <c r="S1199" s="333">
        <v>46752</v>
      </c>
      <c r="T1199" s="50" t="s">
        <v>141</v>
      </c>
      <c r="U1199" s="47" t="s">
        <v>141</v>
      </c>
      <c r="V1199" s="40" t="s">
        <v>1306</v>
      </c>
      <c r="W1199" s="41" t="s">
        <v>39</v>
      </c>
      <c r="X1199" s="40" t="s">
        <v>4905</v>
      </c>
      <c r="Y1199" s="40" t="s">
        <v>56</v>
      </c>
    </row>
    <row r="1200" spans="1:30" ht="19.5" customHeight="1">
      <c r="A1200" s="25">
        <f t="shared" si="20"/>
        <v>1184</v>
      </c>
      <c r="B1200" s="26">
        <v>6320403</v>
      </c>
      <c r="C1200" s="27">
        <v>46244</v>
      </c>
      <c r="D1200" s="80" t="s">
        <v>141</v>
      </c>
      <c r="E1200" s="29">
        <v>34320</v>
      </c>
      <c r="F1200" s="401" t="s">
        <v>4906</v>
      </c>
      <c r="G1200" s="27">
        <v>46251</v>
      </c>
      <c r="H1200" s="219" t="s">
        <v>141</v>
      </c>
      <c r="I1200" s="33">
        <v>34320</v>
      </c>
      <c r="J1200" s="34" t="s">
        <v>929</v>
      </c>
      <c r="K1200" t="s">
        <v>139</v>
      </c>
      <c r="L1200" s="35">
        <v>80005328</v>
      </c>
      <c r="M1200" s="36" t="s">
        <v>4907</v>
      </c>
      <c r="N1200" s="43" t="s">
        <v>1749</v>
      </c>
      <c r="O1200" t="s">
        <v>4903</v>
      </c>
      <c r="P1200" t="s">
        <v>4904</v>
      </c>
      <c r="Q1200" t="s">
        <v>2882</v>
      </c>
      <c r="R1200" s="332">
        <v>46290</v>
      </c>
      <c r="S1200" s="333">
        <v>46752</v>
      </c>
      <c r="T1200" s="50" t="s">
        <v>141</v>
      </c>
      <c r="U1200" s="47" t="s">
        <v>141</v>
      </c>
      <c r="V1200" s="40" t="s">
        <v>1306</v>
      </c>
      <c r="W1200" s="41" t="s">
        <v>39</v>
      </c>
      <c r="X1200" s="40" t="s">
        <v>4905</v>
      </c>
      <c r="Y1200" s="40" t="s">
        <v>185</v>
      </c>
    </row>
    <row r="1201" spans="1:30" ht="19.5" customHeight="1">
      <c r="A1201" s="25">
        <f t="shared" si="20"/>
        <v>1185</v>
      </c>
      <c r="B1201" s="291" t="s">
        <v>141</v>
      </c>
      <c r="C1201" s="31" t="s">
        <v>141</v>
      </c>
      <c r="D1201" s="80" t="s">
        <v>141</v>
      </c>
      <c r="E1201" s="288" t="s">
        <v>141</v>
      </c>
      <c r="F1201" s="30" t="s">
        <v>4908</v>
      </c>
      <c r="G1201" s="27">
        <v>46244</v>
      </c>
      <c r="H1201" s="283" t="s">
        <v>141</v>
      </c>
      <c r="I1201" s="33">
        <v>6470</v>
      </c>
      <c r="J1201" s="34" t="s">
        <v>3421</v>
      </c>
      <c r="K1201" t="s">
        <v>139</v>
      </c>
      <c r="L1201" s="35">
        <v>80005564</v>
      </c>
      <c r="M1201" s="36" t="s">
        <v>4909</v>
      </c>
      <c r="N1201" s="43" t="s">
        <v>1383</v>
      </c>
      <c r="O1201" t="s">
        <v>4910</v>
      </c>
      <c r="P1201" t="s">
        <v>4911</v>
      </c>
      <c r="Q1201" t="s">
        <v>1822</v>
      </c>
      <c r="R1201" s="332">
        <v>46295</v>
      </c>
      <c r="S1201" s="333">
        <v>46659</v>
      </c>
      <c r="T1201" s="50" t="s">
        <v>141</v>
      </c>
      <c r="U1201" s="47" t="s">
        <v>141</v>
      </c>
      <c r="V1201" s="40" t="s">
        <v>458</v>
      </c>
      <c r="W1201" s="41" t="s">
        <v>39</v>
      </c>
      <c r="X1201" s="40" t="s">
        <v>1890</v>
      </c>
      <c r="Y1201" s="40" t="s">
        <v>185</v>
      </c>
    </row>
    <row r="1202" spans="1:30" ht="19.5" customHeight="1">
      <c r="A1202" s="25">
        <f t="shared" si="20"/>
        <v>1186</v>
      </c>
      <c r="B1202" s="26">
        <v>6320483</v>
      </c>
      <c r="C1202" s="27">
        <v>46244</v>
      </c>
      <c r="D1202" s="80" t="s">
        <v>141</v>
      </c>
      <c r="E1202" s="29">
        <v>4800</v>
      </c>
      <c r="F1202" s="30" t="s">
        <v>4912</v>
      </c>
      <c r="G1202" s="27">
        <v>46245</v>
      </c>
      <c r="H1202" s="283" t="s">
        <v>141</v>
      </c>
      <c r="I1202" s="33">
        <v>4800</v>
      </c>
      <c r="J1202" s="34" t="s">
        <v>929</v>
      </c>
      <c r="K1202" t="s">
        <v>139</v>
      </c>
      <c r="L1202" s="35">
        <v>80005563</v>
      </c>
      <c r="M1202" s="36" t="s">
        <v>4913</v>
      </c>
      <c r="N1202" s="43" t="s">
        <v>1383</v>
      </c>
      <c r="O1202" t="s">
        <v>4914</v>
      </c>
      <c r="P1202" t="s">
        <v>4915</v>
      </c>
      <c r="Q1202" t="s">
        <v>4916</v>
      </c>
      <c r="R1202" s="332">
        <v>46263</v>
      </c>
      <c r="S1202" s="333">
        <v>46627</v>
      </c>
      <c r="T1202" s="332">
        <v>46263</v>
      </c>
      <c r="U1202" s="333">
        <v>46627</v>
      </c>
      <c r="V1202" s="40" t="s">
        <v>4771</v>
      </c>
      <c r="W1202" s="41" t="s">
        <v>39</v>
      </c>
      <c r="X1202" s="40" t="s">
        <v>4917</v>
      </c>
      <c r="Y1202" s="40" t="s">
        <v>56</v>
      </c>
    </row>
    <row r="1203" spans="1:30" ht="19.5" customHeight="1">
      <c r="A1203" s="25">
        <f t="shared" si="20"/>
        <v>1187</v>
      </c>
      <c r="B1203" s="26">
        <v>6320490</v>
      </c>
      <c r="C1203" s="27">
        <v>46244</v>
      </c>
      <c r="D1203" s="28">
        <v>17695.28</v>
      </c>
      <c r="E1203" s="29">
        <v>138769.92000000001</v>
      </c>
      <c r="F1203" s="30" t="s">
        <v>4918</v>
      </c>
      <c r="G1203" s="27">
        <v>46246</v>
      </c>
      <c r="H1203" s="28">
        <v>17695.28</v>
      </c>
      <c r="I1203" s="29">
        <v>138769.92000000001</v>
      </c>
      <c r="J1203" s="34" t="s">
        <v>99</v>
      </c>
      <c r="K1203" t="s">
        <v>34</v>
      </c>
      <c r="L1203" s="35">
        <v>322315579</v>
      </c>
      <c r="M1203" s="36" t="s">
        <v>2129</v>
      </c>
      <c r="N1203" s="43" t="s">
        <v>1346</v>
      </c>
      <c r="O1203" t="s">
        <v>4919</v>
      </c>
      <c r="P1203" t="s">
        <v>4904</v>
      </c>
      <c r="Q1203" t="s">
        <v>4920</v>
      </c>
      <c r="R1203" s="332">
        <v>46240</v>
      </c>
      <c r="S1203" s="333">
        <v>46752</v>
      </c>
      <c r="T1203" s="332">
        <v>46240</v>
      </c>
      <c r="U1203" s="333">
        <v>46752</v>
      </c>
      <c r="V1203" s="40" t="s">
        <v>4921</v>
      </c>
      <c r="W1203" s="41" t="s">
        <v>4873</v>
      </c>
      <c r="X1203" s="41" t="s">
        <v>4922</v>
      </c>
      <c r="Y1203" s="40" t="s">
        <v>56</v>
      </c>
      <c r="AC1203" s="63">
        <v>10000654639</v>
      </c>
      <c r="AD1203" s="46">
        <v>46247</v>
      </c>
    </row>
    <row r="1204" spans="1:30" ht="19.5" customHeight="1">
      <c r="A1204" s="25">
        <f t="shared" si="20"/>
        <v>1188</v>
      </c>
      <c r="B1204" s="291" t="s">
        <v>141</v>
      </c>
      <c r="C1204" s="31" t="s">
        <v>141</v>
      </c>
      <c r="D1204" s="80" t="s">
        <v>141</v>
      </c>
      <c r="E1204" s="288" t="s">
        <v>141</v>
      </c>
      <c r="F1204" s="30" t="s">
        <v>4923</v>
      </c>
      <c r="G1204" s="27">
        <v>46244</v>
      </c>
      <c r="H1204" s="283" t="s">
        <v>141</v>
      </c>
      <c r="I1204" s="33">
        <v>5370</v>
      </c>
      <c r="J1204" s="34" t="s">
        <v>3421</v>
      </c>
      <c r="K1204" t="s">
        <v>139</v>
      </c>
      <c r="L1204" s="35" t="s">
        <v>4924</v>
      </c>
      <c r="M1204" s="36" t="s">
        <v>4925</v>
      </c>
      <c r="N1204" s="43" t="s">
        <v>1404</v>
      </c>
      <c r="O1204" t="s">
        <v>4926</v>
      </c>
      <c r="P1204" t="s">
        <v>4927</v>
      </c>
      <c r="Q1204" t="s">
        <v>4928</v>
      </c>
      <c r="R1204" s="332">
        <v>46242</v>
      </c>
      <c r="S1204" s="333">
        <v>46606</v>
      </c>
      <c r="T1204" s="50" t="s">
        <v>141</v>
      </c>
      <c r="U1204" s="47" t="s">
        <v>141</v>
      </c>
      <c r="V1204" s="40" t="s">
        <v>590</v>
      </c>
      <c r="W1204" s="41" t="s">
        <v>39</v>
      </c>
      <c r="X1204" s="40" t="s">
        <v>4929</v>
      </c>
      <c r="Y1204" s="40" t="s">
        <v>56</v>
      </c>
    </row>
    <row r="1205" spans="1:30" ht="19.5" customHeight="1">
      <c r="A1205" s="25">
        <f t="shared" si="20"/>
        <v>1189</v>
      </c>
      <c r="B1205" s="26">
        <v>6320813</v>
      </c>
      <c r="C1205" s="27">
        <v>46245</v>
      </c>
      <c r="D1205" s="28">
        <v>159.5</v>
      </c>
      <c r="E1205" s="29">
        <v>1250.83</v>
      </c>
      <c r="F1205" s="447">
        <v>1606927</v>
      </c>
      <c r="J1205" s="34" t="s">
        <v>99</v>
      </c>
      <c r="K1205" t="s">
        <v>34</v>
      </c>
      <c r="L1205" s="35">
        <v>302291273</v>
      </c>
      <c r="M1205" s="36" t="s">
        <v>2129</v>
      </c>
      <c r="N1205" s="43" t="s">
        <v>1346</v>
      </c>
      <c r="O1205" t="s">
        <v>4930</v>
      </c>
      <c r="P1205" t="s">
        <v>4931</v>
      </c>
      <c r="Q1205" t="s">
        <v>4932</v>
      </c>
      <c r="R1205" s="332">
        <v>46227</v>
      </c>
      <c r="S1205" s="333">
        <v>46591</v>
      </c>
      <c r="T1205" s="332">
        <v>46227</v>
      </c>
      <c r="U1205" s="333">
        <v>46591</v>
      </c>
      <c r="V1205" s="40" t="s">
        <v>4842</v>
      </c>
      <c r="W1205" s="41" t="s">
        <v>4873</v>
      </c>
      <c r="X1205" s="40" t="s">
        <v>4933</v>
      </c>
      <c r="Y1205" s="40" t="s">
        <v>56</v>
      </c>
      <c r="AC1205" s="63">
        <v>10000660279</v>
      </c>
      <c r="AD1205" s="46">
        <v>46247</v>
      </c>
    </row>
    <row r="1206" spans="1:30" ht="19.5" customHeight="1">
      <c r="A1206" s="25">
        <f t="shared" si="20"/>
        <v>1190</v>
      </c>
      <c r="B1206" s="26">
        <v>6320852</v>
      </c>
      <c r="C1206" s="27">
        <v>46245</v>
      </c>
      <c r="D1206" s="80" t="s">
        <v>141</v>
      </c>
      <c r="E1206" s="29">
        <v>32616.880000000001</v>
      </c>
      <c r="F1206" s="30" t="s">
        <v>4934</v>
      </c>
      <c r="G1206" s="27">
        <v>46247</v>
      </c>
      <c r="H1206" s="80" t="s">
        <v>141</v>
      </c>
      <c r="I1206" s="29">
        <v>32616.880000000001</v>
      </c>
      <c r="J1206" s="34" t="s">
        <v>159</v>
      </c>
      <c r="K1206" t="s">
        <v>4935</v>
      </c>
      <c r="L1206" s="35" t="s">
        <v>4936</v>
      </c>
      <c r="M1206" s="36" t="s">
        <v>4475</v>
      </c>
      <c r="N1206" s="43" t="s">
        <v>4937</v>
      </c>
      <c r="O1206" t="s">
        <v>4938</v>
      </c>
      <c r="P1206" t="s">
        <v>4939</v>
      </c>
      <c r="Q1206" t="s">
        <v>4940</v>
      </c>
      <c r="R1206" s="332">
        <v>46174</v>
      </c>
      <c r="S1206" s="333">
        <v>47634</v>
      </c>
      <c r="T1206" s="50" t="s">
        <v>141</v>
      </c>
      <c r="U1206" s="47" t="s">
        <v>141</v>
      </c>
      <c r="V1206" s="40" t="s">
        <v>113</v>
      </c>
      <c r="W1206" s="41" t="s">
        <v>39</v>
      </c>
      <c r="X1206" s="40" t="s">
        <v>4941</v>
      </c>
      <c r="Y1206" s="40" t="s">
        <v>185</v>
      </c>
    </row>
    <row r="1207" spans="1:30" ht="19.5" customHeight="1">
      <c r="A1207" s="25">
        <f t="shared" si="20"/>
        <v>1191</v>
      </c>
      <c r="B1207" s="26">
        <v>6320891</v>
      </c>
      <c r="C1207" s="27">
        <v>46245</v>
      </c>
      <c r="D1207" s="80" t="s">
        <v>141</v>
      </c>
      <c r="E1207" s="29">
        <v>58401.91</v>
      </c>
      <c r="F1207" s="30" t="s">
        <v>4942</v>
      </c>
      <c r="G1207" s="27">
        <v>46245</v>
      </c>
      <c r="H1207" s="330" t="s">
        <v>141</v>
      </c>
      <c r="I1207" s="29">
        <v>58401.91</v>
      </c>
      <c r="J1207" s="34" t="s">
        <v>159</v>
      </c>
      <c r="K1207" t="s">
        <v>4935</v>
      </c>
      <c r="L1207" s="35" t="s">
        <v>4943</v>
      </c>
      <c r="M1207" s="36" t="s">
        <v>4944</v>
      </c>
      <c r="N1207" s="43" t="s">
        <v>4945</v>
      </c>
      <c r="O1207" t="s">
        <v>4938</v>
      </c>
      <c r="P1207" t="s">
        <v>4939</v>
      </c>
      <c r="Q1207" t="s">
        <v>4940</v>
      </c>
      <c r="R1207" s="332">
        <v>46174</v>
      </c>
      <c r="S1207" s="333">
        <v>47634</v>
      </c>
      <c r="T1207" s="50" t="s">
        <v>141</v>
      </c>
      <c r="U1207" s="47" t="s">
        <v>141</v>
      </c>
      <c r="V1207" s="40" t="s">
        <v>113</v>
      </c>
      <c r="W1207" s="41" t="s">
        <v>39</v>
      </c>
      <c r="X1207" s="40" t="s">
        <v>4941</v>
      </c>
      <c r="Y1207" s="40" t="s">
        <v>185</v>
      </c>
    </row>
    <row r="1208" spans="1:30" ht="19.5" customHeight="1">
      <c r="A1208" s="25">
        <f t="shared" si="20"/>
        <v>1192</v>
      </c>
      <c r="B1208" s="26">
        <v>6321284</v>
      </c>
      <c r="C1208" s="27">
        <v>46246</v>
      </c>
      <c r="D1208" s="80" t="s">
        <v>141</v>
      </c>
      <c r="E1208" s="29">
        <v>64.099999999999994</v>
      </c>
      <c r="F1208" s="30" t="s">
        <v>4946</v>
      </c>
      <c r="G1208" s="27">
        <v>46246</v>
      </c>
      <c r="H1208" s="80" t="s">
        <v>141</v>
      </c>
      <c r="I1208" s="29">
        <v>64.099999999999994</v>
      </c>
      <c r="J1208" s="34" t="s">
        <v>159</v>
      </c>
      <c r="K1208" t="s">
        <v>160</v>
      </c>
      <c r="L1208" s="35" t="s">
        <v>4947</v>
      </c>
      <c r="M1208" s="36" t="s">
        <v>3014</v>
      </c>
      <c r="N1208" s="43" t="s">
        <v>1525</v>
      </c>
      <c r="O1208" t="s">
        <v>4285</v>
      </c>
      <c r="P1208" t="s">
        <v>4286</v>
      </c>
      <c r="Q1208" t="s">
        <v>2051</v>
      </c>
      <c r="R1208" s="332">
        <v>46178</v>
      </c>
      <c r="S1208" s="333">
        <v>46542</v>
      </c>
      <c r="T1208" s="332">
        <v>46178</v>
      </c>
      <c r="U1208" s="333">
        <v>46542</v>
      </c>
      <c r="V1208" s="40" t="s">
        <v>64</v>
      </c>
      <c r="W1208" s="41" t="s">
        <v>39</v>
      </c>
      <c r="X1208" s="40" t="s">
        <v>3305</v>
      </c>
      <c r="Y1208" s="40" t="s">
        <v>56</v>
      </c>
    </row>
    <row r="1209" spans="1:30" ht="19.5" customHeight="1">
      <c r="A1209" s="25">
        <f t="shared" si="20"/>
        <v>1193</v>
      </c>
      <c r="B1209" s="26">
        <v>6321487</v>
      </c>
      <c r="C1209" s="27">
        <v>46246</v>
      </c>
      <c r="D1209" s="80" t="s">
        <v>141</v>
      </c>
      <c r="E1209" s="29">
        <v>5466</v>
      </c>
      <c r="F1209" s="401" t="s">
        <v>4948</v>
      </c>
      <c r="G1209" s="27">
        <v>46247</v>
      </c>
      <c r="H1209" s="219" t="s">
        <v>141</v>
      </c>
      <c r="I1209" s="33">
        <v>5466</v>
      </c>
      <c r="J1209" s="34" t="s">
        <v>929</v>
      </c>
      <c r="K1209" t="s">
        <v>139</v>
      </c>
      <c r="L1209" s="35">
        <v>80005415</v>
      </c>
      <c r="M1209" s="36" t="s">
        <v>4949</v>
      </c>
      <c r="N1209" s="43" t="s">
        <v>1749</v>
      </c>
      <c r="O1209" t="s">
        <v>3289</v>
      </c>
      <c r="P1209" t="s">
        <v>3290</v>
      </c>
      <c r="Q1209" t="s">
        <v>4950</v>
      </c>
      <c r="R1209" s="332">
        <v>46023</v>
      </c>
      <c r="S1209" s="333">
        <v>46387</v>
      </c>
      <c r="T1209" s="332">
        <v>46023</v>
      </c>
      <c r="U1209" s="333">
        <v>46387</v>
      </c>
      <c r="V1209" s="40" t="s">
        <v>2207</v>
      </c>
      <c r="W1209" s="41" t="s">
        <v>39</v>
      </c>
      <c r="X1209" s="40" t="s">
        <v>4951</v>
      </c>
      <c r="Y1209" s="40" t="s">
        <v>56</v>
      </c>
    </row>
    <row r="1210" spans="1:30" ht="19.5" customHeight="1">
      <c r="A1210" s="25">
        <f t="shared" si="20"/>
        <v>1194</v>
      </c>
      <c r="B1210" s="26">
        <v>6321494</v>
      </c>
      <c r="C1210" s="27">
        <v>46246</v>
      </c>
      <c r="D1210" s="80" t="s">
        <v>141</v>
      </c>
      <c r="E1210" s="29">
        <v>5740</v>
      </c>
      <c r="F1210" s="401" t="s">
        <v>4952</v>
      </c>
      <c r="G1210" s="27">
        <v>46247</v>
      </c>
      <c r="H1210" s="219" t="s">
        <v>141</v>
      </c>
      <c r="I1210" s="33">
        <v>5740</v>
      </c>
      <c r="J1210" s="34" t="s">
        <v>929</v>
      </c>
      <c r="K1210" t="s">
        <v>139</v>
      </c>
      <c r="L1210" s="35">
        <v>80005413</v>
      </c>
      <c r="M1210" s="36" t="s">
        <v>4949</v>
      </c>
      <c r="N1210" s="43" t="s">
        <v>3612</v>
      </c>
      <c r="O1210" t="s">
        <v>3289</v>
      </c>
      <c r="P1210" t="s">
        <v>3290</v>
      </c>
      <c r="Q1210" t="s">
        <v>4950</v>
      </c>
      <c r="R1210" s="332">
        <v>46023</v>
      </c>
      <c r="S1210" s="333">
        <v>46387</v>
      </c>
      <c r="T1210" s="332">
        <v>46023</v>
      </c>
      <c r="U1210" s="333">
        <v>46387</v>
      </c>
      <c r="V1210" s="40" t="s">
        <v>2207</v>
      </c>
      <c r="W1210" s="41" t="s">
        <v>39</v>
      </c>
      <c r="X1210" s="40" t="s">
        <v>4951</v>
      </c>
      <c r="Y1210" s="40" t="s">
        <v>56</v>
      </c>
    </row>
    <row r="1211" spans="1:30" ht="19.5" customHeight="1">
      <c r="A1211" s="25">
        <f t="shared" si="20"/>
        <v>1195</v>
      </c>
      <c r="B1211" s="26">
        <v>6322107</v>
      </c>
      <c r="C1211" s="27">
        <v>46248</v>
      </c>
      <c r="D1211" s="28">
        <v>15516.54</v>
      </c>
      <c r="E1211" s="29">
        <v>121683.81</v>
      </c>
      <c r="J1211" s="34" t="s">
        <v>99</v>
      </c>
      <c r="K1211" t="s">
        <v>34</v>
      </c>
      <c r="L1211" s="35">
        <v>402040274</v>
      </c>
      <c r="M1211" s="36" t="s">
        <v>2129</v>
      </c>
      <c r="N1211" s="43" t="s">
        <v>4953</v>
      </c>
      <c r="O1211" t="s">
        <v>4954</v>
      </c>
      <c r="P1211" t="s">
        <v>4955</v>
      </c>
      <c r="Q1211" t="s">
        <v>4956</v>
      </c>
      <c r="R1211" s="332">
        <v>46245</v>
      </c>
      <c r="S1211" s="333">
        <v>46752</v>
      </c>
      <c r="T1211" s="332">
        <v>46245</v>
      </c>
      <c r="U1211" s="333">
        <v>46752</v>
      </c>
      <c r="V1211" s="40" t="s">
        <v>4957</v>
      </c>
      <c r="W1211" s="41" t="s">
        <v>4873</v>
      </c>
      <c r="X1211" s="40" t="s">
        <v>4958</v>
      </c>
      <c r="Y1211" s="40" t="s">
        <v>185</v>
      </c>
    </row>
    <row r="1212" spans="1:30" ht="19.5" customHeight="1">
      <c r="A1212" s="25">
        <f t="shared" si="20"/>
        <v>1196</v>
      </c>
      <c r="B1212" s="26">
        <v>6322419</v>
      </c>
      <c r="C1212" s="27">
        <v>46248</v>
      </c>
      <c r="D1212" s="28">
        <v>1197.99</v>
      </c>
      <c r="E1212" s="29">
        <v>9394.8799999999992</v>
      </c>
      <c r="J1212" s="34" t="s">
        <v>99</v>
      </c>
      <c r="K1212" t="s">
        <v>34</v>
      </c>
      <c r="L1212" s="35">
        <v>232345515</v>
      </c>
      <c r="M1212" s="36" t="s">
        <v>2129</v>
      </c>
      <c r="N1212" s="43" t="s">
        <v>1346</v>
      </c>
      <c r="O1212" t="s">
        <v>4959</v>
      </c>
      <c r="P1212" t="s">
        <v>4960</v>
      </c>
      <c r="Q1212" t="s">
        <v>4961</v>
      </c>
      <c r="R1212" s="448">
        <v>46257</v>
      </c>
      <c r="S1212" s="333">
        <v>46621</v>
      </c>
      <c r="T1212" s="448">
        <v>46257</v>
      </c>
      <c r="U1212" s="333">
        <v>46621</v>
      </c>
      <c r="V1212" s="40" t="s">
        <v>4962</v>
      </c>
      <c r="W1212" s="41" t="s">
        <v>4873</v>
      </c>
      <c r="X1212" s="40" t="s">
        <v>4963</v>
      </c>
      <c r="Y1212" s="40" t="s">
        <v>56</v>
      </c>
    </row>
    <row r="1213" spans="1:30" ht="19.5" customHeight="1">
      <c r="A1213" s="25">
        <f t="shared" si="20"/>
        <v>1197</v>
      </c>
      <c r="B1213" s="26">
        <v>6322513</v>
      </c>
      <c r="C1213" s="27">
        <v>46248</v>
      </c>
      <c r="D1213" s="28">
        <v>7223.95</v>
      </c>
      <c r="E1213" s="29">
        <v>56651.66</v>
      </c>
      <c r="J1213" s="34" t="s">
        <v>99</v>
      </c>
      <c r="K1213" t="s">
        <v>34</v>
      </c>
      <c r="L1213" s="35">
        <v>272348308</v>
      </c>
      <c r="M1213" s="36" t="s">
        <v>2129</v>
      </c>
      <c r="N1213" s="43" t="s">
        <v>4953</v>
      </c>
      <c r="O1213" t="s">
        <v>4954</v>
      </c>
      <c r="P1213" t="s">
        <v>4955</v>
      </c>
      <c r="Q1213" t="s">
        <v>4956</v>
      </c>
      <c r="R1213" s="332">
        <v>46245</v>
      </c>
      <c r="S1213" s="333">
        <v>46752</v>
      </c>
      <c r="T1213" s="332">
        <v>46245</v>
      </c>
      <c r="U1213" s="333">
        <v>46752</v>
      </c>
      <c r="V1213" s="40" t="s">
        <v>4957</v>
      </c>
      <c r="W1213" s="41" t="s">
        <v>4873</v>
      </c>
      <c r="X1213" s="40" t="s">
        <v>4958</v>
      </c>
      <c r="Y1213" s="40" t="s">
        <v>185</v>
      </c>
    </row>
    <row r="1214" spans="1:30" ht="19.5" customHeight="1">
      <c r="A1214" s="25">
        <f t="shared" si="20"/>
        <v>1198</v>
      </c>
      <c r="B1214" s="26">
        <v>6322882</v>
      </c>
      <c r="C1214" s="27">
        <v>46251</v>
      </c>
      <c r="D1214" s="80" t="s">
        <v>141</v>
      </c>
      <c r="E1214" s="29">
        <v>169100.05</v>
      </c>
      <c r="F1214" s="401" t="s">
        <v>4964</v>
      </c>
      <c r="G1214" s="27">
        <v>46253</v>
      </c>
      <c r="H1214" s="283" t="s">
        <v>141</v>
      </c>
      <c r="I1214" s="33">
        <v>169100.05</v>
      </c>
      <c r="J1214" s="34" t="s">
        <v>929</v>
      </c>
      <c r="K1214" t="s">
        <v>107</v>
      </c>
      <c r="L1214" s="35" t="s">
        <v>4965</v>
      </c>
      <c r="M1214" s="36" t="s">
        <v>3938</v>
      </c>
      <c r="N1214" s="43" t="s">
        <v>1416</v>
      </c>
      <c r="O1214" t="s">
        <v>4966</v>
      </c>
      <c r="P1214" t="s">
        <v>4967</v>
      </c>
      <c r="Q1214" t="s">
        <v>4968</v>
      </c>
      <c r="R1214" s="332">
        <v>46266</v>
      </c>
      <c r="S1214" s="333">
        <v>46630</v>
      </c>
      <c r="T1214" s="332">
        <v>46235</v>
      </c>
      <c r="U1214" s="333">
        <v>46630</v>
      </c>
      <c r="V1214" s="40" t="s">
        <v>38</v>
      </c>
      <c r="W1214" s="41" t="s">
        <v>39</v>
      </c>
      <c r="X1214" s="40" t="s">
        <v>4969</v>
      </c>
      <c r="Y1214" s="40" t="s">
        <v>56</v>
      </c>
      <c r="AA1214" s="62" t="s">
        <v>4970</v>
      </c>
      <c r="AB1214" s="44">
        <v>46259</v>
      </c>
      <c r="AC1214" s="63" t="s">
        <v>4971</v>
      </c>
      <c r="AD1214" s="46">
        <v>46258</v>
      </c>
    </row>
    <row r="1215" spans="1:30" ht="19.5" customHeight="1">
      <c r="A1215" s="25">
        <f t="shared" si="20"/>
        <v>1199</v>
      </c>
      <c r="B1215" s="26">
        <v>6323438</v>
      </c>
      <c r="C1215" s="27">
        <v>46252</v>
      </c>
      <c r="D1215" s="80" t="s">
        <v>141</v>
      </c>
      <c r="E1215" s="29">
        <v>49670</v>
      </c>
      <c r="F1215" s="401" t="s">
        <v>4972</v>
      </c>
      <c r="G1215" s="27">
        <v>46253</v>
      </c>
      <c r="H1215" s="330" t="s">
        <v>141</v>
      </c>
      <c r="I1215" s="29">
        <v>49670</v>
      </c>
      <c r="J1215" s="34" t="s">
        <v>929</v>
      </c>
      <c r="K1215" t="s">
        <v>1388</v>
      </c>
      <c r="L1215" s="35" t="s">
        <v>4973</v>
      </c>
      <c r="M1215" s="36" t="s">
        <v>4974</v>
      </c>
      <c r="N1215" s="43" t="s">
        <v>1391</v>
      </c>
      <c r="O1215" t="s">
        <v>4966</v>
      </c>
      <c r="P1215" t="s">
        <v>4967</v>
      </c>
      <c r="Q1215" t="s">
        <v>4968</v>
      </c>
      <c r="R1215" s="332">
        <v>46266</v>
      </c>
      <c r="S1215" s="333">
        <v>46630</v>
      </c>
      <c r="T1215" s="332">
        <v>46266</v>
      </c>
      <c r="U1215" s="333">
        <v>46630</v>
      </c>
      <c r="V1215" s="40" t="s">
        <v>38</v>
      </c>
      <c r="W1215" s="41" t="s">
        <v>39</v>
      </c>
      <c r="X1215" s="40" t="s">
        <v>4975</v>
      </c>
      <c r="Y1215" s="40" t="s">
        <v>56</v>
      </c>
    </row>
    <row r="1216" spans="1:30" ht="19.5" customHeight="1">
      <c r="A1216" s="25">
        <f t="shared" si="20"/>
        <v>1200</v>
      </c>
      <c r="B1216" s="26">
        <v>6323452</v>
      </c>
      <c r="C1216" s="27">
        <v>46252</v>
      </c>
      <c r="D1216" s="80" t="s">
        <v>141</v>
      </c>
      <c r="E1216" s="29">
        <v>1845.34</v>
      </c>
      <c r="F1216" s="401" t="s">
        <v>4976</v>
      </c>
      <c r="G1216" s="27">
        <v>46254</v>
      </c>
      <c r="H1216" s="283" t="s">
        <v>141</v>
      </c>
      <c r="I1216" s="33">
        <v>1845.34</v>
      </c>
      <c r="J1216" s="34" t="s">
        <v>4977</v>
      </c>
      <c r="K1216" t="s">
        <v>398</v>
      </c>
      <c r="L1216" s="35" t="s">
        <v>4978</v>
      </c>
      <c r="M1216" s="36" t="s">
        <v>4979</v>
      </c>
      <c r="N1216" s="43" t="s">
        <v>1714</v>
      </c>
      <c r="O1216" t="s">
        <v>4980</v>
      </c>
      <c r="P1216" t="s">
        <v>4981</v>
      </c>
      <c r="Q1216" t="s">
        <v>4982</v>
      </c>
      <c r="R1216" s="332">
        <v>46283</v>
      </c>
      <c r="S1216" s="333">
        <v>46647</v>
      </c>
      <c r="T1216" s="50" t="s">
        <v>141</v>
      </c>
      <c r="U1216" s="47" t="s">
        <v>141</v>
      </c>
      <c r="V1216" s="40" t="s">
        <v>1306</v>
      </c>
      <c r="W1216" s="41" t="s">
        <v>39</v>
      </c>
      <c r="X1216" s="40">
        <v>28991300</v>
      </c>
      <c r="Y1216" s="40" t="s">
        <v>56</v>
      </c>
      <c r="AA1216" s="62" t="s">
        <v>4983</v>
      </c>
      <c r="AB1216" s="44">
        <v>46266</v>
      </c>
      <c r="AC1216" s="63" t="s">
        <v>4984</v>
      </c>
      <c r="AD1216" s="46">
        <v>46266</v>
      </c>
    </row>
    <row r="1217" spans="1:28" ht="19.5" customHeight="1">
      <c r="A1217" s="25">
        <f t="shared" si="20"/>
        <v>1201</v>
      </c>
      <c r="B1217" s="26">
        <v>6323512</v>
      </c>
      <c r="C1217" s="27">
        <v>46252</v>
      </c>
      <c r="D1217" s="28">
        <v>6976.96</v>
      </c>
      <c r="E1217" s="29">
        <v>54714.720000000001</v>
      </c>
      <c r="J1217" s="34" t="s">
        <v>99</v>
      </c>
      <c r="K1217" t="s">
        <v>34</v>
      </c>
      <c r="L1217" s="35">
        <v>262346125</v>
      </c>
      <c r="M1217" s="36" t="s">
        <v>4985</v>
      </c>
      <c r="N1217" s="43" t="s">
        <v>1346</v>
      </c>
      <c r="O1217" t="s">
        <v>4986</v>
      </c>
      <c r="P1217" t="s">
        <v>4987</v>
      </c>
      <c r="Q1217" t="s">
        <v>4988</v>
      </c>
      <c r="R1217" s="332">
        <v>46255</v>
      </c>
      <c r="S1217" s="333">
        <v>46619</v>
      </c>
      <c r="T1217" s="332">
        <v>46255</v>
      </c>
      <c r="U1217" s="333">
        <v>46619</v>
      </c>
      <c r="V1217" s="40" t="s">
        <v>4989</v>
      </c>
      <c r="W1217" s="41" t="s">
        <v>4873</v>
      </c>
      <c r="X1217" s="40" t="s">
        <v>4990</v>
      </c>
      <c r="Y1217" s="40" t="s">
        <v>56</v>
      </c>
    </row>
    <row r="1218" spans="1:28" ht="19.5" customHeight="1">
      <c r="A1218" s="25">
        <f t="shared" si="20"/>
        <v>1202</v>
      </c>
      <c r="B1218" s="26">
        <v>6323579</v>
      </c>
      <c r="C1218" s="27">
        <v>46252</v>
      </c>
      <c r="D1218" s="28">
        <v>6740.4</v>
      </c>
      <c r="E1218" s="29">
        <v>52859.56</v>
      </c>
      <c r="J1218" s="34" t="s">
        <v>99</v>
      </c>
      <c r="K1218" t="s">
        <v>34</v>
      </c>
      <c r="L1218" s="35">
        <v>202344758</v>
      </c>
      <c r="M1218" s="36" t="s">
        <v>4838</v>
      </c>
      <c r="N1218" s="43" t="s">
        <v>1346</v>
      </c>
      <c r="O1218" t="s">
        <v>4991</v>
      </c>
      <c r="P1218" t="s">
        <v>4992</v>
      </c>
      <c r="Q1218" t="s">
        <v>4993</v>
      </c>
      <c r="R1218" s="332">
        <v>46296</v>
      </c>
      <c r="S1218" s="333">
        <v>46660</v>
      </c>
      <c r="T1218" s="332">
        <v>46296</v>
      </c>
      <c r="U1218" s="333">
        <v>46660</v>
      </c>
      <c r="V1218" s="40" t="s">
        <v>4994</v>
      </c>
      <c r="W1218" s="41" t="s">
        <v>4873</v>
      </c>
      <c r="X1218" s="40" t="s">
        <v>4995</v>
      </c>
      <c r="Y1218" s="40" t="s">
        <v>56</v>
      </c>
    </row>
    <row r="1219" spans="1:28" ht="19.5" customHeight="1">
      <c r="A1219" s="25">
        <f t="shared" si="20"/>
        <v>1203</v>
      </c>
      <c r="B1219" s="26">
        <v>6324334</v>
      </c>
      <c r="C1219" s="27">
        <v>46254</v>
      </c>
      <c r="D1219" s="80" t="s">
        <v>141</v>
      </c>
      <c r="E1219" s="29">
        <v>93400</v>
      </c>
      <c r="F1219" s="401" t="s">
        <v>4996</v>
      </c>
      <c r="G1219" s="27">
        <v>46255</v>
      </c>
      <c r="H1219" s="80" t="s">
        <v>141</v>
      </c>
      <c r="I1219" s="29">
        <v>93400</v>
      </c>
      <c r="J1219" s="34" t="s">
        <v>4977</v>
      </c>
      <c r="K1219" t="s">
        <v>160</v>
      </c>
      <c r="L1219" s="35" t="s">
        <v>4997</v>
      </c>
      <c r="M1219" s="36" t="s">
        <v>4998</v>
      </c>
      <c r="N1219" s="43" t="s">
        <v>1651</v>
      </c>
      <c r="O1219" t="s">
        <v>4999</v>
      </c>
      <c r="P1219" t="s">
        <v>5000</v>
      </c>
      <c r="Q1219" t="s">
        <v>5001</v>
      </c>
      <c r="R1219" s="332">
        <v>46442</v>
      </c>
      <c r="S1219" s="333">
        <v>46806</v>
      </c>
      <c r="T1219" s="50" t="s">
        <v>141</v>
      </c>
      <c r="U1219" s="47" t="s">
        <v>141</v>
      </c>
      <c r="V1219" s="40" t="s">
        <v>3390</v>
      </c>
      <c r="W1219" s="41" t="s">
        <v>39</v>
      </c>
      <c r="X1219" s="40" t="s">
        <v>5002</v>
      </c>
      <c r="Y1219" s="40" t="s">
        <v>56</v>
      </c>
    </row>
    <row r="1220" spans="1:28" ht="19.5" customHeight="1">
      <c r="A1220" s="25">
        <f t="shared" si="20"/>
        <v>1204</v>
      </c>
      <c r="B1220" s="401">
        <v>6324546</v>
      </c>
      <c r="C1220" s="27">
        <v>46255</v>
      </c>
      <c r="D1220" s="68">
        <v>14490</v>
      </c>
      <c r="E1220" s="68">
        <v>113633.48</v>
      </c>
      <c r="F1220" s="26"/>
      <c r="G1220" s="449"/>
      <c r="H1220" s="68"/>
      <c r="I1220" s="68"/>
      <c r="J1220" s="43" t="s">
        <v>99</v>
      </c>
      <c r="K1220" s="450" t="s">
        <v>34</v>
      </c>
      <c r="L1220" s="451">
        <v>11001988891</v>
      </c>
      <c r="M1220" s="36" t="s">
        <v>5003</v>
      </c>
      <c r="N1220" s="398" t="s">
        <v>1346</v>
      </c>
      <c r="O1220" t="s">
        <v>5004</v>
      </c>
      <c r="P1220" t="s">
        <v>5005</v>
      </c>
      <c r="Q1220" t="s">
        <v>5006</v>
      </c>
      <c r="R1220" s="38"/>
      <c r="S1220" s="39"/>
      <c r="T1220" s="449"/>
      <c r="U1220" s="449"/>
      <c r="V1220" s="43" t="s">
        <v>2207</v>
      </c>
      <c r="W1220" s="41" t="s">
        <v>5007</v>
      </c>
      <c r="X1220" s="452" t="s">
        <v>5008</v>
      </c>
      <c r="Y1220" s="40" t="s">
        <v>185</v>
      </c>
    </row>
    <row r="1221" spans="1:28" ht="19.5" customHeight="1">
      <c r="A1221" s="25">
        <f t="shared" si="20"/>
        <v>1205</v>
      </c>
      <c r="B1221" s="26">
        <v>6324804</v>
      </c>
      <c r="C1221" s="27">
        <v>46255</v>
      </c>
      <c r="D1221" s="28">
        <v>325.12</v>
      </c>
      <c r="E1221" s="29">
        <v>2549.66</v>
      </c>
      <c r="J1221" s="43" t="s">
        <v>99</v>
      </c>
      <c r="K1221" s="450" t="s">
        <v>34</v>
      </c>
      <c r="L1221" s="35">
        <v>242345609</v>
      </c>
      <c r="M1221" s="36" t="s">
        <v>2129</v>
      </c>
      <c r="N1221" s="398" t="s">
        <v>5009</v>
      </c>
      <c r="O1221" t="s">
        <v>5010</v>
      </c>
      <c r="P1221" t="s">
        <v>5011</v>
      </c>
      <c r="Q1221" t="s">
        <v>5012</v>
      </c>
      <c r="R1221" s="332">
        <v>46266</v>
      </c>
      <c r="S1221" s="333">
        <v>47361</v>
      </c>
      <c r="T1221" s="332">
        <v>46266</v>
      </c>
      <c r="U1221" s="333">
        <v>47361</v>
      </c>
      <c r="V1221" s="40" t="s">
        <v>5013</v>
      </c>
      <c r="W1221" s="41" t="s">
        <v>5007</v>
      </c>
      <c r="X1221" s="40" t="s">
        <v>5014</v>
      </c>
      <c r="Y1221" s="40" t="s">
        <v>56</v>
      </c>
    </row>
    <row r="1222" spans="1:28" ht="19.5" customHeight="1">
      <c r="A1222" s="25">
        <f t="shared" si="20"/>
        <v>1206</v>
      </c>
      <c r="B1222" s="26">
        <v>6324812</v>
      </c>
      <c r="C1222" s="27">
        <v>46255</v>
      </c>
      <c r="D1222" s="28">
        <v>63694.31</v>
      </c>
      <c r="E1222" s="29">
        <v>499503.52</v>
      </c>
      <c r="F1222" s="401" t="s">
        <v>5015</v>
      </c>
      <c r="G1222" s="27">
        <v>46260</v>
      </c>
      <c r="H1222" s="398">
        <v>63694.31</v>
      </c>
      <c r="I1222" s="33">
        <v>499503.52</v>
      </c>
      <c r="J1222" s="34" t="s">
        <v>929</v>
      </c>
      <c r="K1222" s="450" t="s">
        <v>104</v>
      </c>
      <c r="L1222" s="35" t="s">
        <v>5016</v>
      </c>
      <c r="M1222" s="36" t="s">
        <v>5017</v>
      </c>
      <c r="N1222" s="43" t="s">
        <v>5018</v>
      </c>
      <c r="O1222" t="s">
        <v>4966</v>
      </c>
      <c r="P1222" t="s">
        <v>4967</v>
      </c>
      <c r="Q1222" t="s">
        <v>4968</v>
      </c>
      <c r="R1222" s="332">
        <v>46266</v>
      </c>
      <c r="S1222" s="333">
        <v>46630</v>
      </c>
      <c r="T1222" s="332">
        <v>46266</v>
      </c>
      <c r="U1222" s="333">
        <v>46630</v>
      </c>
      <c r="V1222" s="40" t="s">
        <v>38</v>
      </c>
      <c r="W1222" s="41" t="s">
        <v>39</v>
      </c>
      <c r="X1222" s="40" t="s">
        <v>4975</v>
      </c>
      <c r="Y1222" s="40" t="s">
        <v>56</v>
      </c>
    </row>
    <row r="1223" spans="1:28" ht="19.5" customHeight="1">
      <c r="A1223" s="25">
        <f t="shared" si="20"/>
        <v>1207</v>
      </c>
      <c r="B1223" s="26">
        <v>6325440</v>
      </c>
      <c r="C1223" s="27">
        <v>46258</v>
      </c>
      <c r="D1223" s="80" t="s">
        <v>141</v>
      </c>
      <c r="E1223" s="29">
        <v>30310</v>
      </c>
      <c r="F1223" s="401" t="s">
        <v>5019</v>
      </c>
      <c r="G1223" s="27">
        <v>46267</v>
      </c>
      <c r="H1223" s="283" t="s">
        <v>141</v>
      </c>
      <c r="I1223" s="326">
        <v>21900</v>
      </c>
      <c r="J1223" s="34" t="s">
        <v>929</v>
      </c>
      <c r="K1223" s="453" t="s">
        <v>193</v>
      </c>
      <c r="L1223" s="35">
        <v>80005423</v>
      </c>
      <c r="M1223" s="36" t="s">
        <v>5020</v>
      </c>
      <c r="N1223" s="43" t="s">
        <v>4439</v>
      </c>
      <c r="O1223" t="s">
        <v>1733</v>
      </c>
      <c r="P1223" t="s">
        <v>1734</v>
      </c>
      <c r="Q1223" t="s">
        <v>2728</v>
      </c>
      <c r="R1223" s="332">
        <v>45944</v>
      </c>
      <c r="S1223" s="333">
        <v>46308</v>
      </c>
      <c r="T1223" s="50" t="s">
        <v>141</v>
      </c>
      <c r="U1223" s="47" t="s">
        <v>141</v>
      </c>
      <c r="V1223" s="40" t="s">
        <v>51</v>
      </c>
      <c r="W1223" s="41" t="s">
        <v>39</v>
      </c>
      <c r="X1223" s="40" t="s">
        <v>5021</v>
      </c>
      <c r="Y1223" s="40" t="s">
        <v>185</v>
      </c>
    </row>
    <row r="1224" spans="1:28" ht="19.5" customHeight="1">
      <c r="A1224" s="25">
        <f t="shared" si="20"/>
        <v>1208</v>
      </c>
      <c r="B1224" s="26">
        <v>6325608</v>
      </c>
      <c r="C1224" s="27">
        <v>46259</v>
      </c>
      <c r="D1224" s="80" t="s">
        <v>141</v>
      </c>
      <c r="E1224" s="29">
        <v>10386.33</v>
      </c>
      <c r="F1224" s="401" t="s">
        <v>5022</v>
      </c>
      <c r="G1224" s="27">
        <v>46260</v>
      </c>
      <c r="H1224" s="80" t="s">
        <v>141</v>
      </c>
      <c r="I1224" s="29">
        <v>10386.33</v>
      </c>
      <c r="J1224" s="34" t="s">
        <v>159</v>
      </c>
      <c r="K1224" s="450" t="s">
        <v>160</v>
      </c>
      <c r="L1224" s="35" t="s">
        <v>5023</v>
      </c>
      <c r="M1224" s="36" t="s">
        <v>5024</v>
      </c>
      <c r="N1224" s="43" t="s">
        <v>5025</v>
      </c>
      <c r="O1224" t="s">
        <v>2726</v>
      </c>
      <c r="P1224" t="s">
        <v>2727</v>
      </c>
      <c r="Q1224" t="s">
        <v>2728</v>
      </c>
      <c r="R1224" s="332">
        <v>46023</v>
      </c>
      <c r="S1224" s="333">
        <v>46387</v>
      </c>
      <c r="T1224" s="413">
        <v>46023</v>
      </c>
      <c r="U1224" s="333">
        <v>46387</v>
      </c>
      <c r="V1224" s="40" t="s">
        <v>51</v>
      </c>
      <c r="W1224" s="41" t="s">
        <v>39</v>
      </c>
      <c r="X1224" s="40" t="s">
        <v>5026</v>
      </c>
      <c r="Y1224" s="40" t="s">
        <v>56</v>
      </c>
    </row>
    <row r="1225" spans="1:28" ht="19.5" customHeight="1">
      <c r="A1225" s="25">
        <f t="shared" si="20"/>
        <v>1209</v>
      </c>
      <c r="B1225" s="26">
        <v>6325884</v>
      </c>
      <c r="C1225" s="27">
        <v>46259</v>
      </c>
      <c r="D1225" s="80" t="s">
        <v>141</v>
      </c>
      <c r="E1225" s="29">
        <v>1845.34</v>
      </c>
      <c r="F1225" s="401" t="s">
        <v>5027</v>
      </c>
      <c r="G1225" s="27">
        <v>46261</v>
      </c>
      <c r="H1225" s="80" t="s">
        <v>141</v>
      </c>
      <c r="I1225" s="29">
        <v>1845.34</v>
      </c>
      <c r="J1225" s="34" t="s">
        <v>159</v>
      </c>
      <c r="K1225" s="450" t="s">
        <v>398</v>
      </c>
      <c r="L1225" t="s">
        <v>5028</v>
      </c>
      <c r="M1225" s="36" t="s">
        <v>4979</v>
      </c>
      <c r="N1225" s="43" t="s">
        <v>1768</v>
      </c>
      <c r="O1225" t="s">
        <v>5029</v>
      </c>
      <c r="P1225" t="s">
        <v>5030</v>
      </c>
      <c r="Q1225" t="s">
        <v>5031</v>
      </c>
      <c r="R1225" s="332">
        <v>46249</v>
      </c>
      <c r="S1225" s="333">
        <v>46613</v>
      </c>
      <c r="T1225" s="50" t="s">
        <v>141</v>
      </c>
      <c r="U1225" s="47" t="s">
        <v>141</v>
      </c>
      <c r="V1225" s="40" t="s">
        <v>1306</v>
      </c>
      <c r="W1225" s="41" t="s">
        <v>39</v>
      </c>
      <c r="X1225" s="40" t="s">
        <v>5032</v>
      </c>
      <c r="Y1225" s="40" t="s">
        <v>56</v>
      </c>
    </row>
    <row r="1226" spans="1:28" ht="19.5" customHeight="1">
      <c r="A1226" s="25">
        <f t="shared" si="20"/>
        <v>1210</v>
      </c>
      <c r="B1226" s="26">
        <v>6326079</v>
      </c>
      <c r="C1226" s="27">
        <v>46260</v>
      </c>
      <c r="D1226" s="68">
        <v>2051.7800000000002</v>
      </c>
      <c r="E1226" s="29">
        <v>16090.47</v>
      </c>
      <c r="J1226" s="43" t="s">
        <v>99</v>
      </c>
      <c r="K1226" s="450" t="s">
        <v>34</v>
      </c>
      <c r="L1226" s="35">
        <v>352174435</v>
      </c>
      <c r="M1226" s="36" t="s">
        <v>4985</v>
      </c>
      <c r="N1226" s="398" t="s">
        <v>5033</v>
      </c>
      <c r="O1226" t="s">
        <v>5034</v>
      </c>
      <c r="P1226" t="s">
        <v>5035</v>
      </c>
      <c r="Q1226" t="s">
        <v>5036</v>
      </c>
      <c r="R1226" s="332">
        <v>46198</v>
      </c>
      <c r="S1226" s="333">
        <v>46265</v>
      </c>
      <c r="T1226" s="413">
        <v>46198</v>
      </c>
      <c r="U1226" s="333">
        <v>46265</v>
      </c>
      <c r="V1226" s="40" t="s">
        <v>5037</v>
      </c>
      <c r="W1226" s="41" t="s">
        <v>5007</v>
      </c>
      <c r="X1226" s="40" t="s">
        <v>5038</v>
      </c>
      <c r="Y1226" s="40" t="s">
        <v>185</v>
      </c>
    </row>
    <row r="1227" spans="1:28" ht="19.5" customHeight="1">
      <c r="A1227" s="25">
        <f t="shared" si="20"/>
        <v>1211</v>
      </c>
      <c r="B1227" s="26">
        <v>6326120</v>
      </c>
      <c r="C1227" s="27">
        <v>46260</v>
      </c>
      <c r="D1227" s="28">
        <v>2754.46</v>
      </c>
      <c r="E1227" s="29">
        <v>21601.03</v>
      </c>
      <c r="J1227" s="43" t="s">
        <v>99</v>
      </c>
      <c r="K1227" s="450" t="s">
        <v>34</v>
      </c>
      <c r="L1227" s="35">
        <v>38232286</v>
      </c>
      <c r="M1227" s="36" t="s">
        <v>4985</v>
      </c>
      <c r="N1227" s="398" t="s">
        <v>1377</v>
      </c>
      <c r="O1227" t="s">
        <v>5034</v>
      </c>
      <c r="P1227" t="s">
        <v>5035</v>
      </c>
      <c r="Q1227" t="s">
        <v>5036</v>
      </c>
      <c r="R1227" s="413">
        <v>46266</v>
      </c>
      <c r="S1227" s="333">
        <v>46363</v>
      </c>
      <c r="T1227" s="413">
        <v>46266</v>
      </c>
      <c r="U1227" s="333">
        <v>46363</v>
      </c>
      <c r="V1227" s="40" t="s">
        <v>5037</v>
      </c>
      <c r="W1227" s="41" t="s">
        <v>5007</v>
      </c>
      <c r="X1227" s="40" t="s">
        <v>5038</v>
      </c>
      <c r="Y1227" s="40" t="s">
        <v>185</v>
      </c>
    </row>
    <row r="1228" spans="1:28" ht="19.5" customHeight="1">
      <c r="A1228" s="25">
        <f t="shared" si="20"/>
        <v>1212</v>
      </c>
      <c r="B1228" s="26">
        <v>6326136</v>
      </c>
      <c r="C1228" s="27">
        <v>46260</v>
      </c>
      <c r="D1228" s="28">
        <v>2698.24</v>
      </c>
      <c r="E1228" s="29">
        <v>21160.14</v>
      </c>
      <c r="J1228" s="43" t="s">
        <v>99</v>
      </c>
      <c r="K1228" s="450" t="s">
        <v>34</v>
      </c>
      <c r="L1228" s="35">
        <v>411964001</v>
      </c>
      <c r="M1228" s="36" t="s">
        <v>4985</v>
      </c>
      <c r="N1228" s="398" t="s">
        <v>2000</v>
      </c>
      <c r="O1228" t="s">
        <v>5039</v>
      </c>
      <c r="P1228" t="s">
        <v>5040</v>
      </c>
      <c r="Q1228" t="s">
        <v>5036</v>
      </c>
      <c r="R1228" s="413">
        <v>46174</v>
      </c>
      <c r="S1228" s="333">
        <v>46265</v>
      </c>
      <c r="T1228" s="413">
        <v>46174</v>
      </c>
      <c r="U1228" s="333">
        <v>46265</v>
      </c>
      <c r="V1228" s="40" t="s">
        <v>5037</v>
      </c>
      <c r="W1228" s="41" t="s">
        <v>5007</v>
      </c>
      <c r="X1228" s="40" t="s">
        <v>5041</v>
      </c>
      <c r="Y1228" s="40" t="s">
        <v>185</v>
      </c>
    </row>
    <row r="1229" spans="1:28" ht="19.5" customHeight="1">
      <c r="A1229" s="25">
        <f t="shared" si="20"/>
        <v>1213</v>
      </c>
      <c r="B1229" s="26">
        <v>6326207</v>
      </c>
      <c r="C1229" s="27">
        <v>46260</v>
      </c>
      <c r="D1229" s="28">
        <v>2782.56</v>
      </c>
      <c r="E1229" s="29">
        <v>21821.39</v>
      </c>
      <c r="J1229" s="43" t="s">
        <v>99</v>
      </c>
      <c r="K1229" s="450" t="s">
        <v>34</v>
      </c>
      <c r="L1229" s="35">
        <v>342323401</v>
      </c>
      <c r="M1229" s="36" t="s">
        <v>4985</v>
      </c>
      <c r="N1229" s="398" t="s">
        <v>1674</v>
      </c>
      <c r="O1229" t="s">
        <v>5039</v>
      </c>
      <c r="P1229" t="s">
        <v>5040</v>
      </c>
      <c r="Q1229" t="s">
        <v>5036</v>
      </c>
      <c r="R1229" s="413">
        <v>46266</v>
      </c>
      <c r="S1229" s="333">
        <v>46364</v>
      </c>
      <c r="T1229" s="413">
        <v>46266</v>
      </c>
      <c r="U1229" s="333">
        <v>46364</v>
      </c>
      <c r="V1229" s="40" t="s">
        <v>5037</v>
      </c>
      <c r="W1229" s="41" t="s">
        <v>5007</v>
      </c>
      <c r="X1229" s="40" t="s">
        <v>5041</v>
      </c>
      <c r="Y1229" s="40" t="s">
        <v>185</v>
      </c>
    </row>
    <row r="1230" spans="1:28" ht="19.5" customHeight="1">
      <c r="A1230" s="25">
        <f t="shared" si="20"/>
        <v>1214</v>
      </c>
      <c r="B1230" s="26">
        <v>6326208</v>
      </c>
      <c r="C1230" s="27">
        <v>46260</v>
      </c>
      <c r="D1230" s="80" t="s">
        <v>141</v>
      </c>
      <c r="E1230" s="29">
        <v>66858.720000000001</v>
      </c>
      <c r="F1230" s="401" t="s">
        <v>5042</v>
      </c>
      <c r="G1230" s="27">
        <v>46262</v>
      </c>
      <c r="H1230" s="283" t="s">
        <v>141</v>
      </c>
      <c r="I1230" s="189">
        <v>66858.740000000005</v>
      </c>
      <c r="J1230" s="34" t="s">
        <v>929</v>
      </c>
      <c r="K1230" s="450" t="s">
        <v>107</v>
      </c>
      <c r="L1230" s="35">
        <v>6023678</v>
      </c>
      <c r="M1230" s="36" t="s">
        <v>5043</v>
      </c>
      <c r="N1230" s="43" t="s">
        <v>1458</v>
      </c>
      <c r="O1230" t="s">
        <v>5044</v>
      </c>
      <c r="P1230" t="s">
        <v>5045</v>
      </c>
      <c r="Q1230" t="s">
        <v>5046</v>
      </c>
      <c r="R1230" s="332">
        <v>46253</v>
      </c>
      <c r="S1230" s="333">
        <v>46617</v>
      </c>
      <c r="T1230" s="332">
        <v>46253</v>
      </c>
      <c r="U1230" s="333">
        <v>46617</v>
      </c>
      <c r="V1230" s="40" t="s">
        <v>2108</v>
      </c>
      <c r="W1230" s="41" t="s">
        <v>39</v>
      </c>
      <c r="X1230" s="40" t="s">
        <v>5047</v>
      </c>
      <c r="Y1230" s="40" t="s">
        <v>56</v>
      </c>
      <c r="AA1230" s="62" t="s">
        <v>5048</v>
      </c>
      <c r="AB1230" s="44">
        <v>46265</v>
      </c>
    </row>
    <row r="1231" spans="1:28" ht="19.5" customHeight="1">
      <c r="A1231" s="25">
        <f t="shared" si="20"/>
        <v>1215</v>
      </c>
      <c r="B1231" s="26">
        <v>6326223</v>
      </c>
      <c r="C1231" s="27">
        <v>46260</v>
      </c>
      <c r="D1231" s="28">
        <v>1877.16</v>
      </c>
      <c r="E1231" s="29">
        <v>14721.06</v>
      </c>
      <c r="J1231" s="43" t="s">
        <v>99</v>
      </c>
      <c r="K1231" s="450" t="s">
        <v>34</v>
      </c>
      <c r="L1231" s="35">
        <v>292338587</v>
      </c>
      <c r="M1231" s="36" t="s">
        <v>5049</v>
      </c>
      <c r="N1231" s="398" t="s">
        <v>5009</v>
      </c>
      <c r="O1231" t="s">
        <v>5050</v>
      </c>
      <c r="P1231" t="s">
        <v>5051</v>
      </c>
      <c r="Q1231" t="s">
        <v>5036</v>
      </c>
      <c r="R1231" s="332">
        <v>46259</v>
      </c>
      <c r="S1231" s="333">
        <v>46363</v>
      </c>
      <c r="T1231" s="332">
        <v>46259</v>
      </c>
      <c r="U1231" s="333">
        <v>46363</v>
      </c>
      <c r="V1231" s="40" t="s">
        <v>5037</v>
      </c>
      <c r="W1231" s="41" t="s">
        <v>5007</v>
      </c>
      <c r="X1231" s="40" t="s">
        <v>5052</v>
      </c>
      <c r="Y1231" s="40" t="s">
        <v>185</v>
      </c>
    </row>
    <row r="1232" spans="1:28" ht="19.5" customHeight="1">
      <c r="A1232" s="25">
        <f t="shared" si="20"/>
        <v>1216</v>
      </c>
      <c r="B1232" s="26">
        <v>6326543</v>
      </c>
      <c r="C1232" s="27">
        <v>46261</v>
      </c>
      <c r="D1232" s="28">
        <v>189.44</v>
      </c>
      <c r="E1232" s="29">
        <v>1485.63</v>
      </c>
      <c r="F1232" s="401" t="s">
        <v>5053</v>
      </c>
      <c r="G1232" s="27">
        <v>46267</v>
      </c>
      <c r="H1232">
        <v>189.44</v>
      </c>
      <c r="I1232" s="33">
        <v>1485.63</v>
      </c>
      <c r="J1232" s="34" t="s">
        <v>929</v>
      </c>
      <c r="K1232" s="450" t="s">
        <v>206</v>
      </c>
      <c r="L1232" s="35" t="s">
        <v>5054</v>
      </c>
      <c r="M1232" s="36" t="s">
        <v>5055</v>
      </c>
      <c r="N1232" s="43" t="s">
        <v>1330</v>
      </c>
      <c r="O1232" t="s">
        <v>5056</v>
      </c>
      <c r="P1232" t="s">
        <v>5057</v>
      </c>
      <c r="Q1232" t="s">
        <v>5058</v>
      </c>
      <c r="R1232" s="332">
        <v>46226</v>
      </c>
      <c r="S1232" s="333">
        <v>46590</v>
      </c>
      <c r="T1232" s="332">
        <v>46226</v>
      </c>
      <c r="U1232" s="333">
        <v>46590</v>
      </c>
      <c r="V1232" s="40" t="s">
        <v>590</v>
      </c>
      <c r="W1232" s="41" t="s">
        <v>39</v>
      </c>
      <c r="X1232" s="40" t="s">
        <v>5059</v>
      </c>
      <c r="Y1232" s="40" t="s">
        <v>185</v>
      </c>
    </row>
    <row r="1233" spans="1:30" ht="19.5" customHeight="1">
      <c r="A1233" s="25">
        <f t="shared" si="20"/>
        <v>1217</v>
      </c>
      <c r="B1233" s="291" t="s">
        <v>141</v>
      </c>
      <c r="C1233" s="31" t="s">
        <v>141</v>
      </c>
      <c r="D1233" s="80" t="s">
        <v>141</v>
      </c>
      <c r="E1233" s="288" t="s">
        <v>141</v>
      </c>
      <c r="F1233" s="401" t="s">
        <v>5060</v>
      </c>
      <c r="G1233" s="27">
        <v>46261</v>
      </c>
      <c r="H1233" s="283" t="s">
        <v>141</v>
      </c>
      <c r="I1233" s="33">
        <v>2560.67</v>
      </c>
      <c r="J1233" s="34" t="s">
        <v>3421</v>
      </c>
      <c r="K1233" s="450" t="s">
        <v>206</v>
      </c>
      <c r="L1233" s="35" t="s">
        <v>5061</v>
      </c>
      <c r="M1233" s="36" t="s">
        <v>5062</v>
      </c>
      <c r="N1233" s="43" t="s">
        <v>1330</v>
      </c>
      <c r="O1233" t="s">
        <v>5056</v>
      </c>
      <c r="P1233" t="s">
        <v>5057</v>
      </c>
      <c r="Q1233" t="s">
        <v>5058</v>
      </c>
      <c r="R1233" s="332">
        <v>46226</v>
      </c>
      <c r="S1233" s="333">
        <v>46590</v>
      </c>
      <c r="T1233" s="50" t="s">
        <v>141</v>
      </c>
      <c r="U1233" s="436" t="s">
        <v>141</v>
      </c>
      <c r="V1233" s="40" t="s">
        <v>590</v>
      </c>
      <c r="W1233" s="41" t="s">
        <v>39</v>
      </c>
      <c r="X1233" s="40" t="s">
        <v>5059</v>
      </c>
      <c r="Y1233" s="40" t="s">
        <v>185</v>
      </c>
    </row>
    <row r="1234" spans="1:30" ht="19.5" customHeight="1">
      <c r="A1234" s="25">
        <f t="shared" si="20"/>
        <v>1218</v>
      </c>
      <c r="B1234" s="26">
        <v>6326741</v>
      </c>
      <c r="C1234" s="27">
        <v>46262</v>
      </c>
      <c r="D1234" s="80" t="s">
        <v>141</v>
      </c>
      <c r="E1234" s="29">
        <v>1920</v>
      </c>
      <c r="F1234" s="401" t="s">
        <v>5063</v>
      </c>
      <c r="G1234" s="27">
        <v>46266</v>
      </c>
      <c r="H1234" s="283" t="s">
        <v>141</v>
      </c>
      <c r="I1234" s="33">
        <v>1920</v>
      </c>
      <c r="J1234" s="34" t="s">
        <v>5064</v>
      </c>
      <c r="K1234" s="450" t="s">
        <v>139</v>
      </c>
      <c r="L1234" s="35">
        <v>80005591</v>
      </c>
      <c r="M1234" s="36" t="s">
        <v>572</v>
      </c>
      <c r="N1234" s="43" t="s">
        <v>1383</v>
      </c>
      <c r="O1234" t="s">
        <v>5065</v>
      </c>
      <c r="P1234" t="s">
        <v>5066</v>
      </c>
      <c r="Q1234" t="s">
        <v>5067</v>
      </c>
      <c r="R1234" s="332">
        <v>46266</v>
      </c>
      <c r="S1234" s="333">
        <v>46630</v>
      </c>
      <c r="T1234" s="332">
        <v>46266</v>
      </c>
      <c r="U1234" s="333">
        <v>46630</v>
      </c>
      <c r="V1234" s="40" t="s">
        <v>4562</v>
      </c>
      <c r="W1234" s="41" t="s">
        <v>39</v>
      </c>
      <c r="X1234" s="40" t="s">
        <v>5068</v>
      </c>
      <c r="Y1234" s="40" t="s">
        <v>56</v>
      </c>
    </row>
    <row r="1235" spans="1:30" ht="19.5" customHeight="1">
      <c r="A1235" s="25">
        <f t="shared" si="20"/>
        <v>1219</v>
      </c>
      <c r="B1235" s="26">
        <v>6327030</v>
      </c>
      <c r="C1235" s="27">
        <v>46262</v>
      </c>
      <c r="D1235" s="80" t="s">
        <v>141</v>
      </c>
      <c r="E1235" s="29">
        <v>5787.64</v>
      </c>
      <c r="F1235" s="401" t="s">
        <v>5069</v>
      </c>
      <c r="G1235" s="27">
        <v>46266</v>
      </c>
      <c r="H1235" s="330" t="s">
        <v>141</v>
      </c>
      <c r="I1235" s="65">
        <v>5642.96</v>
      </c>
      <c r="J1235" s="34" t="s">
        <v>929</v>
      </c>
      <c r="K1235" s="450" t="s">
        <v>977</v>
      </c>
      <c r="L1235" s="35" t="s">
        <v>5070</v>
      </c>
      <c r="M1235" s="36" t="s">
        <v>5071</v>
      </c>
      <c r="N1235" s="43" t="s">
        <v>3794</v>
      </c>
      <c r="O1235" t="s">
        <v>5072</v>
      </c>
      <c r="P1235" t="s">
        <v>5073</v>
      </c>
      <c r="Q1235" t="s">
        <v>5074</v>
      </c>
      <c r="R1235" s="332">
        <v>46212</v>
      </c>
      <c r="S1235" s="333">
        <v>46576</v>
      </c>
      <c r="T1235" s="332">
        <v>46212</v>
      </c>
      <c r="U1235" s="333">
        <v>46576</v>
      </c>
      <c r="V1235" s="40" t="s">
        <v>2926</v>
      </c>
      <c r="W1235" s="41" t="s">
        <v>39</v>
      </c>
      <c r="X1235" s="40" t="s">
        <v>5075</v>
      </c>
      <c r="Y1235" s="40" t="s">
        <v>56</v>
      </c>
    </row>
    <row r="1236" spans="1:30" ht="19.5" customHeight="1">
      <c r="A1236" s="25">
        <f t="shared" si="20"/>
        <v>1220</v>
      </c>
      <c r="B1236" s="26">
        <v>6327049</v>
      </c>
      <c r="C1236" s="27">
        <v>46262</v>
      </c>
      <c r="D1236" s="28">
        <v>296.98</v>
      </c>
      <c r="E1236" s="29">
        <v>2328.98</v>
      </c>
      <c r="J1236" s="43" t="s">
        <v>99</v>
      </c>
      <c r="K1236" s="450" t="s">
        <v>34</v>
      </c>
      <c r="L1236" s="35">
        <v>262320219</v>
      </c>
      <c r="M1236" s="36" t="s">
        <v>2129</v>
      </c>
      <c r="N1236" s="398" t="s">
        <v>5076</v>
      </c>
      <c r="O1236" t="s">
        <v>4397</v>
      </c>
      <c r="P1236" t="s">
        <v>5077</v>
      </c>
      <c r="Q1236" t="s">
        <v>5078</v>
      </c>
      <c r="R1236" s="332">
        <v>46338</v>
      </c>
      <c r="S1236" s="333">
        <v>47086</v>
      </c>
      <c r="T1236" s="332">
        <v>46338</v>
      </c>
      <c r="U1236" s="333">
        <v>47086</v>
      </c>
      <c r="V1236" s="40" t="s">
        <v>5079</v>
      </c>
      <c r="W1236" s="41" t="s">
        <v>5007</v>
      </c>
      <c r="X1236" s="40" t="s">
        <v>5080</v>
      </c>
      <c r="Y1236" s="40" t="s">
        <v>56</v>
      </c>
    </row>
    <row r="1237" spans="1:30" ht="19.5" customHeight="1">
      <c r="A1237" s="25">
        <f t="shared" si="20"/>
        <v>1221</v>
      </c>
      <c r="B1237" s="26">
        <v>6327118</v>
      </c>
      <c r="C1237" s="27">
        <v>46262</v>
      </c>
      <c r="D1237" s="80" t="s">
        <v>141</v>
      </c>
      <c r="E1237" s="29">
        <v>5700</v>
      </c>
      <c r="F1237" s="401" t="s">
        <v>5081</v>
      </c>
      <c r="G1237" s="27">
        <v>46267</v>
      </c>
      <c r="H1237" s="283" t="s">
        <v>141</v>
      </c>
      <c r="I1237" s="326">
        <v>4980</v>
      </c>
      <c r="J1237" s="34" t="s">
        <v>929</v>
      </c>
      <c r="K1237" s="450" t="s">
        <v>139</v>
      </c>
      <c r="L1237" s="35">
        <v>80005594</v>
      </c>
      <c r="M1237" s="36" t="s">
        <v>572</v>
      </c>
      <c r="N1237" s="43" t="s">
        <v>1749</v>
      </c>
      <c r="O1237" t="s">
        <v>3241</v>
      </c>
      <c r="P1237" t="s">
        <v>3242</v>
      </c>
      <c r="Q1237" t="s">
        <v>903</v>
      </c>
      <c r="R1237" s="332">
        <v>46075</v>
      </c>
      <c r="S1237" s="333">
        <v>46439</v>
      </c>
      <c r="T1237" s="332">
        <v>46075</v>
      </c>
      <c r="U1237" s="333">
        <v>46439</v>
      </c>
      <c r="V1237" s="40" t="s">
        <v>245</v>
      </c>
      <c r="W1237" s="41" t="s">
        <v>39</v>
      </c>
      <c r="X1237" s="40" t="s">
        <v>3243</v>
      </c>
      <c r="Y1237" s="40" t="s">
        <v>56</v>
      </c>
    </row>
    <row r="1238" spans="1:30" ht="19.5" customHeight="1">
      <c r="A1238" s="25">
        <f t="shared" si="20"/>
        <v>1222</v>
      </c>
      <c r="B1238" s="26">
        <v>6327735</v>
      </c>
      <c r="C1238" s="27">
        <v>46266</v>
      </c>
      <c r="D1238" s="80" t="s">
        <v>141</v>
      </c>
      <c r="E1238" s="29">
        <v>4704.12</v>
      </c>
      <c r="F1238" s="401" t="s">
        <v>5082</v>
      </c>
      <c r="G1238" s="27">
        <v>46267</v>
      </c>
      <c r="H1238" s="80" t="s">
        <v>141</v>
      </c>
      <c r="I1238" s="29">
        <v>4704.12</v>
      </c>
      <c r="J1238" s="34" t="s">
        <v>159</v>
      </c>
      <c r="K1238" s="450" t="s">
        <v>160</v>
      </c>
      <c r="L1238" s="35" t="s">
        <v>5083</v>
      </c>
      <c r="M1238" s="36" t="s">
        <v>5084</v>
      </c>
      <c r="N1238" s="43" t="s">
        <v>1651</v>
      </c>
      <c r="O1238" t="s">
        <v>5085</v>
      </c>
      <c r="P1238" t="s">
        <v>5086</v>
      </c>
      <c r="Q1238" t="s">
        <v>2302</v>
      </c>
      <c r="R1238" s="332">
        <v>46113</v>
      </c>
      <c r="S1238" s="333">
        <v>46621</v>
      </c>
      <c r="T1238" s="50" t="s">
        <v>141</v>
      </c>
      <c r="U1238" s="47" t="s">
        <v>141</v>
      </c>
      <c r="V1238" s="40" t="s">
        <v>1306</v>
      </c>
      <c r="W1238" s="41" t="s">
        <v>39</v>
      </c>
      <c r="X1238" s="40" t="s">
        <v>5087</v>
      </c>
      <c r="Y1238" s="40" t="s">
        <v>56</v>
      </c>
    </row>
    <row r="1239" spans="1:30" ht="19.5" customHeight="1">
      <c r="A1239" s="25">
        <f t="shared" si="20"/>
        <v>1223</v>
      </c>
      <c r="B1239" s="26">
        <v>6327908</v>
      </c>
      <c r="C1239" s="27">
        <v>46266</v>
      </c>
      <c r="D1239" s="28">
        <v>2587.7199999999998</v>
      </c>
      <c r="E1239" s="29">
        <v>20283.07</v>
      </c>
      <c r="J1239" s="43" t="s">
        <v>99</v>
      </c>
      <c r="K1239" s="450" t="s">
        <v>34</v>
      </c>
      <c r="L1239" s="35">
        <v>262348022</v>
      </c>
      <c r="M1239" s="36" t="s">
        <v>2129</v>
      </c>
      <c r="N1239" s="398" t="s">
        <v>5009</v>
      </c>
      <c r="O1239" t="s">
        <v>5088</v>
      </c>
      <c r="P1239" t="s">
        <v>5089</v>
      </c>
      <c r="Q1239" t="s">
        <v>5090</v>
      </c>
      <c r="R1239" s="332">
        <v>46292</v>
      </c>
      <c r="S1239" s="333">
        <v>46656</v>
      </c>
      <c r="T1239" s="332">
        <v>46292</v>
      </c>
      <c r="U1239" s="333">
        <v>46656</v>
      </c>
      <c r="V1239" s="40" t="s">
        <v>5091</v>
      </c>
      <c r="W1239" s="41" t="s">
        <v>5007</v>
      </c>
      <c r="X1239" s="40" t="s">
        <v>5092</v>
      </c>
      <c r="Y1239" s="40" t="s">
        <v>56</v>
      </c>
    </row>
    <row r="1240" spans="1:30" ht="19.5" customHeight="1">
      <c r="A1240" s="25">
        <f t="shared" ref="A1240:A1303" si="21">A1239+1</f>
        <v>1224</v>
      </c>
      <c r="B1240" s="291" t="s">
        <v>141</v>
      </c>
      <c r="C1240" s="31" t="s">
        <v>141</v>
      </c>
      <c r="D1240" s="80" t="s">
        <v>141</v>
      </c>
      <c r="E1240" s="288" t="s">
        <v>141</v>
      </c>
      <c r="F1240" s="401" t="s">
        <v>5093</v>
      </c>
      <c r="G1240" s="27">
        <v>46266</v>
      </c>
      <c r="H1240" s="283" t="s">
        <v>141</v>
      </c>
      <c r="I1240" s="33">
        <v>1870</v>
      </c>
      <c r="J1240" s="34" t="s">
        <v>3421</v>
      </c>
      <c r="K1240" s="450" t="s">
        <v>139</v>
      </c>
      <c r="L1240" s="35">
        <v>80005593</v>
      </c>
      <c r="M1240" s="36" t="s">
        <v>5094</v>
      </c>
      <c r="N1240" s="43" t="s">
        <v>1383</v>
      </c>
      <c r="O1240" t="s">
        <v>5095</v>
      </c>
      <c r="P1240" t="s">
        <v>5096</v>
      </c>
      <c r="Q1240" t="s">
        <v>2020</v>
      </c>
      <c r="R1240" s="332">
        <v>46349</v>
      </c>
      <c r="S1240" s="333">
        <v>46713</v>
      </c>
      <c r="T1240" s="50" t="s">
        <v>141</v>
      </c>
      <c r="U1240" s="47" t="s">
        <v>141</v>
      </c>
      <c r="V1240" s="40" t="s">
        <v>1374</v>
      </c>
      <c r="W1240" s="41" t="s">
        <v>39</v>
      </c>
      <c r="X1240" s="40" t="s">
        <v>2324</v>
      </c>
      <c r="Y1240" s="40" t="s">
        <v>185</v>
      </c>
    </row>
    <row r="1241" spans="1:30" ht="19.5" customHeight="1">
      <c r="A1241" s="25">
        <f t="shared" si="21"/>
        <v>1225</v>
      </c>
      <c r="B1241" s="26">
        <v>6327933</v>
      </c>
      <c r="C1241" s="27">
        <v>46266</v>
      </c>
      <c r="D1241" s="28">
        <v>221.85</v>
      </c>
      <c r="E1241" s="29">
        <v>1738.9</v>
      </c>
      <c r="J1241" s="43" t="s">
        <v>99</v>
      </c>
      <c r="K1241" s="450" t="s">
        <v>34</v>
      </c>
      <c r="L1241" s="35">
        <v>382321248</v>
      </c>
      <c r="M1241" s="36" t="s">
        <v>2129</v>
      </c>
      <c r="N1241" s="398" t="s">
        <v>5009</v>
      </c>
      <c r="O1241" t="s">
        <v>5097</v>
      </c>
      <c r="P1241" t="s">
        <v>5098</v>
      </c>
      <c r="Q1241" t="s">
        <v>5099</v>
      </c>
      <c r="R1241" s="332">
        <v>46286</v>
      </c>
      <c r="S1241" s="333">
        <v>46650</v>
      </c>
      <c r="T1241" s="332">
        <v>46286</v>
      </c>
      <c r="U1241" s="333">
        <v>46650</v>
      </c>
      <c r="V1241" s="40" t="s">
        <v>4994</v>
      </c>
      <c r="W1241" s="41" t="s">
        <v>5007</v>
      </c>
      <c r="X1241" s="40" t="s">
        <v>5100</v>
      </c>
      <c r="Y1241" s="40" t="s">
        <v>56</v>
      </c>
    </row>
    <row r="1242" spans="1:30" ht="19.5" customHeight="1">
      <c r="A1242" s="25">
        <f t="shared" si="21"/>
        <v>1226</v>
      </c>
      <c r="B1242" s="26">
        <v>6327996</v>
      </c>
      <c r="C1242" s="27">
        <v>46266</v>
      </c>
      <c r="D1242" s="80" t="s">
        <v>141</v>
      </c>
      <c r="E1242" s="29">
        <v>4519</v>
      </c>
      <c r="F1242" s="401" t="s">
        <v>5101</v>
      </c>
      <c r="G1242" s="27">
        <v>46267</v>
      </c>
      <c r="H1242" s="330" t="s">
        <v>141</v>
      </c>
      <c r="I1242" s="29">
        <v>4519</v>
      </c>
      <c r="J1242" s="34" t="s">
        <v>929</v>
      </c>
      <c r="K1242" s="450" t="s">
        <v>176</v>
      </c>
      <c r="L1242" s="35" t="s">
        <v>5102</v>
      </c>
      <c r="M1242" s="36" t="s">
        <v>4802</v>
      </c>
      <c r="N1242" s="43" t="s">
        <v>1656</v>
      </c>
      <c r="O1242" t="s">
        <v>5103</v>
      </c>
      <c r="P1242" t="s">
        <v>5104</v>
      </c>
      <c r="Q1242" t="s">
        <v>5105</v>
      </c>
      <c r="R1242" s="332">
        <v>46360</v>
      </c>
      <c r="S1242" s="333">
        <v>46724</v>
      </c>
      <c r="T1242" s="332">
        <v>46446</v>
      </c>
      <c r="U1242" s="333">
        <v>46810</v>
      </c>
      <c r="V1242" s="40" t="s">
        <v>1654</v>
      </c>
      <c r="W1242" s="41" t="s">
        <v>39</v>
      </c>
      <c r="X1242" s="40" t="s">
        <v>5106</v>
      </c>
      <c r="Y1242" s="40" t="s">
        <v>185</v>
      </c>
    </row>
    <row r="1243" spans="1:30" ht="19.5" customHeight="1">
      <c r="A1243" s="25">
        <f t="shared" si="21"/>
        <v>1227</v>
      </c>
      <c r="B1243" s="26">
        <v>6328105</v>
      </c>
      <c r="C1243" s="27">
        <v>46267</v>
      </c>
      <c r="D1243" s="28">
        <v>121</v>
      </c>
      <c r="E1243" s="29">
        <v>948.42</v>
      </c>
      <c r="F1243" s="401">
        <v>1610154</v>
      </c>
      <c r="J1243" s="43" t="s">
        <v>99</v>
      </c>
      <c r="K1243" s="450" t="s">
        <v>34</v>
      </c>
      <c r="L1243" s="35">
        <v>302326595</v>
      </c>
      <c r="M1243" s="36" t="s">
        <v>2129</v>
      </c>
      <c r="N1243" s="398" t="s">
        <v>5107</v>
      </c>
      <c r="O1243" t="s">
        <v>5108</v>
      </c>
      <c r="P1243" t="s">
        <v>5109</v>
      </c>
      <c r="Q1243" t="s">
        <v>5110</v>
      </c>
      <c r="R1243" s="332">
        <v>46348</v>
      </c>
      <c r="S1243" s="333">
        <v>46726</v>
      </c>
      <c r="T1243" s="332">
        <v>46348</v>
      </c>
      <c r="U1243" s="333">
        <v>46726</v>
      </c>
      <c r="V1243" s="40" t="s">
        <v>5111</v>
      </c>
      <c r="W1243" s="41" t="s">
        <v>5007</v>
      </c>
      <c r="X1243" s="40" t="s">
        <v>5112</v>
      </c>
      <c r="Y1243" s="40" t="s">
        <v>56</v>
      </c>
      <c r="AC1243" s="63">
        <v>10000714735</v>
      </c>
      <c r="AD1243" s="46">
        <v>46272</v>
      </c>
    </row>
    <row r="1244" spans="1:30" ht="19.5" customHeight="1">
      <c r="A1244" s="25">
        <f t="shared" si="21"/>
        <v>1228</v>
      </c>
      <c r="B1244" s="26">
        <v>6328135</v>
      </c>
      <c r="C1244" s="27">
        <v>46267</v>
      </c>
      <c r="D1244" s="80" t="s">
        <v>141</v>
      </c>
      <c r="E1244" s="29">
        <v>20160</v>
      </c>
      <c r="F1244" s="401" t="s">
        <v>5113</v>
      </c>
      <c r="G1244" s="27">
        <v>46269</v>
      </c>
      <c r="H1244" s="283" t="s">
        <v>141</v>
      </c>
      <c r="I1244" s="33">
        <v>20160</v>
      </c>
      <c r="J1244" s="34" t="s">
        <v>929</v>
      </c>
      <c r="K1244" s="450" t="s">
        <v>139</v>
      </c>
      <c r="L1244" s="35">
        <v>80005598</v>
      </c>
      <c r="M1244" s="36" t="s">
        <v>5114</v>
      </c>
      <c r="N1244" s="454" t="s">
        <v>141</v>
      </c>
      <c r="O1244" s="283" t="s">
        <v>141</v>
      </c>
      <c r="P1244" s="283" t="s">
        <v>141</v>
      </c>
      <c r="Q1244" t="s">
        <v>5115</v>
      </c>
      <c r="R1244" s="50" t="s">
        <v>141</v>
      </c>
      <c r="S1244" s="47" t="s">
        <v>141</v>
      </c>
      <c r="T1244" s="50" t="s">
        <v>141</v>
      </c>
      <c r="U1244" s="47" t="s">
        <v>141</v>
      </c>
      <c r="V1244" s="283" t="s">
        <v>141</v>
      </c>
      <c r="W1244" s="41" t="s">
        <v>39</v>
      </c>
      <c r="X1244" s="283" t="s">
        <v>141</v>
      </c>
      <c r="Y1244" s="40" t="s">
        <v>185</v>
      </c>
    </row>
    <row r="1245" spans="1:30" ht="19.5" customHeight="1">
      <c r="A1245" s="25">
        <f t="shared" si="21"/>
        <v>1229</v>
      </c>
      <c r="B1245" s="26">
        <v>6328163</v>
      </c>
      <c r="C1245" s="27">
        <v>46267</v>
      </c>
      <c r="D1245" s="70">
        <v>6521.45</v>
      </c>
      <c r="E1245" s="29">
        <v>51116.43</v>
      </c>
      <c r="J1245" s="43" t="s">
        <v>99</v>
      </c>
      <c r="K1245" s="450" t="s">
        <v>34</v>
      </c>
      <c r="L1245" s="35">
        <v>272349103</v>
      </c>
      <c r="M1245" s="36" t="s">
        <v>2129</v>
      </c>
      <c r="N1245" s="398" t="s">
        <v>5009</v>
      </c>
      <c r="O1245" t="s">
        <v>5116</v>
      </c>
      <c r="P1245" t="s">
        <v>5117</v>
      </c>
      <c r="Q1245" t="s">
        <v>5118</v>
      </c>
      <c r="R1245" s="332">
        <v>46241</v>
      </c>
      <c r="S1245" s="333">
        <v>46507</v>
      </c>
      <c r="T1245" s="332">
        <v>46241</v>
      </c>
      <c r="U1245" s="333">
        <v>46507</v>
      </c>
      <c r="V1245" s="40" t="s">
        <v>5119</v>
      </c>
      <c r="W1245" s="41" t="s">
        <v>5007</v>
      </c>
      <c r="X1245" s="40" t="s">
        <v>5120</v>
      </c>
      <c r="Y1245" s="40" t="s">
        <v>56</v>
      </c>
    </row>
    <row r="1246" spans="1:30" ht="19.5" customHeight="1">
      <c r="A1246" s="25">
        <f t="shared" si="21"/>
        <v>1230</v>
      </c>
      <c r="B1246" s="26">
        <v>6328181</v>
      </c>
      <c r="C1246" s="27">
        <v>46267</v>
      </c>
      <c r="D1246" s="80">
        <v>3197.6</v>
      </c>
      <c r="E1246" s="29">
        <v>25063.43</v>
      </c>
      <c r="F1246" s="401" t="s">
        <v>5121</v>
      </c>
      <c r="G1246" s="27">
        <v>46268</v>
      </c>
      <c r="H1246" s="68">
        <v>3197.6</v>
      </c>
      <c r="I1246" s="29">
        <v>25063.43</v>
      </c>
      <c r="J1246" s="34" t="s">
        <v>929</v>
      </c>
      <c r="K1246" s="450" t="s">
        <v>206</v>
      </c>
      <c r="L1246" s="35" t="s">
        <v>5122</v>
      </c>
      <c r="M1246" s="36" t="s">
        <v>5123</v>
      </c>
      <c r="N1246" s="43" t="s">
        <v>1330</v>
      </c>
      <c r="O1246" t="s">
        <v>5124</v>
      </c>
      <c r="P1246" t="s">
        <v>5125</v>
      </c>
      <c r="Q1246" t="s">
        <v>5126</v>
      </c>
      <c r="R1246" s="332">
        <v>46265</v>
      </c>
      <c r="S1246" s="333">
        <v>46629</v>
      </c>
      <c r="T1246" s="332">
        <v>46265</v>
      </c>
      <c r="U1246" s="333">
        <v>46629</v>
      </c>
      <c r="V1246" s="40" t="s">
        <v>1333</v>
      </c>
      <c r="W1246" s="41" t="s">
        <v>39</v>
      </c>
      <c r="X1246" s="40" t="s">
        <v>5127</v>
      </c>
      <c r="Y1246" s="40" t="s">
        <v>56</v>
      </c>
    </row>
    <row r="1247" spans="1:30" ht="19.5" customHeight="1">
      <c r="A1247" s="25">
        <f t="shared" si="21"/>
        <v>1231</v>
      </c>
      <c r="B1247" s="26">
        <v>6328241</v>
      </c>
      <c r="C1247" s="27">
        <v>46267</v>
      </c>
      <c r="D1247" s="28">
        <v>214.82</v>
      </c>
      <c r="E1247" s="29">
        <v>1683.8</v>
      </c>
      <c r="J1247" s="43" t="s">
        <v>99</v>
      </c>
      <c r="K1247" s="450" t="s">
        <v>34</v>
      </c>
      <c r="L1247" s="35">
        <v>292340936</v>
      </c>
      <c r="M1247" s="36" t="s">
        <v>2129</v>
      </c>
      <c r="N1247" s="398" t="s">
        <v>5009</v>
      </c>
      <c r="O1247" t="s">
        <v>5128</v>
      </c>
      <c r="P1247" t="s">
        <v>5129</v>
      </c>
      <c r="Q1247" t="s">
        <v>4871</v>
      </c>
      <c r="R1247" s="332">
        <v>46235</v>
      </c>
      <c r="S1247" s="333">
        <v>46599</v>
      </c>
      <c r="T1247" s="332">
        <v>46235</v>
      </c>
      <c r="U1247" s="333">
        <v>46599</v>
      </c>
      <c r="V1247" s="40" t="s">
        <v>5130</v>
      </c>
      <c r="W1247" s="41" t="s">
        <v>5007</v>
      </c>
      <c r="X1247" s="40" t="s">
        <v>5131</v>
      </c>
      <c r="Y1247" s="40" t="s">
        <v>56</v>
      </c>
    </row>
    <row r="1248" spans="1:30" ht="19.5" customHeight="1">
      <c r="A1248" s="25">
        <f t="shared" si="21"/>
        <v>1232</v>
      </c>
      <c r="B1248" s="26">
        <v>6328498</v>
      </c>
      <c r="C1248" s="27">
        <v>46268</v>
      </c>
      <c r="D1248" s="80" t="s">
        <v>141</v>
      </c>
      <c r="E1248" s="29">
        <v>46907</v>
      </c>
      <c r="F1248" s="401" t="s">
        <v>5132</v>
      </c>
      <c r="G1248" s="27">
        <v>46268</v>
      </c>
      <c r="H1248" s="330" t="s">
        <v>141</v>
      </c>
      <c r="I1248" s="29">
        <v>46907</v>
      </c>
      <c r="J1248" s="34" t="s">
        <v>5133</v>
      </c>
      <c r="K1248" s="450" t="s">
        <v>977</v>
      </c>
      <c r="L1248" s="35" t="s">
        <v>5134</v>
      </c>
      <c r="M1248" s="36" t="s">
        <v>5135</v>
      </c>
      <c r="N1248" s="43" t="s">
        <v>3794</v>
      </c>
      <c r="O1248" t="s">
        <v>5136</v>
      </c>
      <c r="P1248" t="s">
        <v>5137</v>
      </c>
      <c r="Q1248" t="s">
        <v>1833</v>
      </c>
      <c r="R1248" s="332">
        <v>46255</v>
      </c>
      <c r="S1248" s="333">
        <v>47118</v>
      </c>
      <c r="T1248" s="332">
        <v>46255</v>
      </c>
      <c r="U1248" s="333">
        <v>47118</v>
      </c>
      <c r="V1248" s="40" t="s">
        <v>1374</v>
      </c>
      <c r="W1248" s="41" t="s">
        <v>39</v>
      </c>
      <c r="X1248" s="40" t="s">
        <v>5138</v>
      </c>
      <c r="Y1248" s="40" t="s">
        <v>56</v>
      </c>
    </row>
    <row r="1249" spans="1:25" ht="19.5" customHeight="1">
      <c r="A1249" s="25">
        <f t="shared" si="21"/>
        <v>1233</v>
      </c>
      <c r="B1249" s="291" t="s">
        <v>141</v>
      </c>
      <c r="C1249" s="31" t="s">
        <v>141</v>
      </c>
      <c r="D1249" s="80" t="s">
        <v>141</v>
      </c>
      <c r="E1249" s="288" t="s">
        <v>141</v>
      </c>
      <c r="F1249" s="401" t="s">
        <v>5139</v>
      </c>
      <c r="G1249" s="27">
        <v>46268</v>
      </c>
      <c r="H1249" s="283" t="s">
        <v>141</v>
      </c>
      <c r="I1249" s="33">
        <v>4120</v>
      </c>
      <c r="J1249" s="34" t="s">
        <v>3421</v>
      </c>
      <c r="K1249" s="450" t="s">
        <v>193</v>
      </c>
      <c r="L1249" s="35" t="s">
        <v>5140</v>
      </c>
      <c r="M1249" s="36" t="s">
        <v>5141</v>
      </c>
      <c r="N1249" s="454" t="s">
        <v>141</v>
      </c>
      <c r="O1249" s="283" t="s">
        <v>141</v>
      </c>
      <c r="P1249" s="283" t="s">
        <v>141</v>
      </c>
      <c r="Q1249" s="41" t="s">
        <v>5142</v>
      </c>
      <c r="R1249" s="50" t="s">
        <v>141</v>
      </c>
      <c r="S1249" s="47" t="s">
        <v>141</v>
      </c>
      <c r="T1249" s="50" t="s">
        <v>141</v>
      </c>
      <c r="U1249" s="47" t="s">
        <v>141</v>
      </c>
      <c r="V1249" s="283" t="s">
        <v>141</v>
      </c>
      <c r="W1249" s="41" t="s">
        <v>39</v>
      </c>
      <c r="X1249" s="283" t="s">
        <v>141</v>
      </c>
      <c r="Y1249" s="40" t="s">
        <v>185</v>
      </c>
    </row>
    <row r="1250" spans="1:25" ht="19.5" customHeight="1">
      <c r="A1250" s="25">
        <f t="shared" si="21"/>
        <v>1234</v>
      </c>
      <c r="B1250" s="26">
        <v>6328711</v>
      </c>
      <c r="C1250" s="27">
        <v>46268</v>
      </c>
      <c r="D1250" s="80" t="s">
        <v>141</v>
      </c>
      <c r="E1250" s="29">
        <v>22700</v>
      </c>
      <c r="F1250" s="401" t="s">
        <v>5143</v>
      </c>
      <c r="G1250" s="27">
        <v>46269</v>
      </c>
      <c r="H1250" s="283" t="s">
        <v>141</v>
      </c>
      <c r="I1250" s="33">
        <v>22700</v>
      </c>
      <c r="J1250" s="34" t="s">
        <v>929</v>
      </c>
      <c r="K1250" s="450" t="s">
        <v>193</v>
      </c>
      <c r="L1250" s="35" t="s">
        <v>5144</v>
      </c>
      <c r="M1250" s="36" t="s">
        <v>5145</v>
      </c>
      <c r="N1250" s="454" t="s">
        <v>141</v>
      </c>
      <c r="O1250" s="283" t="s">
        <v>141</v>
      </c>
      <c r="P1250" s="283" t="s">
        <v>141</v>
      </c>
      <c r="Q1250" t="s">
        <v>5142</v>
      </c>
      <c r="R1250" s="50" t="s">
        <v>141</v>
      </c>
      <c r="S1250" s="47" t="s">
        <v>141</v>
      </c>
      <c r="T1250" s="50" t="s">
        <v>141</v>
      </c>
      <c r="U1250" s="47" t="s">
        <v>141</v>
      </c>
      <c r="V1250" s="283" t="s">
        <v>141</v>
      </c>
      <c r="W1250" s="41" t="s">
        <v>39</v>
      </c>
      <c r="X1250" s="283" t="s">
        <v>141</v>
      </c>
      <c r="Y1250" s="40" t="s">
        <v>185</v>
      </c>
    </row>
    <row r="1251" spans="1:25" ht="19.5" customHeight="1">
      <c r="A1251" s="25">
        <f t="shared" si="21"/>
        <v>1235</v>
      </c>
      <c r="B1251" s="26">
        <v>6328739</v>
      </c>
      <c r="C1251" s="27">
        <v>46268</v>
      </c>
      <c r="D1251" s="28">
        <v>2789.28</v>
      </c>
      <c r="E1251" s="29">
        <v>21862.93</v>
      </c>
      <c r="J1251" s="43" t="s">
        <v>99</v>
      </c>
      <c r="K1251" s="450" t="s">
        <v>34</v>
      </c>
      <c r="L1251" s="35">
        <v>322319704</v>
      </c>
      <c r="M1251" s="36" t="s">
        <v>2129</v>
      </c>
      <c r="N1251" s="398" t="s">
        <v>5009</v>
      </c>
      <c r="O1251" t="s">
        <v>5146</v>
      </c>
      <c r="P1251" t="s">
        <v>5147</v>
      </c>
      <c r="Q1251" t="s">
        <v>5148</v>
      </c>
      <c r="R1251" s="332">
        <v>46255</v>
      </c>
      <c r="S1251" s="333">
        <v>46619</v>
      </c>
      <c r="T1251" s="332">
        <v>46255</v>
      </c>
      <c r="U1251" s="333">
        <v>46619</v>
      </c>
      <c r="V1251" s="40" t="s">
        <v>5149</v>
      </c>
      <c r="W1251" s="41" t="s">
        <v>5007</v>
      </c>
      <c r="X1251" s="40" t="s">
        <v>5150</v>
      </c>
      <c r="Y1251" s="40" t="s">
        <v>56</v>
      </c>
    </row>
    <row r="1252" spans="1:25" ht="19.5" customHeight="1">
      <c r="A1252" s="25">
        <f t="shared" si="21"/>
        <v>1236</v>
      </c>
      <c r="B1252" s="291" t="s">
        <v>141</v>
      </c>
      <c r="C1252" s="31" t="s">
        <v>141</v>
      </c>
      <c r="D1252" s="80" t="s">
        <v>141</v>
      </c>
      <c r="E1252" s="288" t="s">
        <v>141</v>
      </c>
      <c r="F1252" s="401" t="s">
        <v>5151</v>
      </c>
      <c r="G1252" s="27">
        <v>46268</v>
      </c>
      <c r="H1252" s="283" t="s">
        <v>141</v>
      </c>
      <c r="I1252" s="33">
        <v>1080</v>
      </c>
      <c r="J1252" s="34" t="s">
        <v>3421</v>
      </c>
      <c r="K1252" t="s">
        <v>193</v>
      </c>
      <c r="L1252" s="35" t="s">
        <v>5152</v>
      </c>
      <c r="M1252" s="36" t="s">
        <v>5153</v>
      </c>
      <c r="N1252" s="454" t="s">
        <v>141</v>
      </c>
      <c r="O1252" s="283" t="s">
        <v>141</v>
      </c>
      <c r="P1252" s="283" t="s">
        <v>141</v>
      </c>
      <c r="Q1252" t="s">
        <v>5142</v>
      </c>
      <c r="R1252" s="50" t="s">
        <v>141</v>
      </c>
      <c r="S1252" s="47" t="s">
        <v>141</v>
      </c>
      <c r="T1252" s="50" t="s">
        <v>141</v>
      </c>
      <c r="U1252" s="47" t="s">
        <v>141</v>
      </c>
      <c r="V1252" s="283" t="s">
        <v>141</v>
      </c>
      <c r="W1252" s="41" t="s">
        <v>39</v>
      </c>
      <c r="X1252" s="283" t="s">
        <v>141</v>
      </c>
      <c r="Y1252" s="40" t="s">
        <v>185</v>
      </c>
    </row>
    <row r="1253" spans="1:25" ht="19.5" customHeight="1">
      <c r="A1253" s="25">
        <f t="shared" si="21"/>
        <v>1237</v>
      </c>
      <c r="B1253" s="291" t="s">
        <v>141</v>
      </c>
      <c r="C1253" s="31" t="s">
        <v>141</v>
      </c>
      <c r="D1253" s="80" t="s">
        <v>141</v>
      </c>
      <c r="E1253" s="288" t="s">
        <v>141</v>
      </c>
      <c r="F1253" s="401" t="s">
        <v>5154</v>
      </c>
      <c r="G1253" s="27">
        <v>46268</v>
      </c>
      <c r="H1253" s="455" t="s">
        <v>5155</v>
      </c>
      <c r="I1253" s="33">
        <v>3870</v>
      </c>
      <c r="J1253" s="34" t="s">
        <v>3421</v>
      </c>
      <c r="K1253" t="s">
        <v>139</v>
      </c>
      <c r="L1253" s="35">
        <v>80005604</v>
      </c>
      <c r="M1253" s="36" t="s">
        <v>5156</v>
      </c>
      <c r="N1253" s="454" t="s">
        <v>141</v>
      </c>
      <c r="O1253" s="283" t="s">
        <v>141</v>
      </c>
      <c r="P1253" s="283" t="s">
        <v>141</v>
      </c>
      <c r="Q1253" t="s">
        <v>5142</v>
      </c>
      <c r="R1253" s="50" t="s">
        <v>141</v>
      </c>
      <c r="S1253" s="47" t="s">
        <v>141</v>
      </c>
      <c r="T1253" s="50" t="s">
        <v>141</v>
      </c>
      <c r="U1253" s="47" t="s">
        <v>141</v>
      </c>
      <c r="V1253" s="283" t="s">
        <v>141</v>
      </c>
      <c r="W1253" s="41" t="s">
        <v>39</v>
      </c>
      <c r="X1253" s="283" t="s">
        <v>141</v>
      </c>
      <c r="Y1253" s="40" t="s">
        <v>185</v>
      </c>
    </row>
    <row r="1254" spans="1:25" ht="19.5" customHeight="1">
      <c r="A1254" s="25">
        <f t="shared" si="21"/>
        <v>1238</v>
      </c>
      <c r="B1254" s="26">
        <v>6328779</v>
      </c>
      <c r="C1254" s="27">
        <v>46268</v>
      </c>
      <c r="D1254" s="28">
        <v>2253.7199999999998</v>
      </c>
      <c r="E1254" s="29">
        <v>17665.11</v>
      </c>
      <c r="J1254" s="43" t="s">
        <v>99</v>
      </c>
      <c r="K1254" s="450" t="s">
        <v>34</v>
      </c>
      <c r="L1254" s="35">
        <v>292343301</v>
      </c>
      <c r="M1254" s="36" t="s">
        <v>2129</v>
      </c>
      <c r="N1254" s="398" t="s">
        <v>5009</v>
      </c>
      <c r="O1254" s="456" t="s">
        <v>5157</v>
      </c>
      <c r="P1254" t="s">
        <v>5158</v>
      </c>
      <c r="Q1254" t="s">
        <v>4083</v>
      </c>
      <c r="R1254" s="332">
        <v>46305</v>
      </c>
      <c r="S1254" s="333">
        <v>46669</v>
      </c>
      <c r="T1254" s="332">
        <v>46305</v>
      </c>
      <c r="U1254" s="333">
        <v>46669</v>
      </c>
      <c r="V1254" s="40" t="s">
        <v>4865</v>
      </c>
      <c r="W1254" s="41" t="s">
        <v>5007</v>
      </c>
      <c r="X1254" s="457" t="s">
        <v>5159</v>
      </c>
      <c r="Y1254" s="40" t="s">
        <v>56</v>
      </c>
    </row>
    <row r="1255" spans="1:25" ht="19.5" customHeight="1">
      <c r="A1255" s="25">
        <f t="shared" si="21"/>
        <v>1239</v>
      </c>
      <c r="B1255" s="26">
        <v>6328775</v>
      </c>
      <c r="C1255" s="27">
        <v>46268</v>
      </c>
      <c r="D1255" s="80" t="s">
        <v>141</v>
      </c>
      <c r="E1255" s="29">
        <v>9510</v>
      </c>
      <c r="F1255" s="401" t="s">
        <v>5160</v>
      </c>
      <c r="G1255" s="27">
        <v>46274</v>
      </c>
      <c r="H1255" s="283" t="s">
        <v>141</v>
      </c>
      <c r="I1255" s="33">
        <v>9510</v>
      </c>
      <c r="J1255" s="34" t="s">
        <v>929</v>
      </c>
      <c r="K1255" t="s">
        <v>139</v>
      </c>
      <c r="L1255" s="35">
        <v>80005601</v>
      </c>
      <c r="M1255" s="36" t="s">
        <v>5161</v>
      </c>
      <c r="N1255" s="43" t="s">
        <v>1383</v>
      </c>
      <c r="O1255" s="40" t="s">
        <v>5162</v>
      </c>
      <c r="P1255" s="40" t="s">
        <v>5163</v>
      </c>
      <c r="Q1255" t="s">
        <v>5142</v>
      </c>
      <c r="R1255" s="332">
        <v>46204</v>
      </c>
      <c r="S1255" s="333">
        <v>46568</v>
      </c>
      <c r="T1255" s="50" t="s">
        <v>141</v>
      </c>
      <c r="U1255" s="47" t="s">
        <v>141</v>
      </c>
      <c r="V1255" s="40" t="s">
        <v>1599</v>
      </c>
      <c r="W1255" s="41" t="s">
        <v>39</v>
      </c>
      <c r="X1255" s="40" t="s">
        <v>5164</v>
      </c>
      <c r="Y1255" s="40" t="s">
        <v>185</v>
      </c>
    </row>
    <row r="1256" spans="1:25" ht="19.5" customHeight="1">
      <c r="A1256" s="25">
        <f t="shared" si="21"/>
        <v>1240</v>
      </c>
      <c r="B1256" s="26">
        <v>6329059</v>
      </c>
      <c r="C1256" s="27">
        <v>46269</v>
      </c>
      <c r="D1256" s="28">
        <v>3353.96</v>
      </c>
      <c r="E1256" s="29">
        <v>26289.01</v>
      </c>
      <c r="J1256" s="43" t="s">
        <v>99</v>
      </c>
      <c r="K1256" s="450" t="s">
        <v>34</v>
      </c>
      <c r="L1256" s="35">
        <v>312292341</v>
      </c>
      <c r="M1256" s="36" t="s">
        <v>2129</v>
      </c>
      <c r="N1256" s="398" t="s">
        <v>5009</v>
      </c>
      <c r="O1256" s="456" t="s">
        <v>5165</v>
      </c>
      <c r="P1256" t="s">
        <v>5166</v>
      </c>
      <c r="Q1256" t="s">
        <v>5167</v>
      </c>
      <c r="R1256" s="332">
        <v>46343</v>
      </c>
      <c r="S1256" s="333">
        <v>46707</v>
      </c>
      <c r="T1256" s="332">
        <v>46343</v>
      </c>
      <c r="U1256" s="333">
        <v>46707</v>
      </c>
      <c r="V1256" s="40" t="s">
        <v>1599</v>
      </c>
      <c r="W1256" s="41" t="s">
        <v>5007</v>
      </c>
      <c r="X1256" s="40" t="s">
        <v>5168</v>
      </c>
      <c r="Y1256" s="40" t="s">
        <v>56</v>
      </c>
    </row>
    <row r="1257" spans="1:25" ht="19.5" customHeight="1">
      <c r="A1257" s="25">
        <f t="shared" si="21"/>
        <v>1241</v>
      </c>
      <c r="B1257" s="26">
        <v>6329066</v>
      </c>
      <c r="C1257" s="27">
        <v>46269</v>
      </c>
      <c r="D1257" s="80" t="s">
        <v>141</v>
      </c>
      <c r="E1257" s="29">
        <v>1600</v>
      </c>
      <c r="F1257" s="401" t="s">
        <v>5169</v>
      </c>
      <c r="G1257" s="27">
        <v>46273</v>
      </c>
      <c r="H1257" s="283" t="s">
        <v>141</v>
      </c>
      <c r="I1257" s="33">
        <v>1600</v>
      </c>
      <c r="J1257" s="34" t="s">
        <v>929</v>
      </c>
      <c r="K1257" s="450" t="s">
        <v>139</v>
      </c>
      <c r="L1257" s="35">
        <v>80005606</v>
      </c>
      <c r="M1257" s="36" t="s">
        <v>5170</v>
      </c>
      <c r="N1257" s="43" t="s">
        <v>1383</v>
      </c>
      <c r="O1257" t="s">
        <v>5171</v>
      </c>
      <c r="P1257" t="s">
        <v>5172</v>
      </c>
      <c r="Q1257" t="s">
        <v>1983</v>
      </c>
      <c r="R1257" s="332">
        <v>46296</v>
      </c>
      <c r="S1257" s="333">
        <v>46660</v>
      </c>
      <c r="T1257" s="332">
        <v>46296</v>
      </c>
      <c r="U1257" s="333">
        <v>46660</v>
      </c>
      <c r="V1257" s="40" t="s">
        <v>38</v>
      </c>
      <c r="W1257" s="41" t="s">
        <v>39</v>
      </c>
      <c r="X1257" s="40" t="s">
        <v>1985</v>
      </c>
      <c r="Y1257" s="40" t="s">
        <v>56</v>
      </c>
    </row>
    <row r="1258" spans="1:25" ht="19.5" customHeight="1">
      <c r="A1258" s="25">
        <f t="shared" si="21"/>
        <v>1242</v>
      </c>
      <c r="B1258" s="26">
        <v>6329485</v>
      </c>
      <c r="C1258" s="27">
        <v>46272</v>
      </c>
      <c r="D1258" s="28">
        <v>17944.11</v>
      </c>
      <c r="E1258" s="29">
        <v>140649.51999999999</v>
      </c>
      <c r="J1258" s="43" t="s">
        <v>99</v>
      </c>
      <c r="K1258" s="450" t="s">
        <v>34</v>
      </c>
      <c r="L1258" s="35">
        <v>272317140</v>
      </c>
      <c r="M1258" s="36" t="s">
        <v>5173</v>
      </c>
      <c r="N1258" s="398" t="s">
        <v>5009</v>
      </c>
      <c r="O1258" t="s">
        <v>5174</v>
      </c>
      <c r="P1258" t="s">
        <v>5175</v>
      </c>
      <c r="Q1258" t="s">
        <v>5176</v>
      </c>
      <c r="R1258" s="332">
        <v>46251</v>
      </c>
      <c r="S1258" s="333">
        <v>46615</v>
      </c>
      <c r="T1258" s="332">
        <v>46251</v>
      </c>
      <c r="U1258" s="333">
        <v>46615</v>
      </c>
      <c r="V1258" s="40" t="s">
        <v>5091</v>
      </c>
      <c r="W1258" s="41" t="s">
        <v>5007</v>
      </c>
      <c r="X1258" s="40" t="s">
        <v>5177</v>
      </c>
      <c r="Y1258" s="40" t="s">
        <v>56</v>
      </c>
    </row>
    <row r="1259" spans="1:25" ht="19.5" customHeight="1">
      <c r="A1259" s="25">
        <f t="shared" si="21"/>
        <v>1243</v>
      </c>
      <c r="B1259" s="26">
        <v>6329586</v>
      </c>
      <c r="C1259" s="27">
        <v>46272</v>
      </c>
      <c r="D1259" s="28">
        <v>389.34</v>
      </c>
      <c r="E1259" s="29">
        <v>3051.72</v>
      </c>
      <c r="J1259" s="43" t="s">
        <v>99</v>
      </c>
      <c r="K1259" s="450" t="s">
        <v>34</v>
      </c>
      <c r="L1259" s="35">
        <v>212322842</v>
      </c>
      <c r="M1259" s="36" t="s">
        <v>2129</v>
      </c>
      <c r="N1259" s="398" t="s">
        <v>5178</v>
      </c>
      <c r="O1259" t="s">
        <v>4397</v>
      </c>
      <c r="P1259" t="s">
        <v>5077</v>
      </c>
      <c r="Q1259" t="s">
        <v>5176</v>
      </c>
      <c r="R1259" s="332">
        <v>46248</v>
      </c>
      <c r="S1259" s="333">
        <v>46507</v>
      </c>
      <c r="T1259" s="332">
        <v>46248</v>
      </c>
      <c r="U1259" s="333">
        <v>46507</v>
      </c>
      <c r="V1259" s="40" t="s">
        <v>5079</v>
      </c>
      <c r="W1259" s="41" t="s">
        <v>5007</v>
      </c>
      <c r="X1259" s="40" t="s">
        <v>5179</v>
      </c>
      <c r="Y1259" s="40" t="s">
        <v>185</v>
      </c>
    </row>
    <row r="1260" spans="1:25" ht="19.5" customHeight="1">
      <c r="A1260" s="25">
        <f t="shared" si="21"/>
        <v>1244</v>
      </c>
      <c r="B1260" s="26">
        <v>6329757</v>
      </c>
      <c r="C1260" s="27">
        <v>46272</v>
      </c>
      <c r="D1260" s="80" t="s">
        <v>141</v>
      </c>
      <c r="E1260" s="29">
        <v>13000</v>
      </c>
      <c r="J1260" s="34" t="s">
        <v>929</v>
      </c>
      <c r="K1260" s="450" t="s">
        <v>733</v>
      </c>
      <c r="L1260" s="35" t="s">
        <v>5180</v>
      </c>
      <c r="M1260" s="36" t="s">
        <v>5181</v>
      </c>
      <c r="N1260" s="454" t="s">
        <v>141</v>
      </c>
      <c r="O1260" s="283" t="s">
        <v>141</v>
      </c>
      <c r="P1260" s="283" t="s">
        <v>141</v>
      </c>
      <c r="Q1260" s="41" t="s">
        <v>2020</v>
      </c>
      <c r="R1260" s="50" t="s">
        <v>141</v>
      </c>
      <c r="S1260" s="47" t="s">
        <v>141</v>
      </c>
      <c r="T1260" s="50" t="s">
        <v>141</v>
      </c>
      <c r="U1260" s="47" t="s">
        <v>141</v>
      </c>
      <c r="V1260" s="283" t="s">
        <v>141</v>
      </c>
      <c r="W1260" s="41" t="s">
        <v>39</v>
      </c>
      <c r="X1260" s="283" t="s">
        <v>141</v>
      </c>
      <c r="Y1260" s="40" t="s">
        <v>185</v>
      </c>
    </row>
    <row r="1261" spans="1:25" ht="19.5" customHeight="1">
      <c r="A1261" s="25">
        <f t="shared" si="21"/>
        <v>1245</v>
      </c>
      <c r="B1261" s="26">
        <v>6329785</v>
      </c>
      <c r="C1261" s="27">
        <v>46272</v>
      </c>
      <c r="D1261" s="28">
        <v>4149.5200000000004</v>
      </c>
      <c r="E1261" s="29">
        <v>32524.77</v>
      </c>
      <c r="J1261" s="43" t="s">
        <v>99</v>
      </c>
      <c r="K1261" s="450" t="s">
        <v>34</v>
      </c>
      <c r="L1261" s="35">
        <v>392324782</v>
      </c>
      <c r="M1261" s="36" t="s">
        <v>5182</v>
      </c>
      <c r="N1261" s="398" t="s">
        <v>5009</v>
      </c>
      <c r="O1261" t="s">
        <v>5183</v>
      </c>
      <c r="P1261" t="s">
        <v>5109</v>
      </c>
      <c r="Q1261" t="s">
        <v>5184</v>
      </c>
      <c r="R1261" s="332">
        <v>46296</v>
      </c>
      <c r="S1261" s="333">
        <v>46660</v>
      </c>
      <c r="T1261" s="332">
        <v>46296</v>
      </c>
      <c r="U1261" s="333">
        <v>46660</v>
      </c>
      <c r="V1261" s="40" t="s">
        <v>5185</v>
      </c>
      <c r="W1261" s="41" t="s">
        <v>5007</v>
      </c>
      <c r="X1261" s="40" t="s">
        <v>5186</v>
      </c>
      <c r="Y1261" s="40" t="s">
        <v>56</v>
      </c>
    </row>
    <row r="1262" spans="1:25" ht="19.5" customHeight="1">
      <c r="A1262" s="25">
        <f t="shared" si="21"/>
        <v>1246</v>
      </c>
      <c r="B1262" s="26">
        <v>6329837</v>
      </c>
      <c r="C1262" s="27">
        <v>46272</v>
      </c>
      <c r="D1262" s="28">
        <v>1151.94</v>
      </c>
      <c r="E1262" s="29">
        <v>9029.14</v>
      </c>
      <c r="F1262" s="401" t="s">
        <v>5187</v>
      </c>
      <c r="G1262" s="27">
        <v>46274</v>
      </c>
      <c r="H1262">
        <v>1151.94</v>
      </c>
      <c r="I1262" s="33">
        <v>9029.14</v>
      </c>
      <c r="J1262" s="34" t="s">
        <v>929</v>
      </c>
      <c r="K1262" s="450" t="s">
        <v>206</v>
      </c>
      <c r="L1262" s="35" t="s">
        <v>5188</v>
      </c>
      <c r="M1262" s="36" t="s">
        <v>5189</v>
      </c>
      <c r="N1262" s="43" t="s">
        <v>1330</v>
      </c>
      <c r="O1262" t="s">
        <v>5190</v>
      </c>
      <c r="P1262" t="s">
        <v>5191</v>
      </c>
      <c r="Q1262" t="s">
        <v>5192</v>
      </c>
      <c r="R1262" s="332">
        <v>46282</v>
      </c>
      <c r="S1262" s="333">
        <v>46646</v>
      </c>
      <c r="T1262" s="332">
        <v>46282</v>
      </c>
      <c r="U1262" s="333">
        <v>46646</v>
      </c>
      <c r="V1262" s="40" t="s">
        <v>1306</v>
      </c>
      <c r="W1262" s="41" t="s">
        <v>39</v>
      </c>
      <c r="X1262" s="40" t="s">
        <v>5193</v>
      </c>
      <c r="Y1262" s="40" t="s">
        <v>56</v>
      </c>
    </row>
    <row r="1263" spans="1:25" ht="19.5" customHeight="1">
      <c r="A1263" s="25">
        <f t="shared" si="21"/>
        <v>1247</v>
      </c>
      <c r="B1263" s="291" t="s">
        <v>141</v>
      </c>
      <c r="C1263" s="31" t="s">
        <v>141</v>
      </c>
      <c r="D1263" s="80" t="s">
        <v>141</v>
      </c>
      <c r="E1263" s="288" t="s">
        <v>141</v>
      </c>
      <c r="F1263" s="401">
        <v>1610948</v>
      </c>
      <c r="G1263" s="27">
        <v>46273</v>
      </c>
      <c r="H1263" s="283" t="s">
        <v>141</v>
      </c>
      <c r="I1263" s="33">
        <v>680</v>
      </c>
      <c r="J1263" s="34" t="s">
        <v>3421</v>
      </c>
      <c r="K1263" s="450" t="s">
        <v>139</v>
      </c>
      <c r="L1263" s="35">
        <v>80005607</v>
      </c>
      <c r="M1263" s="36" t="s">
        <v>5194</v>
      </c>
      <c r="N1263" s="43" t="s">
        <v>1383</v>
      </c>
      <c r="O1263" t="s">
        <v>5195</v>
      </c>
      <c r="P1263" t="s">
        <v>5196</v>
      </c>
      <c r="Q1263" t="s">
        <v>5197</v>
      </c>
      <c r="R1263" s="332">
        <v>46274</v>
      </c>
      <c r="S1263" s="333">
        <v>46638</v>
      </c>
      <c r="T1263" s="50" t="s">
        <v>141</v>
      </c>
      <c r="U1263" s="47" t="s">
        <v>141</v>
      </c>
      <c r="V1263" s="40" t="s">
        <v>375</v>
      </c>
      <c r="W1263" s="41" t="s">
        <v>39</v>
      </c>
      <c r="X1263" s="40" t="s">
        <v>5198</v>
      </c>
      <c r="Y1263" s="40" t="s">
        <v>185</v>
      </c>
    </row>
    <row r="1264" spans="1:25" ht="19.5" customHeight="1">
      <c r="A1264" s="25">
        <f t="shared" si="21"/>
        <v>1248</v>
      </c>
      <c r="B1264" s="26">
        <v>6330026</v>
      </c>
      <c r="C1264" s="27">
        <v>46273</v>
      </c>
      <c r="D1264" s="28">
        <v>451.38</v>
      </c>
      <c r="E1264" s="29">
        <v>3538.01</v>
      </c>
      <c r="J1264" s="43" t="s">
        <v>99</v>
      </c>
      <c r="K1264" s="450" t="s">
        <v>34</v>
      </c>
      <c r="L1264" s="35">
        <v>232344544</v>
      </c>
      <c r="M1264" s="36" t="s">
        <v>5182</v>
      </c>
      <c r="N1264" s="458" t="s">
        <v>5199</v>
      </c>
      <c r="O1264" t="s">
        <v>5200</v>
      </c>
      <c r="P1264" t="s">
        <v>5201</v>
      </c>
      <c r="Q1264" t="s">
        <v>5202</v>
      </c>
      <c r="R1264" s="332">
        <v>46290</v>
      </c>
      <c r="S1264" s="333">
        <v>46654</v>
      </c>
      <c r="T1264" s="332">
        <v>46290</v>
      </c>
      <c r="U1264" s="333">
        <v>46654</v>
      </c>
      <c r="V1264" s="40" t="s">
        <v>5203</v>
      </c>
      <c r="W1264" s="41" t="s">
        <v>5007</v>
      </c>
      <c r="X1264" s="40" t="s">
        <v>5204</v>
      </c>
      <c r="Y1264" s="40" t="s">
        <v>56</v>
      </c>
    </row>
    <row r="1265" spans="1:25" ht="19.5" customHeight="1">
      <c r="A1265" s="25">
        <f t="shared" si="21"/>
        <v>1249</v>
      </c>
      <c r="B1265" s="26">
        <v>6330323</v>
      </c>
      <c r="C1265" s="27">
        <v>46273</v>
      </c>
      <c r="D1265">
        <v>781.64</v>
      </c>
      <c r="E1265" s="29">
        <v>6126.65</v>
      </c>
      <c r="J1265" s="43" t="s">
        <v>384</v>
      </c>
      <c r="K1265" s="450" t="s">
        <v>34</v>
      </c>
      <c r="L1265" s="35">
        <v>322317889</v>
      </c>
      <c r="M1265" s="36" t="s">
        <v>5205</v>
      </c>
      <c r="N1265" s="398" t="s">
        <v>5009</v>
      </c>
      <c r="O1265" t="s">
        <v>5206</v>
      </c>
      <c r="P1265" t="s">
        <v>5207</v>
      </c>
      <c r="Q1265" t="s">
        <v>5208</v>
      </c>
      <c r="R1265" s="332">
        <v>46340</v>
      </c>
      <c r="S1265" s="333">
        <v>46704</v>
      </c>
      <c r="T1265" s="332">
        <v>46340</v>
      </c>
      <c r="U1265" s="333">
        <v>46704</v>
      </c>
      <c r="V1265" s="40" t="s">
        <v>5209</v>
      </c>
      <c r="W1265" s="41" t="s">
        <v>5007</v>
      </c>
      <c r="X1265" s="40" t="s">
        <v>5210</v>
      </c>
      <c r="Y1265" s="40" t="s">
        <v>56</v>
      </c>
    </row>
    <row r="1266" spans="1:25" ht="19.5" customHeight="1">
      <c r="A1266" s="25">
        <f t="shared" si="21"/>
        <v>1250</v>
      </c>
      <c r="B1266" s="26">
        <v>6330468</v>
      </c>
      <c r="C1266" s="27">
        <v>46274</v>
      </c>
      <c r="D1266" s="28">
        <v>765.47</v>
      </c>
      <c r="E1266" s="29">
        <v>5999.91</v>
      </c>
      <c r="J1266" s="43" t="s">
        <v>99</v>
      </c>
      <c r="K1266" s="450" t="s">
        <v>34</v>
      </c>
      <c r="L1266" s="35">
        <v>422041777</v>
      </c>
      <c r="M1266" s="36" t="s">
        <v>4985</v>
      </c>
      <c r="N1266" s="398" t="s">
        <v>5211</v>
      </c>
      <c r="O1266" t="s">
        <v>5212</v>
      </c>
      <c r="P1266" t="s">
        <v>5213</v>
      </c>
      <c r="Q1266" t="s">
        <v>5214</v>
      </c>
      <c r="R1266" s="332">
        <v>46327</v>
      </c>
      <c r="S1266" s="333">
        <v>46568</v>
      </c>
      <c r="T1266" s="332">
        <v>46327</v>
      </c>
      <c r="U1266" s="333">
        <v>46568</v>
      </c>
      <c r="V1266" s="40" t="s">
        <v>5037</v>
      </c>
      <c r="W1266" s="41" t="s">
        <v>5007</v>
      </c>
      <c r="X1266" s="40" t="s">
        <v>5215</v>
      </c>
      <c r="Y1266" s="40" t="s">
        <v>56</v>
      </c>
    </row>
    <row r="1267" spans="1:25" ht="19.5" customHeight="1">
      <c r="A1267" s="25">
        <f t="shared" si="21"/>
        <v>1251</v>
      </c>
      <c r="B1267" s="26">
        <v>6330443</v>
      </c>
      <c r="C1267" s="27">
        <v>46274</v>
      </c>
      <c r="D1267" s="28">
        <v>7305.91</v>
      </c>
      <c r="E1267" s="29">
        <v>57265.18</v>
      </c>
      <c r="J1267" s="43" t="s">
        <v>99</v>
      </c>
      <c r="K1267" s="450" t="s">
        <v>34</v>
      </c>
      <c r="L1267" s="35">
        <v>202329045</v>
      </c>
      <c r="M1267" s="36" t="s">
        <v>5216</v>
      </c>
      <c r="N1267" s="398" t="s">
        <v>5033</v>
      </c>
      <c r="O1267" t="s">
        <v>5217</v>
      </c>
      <c r="P1267" t="s">
        <v>5213</v>
      </c>
      <c r="Q1267" t="s">
        <v>5214</v>
      </c>
      <c r="R1267" s="332">
        <v>46296</v>
      </c>
      <c r="S1267" s="333">
        <v>46596</v>
      </c>
      <c r="T1267" s="332">
        <v>46296</v>
      </c>
      <c r="U1267" s="333">
        <v>46596</v>
      </c>
      <c r="V1267" s="40" t="s">
        <v>5037</v>
      </c>
      <c r="W1267" s="41" t="s">
        <v>5007</v>
      </c>
      <c r="X1267" s="40" t="s">
        <v>5215</v>
      </c>
      <c r="Y1267" s="40" t="s">
        <v>56</v>
      </c>
    </row>
    <row r="1268" spans="1:25" ht="19.5" customHeight="1">
      <c r="A1268" s="25">
        <f t="shared" si="21"/>
        <v>1252</v>
      </c>
      <c r="B1268" s="26">
        <v>6330505</v>
      </c>
      <c r="C1268" s="27">
        <v>46274</v>
      </c>
      <c r="D1268" s="28">
        <v>589.79999999999995</v>
      </c>
      <c r="E1268" s="29">
        <v>4622.97</v>
      </c>
      <c r="J1268" s="43" t="s">
        <v>99</v>
      </c>
      <c r="K1268" s="450" t="s">
        <v>34</v>
      </c>
      <c r="L1268" s="35">
        <v>402044639</v>
      </c>
      <c r="M1268" s="36" t="s">
        <v>4985</v>
      </c>
      <c r="N1268" s="398" t="s">
        <v>5199</v>
      </c>
      <c r="O1268" t="s">
        <v>5218</v>
      </c>
      <c r="P1268" t="s">
        <v>5213</v>
      </c>
      <c r="Q1268" t="s">
        <v>5214</v>
      </c>
      <c r="R1268" s="332">
        <v>46327</v>
      </c>
      <c r="S1268" s="333">
        <v>46568</v>
      </c>
      <c r="T1268" s="332">
        <v>46327</v>
      </c>
      <c r="U1268" s="333">
        <v>46568</v>
      </c>
      <c r="V1268" s="40" t="s">
        <v>5037</v>
      </c>
      <c r="W1268" s="41" t="s">
        <v>5007</v>
      </c>
      <c r="X1268" s="40" t="s">
        <v>5215</v>
      </c>
      <c r="Y1268" s="40" t="s">
        <v>56</v>
      </c>
    </row>
    <row r="1269" spans="1:25" ht="19.5" customHeight="1">
      <c r="A1269" s="25">
        <f t="shared" si="21"/>
        <v>1253</v>
      </c>
      <c r="B1269" s="26">
        <v>6330533</v>
      </c>
      <c r="C1269" s="27">
        <v>46274</v>
      </c>
      <c r="D1269" s="28">
        <v>1735.26</v>
      </c>
      <c r="E1269" s="29">
        <v>13601.31</v>
      </c>
      <c r="J1269" s="43" t="s">
        <v>99</v>
      </c>
      <c r="K1269" s="450" t="s">
        <v>34</v>
      </c>
      <c r="L1269" s="35">
        <v>492044726</v>
      </c>
      <c r="M1269" s="36" t="s">
        <v>4985</v>
      </c>
      <c r="N1269" s="398" t="s">
        <v>5107</v>
      </c>
      <c r="O1269" t="s">
        <v>5219</v>
      </c>
      <c r="P1269" t="s">
        <v>5213</v>
      </c>
      <c r="Q1269" t="s">
        <v>5214</v>
      </c>
      <c r="R1269" s="332">
        <v>46327</v>
      </c>
      <c r="S1269" s="333">
        <v>46568</v>
      </c>
      <c r="T1269" s="332">
        <v>46327</v>
      </c>
      <c r="U1269" s="333">
        <v>46568</v>
      </c>
      <c r="V1269" s="40" t="s">
        <v>5037</v>
      </c>
      <c r="W1269" s="41" t="s">
        <v>5007</v>
      </c>
      <c r="X1269" s="40" t="s">
        <v>5215</v>
      </c>
      <c r="Y1269" s="40" t="s">
        <v>56</v>
      </c>
    </row>
    <row r="1270" spans="1:25" ht="19.5" customHeight="1">
      <c r="A1270" s="25">
        <f t="shared" si="21"/>
        <v>1254</v>
      </c>
      <c r="B1270" s="26">
        <v>6330566</v>
      </c>
      <c r="C1270" s="27">
        <v>46274</v>
      </c>
      <c r="D1270" s="28">
        <v>9251.0300000000007</v>
      </c>
      <c r="E1270" s="29">
        <v>72511.42</v>
      </c>
      <c r="J1270" s="43" t="s">
        <v>99</v>
      </c>
      <c r="K1270" s="450" t="s">
        <v>34</v>
      </c>
      <c r="L1270" s="35">
        <v>492024160</v>
      </c>
      <c r="M1270" s="36" t="s">
        <v>5216</v>
      </c>
      <c r="N1270" s="398" t="s">
        <v>4953</v>
      </c>
      <c r="O1270" t="s">
        <v>5220</v>
      </c>
      <c r="P1270" t="s">
        <v>5213</v>
      </c>
      <c r="Q1270" t="s">
        <v>5214</v>
      </c>
      <c r="R1270" s="332">
        <v>46327</v>
      </c>
      <c r="S1270" s="333">
        <v>46568</v>
      </c>
      <c r="T1270" s="332">
        <v>46327</v>
      </c>
      <c r="U1270" s="333">
        <v>46568</v>
      </c>
      <c r="V1270" s="40" t="s">
        <v>5037</v>
      </c>
      <c r="W1270" s="41" t="s">
        <v>5007</v>
      </c>
      <c r="X1270" s="40" t="s">
        <v>5215</v>
      </c>
      <c r="Y1270" s="40" t="s">
        <v>56</v>
      </c>
    </row>
    <row r="1271" spans="1:25" ht="19.5" customHeight="1">
      <c r="A1271" s="25">
        <f t="shared" si="21"/>
        <v>1255</v>
      </c>
      <c r="B1271" s="26">
        <v>6330572</v>
      </c>
      <c r="C1271" s="27">
        <v>46274</v>
      </c>
      <c r="D1271" s="28">
        <v>13514.42</v>
      </c>
      <c r="E1271" s="29">
        <v>105928.73</v>
      </c>
      <c r="J1271" s="43" t="s">
        <v>99</v>
      </c>
      <c r="K1271" s="450" t="s">
        <v>34</v>
      </c>
      <c r="L1271" s="35">
        <v>472023483</v>
      </c>
      <c r="M1271" s="36" t="s">
        <v>5216</v>
      </c>
      <c r="N1271" s="398" t="s">
        <v>5221</v>
      </c>
      <c r="O1271" t="s">
        <v>5222</v>
      </c>
      <c r="P1271" t="s">
        <v>5213</v>
      </c>
      <c r="Q1271" t="s">
        <v>5214</v>
      </c>
      <c r="R1271" s="332">
        <v>46327</v>
      </c>
      <c r="S1271" s="333">
        <v>46568</v>
      </c>
      <c r="T1271" s="332">
        <v>46327</v>
      </c>
      <c r="U1271" s="333">
        <v>46568</v>
      </c>
      <c r="V1271" s="40" t="s">
        <v>5037</v>
      </c>
      <c r="W1271" s="41" t="s">
        <v>5007</v>
      </c>
      <c r="X1271" s="40" t="s">
        <v>5215</v>
      </c>
      <c r="Y1271" s="40" t="s">
        <v>56</v>
      </c>
    </row>
    <row r="1272" spans="1:25" ht="19.5" customHeight="1">
      <c r="A1272" s="25">
        <f t="shared" si="21"/>
        <v>1256</v>
      </c>
      <c r="B1272" s="26">
        <v>6330585</v>
      </c>
      <c r="C1272" s="27">
        <v>46274</v>
      </c>
      <c r="D1272" s="80" t="s">
        <v>141</v>
      </c>
      <c r="E1272" s="29">
        <v>75420</v>
      </c>
      <c r="J1272" s="34" t="s">
        <v>929</v>
      </c>
      <c r="K1272" s="450" t="s">
        <v>139</v>
      </c>
      <c r="L1272" s="35">
        <v>80005602</v>
      </c>
      <c r="M1272" s="36" t="s">
        <v>5223</v>
      </c>
      <c r="N1272" s="43" t="s">
        <v>1383</v>
      </c>
      <c r="O1272" t="s">
        <v>5224</v>
      </c>
      <c r="P1272" t="s">
        <v>5225</v>
      </c>
      <c r="Q1272" t="s">
        <v>5226</v>
      </c>
      <c r="R1272" s="332">
        <v>46204</v>
      </c>
      <c r="S1272" s="333">
        <v>46568</v>
      </c>
      <c r="T1272" s="50" t="s">
        <v>141</v>
      </c>
      <c r="U1272" s="47" t="s">
        <v>141</v>
      </c>
      <c r="V1272" s="40" t="s">
        <v>1374</v>
      </c>
      <c r="W1272" s="41" t="s">
        <v>39</v>
      </c>
      <c r="X1272" s="40" t="s">
        <v>5227</v>
      </c>
      <c r="Y1272" s="40" t="s">
        <v>185</v>
      </c>
    </row>
    <row r="1273" spans="1:25" ht="19.5" customHeight="1">
      <c r="A1273" s="25">
        <f t="shared" si="21"/>
        <v>1257</v>
      </c>
      <c r="B1273" s="26">
        <v>6332002</v>
      </c>
      <c r="C1273" s="27">
        <v>46279</v>
      </c>
      <c r="D1273" s="28">
        <v>4935.76</v>
      </c>
      <c r="E1273" s="29">
        <v>38687.47</v>
      </c>
      <c r="J1273" s="43" t="s">
        <v>99</v>
      </c>
      <c r="K1273" s="450" t="s">
        <v>34</v>
      </c>
      <c r="L1273" s="35">
        <v>382322750</v>
      </c>
      <c r="M1273" s="36" t="s">
        <v>5228</v>
      </c>
      <c r="N1273" s="398" t="s">
        <v>5009</v>
      </c>
      <c r="O1273" t="s">
        <v>5229</v>
      </c>
      <c r="P1273" t="s">
        <v>5230</v>
      </c>
      <c r="Q1273" t="s">
        <v>5231</v>
      </c>
      <c r="R1273" s="332">
        <v>46280</v>
      </c>
      <c r="S1273" s="333">
        <v>46644</v>
      </c>
      <c r="T1273" s="332">
        <v>46280</v>
      </c>
      <c r="U1273" s="333">
        <v>46644</v>
      </c>
      <c r="V1273" s="40" t="s">
        <v>5232</v>
      </c>
      <c r="W1273" s="41" t="s">
        <v>5007</v>
      </c>
      <c r="X1273" s="40" t="s">
        <v>5233</v>
      </c>
      <c r="Y1273" s="40" t="s">
        <v>56</v>
      </c>
    </row>
    <row r="1274" spans="1:25" ht="19.5" customHeight="1">
      <c r="A1274" s="25">
        <f t="shared" si="21"/>
        <v>1258</v>
      </c>
      <c r="B1274" s="26">
        <v>6332134</v>
      </c>
      <c r="C1274" s="27">
        <v>46279</v>
      </c>
      <c r="D1274" s="28">
        <v>7606.67</v>
      </c>
      <c r="E1274" s="29">
        <v>59622.6</v>
      </c>
      <c r="J1274" s="43" t="s">
        <v>99</v>
      </c>
      <c r="K1274" s="450" t="s">
        <v>34</v>
      </c>
      <c r="L1274" s="35">
        <v>312292976</v>
      </c>
      <c r="M1274" s="36" t="s">
        <v>5234</v>
      </c>
      <c r="N1274" s="398" t="s">
        <v>5009</v>
      </c>
      <c r="O1274" t="s">
        <v>5235</v>
      </c>
      <c r="P1274" t="s">
        <v>5236</v>
      </c>
      <c r="Q1274" t="s">
        <v>5237</v>
      </c>
      <c r="R1274" s="332">
        <v>46269</v>
      </c>
      <c r="S1274" s="333">
        <v>46633</v>
      </c>
      <c r="T1274" s="332">
        <v>46269</v>
      </c>
      <c r="U1274" s="333">
        <v>46633</v>
      </c>
      <c r="V1274" s="40" t="s">
        <v>1374</v>
      </c>
      <c r="W1274" s="41" t="s">
        <v>5007</v>
      </c>
      <c r="X1274" s="40" t="s">
        <v>5238</v>
      </c>
      <c r="Y1274" s="40" t="s">
        <v>56</v>
      </c>
    </row>
    <row r="1275" spans="1:25" ht="19.5" customHeight="1">
      <c r="A1275" s="25">
        <f t="shared" si="21"/>
        <v>1259</v>
      </c>
    </row>
    <row r="1276" spans="1:25" ht="19.5" customHeight="1">
      <c r="A1276" s="25">
        <f t="shared" si="21"/>
        <v>1260</v>
      </c>
    </row>
    <row r="1277" spans="1:25" ht="19.5" customHeight="1">
      <c r="A1277" s="25">
        <f t="shared" si="21"/>
        <v>1261</v>
      </c>
    </row>
    <row r="1278" spans="1:25" ht="19.5" customHeight="1">
      <c r="A1278" s="25">
        <f t="shared" si="21"/>
        <v>1262</v>
      </c>
    </row>
    <row r="1279" spans="1:25" ht="19.5" customHeight="1">
      <c r="A1279" s="25">
        <f t="shared" si="21"/>
        <v>1263</v>
      </c>
    </row>
    <row r="1280" spans="1:25" ht="19.5" customHeight="1">
      <c r="A1280" s="25">
        <f t="shared" si="21"/>
        <v>1264</v>
      </c>
    </row>
    <row r="1281" spans="1:1" ht="19.5" customHeight="1">
      <c r="A1281" s="25">
        <f t="shared" si="21"/>
        <v>1265</v>
      </c>
    </row>
    <row r="1282" spans="1:1" ht="19.5" customHeight="1">
      <c r="A1282" s="25">
        <f t="shared" si="21"/>
        <v>1266</v>
      </c>
    </row>
    <row r="1283" spans="1:1" ht="19.5" customHeight="1">
      <c r="A1283" s="25">
        <f t="shared" si="21"/>
        <v>1267</v>
      </c>
    </row>
    <row r="1284" spans="1:1" ht="19.5" customHeight="1">
      <c r="A1284" s="25">
        <f t="shared" si="21"/>
        <v>1268</v>
      </c>
    </row>
    <row r="1285" spans="1:1" ht="19.5" customHeight="1">
      <c r="A1285" s="25">
        <f t="shared" si="21"/>
        <v>1269</v>
      </c>
    </row>
    <row r="1286" spans="1:1" ht="19.5" customHeight="1">
      <c r="A1286" s="25">
        <f t="shared" si="21"/>
        <v>1270</v>
      </c>
    </row>
    <row r="1287" spans="1:1" ht="19.5" customHeight="1">
      <c r="A1287" s="25">
        <f t="shared" si="21"/>
        <v>1271</v>
      </c>
    </row>
    <row r="1288" spans="1:1" ht="19.5" customHeight="1">
      <c r="A1288" s="25">
        <f t="shared" si="21"/>
        <v>1272</v>
      </c>
    </row>
    <row r="1289" spans="1:1" ht="19.5" customHeight="1">
      <c r="A1289" s="25">
        <f t="shared" si="21"/>
        <v>1273</v>
      </c>
    </row>
    <row r="1290" spans="1:1" ht="19.5" customHeight="1">
      <c r="A1290" s="25">
        <f t="shared" si="21"/>
        <v>1274</v>
      </c>
    </row>
    <row r="1291" spans="1:1" ht="19.5" customHeight="1">
      <c r="A1291" s="25">
        <f t="shared" si="21"/>
        <v>1275</v>
      </c>
    </row>
    <row r="1292" spans="1:1" ht="19.5" customHeight="1">
      <c r="A1292" s="25">
        <f t="shared" si="21"/>
        <v>1276</v>
      </c>
    </row>
    <row r="1293" spans="1:1" ht="19.5" customHeight="1">
      <c r="A1293" s="25">
        <f t="shared" si="21"/>
        <v>1277</v>
      </c>
    </row>
    <row r="1294" spans="1:1" ht="19.5" customHeight="1">
      <c r="A1294" s="25">
        <f t="shared" si="21"/>
        <v>1278</v>
      </c>
    </row>
    <row r="1295" spans="1:1" ht="19.5" customHeight="1">
      <c r="A1295" s="25">
        <f t="shared" si="21"/>
        <v>1279</v>
      </c>
    </row>
    <row r="1296" spans="1:1" ht="19.5" customHeight="1">
      <c r="A1296" s="25">
        <f t="shared" si="21"/>
        <v>1280</v>
      </c>
    </row>
    <row r="1297" spans="1:1" ht="19.5" customHeight="1">
      <c r="A1297" s="25">
        <f t="shared" si="21"/>
        <v>1281</v>
      </c>
    </row>
    <row r="1298" spans="1:1" ht="19.5" customHeight="1">
      <c r="A1298" s="25">
        <f t="shared" si="21"/>
        <v>1282</v>
      </c>
    </row>
    <row r="1299" spans="1:1" ht="19.5" customHeight="1">
      <c r="A1299" s="25">
        <f t="shared" si="21"/>
        <v>1283</v>
      </c>
    </row>
    <row r="1300" spans="1:1" ht="19.5" customHeight="1">
      <c r="A1300" s="25">
        <f t="shared" si="21"/>
        <v>1284</v>
      </c>
    </row>
    <row r="1301" spans="1:1" ht="19.5" customHeight="1">
      <c r="A1301" s="25">
        <f t="shared" si="21"/>
        <v>1285</v>
      </c>
    </row>
    <row r="1302" spans="1:1" ht="19.5" customHeight="1">
      <c r="A1302" s="25">
        <f t="shared" si="21"/>
        <v>1286</v>
      </c>
    </row>
    <row r="1303" spans="1:1" ht="19.5" customHeight="1">
      <c r="A1303" s="25">
        <f t="shared" si="21"/>
        <v>1287</v>
      </c>
    </row>
    <row r="1304" spans="1:1" ht="19.5" customHeight="1">
      <c r="A1304" s="25">
        <f t="shared" ref="A1304:A1335" si="22">A1303+1</f>
        <v>1288</v>
      </c>
    </row>
    <row r="1305" spans="1:1" ht="19.5" customHeight="1">
      <c r="A1305" s="25">
        <f t="shared" si="22"/>
        <v>1289</v>
      </c>
    </row>
    <row r="1306" spans="1:1" ht="19.5" customHeight="1">
      <c r="A1306" s="25">
        <f t="shared" si="22"/>
        <v>1290</v>
      </c>
    </row>
    <row r="1307" spans="1:1" ht="19.5" customHeight="1">
      <c r="A1307" s="25">
        <f t="shared" si="22"/>
        <v>1291</v>
      </c>
    </row>
    <row r="1308" spans="1:1" ht="19.5" customHeight="1">
      <c r="A1308" s="25">
        <f t="shared" si="22"/>
        <v>1292</v>
      </c>
    </row>
    <row r="1309" spans="1:1" ht="19.5" customHeight="1">
      <c r="A1309" s="25">
        <f t="shared" si="22"/>
        <v>1293</v>
      </c>
    </row>
    <row r="1310" spans="1:1" ht="19.5" customHeight="1">
      <c r="A1310" s="25">
        <f t="shared" si="22"/>
        <v>1294</v>
      </c>
    </row>
    <row r="1311" spans="1:1" ht="19.5" customHeight="1">
      <c r="A1311" s="25">
        <f t="shared" si="22"/>
        <v>1295</v>
      </c>
    </row>
    <row r="1312" spans="1:1" ht="19.5" customHeight="1">
      <c r="A1312" s="25">
        <f t="shared" si="22"/>
        <v>1296</v>
      </c>
    </row>
    <row r="1313" spans="1:1" ht="19.5" customHeight="1">
      <c r="A1313" s="25">
        <f t="shared" si="22"/>
        <v>1297</v>
      </c>
    </row>
    <row r="1314" spans="1:1" ht="19.5" customHeight="1">
      <c r="A1314" s="25">
        <f t="shared" si="22"/>
        <v>1298</v>
      </c>
    </row>
    <row r="1315" spans="1:1" ht="19.5" customHeight="1">
      <c r="A1315" s="25">
        <f t="shared" si="22"/>
        <v>1299</v>
      </c>
    </row>
    <row r="1316" spans="1:1" ht="19.5" customHeight="1">
      <c r="A1316" s="25">
        <f t="shared" si="22"/>
        <v>1300</v>
      </c>
    </row>
    <row r="1317" spans="1:1" ht="19.5" customHeight="1">
      <c r="A1317" s="25">
        <f t="shared" si="22"/>
        <v>1301</v>
      </c>
    </row>
    <row r="1318" spans="1:1" ht="19.5" customHeight="1">
      <c r="A1318" s="25">
        <f t="shared" si="22"/>
        <v>1302</v>
      </c>
    </row>
    <row r="1319" spans="1:1" ht="19.5" customHeight="1">
      <c r="A1319" s="25">
        <f t="shared" si="22"/>
        <v>1303</v>
      </c>
    </row>
    <row r="1320" spans="1:1" ht="19.5" customHeight="1">
      <c r="A1320" s="25">
        <f t="shared" si="22"/>
        <v>1304</v>
      </c>
    </row>
    <row r="1321" spans="1:1" ht="19.5" customHeight="1">
      <c r="A1321" s="25">
        <f t="shared" si="22"/>
        <v>1305</v>
      </c>
    </row>
    <row r="1322" spans="1:1" ht="19.5" customHeight="1">
      <c r="A1322" s="25">
        <f t="shared" si="22"/>
        <v>1306</v>
      </c>
    </row>
    <row r="1323" spans="1:1" ht="19.5" customHeight="1">
      <c r="A1323" s="25">
        <f t="shared" si="22"/>
        <v>1307</v>
      </c>
    </row>
    <row r="1324" spans="1:1" ht="19.5" customHeight="1">
      <c r="A1324" s="25">
        <f t="shared" si="22"/>
        <v>1308</v>
      </c>
    </row>
    <row r="1325" spans="1:1" ht="19.5" customHeight="1">
      <c r="A1325" s="25">
        <f t="shared" si="22"/>
        <v>1309</v>
      </c>
    </row>
    <row r="1326" spans="1:1" ht="19.5" customHeight="1">
      <c r="A1326" s="25">
        <f t="shared" si="22"/>
        <v>1310</v>
      </c>
    </row>
    <row r="1327" spans="1:1" ht="19.5" customHeight="1">
      <c r="A1327" s="25">
        <f t="shared" si="22"/>
        <v>1311</v>
      </c>
    </row>
    <row r="1328" spans="1:1" ht="19.5" customHeight="1">
      <c r="A1328" s="25">
        <f t="shared" si="22"/>
        <v>1312</v>
      </c>
    </row>
    <row r="1329" spans="1:1" ht="19.5" customHeight="1">
      <c r="A1329" s="25">
        <f t="shared" si="22"/>
        <v>1313</v>
      </c>
    </row>
    <row r="1330" spans="1:1" ht="19.5" customHeight="1">
      <c r="A1330" s="25">
        <f t="shared" si="22"/>
        <v>1314</v>
      </c>
    </row>
    <row r="1331" spans="1:1" ht="19.5" customHeight="1">
      <c r="A1331" s="25">
        <f t="shared" si="22"/>
        <v>1315</v>
      </c>
    </row>
    <row r="1332" spans="1:1" ht="19.5" customHeight="1">
      <c r="A1332" s="25">
        <f t="shared" si="22"/>
        <v>1316</v>
      </c>
    </row>
    <row r="1333" spans="1:1" ht="19.5" customHeight="1">
      <c r="A1333" s="25">
        <f t="shared" si="22"/>
        <v>1317</v>
      </c>
    </row>
    <row r="1334" spans="1:1" ht="19.5" customHeight="1">
      <c r="A1334" s="25">
        <f t="shared" si="22"/>
        <v>1318</v>
      </c>
    </row>
    <row r="1335" spans="1:1" ht="19.5" customHeight="1">
      <c r="A1335" s="25">
        <f t="shared" si="22"/>
        <v>1319</v>
      </c>
    </row>
  </sheetData>
  <autoFilter ref="A1:AI1335" xr:uid="{6A3E4F38-4689-45CF-B9A1-E8D8A70CD25F}">
    <filterColumn colId="17" showButton="0"/>
    <filterColumn colId="19" showButton="0"/>
  </autoFilter>
  <mergeCells count="2">
    <mergeCell ref="R1:S1"/>
    <mergeCell ref="T1:U1"/>
  </mergeCells>
  <phoneticPr fontId="3" type="noConversion"/>
  <printOptions gridLines="1" gridLinesSet="0"/>
  <pageMargins left="0" right="0" top="0.94488188976377996" bottom="0.74803149606299202" header="0.31496062992126" footer="0.31496062992126"/>
  <pageSetup paperSize="9" scale="80" fitToWidth="134" fitToHeight="13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265F2-E603-48B2-9D29-19985BE08AE0}">
  <dimension ref="A1:AJ4700"/>
  <sheetViews>
    <sheetView zoomScale="115" zoomScaleNormal="115" workbookViewId="0">
      <pane xSplit="2" ySplit="1" topLeftCell="C661" activePane="bottomRight" state="frozen"/>
      <selection pane="topRight" activeCell="C1" sqref="C1"/>
      <selection pane="bottomLeft" activeCell="A2" sqref="A2"/>
      <selection pane="bottomRight" activeCell="F671" sqref="F671"/>
    </sheetView>
  </sheetViews>
  <sheetFormatPr defaultRowHeight="19.5" customHeight="1"/>
  <cols>
    <col min="1" max="1" width="4.453125" style="25" customWidth="1"/>
    <col min="2" max="2" width="10.26953125" style="401" bestFit="1" customWidth="1"/>
    <col min="3" max="3" width="10" customWidth="1"/>
    <col min="4" max="4" width="16.81640625" style="41" customWidth="1"/>
    <col min="5" max="5" width="13.453125" style="41" bestFit="1" customWidth="1"/>
    <col min="6" max="6" width="13.54296875" style="26" bestFit="1" customWidth="1"/>
    <col min="7" max="7" width="10" customWidth="1"/>
    <col min="8" max="8" width="11.26953125" style="41" customWidth="1"/>
    <col min="9" max="9" width="14.81640625" style="41" bestFit="1" customWidth="1"/>
    <col min="10" max="10" width="12.7265625" style="43" customWidth="1"/>
    <col min="11" max="11" width="36.26953125" style="450" customWidth="1"/>
    <col min="12" max="12" width="13.54296875" style="25" customWidth="1"/>
    <col min="13" max="13" width="60.7265625" style="36" customWidth="1"/>
    <col min="14" max="14" width="12" bestFit="1" customWidth="1"/>
    <col min="15" max="15" width="19.26953125" bestFit="1" customWidth="1"/>
    <col min="16" max="16" width="27" customWidth="1"/>
    <col min="17" max="17" width="33.81640625" customWidth="1"/>
    <col min="18" max="18" width="10.54296875" style="43" customWidth="1"/>
    <col min="19" max="19" width="10.54296875" style="25" customWidth="1"/>
    <col min="20" max="21" width="10" customWidth="1"/>
    <col min="22" max="22" width="23.7265625" style="43" customWidth="1"/>
    <col min="23" max="23" width="9" style="41" customWidth="1"/>
    <col min="24" max="24" width="15.7265625" customWidth="1"/>
    <col min="25" max="25" width="9" customWidth="1"/>
    <col min="26" max="26" width="9.1796875" customWidth="1"/>
    <col min="27" max="27" width="10" style="469" customWidth="1"/>
    <col min="28" max="28" width="10" style="318" customWidth="1"/>
    <col min="29" max="29" width="12" style="470" bestFit="1" customWidth="1"/>
    <col min="30" max="30" width="10" style="318" customWidth="1"/>
    <col min="31" max="31" width="10.26953125" bestFit="1" customWidth="1"/>
    <col min="32" max="32" width="10" style="474" customWidth="1"/>
    <col min="33" max="33" width="21.54296875" bestFit="1" customWidth="1"/>
    <col min="34" max="34" width="24.453125" bestFit="1" customWidth="1"/>
    <col min="35" max="35" width="13.453125" bestFit="1" customWidth="1"/>
    <col min="36" max="36" width="11" style="325" bestFit="1" customWidth="1"/>
  </cols>
  <sheetData>
    <row r="1" spans="1:36" s="17" customFormat="1" ht="39.5" thickBot="1">
      <c r="A1" s="1" t="s">
        <v>0</v>
      </c>
      <c r="B1" s="2" t="s">
        <v>1</v>
      </c>
      <c r="C1" s="10" t="s">
        <v>2</v>
      </c>
      <c r="D1" s="4" t="s">
        <v>3</v>
      </c>
      <c r="E1" s="4" t="s">
        <v>4</v>
      </c>
      <c r="F1" s="2" t="s">
        <v>5</v>
      </c>
      <c r="G1" s="459" t="s">
        <v>6</v>
      </c>
      <c r="H1" s="8" t="s">
        <v>7</v>
      </c>
      <c r="I1" s="8" t="s">
        <v>8</v>
      </c>
      <c r="J1" s="460" t="s">
        <v>9</v>
      </c>
      <c r="K1" s="461" t="s">
        <v>10</v>
      </c>
      <c r="L1" s="462" t="s">
        <v>11</v>
      </c>
      <c r="M1" s="12" t="s">
        <v>12</v>
      </c>
      <c r="N1" s="8" t="s">
        <v>13</v>
      </c>
      <c r="O1" s="8" t="s">
        <v>14</v>
      </c>
      <c r="P1" s="8" t="s">
        <v>15</v>
      </c>
      <c r="Q1" s="8" t="s">
        <v>5239</v>
      </c>
      <c r="R1" s="14" t="s">
        <v>17</v>
      </c>
      <c r="S1" s="463"/>
      <c r="T1" s="14" t="s">
        <v>18</v>
      </c>
      <c r="U1" s="463"/>
      <c r="V1" s="464" t="s">
        <v>19</v>
      </c>
      <c r="W1" s="8" t="s">
        <v>20</v>
      </c>
      <c r="X1" s="16" t="s">
        <v>21</v>
      </c>
      <c r="Y1" s="16" t="s">
        <v>22</v>
      </c>
      <c r="Z1" s="17" t="s">
        <v>23</v>
      </c>
      <c r="AA1" s="18" t="s">
        <v>24</v>
      </c>
      <c r="AB1" s="465" t="s">
        <v>25</v>
      </c>
      <c r="AC1" s="20" t="s">
        <v>26</v>
      </c>
      <c r="AD1" s="465" t="s">
        <v>27</v>
      </c>
      <c r="AE1" s="17" t="s">
        <v>28</v>
      </c>
      <c r="AF1" s="22" t="s">
        <v>29</v>
      </c>
      <c r="AG1" s="8" t="s">
        <v>30</v>
      </c>
      <c r="AH1" s="8" t="s">
        <v>31</v>
      </c>
      <c r="AI1" s="17" t="s">
        <v>32</v>
      </c>
    </row>
    <row r="2" spans="1:36" ht="19.5" customHeight="1">
      <c r="A2" s="25">
        <v>1</v>
      </c>
      <c r="B2" s="401">
        <v>5254167</v>
      </c>
      <c r="C2" s="466" t="s">
        <v>5240</v>
      </c>
      <c r="D2" s="395"/>
      <c r="E2" s="395">
        <v>52.9</v>
      </c>
      <c r="F2" s="290">
        <v>1092444</v>
      </c>
      <c r="G2" s="283" t="s">
        <v>5241</v>
      </c>
      <c r="H2" s="395"/>
      <c r="I2" s="395">
        <v>52.9</v>
      </c>
      <c r="J2" s="62" t="s">
        <v>5242</v>
      </c>
      <c r="K2" s="467" t="s">
        <v>34</v>
      </c>
      <c r="M2" s="36" t="s">
        <v>5243</v>
      </c>
      <c r="N2" s="398"/>
      <c r="P2" s="67" t="s">
        <v>5244</v>
      </c>
      <c r="Q2" s="67"/>
      <c r="R2" s="454" t="s">
        <v>5245</v>
      </c>
      <c r="S2" s="468" t="s">
        <v>5246</v>
      </c>
      <c r="AF2" s="471" t="s">
        <v>5247</v>
      </c>
      <c r="AG2" s="398"/>
      <c r="AH2" s="398"/>
      <c r="AJ2"/>
    </row>
    <row r="3" spans="1:36" ht="19.5" customHeight="1">
      <c r="A3" s="25">
        <v>2</v>
      </c>
      <c r="B3" s="401">
        <v>5257356</v>
      </c>
      <c r="C3" s="466" t="s">
        <v>5248</v>
      </c>
      <c r="D3" s="395"/>
      <c r="E3" s="395">
        <v>72044.92</v>
      </c>
      <c r="F3" s="290">
        <v>1095167</v>
      </c>
      <c r="G3" s="283" t="s">
        <v>5249</v>
      </c>
      <c r="H3" s="395"/>
      <c r="I3" s="395">
        <v>72044.92</v>
      </c>
      <c r="J3" s="62" t="s">
        <v>5242</v>
      </c>
      <c r="K3" s="467" t="s">
        <v>34</v>
      </c>
      <c r="M3" s="36" t="s">
        <v>5250</v>
      </c>
      <c r="N3" s="398"/>
      <c r="P3" t="s">
        <v>5251</v>
      </c>
      <c r="R3" s="454" t="s">
        <v>5252</v>
      </c>
      <c r="S3" s="468" t="s">
        <v>5253</v>
      </c>
      <c r="AF3" s="471" t="s">
        <v>5247</v>
      </c>
      <c r="AG3" s="398"/>
      <c r="AH3" s="398"/>
      <c r="AJ3"/>
    </row>
    <row r="4" spans="1:36" ht="19.5" customHeight="1">
      <c r="A4" s="25">
        <v>3</v>
      </c>
      <c r="B4" s="401">
        <v>5261192</v>
      </c>
      <c r="C4" s="466" t="s">
        <v>5254</v>
      </c>
      <c r="D4" s="395"/>
      <c r="E4" s="395">
        <v>1701.23</v>
      </c>
      <c r="F4" s="290">
        <v>1095331</v>
      </c>
      <c r="G4" s="283" t="s">
        <v>5255</v>
      </c>
      <c r="H4" s="395"/>
      <c r="I4" s="395">
        <v>1701.23</v>
      </c>
      <c r="J4" s="62" t="s">
        <v>5242</v>
      </c>
      <c r="K4" s="467" t="s">
        <v>34</v>
      </c>
      <c r="M4" s="36" t="s">
        <v>5256</v>
      </c>
      <c r="N4" s="398"/>
      <c r="P4" s="67" t="s">
        <v>5257</v>
      </c>
      <c r="Q4" s="67"/>
      <c r="AF4" s="471" t="s">
        <v>5247</v>
      </c>
      <c r="AG4" s="398"/>
      <c r="AH4" s="398"/>
      <c r="AJ4"/>
    </row>
    <row r="5" spans="1:36" ht="19.5" customHeight="1">
      <c r="A5" s="25">
        <v>4</v>
      </c>
      <c r="B5" s="401">
        <v>5261312</v>
      </c>
      <c r="C5" s="466" t="s">
        <v>5254</v>
      </c>
      <c r="D5" s="395"/>
      <c r="E5" s="395">
        <v>189937.04</v>
      </c>
      <c r="F5" s="290">
        <v>1095240</v>
      </c>
      <c r="G5" s="283" t="s">
        <v>5258</v>
      </c>
      <c r="H5" s="395"/>
      <c r="I5" s="395">
        <v>189937.04</v>
      </c>
      <c r="J5" s="62" t="s">
        <v>5242</v>
      </c>
      <c r="K5" s="467" t="s">
        <v>34</v>
      </c>
      <c r="L5" s="472"/>
      <c r="M5" s="36" t="s">
        <v>5259</v>
      </c>
      <c r="N5" s="398"/>
      <c r="P5" t="s">
        <v>5260</v>
      </c>
      <c r="AF5" s="471" t="s">
        <v>5247</v>
      </c>
      <c r="AG5" s="398"/>
      <c r="AH5" s="398"/>
      <c r="AJ5"/>
    </row>
    <row r="6" spans="1:36" ht="19.5" customHeight="1">
      <c r="A6" s="25">
        <v>5</v>
      </c>
      <c r="B6" s="401">
        <v>5262091</v>
      </c>
      <c r="C6" s="466" t="s">
        <v>5261</v>
      </c>
      <c r="D6" s="395"/>
      <c r="E6" s="395">
        <v>36.1</v>
      </c>
      <c r="F6" s="290">
        <v>1095451</v>
      </c>
      <c r="G6" s="283" t="s">
        <v>5262</v>
      </c>
      <c r="H6" s="395"/>
      <c r="I6" s="395">
        <v>36.1</v>
      </c>
      <c r="J6" s="62" t="s">
        <v>5242</v>
      </c>
      <c r="K6" s="467" t="s">
        <v>34</v>
      </c>
      <c r="M6" s="36" t="s">
        <v>5263</v>
      </c>
      <c r="N6" s="398"/>
      <c r="P6" s="67" t="s">
        <v>5244</v>
      </c>
      <c r="Q6" s="67"/>
      <c r="R6" s="454" t="s">
        <v>5264</v>
      </c>
      <c r="S6" s="468" t="s">
        <v>5265</v>
      </c>
      <c r="AF6" s="471" t="s">
        <v>5247</v>
      </c>
      <c r="AG6" s="398"/>
      <c r="AH6" s="398"/>
      <c r="AJ6"/>
    </row>
    <row r="7" spans="1:36" ht="19.5" customHeight="1">
      <c r="A7" s="25">
        <v>6</v>
      </c>
      <c r="B7" s="401">
        <v>5264899</v>
      </c>
      <c r="C7" s="466" t="s">
        <v>5258</v>
      </c>
      <c r="D7" s="395"/>
      <c r="E7" s="395">
        <v>8853</v>
      </c>
      <c r="F7" s="290">
        <v>1096375</v>
      </c>
      <c r="G7" s="283" t="s">
        <v>5266</v>
      </c>
      <c r="H7" s="395"/>
      <c r="I7" s="395">
        <v>8853</v>
      </c>
      <c r="J7" s="62" t="s">
        <v>5242</v>
      </c>
      <c r="K7" s="467" t="s">
        <v>5267</v>
      </c>
      <c r="M7" s="36" t="s">
        <v>5268</v>
      </c>
      <c r="N7" s="398"/>
      <c r="P7" t="s">
        <v>5260</v>
      </c>
      <c r="R7" s="454" t="s">
        <v>5269</v>
      </c>
      <c r="S7" s="468" t="s">
        <v>5270</v>
      </c>
      <c r="AF7" s="471" t="s">
        <v>5271</v>
      </c>
      <c r="AG7" s="398"/>
      <c r="AH7" s="398"/>
      <c r="AJ7"/>
    </row>
    <row r="8" spans="1:36" ht="19.5" customHeight="1">
      <c r="A8" s="25">
        <v>7</v>
      </c>
      <c r="B8" s="401">
        <v>5265493</v>
      </c>
      <c r="C8" s="466" t="s">
        <v>5262</v>
      </c>
      <c r="D8" s="395"/>
      <c r="E8" s="395">
        <v>7451.34</v>
      </c>
      <c r="F8" s="290">
        <v>1096357</v>
      </c>
      <c r="G8" s="473" t="s">
        <v>5266</v>
      </c>
      <c r="H8" s="395"/>
      <c r="I8" s="395">
        <v>7451.34</v>
      </c>
      <c r="J8" s="62" t="s">
        <v>5242</v>
      </c>
      <c r="K8" s="467" t="s">
        <v>34</v>
      </c>
      <c r="L8" s="472" t="s">
        <v>5272</v>
      </c>
      <c r="M8" s="36" t="s">
        <v>5273</v>
      </c>
      <c r="N8" s="398"/>
      <c r="P8" t="s">
        <v>5274</v>
      </c>
      <c r="R8" s="454" t="s">
        <v>5275</v>
      </c>
      <c r="S8" s="468" t="s">
        <v>5276</v>
      </c>
      <c r="AF8" s="471" t="s">
        <v>5247</v>
      </c>
      <c r="AG8" s="398"/>
      <c r="AH8" s="398"/>
      <c r="AJ8"/>
    </row>
    <row r="9" spans="1:36" ht="19.5" customHeight="1">
      <c r="A9" s="25">
        <v>8</v>
      </c>
      <c r="B9" s="401">
        <v>5267016</v>
      </c>
      <c r="C9" s="466" t="s">
        <v>5255</v>
      </c>
      <c r="D9" s="395"/>
      <c r="E9" s="395">
        <v>209.25</v>
      </c>
      <c r="F9" s="290">
        <v>1096376</v>
      </c>
      <c r="G9" s="283" t="s">
        <v>5266</v>
      </c>
      <c r="H9" s="395"/>
      <c r="I9" s="395">
        <v>209.25</v>
      </c>
      <c r="J9" s="62" t="s">
        <v>5242</v>
      </c>
      <c r="K9" s="467" t="s">
        <v>34</v>
      </c>
      <c r="M9" s="36" t="s">
        <v>5277</v>
      </c>
      <c r="N9" s="398"/>
      <c r="P9" s="67" t="s">
        <v>5244</v>
      </c>
      <c r="Q9" s="67"/>
      <c r="AF9" s="471" t="s">
        <v>5247</v>
      </c>
      <c r="AG9" s="398"/>
      <c r="AH9" s="398"/>
      <c r="AJ9"/>
    </row>
    <row r="10" spans="1:36" ht="19.5" customHeight="1">
      <c r="A10" s="25">
        <v>9</v>
      </c>
      <c r="B10" s="401">
        <v>5270830</v>
      </c>
      <c r="C10" s="466" t="s">
        <v>5278</v>
      </c>
      <c r="D10" s="395"/>
      <c r="E10" s="395">
        <v>50832.34</v>
      </c>
      <c r="F10" s="290">
        <v>1099536</v>
      </c>
      <c r="G10" s="466" t="s">
        <v>5279</v>
      </c>
      <c r="H10" s="395"/>
      <c r="I10" s="395">
        <v>50832.34</v>
      </c>
      <c r="J10" s="62" t="s">
        <v>5242</v>
      </c>
      <c r="K10" s="467" t="s">
        <v>34</v>
      </c>
      <c r="M10" s="36" t="s">
        <v>5280</v>
      </c>
      <c r="N10" s="398"/>
      <c r="P10" t="s">
        <v>5281</v>
      </c>
      <c r="R10" s="454" t="s">
        <v>5282</v>
      </c>
      <c r="S10" s="468" t="s">
        <v>5283</v>
      </c>
      <c r="AF10" s="471" t="s">
        <v>5284</v>
      </c>
      <c r="AG10" s="398"/>
      <c r="AH10" s="398"/>
      <c r="AJ10"/>
    </row>
    <row r="11" spans="1:36" ht="19.5" customHeight="1">
      <c r="A11" s="25">
        <v>10</v>
      </c>
      <c r="B11" s="401">
        <v>5271713</v>
      </c>
      <c r="C11" s="466" t="s">
        <v>5285</v>
      </c>
      <c r="D11" s="395"/>
      <c r="E11" s="395">
        <v>8992.26</v>
      </c>
      <c r="F11" s="290">
        <v>1099144</v>
      </c>
      <c r="G11" s="283" t="s">
        <v>5286</v>
      </c>
      <c r="H11" s="395"/>
      <c r="I11" s="395">
        <v>8992.26</v>
      </c>
      <c r="J11" s="62" t="s">
        <v>5242</v>
      </c>
      <c r="K11" s="467" t="s">
        <v>34</v>
      </c>
      <c r="M11" s="36" t="s">
        <v>5287</v>
      </c>
      <c r="N11" s="398"/>
      <c r="P11" t="s">
        <v>5288</v>
      </c>
      <c r="R11" s="454" t="s">
        <v>5289</v>
      </c>
      <c r="S11" s="468" t="s">
        <v>5290</v>
      </c>
      <c r="AF11" s="471" t="s">
        <v>5284</v>
      </c>
      <c r="AG11" s="398"/>
      <c r="AH11" s="398"/>
      <c r="AJ11"/>
    </row>
    <row r="12" spans="1:36" ht="19.5" customHeight="1">
      <c r="A12" s="25">
        <v>11</v>
      </c>
      <c r="B12" s="401">
        <v>5271729</v>
      </c>
      <c r="C12" s="466" t="s">
        <v>5285</v>
      </c>
      <c r="D12" s="395"/>
      <c r="E12" s="395">
        <v>61419.53</v>
      </c>
      <c r="F12" s="290">
        <v>1099180</v>
      </c>
      <c r="G12" s="473" t="s">
        <v>5286</v>
      </c>
      <c r="H12" s="395"/>
      <c r="I12" s="395">
        <v>61419.53</v>
      </c>
      <c r="J12" s="62" t="s">
        <v>5242</v>
      </c>
      <c r="K12" s="467" t="s">
        <v>34</v>
      </c>
      <c r="L12" s="472"/>
      <c r="M12" s="36" t="s">
        <v>5291</v>
      </c>
      <c r="N12" s="398"/>
      <c r="P12" t="s">
        <v>5292</v>
      </c>
      <c r="R12" s="454" t="s">
        <v>5293</v>
      </c>
      <c r="S12" s="468" t="s">
        <v>5294</v>
      </c>
      <c r="AF12" s="471" t="s">
        <v>5284</v>
      </c>
      <c r="AG12" s="398"/>
      <c r="AH12" s="398"/>
      <c r="AJ12"/>
    </row>
    <row r="13" spans="1:36" ht="19.5" customHeight="1">
      <c r="A13" s="25">
        <v>12</v>
      </c>
      <c r="B13" s="401">
        <v>5272257</v>
      </c>
      <c r="C13" s="466" t="s">
        <v>5295</v>
      </c>
      <c r="D13" s="395"/>
      <c r="E13" s="395">
        <v>29201</v>
      </c>
      <c r="F13" s="290">
        <v>1099257</v>
      </c>
      <c r="G13" s="473" t="s">
        <v>5296</v>
      </c>
      <c r="H13" s="395"/>
      <c r="I13" s="395">
        <v>29201</v>
      </c>
      <c r="J13" s="62" t="s">
        <v>5242</v>
      </c>
      <c r="K13" s="467" t="s">
        <v>139</v>
      </c>
      <c r="L13" s="472"/>
      <c r="M13" s="36" t="s">
        <v>5297</v>
      </c>
      <c r="N13" s="398"/>
      <c r="P13" t="s">
        <v>5298</v>
      </c>
      <c r="R13" s="454" t="s">
        <v>5299</v>
      </c>
      <c r="S13" s="468" t="s">
        <v>5300</v>
      </c>
      <c r="AF13" s="471" t="s">
        <v>5301</v>
      </c>
      <c r="AG13" s="398"/>
      <c r="AH13" s="398"/>
      <c r="AJ13"/>
    </row>
    <row r="14" spans="1:36" ht="19.5" customHeight="1">
      <c r="A14" s="25">
        <v>13</v>
      </c>
      <c r="C14" s="466" t="s">
        <v>5295</v>
      </c>
      <c r="D14" s="395"/>
      <c r="E14" s="395">
        <v>5886.25</v>
      </c>
      <c r="F14" s="290">
        <v>1098303</v>
      </c>
      <c r="G14" s="466" t="s">
        <v>5295</v>
      </c>
      <c r="H14" s="395"/>
      <c r="I14" s="395">
        <v>5886.25</v>
      </c>
      <c r="J14" s="62" t="s">
        <v>5242</v>
      </c>
      <c r="K14" s="467" t="s">
        <v>5302</v>
      </c>
      <c r="M14" s="36" t="s">
        <v>5303</v>
      </c>
      <c r="N14" s="398"/>
      <c r="P14" s="67" t="s">
        <v>5257</v>
      </c>
      <c r="Q14" s="67"/>
      <c r="AF14" s="471" t="s">
        <v>5304</v>
      </c>
      <c r="AG14" s="398"/>
      <c r="AH14" s="398"/>
      <c r="AJ14"/>
    </row>
    <row r="15" spans="1:36" ht="19.5" customHeight="1">
      <c r="A15" s="25">
        <v>14</v>
      </c>
      <c r="B15" s="401">
        <v>5273086</v>
      </c>
      <c r="C15" s="466" t="s">
        <v>5305</v>
      </c>
      <c r="D15" s="395"/>
      <c r="E15" s="395">
        <v>271.72000000000003</v>
      </c>
      <c r="F15" s="290">
        <v>1099206</v>
      </c>
      <c r="G15" s="283" t="s">
        <v>5306</v>
      </c>
      <c r="H15" s="395"/>
      <c r="I15" s="395">
        <v>271.72000000000003</v>
      </c>
      <c r="J15" s="62" t="s">
        <v>5242</v>
      </c>
      <c r="K15" s="467" t="s">
        <v>34</v>
      </c>
      <c r="M15" s="36" t="s">
        <v>5307</v>
      </c>
      <c r="N15" s="398"/>
      <c r="P15" s="67" t="s">
        <v>5244</v>
      </c>
      <c r="Q15" s="67"/>
      <c r="AF15" s="471" t="s">
        <v>5284</v>
      </c>
      <c r="AG15" s="398"/>
      <c r="AH15" s="398"/>
      <c r="AJ15"/>
    </row>
    <row r="16" spans="1:36" ht="19.5" customHeight="1">
      <c r="A16" s="25">
        <v>15</v>
      </c>
      <c r="B16" s="401">
        <v>5273149</v>
      </c>
      <c r="C16" s="466" t="s">
        <v>5305</v>
      </c>
      <c r="D16" s="395"/>
      <c r="E16" s="395">
        <v>16026.26</v>
      </c>
      <c r="F16" s="290">
        <v>1099209</v>
      </c>
      <c r="G16" s="283" t="s">
        <v>5306</v>
      </c>
      <c r="H16" s="395"/>
      <c r="I16" s="395">
        <v>16026.26</v>
      </c>
      <c r="J16" s="62" t="s">
        <v>5242</v>
      </c>
      <c r="K16" s="467" t="s">
        <v>34</v>
      </c>
      <c r="L16" s="472"/>
      <c r="M16" s="36" t="s">
        <v>5308</v>
      </c>
      <c r="N16" s="398"/>
      <c r="P16" t="s">
        <v>5309</v>
      </c>
      <c r="R16" s="454" t="s">
        <v>5305</v>
      </c>
      <c r="S16" s="468" t="s">
        <v>5310</v>
      </c>
      <c r="AF16" s="471" t="s">
        <v>5284</v>
      </c>
      <c r="AG16" s="398"/>
      <c r="AH16" s="398"/>
      <c r="AJ16"/>
    </row>
    <row r="17" spans="1:36" ht="19.5" customHeight="1">
      <c r="A17" s="25">
        <v>16</v>
      </c>
      <c r="B17" s="401">
        <v>5274064</v>
      </c>
      <c r="C17" s="466" t="s">
        <v>5311</v>
      </c>
      <c r="D17" s="395"/>
      <c r="E17" s="395">
        <v>118295.45</v>
      </c>
      <c r="F17" s="290">
        <v>1101319</v>
      </c>
      <c r="G17" s="283" t="s">
        <v>5312</v>
      </c>
      <c r="H17" s="395"/>
      <c r="I17" s="395">
        <v>118295.45</v>
      </c>
      <c r="J17" s="62" t="s">
        <v>5242</v>
      </c>
      <c r="K17" s="467" t="s">
        <v>34</v>
      </c>
      <c r="L17" s="472"/>
      <c r="M17" s="36" t="s">
        <v>5313</v>
      </c>
      <c r="N17" s="398"/>
      <c r="P17" t="s">
        <v>5298</v>
      </c>
      <c r="R17" s="454" t="s">
        <v>5305</v>
      </c>
      <c r="S17" s="468" t="s">
        <v>5310</v>
      </c>
      <c r="AF17" s="471" t="s">
        <v>5284</v>
      </c>
      <c r="AG17" s="398"/>
      <c r="AH17" s="398"/>
      <c r="AJ17"/>
    </row>
    <row r="18" spans="1:36" ht="19.5" customHeight="1">
      <c r="A18" s="25">
        <v>17</v>
      </c>
      <c r="B18" s="401">
        <v>5279009</v>
      </c>
      <c r="C18" s="466" t="s">
        <v>5314</v>
      </c>
      <c r="D18" s="395"/>
      <c r="E18" s="395">
        <v>5825.93</v>
      </c>
      <c r="F18" s="290">
        <v>1102205</v>
      </c>
      <c r="G18" s="283" t="s">
        <v>5315</v>
      </c>
      <c r="H18" s="395"/>
      <c r="I18" s="395">
        <v>5825.93</v>
      </c>
      <c r="J18" s="62" t="s">
        <v>5242</v>
      </c>
      <c r="K18" s="467" t="s">
        <v>34</v>
      </c>
      <c r="M18" s="36" t="s">
        <v>5316</v>
      </c>
      <c r="N18" s="398"/>
      <c r="P18" t="s">
        <v>5317</v>
      </c>
      <c r="R18" s="454" t="s">
        <v>5314</v>
      </c>
      <c r="S18" s="468" t="s">
        <v>5318</v>
      </c>
      <c r="AF18" s="471" t="s">
        <v>5284</v>
      </c>
      <c r="AG18" s="398"/>
      <c r="AH18" s="398"/>
      <c r="AJ18"/>
    </row>
    <row r="19" spans="1:36" ht="19.5" customHeight="1">
      <c r="A19" s="25">
        <v>18</v>
      </c>
      <c r="B19" s="401">
        <v>5280067</v>
      </c>
      <c r="C19" s="466" t="s">
        <v>5296</v>
      </c>
      <c r="D19" s="395"/>
      <c r="E19" s="395">
        <v>13157.56</v>
      </c>
      <c r="F19" s="290">
        <v>1102290</v>
      </c>
      <c r="G19" s="283" t="s">
        <v>5319</v>
      </c>
      <c r="H19" s="395"/>
      <c r="I19" s="395">
        <v>13157.56</v>
      </c>
      <c r="J19" s="62" t="s">
        <v>5242</v>
      </c>
      <c r="K19" s="467" t="s">
        <v>34</v>
      </c>
      <c r="M19" s="36" t="s">
        <v>5320</v>
      </c>
      <c r="N19" s="398"/>
      <c r="P19" t="s">
        <v>5321</v>
      </c>
      <c r="R19" s="454" t="s">
        <v>5314</v>
      </c>
      <c r="S19" s="474" t="s">
        <v>5318</v>
      </c>
      <c r="AF19" s="471" t="s">
        <v>5284</v>
      </c>
      <c r="AG19" s="398"/>
      <c r="AH19" s="398"/>
      <c r="AJ19"/>
    </row>
    <row r="20" spans="1:36" ht="19.5" customHeight="1">
      <c r="A20" s="25">
        <v>19</v>
      </c>
      <c r="B20" s="401">
        <v>5280734</v>
      </c>
      <c r="C20" s="466" t="s">
        <v>5312</v>
      </c>
      <c r="D20" s="395"/>
      <c r="E20" s="395">
        <v>158.78</v>
      </c>
      <c r="F20" s="290">
        <v>1102287</v>
      </c>
      <c r="G20" s="283" t="s">
        <v>5319</v>
      </c>
      <c r="H20" s="395"/>
      <c r="I20" s="395">
        <v>158.78</v>
      </c>
      <c r="J20" s="62" t="s">
        <v>5242</v>
      </c>
      <c r="K20" s="467" t="s">
        <v>34</v>
      </c>
      <c r="M20" s="36" t="s">
        <v>5322</v>
      </c>
      <c r="N20" s="398"/>
      <c r="P20" s="67" t="s">
        <v>5244</v>
      </c>
      <c r="Q20" s="67"/>
      <c r="AF20" s="471" t="s">
        <v>5284</v>
      </c>
      <c r="AG20" s="398"/>
      <c r="AH20" s="398"/>
      <c r="AJ20"/>
    </row>
    <row r="21" spans="1:36" ht="19.5" customHeight="1">
      <c r="A21" s="25">
        <v>20</v>
      </c>
      <c r="B21" s="401">
        <v>5280848</v>
      </c>
      <c r="C21" s="466" t="s">
        <v>5312</v>
      </c>
      <c r="D21" s="395"/>
      <c r="E21" s="395">
        <v>12562.6</v>
      </c>
      <c r="F21" s="290">
        <v>1102273</v>
      </c>
      <c r="G21" s="283" t="s">
        <v>5323</v>
      </c>
      <c r="H21" s="395"/>
      <c r="I21" s="395">
        <v>12562.6</v>
      </c>
      <c r="J21" s="62" t="s">
        <v>5242</v>
      </c>
      <c r="K21" s="467" t="s">
        <v>34</v>
      </c>
      <c r="M21" s="36" t="s">
        <v>5324</v>
      </c>
      <c r="N21" s="398"/>
      <c r="P21" t="s">
        <v>5325</v>
      </c>
      <c r="AF21" s="471" t="s">
        <v>5326</v>
      </c>
      <c r="AG21" s="398"/>
      <c r="AH21" s="398"/>
      <c r="AJ21"/>
    </row>
    <row r="22" spans="1:36" ht="19.5" customHeight="1">
      <c r="A22" s="25">
        <v>21</v>
      </c>
      <c r="B22" s="401">
        <v>5280880</v>
      </c>
      <c r="C22" s="466" t="s">
        <v>5312</v>
      </c>
      <c r="D22" s="395"/>
      <c r="E22" s="395">
        <v>32386.95</v>
      </c>
      <c r="F22" s="290">
        <v>1102306</v>
      </c>
      <c r="G22" s="283" t="s">
        <v>5319</v>
      </c>
      <c r="H22" s="395"/>
      <c r="I22" s="395">
        <v>32386.95</v>
      </c>
      <c r="J22" s="62" t="s">
        <v>5242</v>
      </c>
      <c r="K22" s="467" t="s">
        <v>34</v>
      </c>
      <c r="M22" s="36" t="s">
        <v>5327</v>
      </c>
      <c r="N22" s="398"/>
      <c r="P22" t="s">
        <v>5328</v>
      </c>
      <c r="R22" s="454" t="s">
        <v>5329</v>
      </c>
      <c r="S22" s="468" t="s">
        <v>5330</v>
      </c>
      <c r="AF22" s="471" t="s">
        <v>5284</v>
      </c>
      <c r="AG22" s="398"/>
      <c r="AH22" s="398"/>
      <c r="AJ22"/>
    </row>
    <row r="23" spans="1:36" ht="19.5" customHeight="1">
      <c r="A23" s="25">
        <v>22</v>
      </c>
      <c r="B23" s="401">
        <v>5280904</v>
      </c>
      <c r="C23" s="466" t="s">
        <v>5312</v>
      </c>
      <c r="D23" s="395"/>
      <c r="E23" s="395">
        <v>12944.31</v>
      </c>
      <c r="F23" s="290">
        <v>1102295</v>
      </c>
      <c r="G23" s="283" t="s">
        <v>5319</v>
      </c>
      <c r="H23" s="395"/>
      <c r="I23" s="395">
        <v>12944.31</v>
      </c>
      <c r="J23" s="62" t="s">
        <v>5242</v>
      </c>
      <c r="K23" s="467" t="s">
        <v>34</v>
      </c>
      <c r="M23" s="36" t="s">
        <v>5331</v>
      </c>
      <c r="N23" s="398"/>
      <c r="P23" t="s">
        <v>5332</v>
      </c>
      <c r="R23" s="454" t="s">
        <v>5333</v>
      </c>
      <c r="S23" s="474" t="s">
        <v>5334</v>
      </c>
      <c r="W23" s="41" t="s">
        <v>4660</v>
      </c>
      <c r="AF23" s="471" t="s">
        <v>5284</v>
      </c>
      <c r="AG23" s="398"/>
      <c r="AH23" s="398"/>
      <c r="AJ23"/>
    </row>
    <row r="24" spans="1:36" ht="19.5" customHeight="1">
      <c r="A24" s="25">
        <v>23</v>
      </c>
      <c r="C24" s="466" t="s">
        <v>5335</v>
      </c>
      <c r="D24" s="395"/>
      <c r="E24" s="395">
        <v>780</v>
      </c>
      <c r="F24" s="290">
        <v>1101980</v>
      </c>
      <c r="G24" s="283" t="s">
        <v>5335</v>
      </c>
      <c r="H24" s="395"/>
      <c r="I24" s="395">
        <v>780</v>
      </c>
      <c r="J24" s="62" t="s">
        <v>5242</v>
      </c>
      <c r="K24" s="467" t="s">
        <v>4662</v>
      </c>
      <c r="M24" s="36" t="s">
        <v>5336</v>
      </c>
      <c r="N24" s="398"/>
      <c r="P24" s="67" t="s">
        <v>5257</v>
      </c>
      <c r="Q24" s="67"/>
      <c r="AF24" s="471" t="s">
        <v>5337</v>
      </c>
      <c r="AG24" s="398"/>
      <c r="AH24" s="398"/>
      <c r="AJ24"/>
    </row>
    <row r="25" spans="1:36" ht="19.5" customHeight="1">
      <c r="A25" s="25">
        <v>24</v>
      </c>
      <c r="B25" s="401">
        <v>5283005</v>
      </c>
      <c r="C25" s="466" t="s">
        <v>5319</v>
      </c>
      <c r="D25" s="395"/>
      <c r="E25" s="395">
        <v>7527.93</v>
      </c>
      <c r="F25" s="290">
        <v>1105164</v>
      </c>
      <c r="G25" s="283" t="s">
        <v>5338</v>
      </c>
      <c r="H25" s="395"/>
      <c r="I25" s="395">
        <v>7527.93</v>
      </c>
      <c r="J25" s="62" t="s">
        <v>5242</v>
      </c>
      <c r="K25" s="467" t="s">
        <v>34</v>
      </c>
      <c r="M25" s="36" t="s">
        <v>5339</v>
      </c>
      <c r="N25" s="398"/>
      <c r="P25" t="s">
        <v>5340</v>
      </c>
      <c r="R25" s="454" t="s">
        <v>5341</v>
      </c>
      <c r="S25" s="468" t="s">
        <v>5342</v>
      </c>
      <c r="AF25" s="471" t="s">
        <v>5343</v>
      </c>
      <c r="AG25" s="398"/>
      <c r="AH25" s="398"/>
      <c r="AJ25"/>
    </row>
    <row r="26" spans="1:36" ht="19.5" customHeight="1">
      <c r="A26" s="25">
        <v>25</v>
      </c>
      <c r="B26" s="401">
        <v>5286998</v>
      </c>
      <c r="C26" s="466" t="s">
        <v>5344</v>
      </c>
      <c r="D26" s="395"/>
      <c r="E26" s="395">
        <v>218.69</v>
      </c>
      <c r="F26" s="290">
        <v>1105147</v>
      </c>
      <c r="G26" s="283" t="s">
        <v>5338</v>
      </c>
      <c r="H26" s="395"/>
      <c r="I26" s="395">
        <v>218.69</v>
      </c>
      <c r="J26" s="62" t="s">
        <v>5242</v>
      </c>
      <c r="K26" s="467" t="s">
        <v>34</v>
      </c>
      <c r="M26" s="36" t="s">
        <v>5345</v>
      </c>
      <c r="N26" s="398"/>
      <c r="P26" s="67" t="s">
        <v>5244</v>
      </c>
      <c r="Q26" s="67"/>
      <c r="AF26" s="471" t="s">
        <v>5343</v>
      </c>
      <c r="AG26" s="398"/>
      <c r="AH26" s="398"/>
      <c r="AJ26"/>
    </row>
    <row r="27" spans="1:36" ht="19.5" customHeight="1">
      <c r="A27" s="25">
        <v>26</v>
      </c>
      <c r="B27" s="401">
        <v>5289140</v>
      </c>
      <c r="C27" s="466" t="s">
        <v>5346</v>
      </c>
      <c r="D27" s="395"/>
      <c r="E27" s="395">
        <v>255676.03</v>
      </c>
      <c r="F27" s="290">
        <v>1106803</v>
      </c>
      <c r="G27" s="283" t="s">
        <v>5347</v>
      </c>
      <c r="H27" s="395"/>
      <c r="I27" s="395">
        <v>255676.03</v>
      </c>
      <c r="J27" s="62" t="s">
        <v>5242</v>
      </c>
      <c r="K27" s="467" t="s">
        <v>34</v>
      </c>
      <c r="L27" s="472"/>
      <c r="M27" s="36" t="s">
        <v>5348</v>
      </c>
      <c r="N27" s="398"/>
      <c r="P27" t="s">
        <v>5349</v>
      </c>
      <c r="R27" s="454" t="s">
        <v>5346</v>
      </c>
      <c r="S27" s="468" t="s">
        <v>5350</v>
      </c>
      <c r="AF27" s="471" t="s">
        <v>5343</v>
      </c>
      <c r="AG27" s="398"/>
      <c r="AH27" s="398"/>
      <c r="AJ27"/>
    </row>
    <row r="28" spans="1:36" ht="19.5" customHeight="1">
      <c r="A28" s="25">
        <v>27</v>
      </c>
      <c r="B28" s="401">
        <v>5289637</v>
      </c>
      <c r="C28" s="466" t="s">
        <v>5351</v>
      </c>
      <c r="D28" s="395"/>
      <c r="E28" s="395">
        <v>11414.93</v>
      </c>
      <c r="F28" s="290">
        <v>1108458</v>
      </c>
      <c r="G28" s="283" t="s">
        <v>5352</v>
      </c>
      <c r="H28" s="395"/>
      <c r="I28" s="395">
        <v>11414.93</v>
      </c>
      <c r="J28" s="62" t="s">
        <v>5242</v>
      </c>
      <c r="K28" s="467" t="s">
        <v>34</v>
      </c>
      <c r="M28" s="36" t="s">
        <v>5353</v>
      </c>
      <c r="N28" s="398"/>
      <c r="P28" t="s">
        <v>5354</v>
      </c>
      <c r="R28" s="454" t="s">
        <v>5355</v>
      </c>
      <c r="S28" s="468" t="s">
        <v>5356</v>
      </c>
      <c r="AF28" s="471" t="s">
        <v>5343</v>
      </c>
      <c r="AG28" s="398"/>
      <c r="AH28" s="398"/>
      <c r="AJ28"/>
    </row>
    <row r="29" spans="1:36" ht="19.5" customHeight="1">
      <c r="A29" s="25">
        <v>28</v>
      </c>
      <c r="B29" s="401">
        <v>5290449</v>
      </c>
      <c r="C29" s="466" t="s">
        <v>5338</v>
      </c>
      <c r="D29" s="395"/>
      <c r="E29" s="395">
        <v>76.87</v>
      </c>
      <c r="F29" s="290">
        <v>1106434</v>
      </c>
      <c r="G29" s="283" t="s">
        <v>5347</v>
      </c>
      <c r="H29" s="395"/>
      <c r="I29" s="395">
        <v>76.87</v>
      </c>
      <c r="J29" s="62" t="s">
        <v>5242</v>
      </c>
      <c r="K29" s="467" t="s">
        <v>34</v>
      </c>
      <c r="M29" s="36" t="s">
        <v>5357</v>
      </c>
      <c r="N29" s="398"/>
      <c r="P29" s="67" t="s">
        <v>5244</v>
      </c>
      <c r="Q29" s="67"/>
      <c r="AF29" s="471" t="s">
        <v>5343</v>
      </c>
      <c r="AG29" s="398"/>
      <c r="AH29" s="398"/>
      <c r="AJ29"/>
    </row>
    <row r="30" spans="1:36" ht="19.5" customHeight="1">
      <c r="A30" s="25">
        <v>29</v>
      </c>
      <c r="B30" s="401">
        <v>5294358</v>
      </c>
      <c r="C30" s="466" t="s">
        <v>5358</v>
      </c>
      <c r="D30" s="395"/>
      <c r="E30" s="395">
        <v>377.29</v>
      </c>
      <c r="F30" s="290">
        <v>1108367</v>
      </c>
      <c r="G30" s="283" t="s">
        <v>5352</v>
      </c>
      <c r="H30" s="395"/>
      <c r="I30" s="395">
        <v>377.29</v>
      </c>
      <c r="J30" s="62" t="s">
        <v>5242</v>
      </c>
      <c r="K30" s="467" t="s">
        <v>5359</v>
      </c>
      <c r="M30" s="36" t="s">
        <v>5360</v>
      </c>
      <c r="N30" s="398"/>
      <c r="P30" s="67" t="s">
        <v>5244</v>
      </c>
      <c r="Q30" s="67"/>
      <c r="AF30" s="471" t="s">
        <v>5343</v>
      </c>
      <c r="AG30" s="398"/>
      <c r="AH30" s="398"/>
      <c r="AJ30"/>
    </row>
    <row r="31" spans="1:36" ht="19.5" customHeight="1">
      <c r="A31" s="25">
        <v>30</v>
      </c>
      <c r="B31" s="401">
        <v>5297452</v>
      </c>
      <c r="C31" s="466" t="s">
        <v>5361</v>
      </c>
      <c r="D31" s="395"/>
      <c r="E31" s="395">
        <v>15924.87</v>
      </c>
      <c r="F31" s="290">
        <v>1109029</v>
      </c>
      <c r="G31" s="473" t="s">
        <v>5362</v>
      </c>
      <c r="H31" s="395"/>
      <c r="I31" s="395">
        <v>15924.87</v>
      </c>
      <c r="J31" s="62" t="s">
        <v>5242</v>
      </c>
      <c r="K31" s="467" t="s">
        <v>34</v>
      </c>
      <c r="L31" s="472"/>
      <c r="M31" s="36" t="s">
        <v>5363</v>
      </c>
      <c r="N31" s="398"/>
      <c r="P31" t="s">
        <v>5364</v>
      </c>
      <c r="R31" s="454" t="s">
        <v>5365</v>
      </c>
      <c r="S31" s="471" t="s">
        <v>5366</v>
      </c>
      <c r="AF31" s="471" t="s">
        <v>5343</v>
      </c>
      <c r="AG31" s="398"/>
      <c r="AH31" s="398"/>
      <c r="AJ31"/>
    </row>
    <row r="32" spans="1:36" ht="19.5" customHeight="1">
      <c r="A32" s="25">
        <v>31</v>
      </c>
      <c r="B32" s="401">
        <v>5297466</v>
      </c>
      <c r="C32" s="466" t="s">
        <v>5361</v>
      </c>
      <c r="D32" s="395"/>
      <c r="E32" s="395">
        <v>35849.589999999997</v>
      </c>
      <c r="F32" s="290">
        <v>1112614</v>
      </c>
      <c r="G32" s="283" t="s">
        <v>5367</v>
      </c>
      <c r="H32" s="395"/>
      <c r="I32" s="395">
        <v>35849.589999999997</v>
      </c>
      <c r="J32" s="62" t="s">
        <v>5242</v>
      </c>
      <c r="K32" s="467" t="s">
        <v>34</v>
      </c>
      <c r="L32" s="472"/>
      <c r="M32" s="36" t="s">
        <v>5368</v>
      </c>
      <c r="N32" s="398"/>
      <c r="P32" t="s">
        <v>5369</v>
      </c>
      <c r="R32" s="454" t="s">
        <v>5370</v>
      </c>
      <c r="S32" s="468" t="s">
        <v>5371</v>
      </c>
      <c r="AF32" s="471" t="s">
        <v>5343</v>
      </c>
      <c r="AG32" s="398"/>
      <c r="AH32" s="398"/>
      <c r="AJ32"/>
    </row>
    <row r="33" spans="1:36" ht="19.5" customHeight="1">
      <c r="A33" s="25">
        <v>32</v>
      </c>
      <c r="B33" s="401">
        <v>5297489</v>
      </c>
      <c r="C33" s="466" t="s">
        <v>5361</v>
      </c>
      <c r="D33" s="395"/>
      <c r="E33" s="395">
        <v>2586.5700000000002</v>
      </c>
      <c r="F33" s="290">
        <v>1109412</v>
      </c>
      <c r="G33" s="283" t="s">
        <v>5372</v>
      </c>
      <c r="H33" s="395"/>
      <c r="I33" s="395">
        <v>2586.5700000000002</v>
      </c>
      <c r="J33" s="62" t="s">
        <v>5242</v>
      </c>
      <c r="K33" s="467" t="s">
        <v>34</v>
      </c>
      <c r="M33" s="36" t="s">
        <v>5373</v>
      </c>
      <c r="N33" s="398"/>
      <c r="P33" t="s">
        <v>5374</v>
      </c>
      <c r="R33" s="454" t="s">
        <v>5375</v>
      </c>
      <c r="S33" s="468" t="s">
        <v>5376</v>
      </c>
      <c r="AF33" s="471" t="s">
        <v>5343</v>
      </c>
      <c r="AG33" s="398"/>
      <c r="AH33" s="398"/>
      <c r="AJ33"/>
    </row>
    <row r="34" spans="1:36" ht="19.5" customHeight="1">
      <c r="A34" s="25">
        <v>33</v>
      </c>
      <c r="B34" s="401">
        <v>5299836</v>
      </c>
      <c r="C34" s="466" t="s">
        <v>5329</v>
      </c>
      <c r="D34" s="395"/>
      <c r="E34" s="395">
        <v>14714</v>
      </c>
      <c r="F34" s="290">
        <v>1110479</v>
      </c>
      <c r="G34" s="283" t="s">
        <v>5377</v>
      </c>
      <c r="H34" s="395"/>
      <c r="I34" s="395">
        <v>14714</v>
      </c>
      <c r="J34" s="62" t="s">
        <v>5242</v>
      </c>
      <c r="K34" s="467" t="s">
        <v>34</v>
      </c>
      <c r="M34" s="36" t="s">
        <v>5378</v>
      </c>
      <c r="N34" s="398"/>
      <c r="P34" s="67" t="s">
        <v>5257</v>
      </c>
      <c r="Q34" s="67"/>
      <c r="AF34" s="471" t="s">
        <v>5379</v>
      </c>
      <c r="AG34" s="398"/>
      <c r="AH34" s="398"/>
      <c r="AJ34"/>
    </row>
    <row r="35" spans="1:36" ht="19.5" customHeight="1">
      <c r="A35" s="25">
        <v>34</v>
      </c>
      <c r="B35" s="401">
        <v>5300343</v>
      </c>
      <c r="C35" s="466" t="s">
        <v>5329</v>
      </c>
      <c r="D35" s="395"/>
      <c r="E35" s="395">
        <v>9409.5</v>
      </c>
      <c r="F35" s="290">
        <v>1110645</v>
      </c>
      <c r="G35" s="473" t="s">
        <v>5380</v>
      </c>
      <c r="H35" s="395"/>
      <c r="I35" s="395">
        <v>9409.5</v>
      </c>
      <c r="J35" s="62" t="s">
        <v>5242</v>
      </c>
      <c r="K35" s="467" t="s">
        <v>34</v>
      </c>
      <c r="L35" s="472"/>
      <c r="M35" s="36" t="s">
        <v>5381</v>
      </c>
      <c r="N35" s="398"/>
      <c r="P35" t="s">
        <v>5382</v>
      </c>
      <c r="R35" s="454" t="s">
        <v>5383</v>
      </c>
      <c r="S35" s="468" t="s">
        <v>5384</v>
      </c>
      <c r="AF35" s="471" t="s">
        <v>5343</v>
      </c>
      <c r="AG35" s="398"/>
      <c r="AH35" s="398"/>
      <c r="AJ35"/>
    </row>
    <row r="36" spans="1:36" ht="19.5" customHeight="1">
      <c r="A36" s="25">
        <v>35</v>
      </c>
      <c r="C36" s="466" t="s">
        <v>5362</v>
      </c>
      <c r="D36" s="395"/>
      <c r="E36" s="395">
        <v>580</v>
      </c>
      <c r="F36" s="290">
        <v>1109085</v>
      </c>
      <c r="G36" s="473" t="s">
        <v>5362</v>
      </c>
      <c r="H36" s="395"/>
      <c r="I36" s="395">
        <v>580</v>
      </c>
      <c r="J36" s="62" t="s">
        <v>5242</v>
      </c>
      <c r="K36" s="467" t="s">
        <v>139</v>
      </c>
      <c r="L36" s="472"/>
      <c r="M36" s="36" t="s">
        <v>5385</v>
      </c>
      <c r="N36" s="398"/>
      <c r="P36" t="s">
        <v>5386</v>
      </c>
      <c r="AF36" s="471" t="s">
        <v>5301</v>
      </c>
      <c r="AG36" s="398"/>
      <c r="AH36" s="398"/>
      <c r="AJ36"/>
    </row>
    <row r="37" spans="1:36" ht="19.5" customHeight="1">
      <c r="A37" s="25">
        <v>36</v>
      </c>
      <c r="B37" s="401">
        <v>5302712</v>
      </c>
      <c r="C37" s="466" t="s">
        <v>5387</v>
      </c>
      <c r="D37" s="395"/>
      <c r="E37" s="395">
        <v>19463.259999999998</v>
      </c>
      <c r="F37" s="290">
        <v>1110591</v>
      </c>
      <c r="G37" s="283" t="s">
        <v>5377</v>
      </c>
      <c r="H37" s="395"/>
      <c r="I37" s="395">
        <v>19463.259999999998</v>
      </c>
      <c r="J37" s="62" t="s">
        <v>5242</v>
      </c>
      <c r="K37" s="467" t="s">
        <v>34</v>
      </c>
      <c r="M37" s="36" t="s">
        <v>5388</v>
      </c>
      <c r="N37" s="398"/>
      <c r="P37" t="s">
        <v>5389</v>
      </c>
      <c r="R37" s="454" t="s">
        <v>5390</v>
      </c>
      <c r="S37" s="468" t="s">
        <v>5391</v>
      </c>
      <c r="AF37" s="471" t="s">
        <v>5343</v>
      </c>
      <c r="AG37" s="398"/>
      <c r="AH37" s="398"/>
      <c r="AJ37"/>
    </row>
    <row r="38" spans="1:36" ht="19.5" customHeight="1">
      <c r="A38" s="25">
        <v>37</v>
      </c>
      <c r="B38" s="401">
        <v>5303283</v>
      </c>
      <c r="C38" s="466" t="s">
        <v>5392</v>
      </c>
      <c r="D38" s="395"/>
      <c r="E38" s="395">
        <v>149831.47</v>
      </c>
      <c r="F38" s="290">
        <v>1112646</v>
      </c>
      <c r="G38" s="283" t="s">
        <v>5393</v>
      </c>
      <c r="H38" s="395"/>
      <c r="I38" s="395">
        <v>149831.47</v>
      </c>
      <c r="J38" s="62" t="s">
        <v>5242</v>
      </c>
      <c r="K38" s="467" t="s">
        <v>5394</v>
      </c>
      <c r="M38" s="36" t="s">
        <v>5395</v>
      </c>
      <c r="N38" s="398"/>
      <c r="P38" t="s">
        <v>5396</v>
      </c>
      <c r="R38" s="454" t="s">
        <v>5397</v>
      </c>
      <c r="S38" s="468" t="s">
        <v>5398</v>
      </c>
      <c r="AF38" s="471" t="s">
        <v>5247</v>
      </c>
      <c r="AG38" s="398"/>
      <c r="AH38" s="398"/>
      <c r="AJ38"/>
    </row>
    <row r="39" spans="1:36" ht="19.5" customHeight="1">
      <c r="A39" s="25">
        <v>38</v>
      </c>
      <c r="B39" s="401">
        <v>5303344</v>
      </c>
      <c r="C39" s="466" t="s">
        <v>5392</v>
      </c>
      <c r="D39" s="395"/>
      <c r="E39" s="395">
        <v>24876.62</v>
      </c>
      <c r="F39" s="290">
        <v>1112851</v>
      </c>
      <c r="G39" s="283" t="s">
        <v>5393</v>
      </c>
      <c r="H39" s="395"/>
      <c r="I39" s="395">
        <v>24876.62</v>
      </c>
      <c r="J39" s="62" t="s">
        <v>5242</v>
      </c>
      <c r="K39" s="467" t="s">
        <v>34</v>
      </c>
      <c r="M39" s="36" t="s">
        <v>5399</v>
      </c>
      <c r="N39" s="398"/>
      <c r="P39" t="s">
        <v>5400</v>
      </c>
      <c r="R39" s="454" t="s">
        <v>5401</v>
      </c>
      <c r="S39" s="468" t="s">
        <v>5402</v>
      </c>
      <c r="AF39" s="471" t="s">
        <v>5343</v>
      </c>
      <c r="AG39" s="398"/>
      <c r="AH39" s="398"/>
      <c r="AJ39"/>
    </row>
    <row r="40" spans="1:36" ht="19.5" customHeight="1">
      <c r="A40" s="25">
        <v>39</v>
      </c>
      <c r="B40" s="401">
        <v>5304409</v>
      </c>
      <c r="C40" s="466" t="s">
        <v>5377</v>
      </c>
      <c r="D40" s="395"/>
      <c r="E40" s="395">
        <v>69.150000000000006</v>
      </c>
      <c r="F40" s="290">
        <v>1112477</v>
      </c>
      <c r="G40" s="283" t="s">
        <v>5367</v>
      </c>
      <c r="H40" s="395"/>
      <c r="I40" s="395">
        <v>69.150000000000006</v>
      </c>
      <c r="J40" s="62" t="s">
        <v>5242</v>
      </c>
      <c r="K40" s="467" t="s">
        <v>34</v>
      </c>
      <c r="L40" s="472"/>
      <c r="M40" s="36" t="s">
        <v>5403</v>
      </c>
      <c r="N40" s="398"/>
      <c r="P40" s="67" t="s">
        <v>5244</v>
      </c>
      <c r="Q40" s="67"/>
      <c r="R40" s="454" t="s">
        <v>5380</v>
      </c>
      <c r="S40" s="474" t="s">
        <v>5404</v>
      </c>
      <c r="AF40" s="471" t="s">
        <v>5343</v>
      </c>
      <c r="AG40" s="398"/>
      <c r="AH40" s="398"/>
      <c r="AJ40"/>
    </row>
    <row r="41" spans="1:36" ht="19.5" customHeight="1">
      <c r="A41" s="25">
        <v>40</v>
      </c>
      <c r="B41" s="401">
        <v>5304436</v>
      </c>
      <c r="C41" s="466" t="s">
        <v>5377</v>
      </c>
      <c r="D41" s="395"/>
      <c r="E41" s="395">
        <v>284341.65000000002</v>
      </c>
      <c r="F41" s="290">
        <v>1111777</v>
      </c>
      <c r="G41" s="283" t="s">
        <v>5405</v>
      </c>
      <c r="H41" s="395"/>
      <c r="I41" s="395">
        <v>284341.65000000002</v>
      </c>
      <c r="J41" s="62" t="s">
        <v>5242</v>
      </c>
      <c r="K41" s="467" t="s">
        <v>34</v>
      </c>
      <c r="M41" s="36" t="s">
        <v>5406</v>
      </c>
      <c r="N41" s="398"/>
      <c r="P41" t="s">
        <v>5396</v>
      </c>
      <c r="R41" s="454" t="s">
        <v>5407</v>
      </c>
      <c r="S41" s="474" t="s">
        <v>5408</v>
      </c>
      <c r="AF41" s="471" t="s">
        <v>5343</v>
      </c>
      <c r="AG41" s="398"/>
      <c r="AH41" s="398"/>
      <c r="AJ41"/>
    </row>
    <row r="42" spans="1:36" ht="19.5" customHeight="1">
      <c r="A42" s="25">
        <v>41</v>
      </c>
      <c r="B42" s="401">
        <v>5305521</v>
      </c>
      <c r="C42" s="466" t="s">
        <v>5380</v>
      </c>
      <c r="D42" s="395"/>
      <c r="E42" s="395">
        <v>43317.53</v>
      </c>
      <c r="F42" s="290">
        <v>1113564</v>
      </c>
      <c r="G42" s="283" t="s">
        <v>5409</v>
      </c>
      <c r="H42" s="395"/>
      <c r="I42" s="395">
        <v>43317.53</v>
      </c>
      <c r="J42" s="62" t="s">
        <v>5242</v>
      </c>
      <c r="K42" s="467" t="s">
        <v>34</v>
      </c>
      <c r="M42" s="36" t="s">
        <v>5410</v>
      </c>
      <c r="N42" s="398"/>
      <c r="P42" t="s">
        <v>5411</v>
      </c>
      <c r="R42" s="454" t="s">
        <v>5412</v>
      </c>
      <c r="S42" s="468" t="s">
        <v>5413</v>
      </c>
      <c r="AF42" s="471" t="s">
        <v>5343</v>
      </c>
      <c r="AG42" s="398"/>
      <c r="AH42" s="398"/>
      <c r="AJ42"/>
    </row>
    <row r="43" spans="1:36" ht="19.5" customHeight="1">
      <c r="A43" s="25">
        <v>42</v>
      </c>
      <c r="B43" s="401">
        <v>5306440</v>
      </c>
      <c r="C43" s="466" t="s">
        <v>5414</v>
      </c>
      <c r="D43" s="395"/>
      <c r="E43" s="395">
        <v>20804.669999999998</v>
      </c>
      <c r="F43" s="290">
        <v>1112850</v>
      </c>
      <c r="G43" s="283" t="s">
        <v>5393</v>
      </c>
      <c r="H43" s="395"/>
      <c r="I43" s="395">
        <v>20804.669999999998</v>
      </c>
      <c r="J43" s="62" t="s">
        <v>5242</v>
      </c>
      <c r="K43" s="467" t="s">
        <v>34</v>
      </c>
      <c r="M43" s="36" t="s">
        <v>5415</v>
      </c>
      <c r="N43" s="398"/>
      <c r="P43" t="s">
        <v>5416</v>
      </c>
      <c r="R43" s="454" t="s">
        <v>5417</v>
      </c>
      <c r="S43" s="468" t="s">
        <v>5418</v>
      </c>
      <c r="AF43" s="471" t="s">
        <v>5343</v>
      </c>
      <c r="AG43" s="398"/>
      <c r="AH43" s="398"/>
      <c r="AJ43"/>
    </row>
    <row r="44" spans="1:36" ht="19.5" customHeight="1">
      <c r="A44" s="25">
        <v>43</v>
      </c>
      <c r="C44" s="466" t="s">
        <v>5419</v>
      </c>
      <c r="D44" s="395"/>
      <c r="E44" s="395">
        <v>770</v>
      </c>
      <c r="F44" s="290">
        <v>1111626</v>
      </c>
      <c r="G44" s="283" t="s">
        <v>5419</v>
      </c>
      <c r="H44" s="395"/>
      <c r="I44" s="395">
        <v>770</v>
      </c>
      <c r="J44" s="62" t="s">
        <v>5242</v>
      </c>
      <c r="K44" s="467" t="s">
        <v>139</v>
      </c>
      <c r="M44" s="36" t="s">
        <v>5420</v>
      </c>
      <c r="N44" s="398"/>
      <c r="P44" s="67" t="s">
        <v>5257</v>
      </c>
      <c r="Q44" s="67"/>
      <c r="AF44" s="471" t="s">
        <v>5301</v>
      </c>
      <c r="AG44" s="398"/>
      <c r="AH44" s="398"/>
      <c r="AJ44"/>
    </row>
    <row r="45" spans="1:36" ht="19.5" customHeight="1">
      <c r="A45" s="25">
        <v>44</v>
      </c>
      <c r="B45" s="401">
        <v>5308340</v>
      </c>
      <c r="C45" s="466" t="s">
        <v>5405</v>
      </c>
      <c r="D45" s="395"/>
      <c r="E45" s="395">
        <v>497.63</v>
      </c>
      <c r="F45" s="290">
        <v>1115608</v>
      </c>
      <c r="G45" s="283" t="s">
        <v>5421</v>
      </c>
      <c r="H45" s="395"/>
      <c r="I45" s="395">
        <v>497.63</v>
      </c>
      <c r="J45" s="62" t="s">
        <v>5242</v>
      </c>
      <c r="K45" s="467" t="s">
        <v>34</v>
      </c>
      <c r="M45" s="36" t="s">
        <v>5422</v>
      </c>
      <c r="N45" s="398"/>
      <c r="P45" s="67" t="s">
        <v>5244</v>
      </c>
      <c r="Q45" s="67"/>
      <c r="R45" s="454" t="s">
        <v>5367</v>
      </c>
      <c r="S45" s="468" t="s">
        <v>5423</v>
      </c>
      <c r="AF45" s="471" t="s">
        <v>5424</v>
      </c>
      <c r="AG45" s="398"/>
      <c r="AH45" s="398"/>
      <c r="AJ45"/>
    </row>
    <row r="46" spans="1:36" ht="19.5" customHeight="1">
      <c r="A46" s="25">
        <v>45</v>
      </c>
      <c r="B46" s="401">
        <v>5308364</v>
      </c>
      <c r="C46" s="475" t="s">
        <v>5405</v>
      </c>
      <c r="D46" s="395"/>
      <c r="E46" s="395">
        <v>2178.7600000000002</v>
      </c>
      <c r="F46" s="290">
        <v>1113917</v>
      </c>
      <c r="G46" s="283" t="s">
        <v>5425</v>
      </c>
      <c r="H46" s="395"/>
      <c r="I46" s="395">
        <v>2178.7600000000002</v>
      </c>
      <c r="J46" s="62" t="s">
        <v>5242</v>
      </c>
      <c r="K46" s="467" t="s">
        <v>34</v>
      </c>
      <c r="M46" s="36" t="s">
        <v>5426</v>
      </c>
      <c r="N46" s="398"/>
      <c r="P46" t="s">
        <v>5427</v>
      </c>
      <c r="R46" s="454" t="s">
        <v>5428</v>
      </c>
      <c r="S46" s="468" t="s">
        <v>5429</v>
      </c>
      <c r="W46" s="41" t="s">
        <v>4660</v>
      </c>
      <c r="AF46" s="471" t="s">
        <v>5424</v>
      </c>
      <c r="AG46" s="398"/>
      <c r="AH46" s="398"/>
      <c r="AJ46"/>
    </row>
    <row r="47" spans="1:36" ht="19.5" customHeight="1">
      <c r="A47" s="25">
        <v>46</v>
      </c>
      <c r="B47" s="401">
        <v>5312267</v>
      </c>
      <c r="C47" s="466" t="s">
        <v>5425</v>
      </c>
      <c r="D47" s="395"/>
      <c r="E47" s="395">
        <v>67.349999999999994</v>
      </c>
      <c r="F47" s="290">
        <v>1115611</v>
      </c>
      <c r="G47" s="283" t="s">
        <v>5421</v>
      </c>
      <c r="H47" s="395"/>
      <c r="I47" s="395">
        <v>67.349999999999994</v>
      </c>
      <c r="J47" s="62" t="s">
        <v>5242</v>
      </c>
      <c r="K47" s="467" t="s">
        <v>34</v>
      </c>
      <c r="L47" s="472" t="s">
        <v>5430</v>
      </c>
      <c r="M47" s="36" t="s">
        <v>5431</v>
      </c>
      <c r="N47" s="398"/>
      <c r="P47" s="67" t="s">
        <v>5244</v>
      </c>
      <c r="Q47" s="67"/>
      <c r="R47" s="454" t="s">
        <v>5432</v>
      </c>
      <c r="S47" s="468" t="s">
        <v>5433</v>
      </c>
      <c r="AF47" s="471" t="s">
        <v>5424</v>
      </c>
      <c r="AG47" s="398"/>
      <c r="AH47" s="398"/>
      <c r="AJ47"/>
    </row>
    <row r="48" spans="1:36" ht="19.5" customHeight="1">
      <c r="A48" s="25">
        <v>47</v>
      </c>
      <c r="C48" s="466" t="s">
        <v>5434</v>
      </c>
      <c r="D48" s="395"/>
      <c r="E48" s="395">
        <v>2860</v>
      </c>
      <c r="F48" s="290">
        <v>1114756</v>
      </c>
      <c r="G48" s="283" t="s">
        <v>5434</v>
      </c>
      <c r="H48" s="395"/>
      <c r="I48" s="395">
        <v>2860</v>
      </c>
      <c r="J48" s="62" t="s">
        <v>5242</v>
      </c>
      <c r="K48" s="467" t="s">
        <v>4662</v>
      </c>
      <c r="M48" s="36" t="s">
        <v>5435</v>
      </c>
      <c r="N48" s="398"/>
      <c r="P48" s="67" t="s">
        <v>5257</v>
      </c>
      <c r="Q48" s="67"/>
      <c r="R48" s="454"/>
      <c r="S48" s="468"/>
      <c r="AF48" s="471" t="s">
        <v>5337</v>
      </c>
      <c r="AG48" s="398"/>
      <c r="AH48" s="398"/>
      <c r="AJ48"/>
    </row>
    <row r="49" spans="1:36" ht="19.5" customHeight="1">
      <c r="A49" s="25">
        <v>48</v>
      </c>
      <c r="B49" s="401">
        <v>5314202</v>
      </c>
      <c r="C49" s="466" t="s">
        <v>5434</v>
      </c>
      <c r="D49" s="395"/>
      <c r="E49" s="395">
        <v>321839.12</v>
      </c>
      <c r="F49" s="290">
        <v>1115604</v>
      </c>
      <c r="G49" s="283" t="s">
        <v>5421</v>
      </c>
      <c r="H49" s="395"/>
      <c r="I49" s="395">
        <v>321839.12</v>
      </c>
      <c r="J49" s="62" t="s">
        <v>5242</v>
      </c>
      <c r="K49" s="467" t="s">
        <v>34</v>
      </c>
      <c r="M49" s="36" t="s">
        <v>5436</v>
      </c>
      <c r="N49" s="398"/>
      <c r="P49" t="s">
        <v>5437</v>
      </c>
      <c r="R49" s="454" t="s">
        <v>5434</v>
      </c>
      <c r="S49" s="468" t="s">
        <v>5438</v>
      </c>
      <c r="AF49" s="471" t="s">
        <v>5424</v>
      </c>
      <c r="AG49" s="398"/>
      <c r="AH49" s="398"/>
      <c r="AJ49"/>
    </row>
    <row r="50" spans="1:36" ht="19.5" customHeight="1">
      <c r="A50" s="25">
        <v>49</v>
      </c>
      <c r="B50" s="401">
        <v>5314288</v>
      </c>
      <c r="C50" s="466" t="s">
        <v>5439</v>
      </c>
      <c r="D50" s="395"/>
      <c r="E50" s="395">
        <v>267.94</v>
      </c>
      <c r="F50" s="290">
        <v>1115614</v>
      </c>
      <c r="G50" s="283" t="s">
        <v>5421</v>
      </c>
      <c r="H50" s="395"/>
      <c r="I50" s="395">
        <v>267.94</v>
      </c>
      <c r="J50" s="62" t="s">
        <v>5242</v>
      </c>
      <c r="K50" s="467" t="s">
        <v>34</v>
      </c>
      <c r="L50" s="472"/>
      <c r="M50" s="36" t="s">
        <v>5440</v>
      </c>
      <c r="N50" s="398"/>
      <c r="P50" s="67" t="s">
        <v>5244</v>
      </c>
      <c r="Q50" s="67"/>
      <c r="R50" s="454" t="s">
        <v>5421</v>
      </c>
      <c r="S50" s="468" t="s">
        <v>5441</v>
      </c>
      <c r="AF50" s="471" t="s">
        <v>5424</v>
      </c>
      <c r="AG50" s="398"/>
      <c r="AH50" s="398"/>
      <c r="AJ50"/>
    </row>
    <row r="51" spans="1:36" ht="19.5" customHeight="1">
      <c r="A51" s="25">
        <v>50</v>
      </c>
      <c r="B51" s="401">
        <v>5314695</v>
      </c>
      <c r="C51" s="466" t="s">
        <v>5282</v>
      </c>
      <c r="D51" s="395"/>
      <c r="E51" s="395">
        <v>62205.78</v>
      </c>
      <c r="F51" s="290">
        <v>1116964</v>
      </c>
      <c r="G51" s="283" t="s">
        <v>5442</v>
      </c>
      <c r="H51" s="395"/>
      <c r="I51" s="395">
        <v>62205.78</v>
      </c>
      <c r="J51" s="62" t="s">
        <v>5242</v>
      </c>
      <c r="K51" s="467" t="s">
        <v>34</v>
      </c>
      <c r="M51" s="36" t="s">
        <v>5443</v>
      </c>
      <c r="N51" s="398"/>
      <c r="P51" t="s">
        <v>5444</v>
      </c>
      <c r="R51" s="454" t="s">
        <v>5445</v>
      </c>
      <c r="S51" s="468" t="s">
        <v>5446</v>
      </c>
      <c r="AF51" s="471" t="s">
        <v>5379</v>
      </c>
      <c r="AG51" s="398"/>
      <c r="AH51" s="398"/>
      <c r="AJ51"/>
    </row>
    <row r="52" spans="1:36" ht="19.5" customHeight="1">
      <c r="A52" s="25">
        <v>51</v>
      </c>
      <c r="B52" s="401">
        <v>5318167</v>
      </c>
      <c r="C52" s="466" t="s">
        <v>5447</v>
      </c>
      <c r="D52" s="395"/>
      <c r="E52" s="395">
        <v>67636.59</v>
      </c>
      <c r="F52" s="290">
        <v>1117894</v>
      </c>
      <c r="G52" s="283" t="s">
        <v>5448</v>
      </c>
      <c r="H52" s="395"/>
      <c r="I52" s="395">
        <v>67636.59</v>
      </c>
      <c r="J52" s="62" t="s">
        <v>5242</v>
      </c>
      <c r="K52" s="467" t="s">
        <v>34</v>
      </c>
      <c r="M52" s="36" t="s">
        <v>5449</v>
      </c>
      <c r="N52" s="398"/>
      <c r="P52" t="s">
        <v>5450</v>
      </c>
      <c r="R52" s="454" t="s">
        <v>5432</v>
      </c>
      <c r="S52" s="468" t="s">
        <v>5451</v>
      </c>
      <c r="AF52" s="471" t="s">
        <v>5452</v>
      </c>
      <c r="AG52" s="398"/>
      <c r="AH52" s="398"/>
      <c r="AJ52"/>
    </row>
    <row r="53" spans="1:36" ht="19.5" customHeight="1">
      <c r="A53" s="25">
        <v>52</v>
      </c>
      <c r="B53" s="401">
        <v>5318217</v>
      </c>
      <c r="C53" s="466" t="s">
        <v>5447</v>
      </c>
      <c r="D53" s="395"/>
      <c r="E53" s="395">
        <v>13481.99</v>
      </c>
      <c r="F53" s="290">
        <v>1119287</v>
      </c>
      <c r="G53" s="283" t="s">
        <v>5453</v>
      </c>
      <c r="H53" s="395"/>
      <c r="I53" s="395">
        <v>13481.99</v>
      </c>
      <c r="J53" s="62" t="s">
        <v>5242</v>
      </c>
      <c r="K53" s="467" t="s">
        <v>34</v>
      </c>
      <c r="M53" s="36" t="s">
        <v>5454</v>
      </c>
      <c r="N53" s="398"/>
      <c r="P53" t="s">
        <v>5455</v>
      </c>
      <c r="R53" s="454" t="s">
        <v>5456</v>
      </c>
      <c r="S53" s="468" t="s">
        <v>5457</v>
      </c>
      <c r="AF53" s="471" t="s">
        <v>5452</v>
      </c>
      <c r="AG53" s="398"/>
      <c r="AH53" s="398"/>
      <c r="AJ53"/>
    </row>
    <row r="54" spans="1:36" ht="19.5" customHeight="1">
      <c r="A54" s="25">
        <v>53</v>
      </c>
      <c r="B54" s="401">
        <v>5321322</v>
      </c>
      <c r="C54" s="466" t="s">
        <v>5289</v>
      </c>
      <c r="D54" s="395"/>
      <c r="E54" s="395">
        <v>53039.02</v>
      </c>
      <c r="F54" s="290">
        <v>1118469</v>
      </c>
      <c r="G54" s="466" t="s">
        <v>5458</v>
      </c>
      <c r="H54" s="395"/>
      <c r="I54" s="395">
        <v>53039.02</v>
      </c>
      <c r="J54" s="62" t="s">
        <v>5242</v>
      </c>
      <c r="K54" s="467" t="s">
        <v>34</v>
      </c>
      <c r="L54" s="472"/>
      <c r="M54" s="36" t="s">
        <v>5459</v>
      </c>
      <c r="N54" s="398"/>
      <c r="P54" t="s">
        <v>5460</v>
      </c>
      <c r="R54" s="454" t="s">
        <v>5432</v>
      </c>
      <c r="S54" s="471" t="s">
        <v>5433</v>
      </c>
      <c r="AF54" s="471" t="s">
        <v>5452</v>
      </c>
      <c r="AG54" s="398"/>
      <c r="AH54" s="398"/>
      <c r="AJ54"/>
    </row>
    <row r="55" spans="1:36" ht="19.5" customHeight="1">
      <c r="A55" s="25">
        <v>54</v>
      </c>
      <c r="B55" s="401">
        <v>5321334</v>
      </c>
      <c r="C55" s="466" t="s">
        <v>5289</v>
      </c>
      <c r="D55" s="395"/>
      <c r="E55" s="395">
        <v>67281.73</v>
      </c>
      <c r="F55" s="290">
        <v>1119048</v>
      </c>
      <c r="G55" s="283" t="s">
        <v>5453</v>
      </c>
      <c r="H55" s="395"/>
      <c r="I55" s="395">
        <v>67281.73</v>
      </c>
      <c r="J55" s="62" t="s">
        <v>5242</v>
      </c>
      <c r="K55" s="467" t="s">
        <v>34</v>
      </c>
      <c r="L55" s="472"/>
      <c r="M55" s="36" t="s">
        <v>5461</v>
      </c>
      <c r="N55" s="398"/>
      <c r="P55" t="s">
        <v>5462</v>
      </c>
      <c r="R55" s="454" t="s">
        <v>5463</v>
      </c>
      <c r="S55" s="468" t="s">
        <v>5464</v>
      </c>
      <c r="AF55" s="471" t="s">
        <v>5452</v>
      </c>
      <c r="AG55" s="398"/>
      <c r="AH55" s="398"/>
      <c r="AJ55"/>
    </row>
    <row r="56" spans="1:36" ht="19.5" customHeight="1">
      <c r="A56" s="25">
        <v>55</v>
      </c>
      <c r="B56" s="401">
        <v>5323422</v>
      </c>
      <c r="C56" s="466" t="s">
        <v>5458</v>
      </c>
      <c r="D56" s="395"/>
      <c r="E56" s="395">
        <v>437.72</v>
      </c>
      <c r="F56" s="290">
        <v>1120869</v>
      </c>
      <c r="G56" s="283" t="s">
        <v>5465</v>
      </c>
      <c r="H56" s="395"/>
      <c r="I56" s="395">
        <v>437.72</v>
      </c>
      <c r="J56" s="62" t="s">
        <v>5242</v>
      </c>
      <c r="K56" s="467" t="s">
        <v>34</v>
      </c>
      <c r="M56" s="36" t="s">
        <v>5466</v>
      </c>
      <c r="N56" s="398"/>
      <c r="P56" s="67" t="s">
        <v>5244</v>
      </c>
      <c r="Q56" s="67"/>
      <c r="R56" s="454" t="s">
        <v>5467</v>
      </c>
      <c r="S56" s="468" t="s">
        <v>5468</v>
      </c>
      <c r="AF56" s="471" t="s">
        <v>5452</v>
      </c>
      <c r="AG56" s="398"/>
      <c r="AH56" s="398"/>
      <c r="AJ56"/>
    </row>
    <row r="57" spans="1:36" ht="19.5" customHeight="1">
      <c r="A57" s="25">
        <v>56</v>
      </c>
      <c r="B57" s="401">
        <v>5325923</v>
      </c>
      <c r="C57" s="466" t="s">
        <v>5341</v>
      </c>
      <c r="D57" s="395"/>
      <c r="E57" s="395">
        <v>56031.74</v>
      </c>
      <c r="F57" s="290">
        <v>1121153</v>
      </c>
      <c r="G57" s="283" t="s">
        <v>5469</v>
      </c>
      <c r="H57" s="395"/>
      <c r="I57" s="395">
        <v>56031.74</v>
      </c>
      <c r="J57" s="62" t="s">
        <v>5242</v>
      </c>
      <c r="K57" s="467" t="s">
        <v>34</v>
      </c>
      <c r="M57" s="36" t="s">
        <v>5470</v>
      </c>
      <c r="N57" s="398"/>
      <c r="P57" s="67" t="s">
        <v>5471</v>
      </c>
      <c r="Q57" s="67"/>
      <c r="R57" s="454" t="s">
        <v>5472</v>
      </c>
      <c r="S57" s="468" t="s">
        <v>5473</v>
      </c>
      <c r="AF57" s="471" t="s">
        <v>5452</v>
      </c>
      <c r="AG57" s="398"/>
      <c r="AH57" s="398"/>
      <c r="AJ57"/>
    </row>
    <row r="58" spans="1:36" ht="19.5" customHeight="1">
      <c r="A58" s="25">
        <v>57</v>
      </c>
      <c r="C58" s="466" t="s">
        <v>5474</v>
      </c>
      <c r="D58" s="395"/>
      <c r="E58" s="395"/>
      <c r="F58" s="290">
        <v>1120197</v>
      </c>
      <c r="G58" s="473"/>
      <c r="H58" s="395"/>
      <c r="I58" s="395"/>
      <c r="J58" s="62" t="s">
        <v>5242</v>
      </c>
      <c r="K58" s="467" t="s">
        <v>5475</v>
      </c>
      <c r="L58" s="472"/>
      <c r="M58" s="36" t="s">
        <v>5476</v>
      </c>
      <c r="N58" s="398"/>
      <c r="R58" s="454"/>
      <c r="S58" s="468"/>
      <c r="AF58" s="471" t="s">
        <v>5477</v>
      </c>
      <c r="AG58" s="398"/>
      <c r="AH58" s="398"/>
      <c r="AJ58"/>
    </row>
    <row r="59" spans="1:36" ht="19.5" customHeight="1">
      <c r="A59" s="25">
        <v>58</v>
      </c>
      <c r="B59" s="401">
        <v>5327002</v>
      </c>
      <c r="C59" s="466" t="s">
        <v>5474</v>
      </c>
      <c r="D59" s="395"/>
      <c r="E59" s="395">
        <v>76.53</v>
      </c>
      <c r="F59" s="290">
        <v>1122092</v>
      </c>
      <c r="G59" s="473" t="s">
        <v>5478</v>
      </c>
      <c r="H59" s="395"/>
      <c r="I59" s="395">
        <v>76.53</v>
      </c>
      <c r="J59" s="62" t="s">
        <v>5242</v>
      </c>
      <c r="K59" s="467" t="s">
        <v>34</v>
      </c>
      <c r="L59" s="472"/>
      <c r="M59" s="36" t="s">
        <v>5479</v>
      </c>
      <c r="N59" s="398"/>
      <c r="P59" s="67" t="s">
        <v>5244</v>
      </c>
      <c r="Q59" s="67"/>
      <c r="R59" s="476" t="s">
        <v>5480</v>
      </c>
      <c r="S59" s="468" t="s">
        <v>5481</v>
      </c>
      <c r="AF59" s="471" t="s">
        <v>5482</v>
      </c>
      <c r="AG59" s="398"/>
      <c r="AH59" s="398"/>
      <c r="AJ59"/>
    </row>
    <row r="60" spans="1:36" ht="19.5" customHeight="1">
      <c r="A60" s="25">
        <v>59</v>
      </c>
      <c r="B60" s="401" t="s">
        <v>5483</v>
      </c>
      <c r="C60" s="466" t="s">
        <v>5484</v>
      </c>
      <c r="D60" s="395"/>
      <c r="E60" s="395"/>
      <c r="F60" s="26" t="s">
        <v>141</v>
      </c>
      <c r="G60" s="283"/>
      <c r="H60" s="395"/>
      <c r="I60" s="395"/>
      <c r="J60" s="62" t="s">
        <v>5242</v>
      </c>
      <c r="K60" s="467" t="s">
        <v>5485</v>
      </c>
      <c r="M60" s="36" t="s">
        <v>5486</v>
      </c>
      <c r="N60" s="398"/>
      <c r="R60" s="454"/>
      <c r="S60" s="468"/>
      <c r="AF60" s="471" t="s">
        <v>5487</v>
      </c>
      <c r="AG60" s="398"/>
      <c r="AH60" s="398"/>
      <c r="AJ60"/>
    </row>
    <row r="61" spans="1:36" ht="19.5" customHeight="1">
      <c r="A61" s="25">
        <v>60</v>
      </c>
      <c r="B61" s="401">
        <v>5333827</v>
      </c>
      <c r="C61" s="466" t="s">
        <v>5488</v>
      </c>
      <c r="D61" s="395"/>
      <c r="E61" s="395">
        <v>31.11</v>
      </c>
      <c r="F61" s="290">
        <v>1123384</v>
      </c>
      <c r="G61" s="283" t="s">
        <v>5489</v>
      </c>
      <c r="H61" s="395"/>
      <c r="I61" s="395">
        <v>31.11</v>
      </c>
      <c r="J61" s="62" t="s">
        <v>5242</v>
      </c>
      <c r="K61" s="467" t="s">
        <v>34</v>
      </c>
      <c r="M61" s="36" t="s">
        <v>5490</v>
      </c>
      <c r="N61" s="398"/>
      <c r="P61" s="67" t="s">
        <v>5244</v>
      </c>
      <c r="Q61" s="67"/>
      <c r="R61" s="454" t="s">
        <v>5491</v>
      </c>
      <c r="S61" s="468" t="s">
        <v>5492</v>
      </c>
      <c r="AF61" s="471" t="s">
        <v>5482</v>
      </c>
      <c r="AG61" s="398"/>
      <c r="AH61" s="398"/>
      <c r="AJ61"/>
    </row>
    <row r="62" spans="1:36" ht="19.5" customHeight="1">
      <c r="A62" s="25">
        <v>61</v>
      </c>
      <c r="B62" s="401">
        <v>5335409</v>
      </c>
      <c r="C62" s="466" t="s">
        <v>5489</v>
      </c>
      <c r="D62" s="395"/>
      <c r="E62" s="395">
        <v>17558.22</v>
      </c>
      <c r="F62" s="290">
        <v>1125448</v>
      </c>
      <c r="G62" s="283" t="s">
        <v>5493</v>
      </c>
      <c r="H62" s="395"/>
      <c r="I62" s="395">
        <v>17558.22</v>
      </c>
      <c r="J62" s="62" t="s">
        <v>5242</v>
      </c>
      <c r="K62" s="467" t="s">
        <v>34</v>
      </c>
      <c r="M62" s="36" t="s">
        <v>5494</v>
      </c>
      <c r="N62" s="398"/>
      <c r="P62" t="s">
        <v>5495</v>
      </c>
      <c r="R62" s="454" t="s">
        <v>5491</v>
      </c>
      <c r="S62" s="468" t="s">
        <v>5492</v>
      </c>
      <c r="AF62" s="471" t="s">
        <v>5482</v>
      </c>
      <c r="AG62" s="398"/>
      <c r="AH62" s="398"/>
      <c r="AJ62"/>
    </row>
    <row r="63" spans="1:36" ht="19.5" customHeight="1">
      <c r="A63" s="25">
        <v>62</v>
      </c>
      <c r="B63" s="401">
        <v>5337331</v>
      </c>
      <c r="C63" s="466" t="s">
        <v>5496</v>
      </c>
      <c r="D63" s="395"/>
      <c r="E63" s="395">
        <v>217.78</v>
      </c>
      <c r="F63" s="290">
        <v>1125441</v>
      </c>
      <c r="G63" s="283" t="s">
        <v>5497</v>
      </c>
      <c r="H63" s="395"/>
      <c r="I63" s="395">
        <v>217.78</v>
      </c>
      <c r="J63" s="62" t="s">
        <v>5242</v>
      </c>
      <c r="K63" s="467" t="s">
        <v>34</v>
      </c>
      <c r="L63" s="472"/>
      <c r="M63" s="36" t="s">
        <v>5498</v>
      </c>
      <c r="N63" s="398"/>
      <c r="P63" s="67" t="s">
        <v>5244</v>
      </c>
      <c r="Q63" s="67"/>
      <c r="R63" s="454" t="s">
        <v>5499</v>
      </c>
      <c r="S63" s="468" t="s">
        <v>5500</v>
      </c>
      <c r="AF63" s="471" t="s">
        <v>5482</v>
      </c>
      <c r="AG63" s="398"/>
      <c r="AH63" s="398"/>
      <c r="AJ63"/>
    </row>
    <row r="64" spans="1:36" ht="19.5" customHeight="1">
      <c r="A64" s="25">
        <v>63</v>
      </c>
      <c r="B64" s="401">
        <v>5338333</v>
      </c>
      <c r="C64" s="466" t="s">
        <v>5499</v>
      </c>
      <c r="D64" s="395"/>
      <c r="E64" s="395">
        <v>22972.11</v>
      </c>
      <c r="F64" s="290">
        <v>1125449</v>
      </c>
      <c r="G64" s="283" t="s">
        <v>5493</v>
      </c>
      <c r="H64" s="395"/>
      <c r="I64" s="395">
        <v>22972.11</v>
      </c>
      <c r="J64" s="62" t="s">
        <v>5242</v>
      </c>
      <c r="K64" s="467" t="s">
        <v>34</v>
      </c>
      <c r="M64" s="36" t="s">
        <v>5501</v>
      </c>
      <c r="N64" s="398"/>
      <c r="P64" t="s">
        <v>5502</v>
      </c>
      <c r="R64" s="454" t="s">
        <v>5503</v>
      </c>
      <c r="S64" s="468" t="s">
        <v>5504</v>
      </c>
      <c r="AF64" s="471" t="s">
        <v>5482</v>
      </c>
      <c r="AG64" s="398"/>
      <c r="AH64" s="398"/>
      <c r="AJ64"/>
    </row>
    <row r="65" spans="1:36" ht="19.5" customHeight="1">
      <c r="A65" s="25">
        <v>64</v>
      </c>
      <c r="B65" s="401">
        <v>5340639</v>
      </c>
      <c r="C65" s="466" t="s">
        <v>5503</v>
      </c>
      <c r="D65" s="395"/>
      <c r="E65" s="395">
        <v>241.86</v>
      </c>
      <c r="F65" s="290">
        <v>1126451</v>
      </c>
      <c r="G65" s="283" t="s">
        <v>5493</v>
      </c>
      <c r="H65" s="395"/>
      <c r="I65" s="395">
        <v>241.86</v>
      </c>
      <c r="J65" s="62" t="s">
        <v>5242</v>
      </c>
      <c r="K65" s="467" t="s">
        <v>34</v>
      </c>
      <c r="M65" s="36" t="s">
        <v>5505</v>
      </c>
      <c r="N65" s="398"/>
      <c r="P65" s="67" t="s">
        <v>5244</v>
      </c>
      <c r="Q65" s="67"/>
      <c r="R65" s="454" t="s">
        <v>5506</v>
      </c>
      <c r="S65" s="468" t="s">
        <v>5507</v>
      </c>
      <c r="AF65" s="471" t="s">
        <v>5482</v>
      </c>
      <c r="AG65" s="398"/>
      <c r="AH65" s="398"/>
      <c r="AJ65"/>
    </row>
    <row r="66" spans="1:36" ht="19.5" customHeight="1">
      <c r="A66" s="25">
        <v>65</v>
      </c>
      <c r="B66" s="401">
        <v>5341279</v>
      </c>
      <c r="C66" s="466" t="s">
        <v>5497</v>
      </c>
      <c r="D66" s="395"/>
      <c r="E66" s="395">
        <v>15053.94</v>
      </c>
      <c r="F66" s="290">
        <v>1129857</v>
      </c>
      <c r="G66" s="283" t="s">
        <v>5508</v>
      </c>
      <c r="H66" s="395"/>
      <c r="I66" s="395">
        <v>15053.94</v>
      </c>
      <c r="J66" s="62" t="s">
        <v>5242</v>
      </c>
      <c r="K66" s="467" t="s">
        <v>34</v>
      </c>
      <c r="M66" s="36" t="s">
        <v>5509</v>
      </c>
      <c r="N66" s="398"/>
      <c r="P66" t="s">
        <v>5510</v>
      </c>
      <c r="R66" s="454" t="s">
        <v>5511</v>
      </c>
      <c r="S66" s="468" t="s">
        <v>5512</v>
      </c>
      <c r="AF66" s="471" t="s">
        <v>5482</v>
      </c>
      <c r="AG66" s="398"/>
      <c r="AH66" s="398"/>
      <c r="AJ66"/>
    </row>
    <row r="67" spans="1:36" ht="19.5" customHeight="1">
      <c r="A67" s="25">
        <v>66</v>
      </c>
      <c r="B67" s="401">
        <v>5343871</v>
      </c>
      <c r="C67" s="466" t="s">
        <v>5370</v>
      </c>
      <c r="D67" s="395"/>
      <c r="E67" s="395">
        <v>6908.36</v>
      </c>
      <c r="F67" s="290">
        <v>1129883</v>
      </c>
      <c r="G67" s="283" t="s">
        <v>5508</v>
      </c>
      <c r="H67" s="395"/>
      <c r="I67" s="395">
        <v>6908.36</v>
      </c>
      <c r="J67" s="62" t="s">
        <v>5242</v>
      </c>
      <c r="K67" s="467" t="s">
        <v>34</v>
      </c>
      <c r="M67" s="36" t="s">
        <v>5513</v>
      </c>
      <c r="N67" s="398"/>
      <c r="P67" t="s">
        <v>5514</v>
      </c>
      <c r="R67" s="454" t="s">
        <v>5493</v>
      </c>
      <c r="S67" s="468" t="s">
        <v>5515</v>
      </c>
      <c r="AF67" s="471" t="s">
        <v>5482</v>
      </c>
      <c r="AG67" s="398"/>
      <c r="AH67" s="398"/>
      <c r="AJ67"/>
    </row>
    <row r="68" spans="1:36" ht="19.5" customHeight="1">
      <c r="A68" s="25">
        <v>67</v>
      </c>
      <c r="B68" s="401">
        <v>5345086</v>
      </c>
      <c r="C68" s="466" t="s">
        <v>5516</v>
      </c>
      <c r="D68" s="395"/>
      <c r="E68" s="395">
        <v>134.13999999999999</v>
      </c>
      <c r="F68" s="290">
        <v>1127365</v>
      </c>
      <c r="G68" s="283" t="s">
        <v>5517</v>
      </c>
      <c r="H68" s="395"/>
      <c r="I68" s="395">
        <v>134.13999999999999</v>
      </c>
      <c r="J68" s="62" t="s">
        <v>5242</v>
      </c>
      <c r="K68" s="467" t="s">
        <v>34</v>
      </c>
      <c r="M68" s="36" t="s">
        <v>5518</v>
      </c>
      <c r="N68" s="398"/>
      <c r="P68" s="67" t="s">
        <v>5244</v>
      </c>
      <c r="Q68" s="67"/>
      <c r="R68" s="454" t="s">
        <v>5517</v>
      </c>
      <c r="S68" s="468" t="s">
        <v>5519</v>
      </c>
      <c r="AF68" s="471" t="s">
        <v>5482</v>
      </c>
      <c r="AG68" s="398"/>
      <c r="AH68" s="398"/>
      <c r="AJ68"/>
    </row>
    <row r="69" spans="1:36" ht="19.5" customHeight="1">
      <c r="A69" s="25">
        <v>68</v>
      </c>
      <c r="C69" s="466" t="s">
        <v>5516</v>
      </c>
      <c r="D69" s="395"/>
      <c r="E69" s="395">
        <v>6760</v>
      </c>
      <c r="F69" s="290">
        <v>1127209</v>
      </c>
      <c r="G69" s="283" t="s">
        <v>5516</v>
      </c>
      <c r="H69" s="395"/>
      <c r="I69" s="395">
        <v>6760</v>
      </c>
      <c r="J69" s="62" t="s">
        <v>5242</v>
      </c>
      <c r="K69" s="467" t="s">
        <v>193</v>
      </c>
      <c r="M69" s="36" t="s">
        <v>5520</v>
      </c>
      <c r="N69" s="398"/>
      <c r="P69" t="s">
        <v>5521</v>
      </c>
      <c r="W69" s="41" t="s">
        <v>4660</v>
      </c>
      <c r="AF69" s="471" t="s">
        <v>5337</v>
      </c>
      <c r="AG69" s="398"/>
      <c r="AH69" s="398"/>
      <c r="AJ69"/>
    </row>
    <row r="70" spans="1:36" ht="19.5" customHeight="1">
      <c r="A70" s="25">
        <v>69</v>
      </c>
      <c r="B70" s="401">
        <v>5348794</v>
      </c>
      <c r="C70" s="466" t="s">
        <v>5522</v>
      </c>
      <c r="D70" s="395"/>
      <c r="E70" s="395">
        <v>81.739999999999995</v>
      </c>
      <c r="F70" s="290">
        <v>1129764</v>
      </c>
      <c r="G70" s="283" t="s">
        <v>5508</v>
      </c>
      <c r="H70" s="395"/>
      <c r="I70" s="395">
        <v>81.739999999999995</v>
      </c>
      <c r="J70" s="62" t="s">
        <v>5242</v>
      </c>
      <c r="K70" s="467" t="s">
        <v>34</v>
      </c>
      <c r="L70" s="472"/>
      <c r="M70" s="36" t="s">
        <v>5523</v>
      </c>
      <c r="N70" s="398"/>
      <c r="P70" s="67" t="s">
        <v>5244</v>
      </c>
      <c r="Q70" s="67"/>
      <c r="R70" s="454" t="s">
        <v>5524</v>
      </c>
      <c r="S70" s="468" t="s">
        <v>5525</v>
      </c>
      <c r="AF70" s="471" t="s">
        <v>5482</v>
      </c>
      <c r="AG70" s="398"/>
      <c r="AH70" s="398"/>
      <c r="AJ70"/>
    </row>
    <row r="71" spans="1:36" ht="19.5" customHeight="1">
      <c r="A71" s="25">
        <v>70</v>
      </c>
      <c r="B71" s="401">
        <v>5350620</v>
      </c>
      <c r="C71" s="466" t="s">
        <v>5526</v>
      </c>
      <c r="D71" s="395"/>
      <c r="E71" s="395">
        <v>436463.82</v>
      </c>
      <c r="F71" s="290">
        <v>1131517</v>
      </c>
      <c r="G71" s="283" t="s">
        <v>5527</v>
      </c>
      <c r="H71" s="395"/>
      <c r="I71" s="395">
        <v>436463.82</v>
      </c>
      <c r="J71" s="62" t="s">
        <v>5242</v>
      </c>
      <c r="K71" s="467" t="s">
        <v>34</v>
      </c>
      <c r="M71" s="36" t="s">
        <v>5528</v>
      </c>
      <c r="N71" s="398"/>
      <c r="P71" t="s">
        <v>5529</v>
      </c>
      <c r="R71" s="454" t="s">
        <v>5456</v>
      </c>
      <c r="S71" s="468" t="s">
        <v>5457</v>
      </c>
      <c r="AF71" s="471" t="s">
        <v>5530</v>
      </c>
      <c r="AG71" s="398"/>
      <c r="AH71" s="398"/>
      <c r="AJ71"/>
    </row>
    <row r="72" spans="1:36" ht="19.5" customHeight="1" thickBot="1">
      <c r="A72" s="25">
        <v>71</v>
      </c>
      <c r="C72" s="466" t="s">
        <v>5526</v>
      </c>
      <c r="D72" s="395"/>
      <c r="E72" s="395">
        <v>4493</v>
      </c>
      <c r="F72" s="290">
        <v>1129296</v>
      </c>
      <c r="G72" s="283" t="s">
        <v>5526</v>
      </c>
      <c r="H72" s="395"/>
      <c r="I72" s="395">
        <v>4493</v>
      </c>
      <c r="J72" s="62" t="s">
        <v>5242</v>
      </c>
      <c r="K72" s="477" t="s">
        <v>977</v>
      </c>
      <c r="M72" s="36" t="s">
        <v>5531</v>
      </c>
      <c r="N72" s="398"/>
      <c r="P72" s="67" t="s">
        <v>5257</v>
      </c>
      <c r="Q72" s="67"/>
      <c r="R72" s="454"/>
      <c r="S72" s="468"/>
      <c r="AF72" s="471" t="s">
        <v>5532</v>
      </c>
      <c r="AG72" s="398"/>
      <c r="AH72" s="398"/>
      <c r="AJ72"/>
    </row>
    <row r="73" spans="1:36" ht="19.5" customHeight="1">
      <c r="A73" s="25">
        <v>72</v>
      </c>
      <c r="C73" s="466" t="s">
        <v>5533</v>
      </c>
      <c r="D73" s="395"/>
      <c r="E73" s="395">
        <v>2440</v>
      </c>
      <c r="F73" s="290">
        <v>1129614</v>
      </c>
      <c r="G73" s="283" t="s">
        <v>5533</v>
      </c>
      <c r="H73" s="395"/>
      <c r="I73" s="395">
        <v>2440</v>
      </c>
      <c r="J73" s="62" t="s">
        <v>5242</v>
      </c>
      <c r="K73" s="467" t="s">
        <v>139</v>
      </c>
      <c r="M73" s="36" t="s">
        <v>5534</v>
      </c>
      <c r="N73" s="398"/>
      <c r="P73" s="67" t="s">
        <v>5257</v>
      </c>
      <c r="Q73" s="67"/>
      <c r="R73" s="454"/>
      <c r="S73" s="468"/>
      <c r="AF73" s="471" t="s">
        <v>5301</v>
      </c>
      <c r="AG73" s="398"/>
      <c r="AH73" s="398"/>
      <c r="AJ73"/>
    </row>
    <row r="74" spans="1:36" ht="19.5" customHeight="1">
      <c r="A74" s="25">
        <v>73</v>
      </c>
      <c r="B74" s="401">
        <v>5353117</v>
      </c>
      <c r="C74" s="466" t="s">
        <v>5535</v>
      </c>
      <c r="D74" s="395"/>
      <c r="E74" s="395">
        <v>45.65</v>
      </c>
      <c r="F74" s="290">
        <v>1131619</v>
      </c>
      <c r="G74" s="283" t="s">
        <v>5527</v>
      </c>
      <c r="H74" s="395"/>
      <c r="I74" s="395">
        <v>45.65</v>
      </c>
      <c r="J74" s="62" t="s">
        <v>5242</v>
      </c>
      <c r="K74" s="467" t="s">
        <v>34</v>
      </c>
      <c r="L74" s="472"/>
      <c r="M74" s="36" t="s">
        <v>5536</v>
      </c>
      <c r="N74" s="398"/>
      <c r="P74" s="67" t="s">
        <v>5244</v>
      </c>
      <c r="Q74" s="67"/>
      <c r="R74" s="454" t="s">
        <v>5537</v>
      </c>
      <c r="S74" s="468" t="s">
        <v>5538</v>
      </c>
      <c r="AF74" s="471" t="s">
        <v>5482</v>
      </c>
      <c r="AG74" s="398"/>
      <c r="AH74" s="398"/>
      <c r="AJ74"/>
    </row>
    <row r="75" spans="1:36" ht="19.5" customHeight="1">
      <c r="A75" s="25">
        <v>74</v>
      </c>
      <c r="B75" s="401">
        <v>5353495</v>
      </c>
      <c r="C75" s="466" t="s">
        <v>5537</v>
      </c>
      <c r="D75" s="395"/>
      <c r="E75" s="395">
        <v>1405.89</v>
      </c>
      <c r="F75" s="290">
        <v>1130824</v>
      </c>
      <c r="G75" s="283" t="s">
        <v>5539</v>
      </c>
      <c r="H75" s="395"/>
      <c r="I75" s="395">
        <v>1405.89</v>
      </c>
      <c r="J75" s="62" t="s">
        <v>5242</v>
      </c>
      <c r="K75" s="467" t="s">
        <v>34</v>
      </c>
      <c r="M75" s="36" t="s">
        <v>5540</v>
      </c>
      <c r="N75" s="398"/>
      <c r="P75" s="67" t="s">
        <v>5541</v>
      </c>
      <c r="Q75" s="67"/>
      <c r="R75" s="454" t="s">
        <v>5535</v>
      </c>
      <c r="S75" s="468" t="s">
        <v>5542</v>
      </c>
      <c r="AF75" s="471" t="s">
        <v>5482</v>
      </c>
      <c r="AG75" s="398"/>
      <c r="AH75" s="398"/>
      <c r="AJ75"/>
    </row>
    <row r="76" spans="1:36" ht="19.5" customHeight="1">
      <c r="A76" s="25">
        <v>75</v>
      </c>
      <c r="B76" s="401">
        <v>5355857</v>
      </c>
      <c r="C76" s="466" t="s">
        <v>5543</v>
      </c>
      <c r="D76" s="395"/>
      <c r="E76" s="395">
        <v>9457.41</v>
      </c>
      <c r="F76" s="290">
        <v>1135590</v>
      </c>
      <c r="G76" s="283" t="s">
        <v>5544</v>
      </c>
      <c r="H76" s="395"/>
      <c r="I76" s="395">
        <v>9457.41</v>
      </c>
      <c r="J76" s="62" t="s">
        <v>5242</v>
      </c>
      <c r="K76" s="467" t="s">
        <v>34</v>
      </c>
      <c r="M76" s="36" t="s">
        <v>5545</v>
      </c>
      <c r="N76" s="398"/>
      <c r="P76" t="s">
        <v>5546</v>
      </c>
      <c r="R76" s="454" t="s">
        <v>5537</v>
      </c>
      <c r="S76" s="468" t="s">
        <v>5538</v>
      </c>
      <c r="AF76" s="471" t="s">
        <v>5482</v>
      </c>
      <c r="AG76" s="398"/>
      <c r="AH76" s="398"/>
      <c r="AJ76"/>
    </row>
    <row r="77" spans="1:36" ht="19.5" customHeight="1">
      <c r="A77" s="25">
        <v>76</v>
      </c>
      <c r="B77" s="401">
        <v>5356631</v>
      </c>
      <c r="C77" s="466" t="s">
        <v>5527</v>
      </c>
      <c r="D77" s="395"/>
      <c r="E77" s="395">
        <v>9187.7900000000009</v>
      </c>
      <c r="F77" s="290">
        <v>1135671</v>
      </c>
      <c r="G77" s="283" t="s">
        <v>5547</v>
      </c>
      <c r="H77" s="395"/>
      <c r="I77" s="395">
        <v>9187.7900000000009</v>
      </c>
      <c r="J77" s="62" t="s">
        <v>5242</v>
      </c>
      <c r="K77" s="467" t="s">
        <v>34</v>
      </c>
      <c r="M77" s="36" t="s">
        <v>5548</v>
      </c>
      <c r="N77" s="398"/>
      <c r="P77" t="s">
        <v>5549</v>
      </c>
      <c r="R77" s="454" t="s">
        <v>5511</v>
      </c>
      <c r="S77" s="468" t="s">
        <v>5512</v>
      </c>
      <c r="AF77" s="471" t="s">
        <v>5482</v>
      </c>
      <c r="AG77" s="398"/>
      <c r="AH77" s="398"/>
      <c r="AJ77"/>
    </row>
    <row r="78" spans="1:36" ht="19.5" customHeight="1">
      <c r="A78" s="25">
        <v>77</v>
      </c>
      <c r="B78" s="401">
        <v>5359567</v>
      </c>
      <c r="C78" s="466" t="s">
        <v>5550</v>
      </c>
      <c r="D78" s="395"/>
      <c r="E78" s="395">
        <v>2302.0500000000002</v>
      </c>
      <c r="F78" s="290">
        <v>1135676</v>
      </c>
      <c r="G78" s="473" t="s">
        <v>5547</v>
      </c>
      <c r="H78" s="395"/>
      <c r="I78" s="395">
        <v>2302.0500000000002</v>
      </c>
      <c r="J78" s="62" t="s">
        <v>5242</v>
      </c>
      <c r="K78" s="467" t="s">
        <v>34</v>
      </c>
      <c r="L78" s="472"/>
      <c r="M78" s="36" t="s">
        <v>5551</v>
      </c>
      <c r="N78" s="398"/>
      <c r="P78" t="s">
        <v>5552</v>
      </c>
      <c r="R78" s="454" t="s">
        <v>5553</v>
      </c>
      <c r="S78" s="471" t="s">
        <v>5554</v>
      </c>
      <c r="AF78" s="471" t="s">
        <v>5482</v>
      </c>
      <c r="AG78" s="398"/>
      <c r="AH78" s="398"/>
      <c r="AJ78"/>
    </row>
    <row r="79" spans="1:36" ht="19.5" customHeight="1">
      <c r="A79" s="25">
        <v>78</v>
      </c>
      <c r="C79" s="466" t="s">
        <v>5555</v>
      </c>
      <c r="D79" s="395"/>
      <c r="E79" s="395"/>
      <c r="F79" s="290">
        <v>1133219</v>
      </c>
      <c r="G79" s="283"/>
      <c r="H79" s="395"/>
      <c r="I79" s="395"/>
      <c r="J79" s="62" t="s">
        <v>5242</v>
      </c>
      <c r="K79" s="467" t="s">
        <v>5475</v>
      </c>
      <c r="L79" s="472"/>
      <c r="M79" s="36" t="s">
        <v>5556</v>
      </c>
      <c r="N79" s="398"/>
      <c r="P79" s="67"/>
      <c r="Q79" s="67"/>
      <c r="R79" s="454"/>
      <c r="S79" s="468"/>
      <c r="AF79" s="471" t="s">
        <v>5557</v>
      </c>
      <c r="AG79" s="398"/>
      <c r="AH79" s="398"/>
      <c r="AJ79"/>
    </row>
    <row r="80" spans="1:36" ht="19.5" customHeight="1">
      <c r="A80" s="25">
        <v>79</v>
      </c>
      <c r="B80" s="401">
        <v>5362225</v>
      </c>
      <c r="C80" s="466" t="s">
        <v>5558</v>
      </c>
      <c r="D80" s="395"/>
      <c r="E80" s="395">
        <v>197.05</v>
      </c>
      <c r="F80" s="290">
        <v>1134877</v>
      </c>
      <c r="G80" s="283" t="s">
        <v>5559</v>
      </c>
      <c r="H80" s="395"/>
      <c r="I80" s="395">
        <v>197.05</v>
      </c>
      <c r="J80" s="62" t="s">
        <v>5242</v>
      </c>
      <c r="K80" s="467" t="s">
        <v>34</v>
      </c>
      <c r="M80" s="36" t="s">
        <v>5560</v>
      </c>
      <c r="N80" s="398"/>
      <c r="P80" s="67" t="s">
        <v>5244</v>
      </c>
      <c r="Q80" s="67"/>
      <c r="R80" s="454" t="s">
        <v>5561</v>
      </c>
      <c r="S80" s="474" t="s">
        <v>5562</v>
      </c>
      <c r="AF80" s="471" t="s">
        <v>5482</v>
      </c>
      <c r="AG80" s="398"/>
      <c r="AH80" s="398"/>
      <c r="AJ80"/>
    </row>
    <row r="81" spans="1:36" ht="19.5" customHeight="1">
      <c r="A81" s="25">
        <v>80</v>
      </c>
      <c r="B81" s="401">
        <v>5362415</v>
      </c>
      <c r="C81" s="466" t="s">
        <v>5558</v>
      </c>
      <c r="D81" s="395"/>
      <c r="E81" s="395">
        <v>261220.35</v>
      </c>
      <c r="F81" s="290">
        <v>1140269</v>
      </c>
      <c r="G81" s="283" t="s">
        <v>5563</v>
      </c>
      <c r="H81" s="395"/>
      <c r="I81" s="395">
        <v>261220.35</v>
      </c>
      <c r="J81" s="62" t="s">
        <v>5242</v>
      </c>
      <c r="K81" s="467" t="s">
        <v>34</v>
      </c>
      <c r="L81" s="472" t="s">
        <v>5564</v>
      </c>
      <c r="M81" s="36" t="s">
        <v>5565</v>
      </c>
      <c r="N81" s="398"/>
      <c r="P81" t="s">
        <v>5566</v>
      </c>
      <c r="R81" s="454" t="s">
        <v>5567</v>
      </c>
      <c r="S81" s="468" t="s">
        <v>5568</v>
      </c>
      <c r="AF81" s="471" t="s">
        <v>5569</v>
      </c>
      <c r="AG81" s="398"/>
      <c r="AH81" s="398"/>
      <c r="AJ81"/>
    </row>
    <row r="82" spans="1:36" ht="19.5" customHeight="1">
      <c r="A82" s="25">
        <v>81</v>
      </c>
      <c r="B82" s="401">
        <v>5364124</v>
      </c>
      <c r="C82" s="466" t="s">
        <v>5570</v>
      </c>
      <c r="D82" s="395"/>
      <c r="E82" s="395">
        <v>196703.54</v>
      </c>
      <c r="F82" s="290">
        <v>1136102</v>
      </c>
      <c r="G82" s="473" t="s">
        <v>5571</v>
      </c>
      <c r="H82" s="395"/>
      <c r="I82" s="395">
        <v>196703.54</v>
      </c>
      <c r="J82" s="62" t="s">
        <v>5242</v>
      </c>
      <c r="K82" s="467" t="s">
        <v>34</v>
      </c>
      <c r="L82" s="472"/>
      <c r="M82" s="36" t="s">
        <v>5572</v>
      </c>
      <c r="N82" s="398"/>
      <c r="P82" t="s">
        <v>5573</v>
      </c>
      <c r="R82" s="454" t="s">
        <v>5574</v>
      </c>
      <c r="S82" s="468" t="s">
        <v>5575</v>
      </c>
      <c r="AF82" s="471" t="s">
        <v>5569</v>
      </c>
      <c r="AG82" s="398"/>
      <c r="AH82" s="398"/>
      <c r="AJ82"/>
    </row>
    <row r="83" spans="1:36" ht="19.5" customHeight="1">
      <c r="A83" s="25">
        <v>82</v>
      </c>
      <c r="B83" s="401">
        <v>5365546</v>
      </c>
      <c r="C83" s="466" t="s">
        <v>5576</v>
      </c>
      <c r="D83" s="395"/>
      <c r="E83" s="395">
        <v>218.52</v>
      </c>
      <c r="F83" s="290">
        <v>1138581</v>
      </c>
      <c r="G83" s="283" t="s">
        <v>5577</v>
      </c>
      <c r="H83" s="395"/>
      <c r="I83" s="395">
        <v>218.52</v>
      </c>
      <c r="J83" s="62" t="s">
        <v>5242</v>
      </c>
      <c r="K83" s="467" t="s">
        <v>34</v>
      </c>
      <c r="M83" s="36" t="s">
        <v>5578</v>
      </c>
      <c r="N83" s="398"/>
      <c r="P83" s="67" t="s">
        <v>5244</v>
      </c>
      <c r="Q83" s="67"/>
      <c r="R83" s="454"/>
      <c r="S83" s="468"/>
      <c r="AF83" s="471" t="s">
        <v>5482</v>
      </c>
      <c r="AG83" s="398"/>
      <c r="AH83" s="398"/>
      <c r="AJ83"/>
    </row>
    <row r="84" spans="1:36" ht="19.5" customHeight="1">
      <c r="A84" s="25">
        <v>83</v>
      </c>
      <c r="B84" s="401">
        <v>5365609</v>
      </c>
      <c r="C84" s="466" t="s">
        <v>5576</v>
      </c>
      <c r="D84" s="395"/>
      <c r="E84" s="395">
        <v>27714.73</v>
      </c>
      <c r="F84" s="290">
        <v>1139286</v>
      </c>
      <c r="G84" s="283" t="s">
        <v>5579</v>
      </c>
      <c r="H84" s="395"/>
      <c r="I84" s="395">
        <v>27714.73</v>
      </c>
      <c r="J84" s="62" t="s">
        <v>5242</v>
      </c>
      <c r="K84" s="467" t="s">
        <v>34</v>
      </c>
      <c r="M84" s="36" t="s">
        <v>5580</v>
      </c>
      <c r="N84" s="398"/>
      <c r="P84" t="s">
        <v>5581</v>
      </c>
      <c r="R84" s="454"/>
      <c r="S84" s="468"/>
      <c r="AF84" s="471" t="s">
        <v>5569</v>
      </c>
      <c r="AG84" s="398"/>
      <c r="AH84" s="398"/>
      <c r="AJ84"/>
    </row>
    <row r="85" spans="1:36" ht="19.5" customHeight="1">
      <c r="A85" s="25">
        <v>84</v>
      </c>
      <c r="B85" s="401">
        <v>5367439</v>
      </c>
      <c r="C85" s="466" t="s">
        <v>5582</v>
      </c>
      <c r="D85" s="395"/>
      <c r="E85" s="395">
        <v>102896.07</v>
      </c>
      <c r="F85" s="290">
        <v>1140189</v>
      </c>
      <c r="G85" s="283" t="s">
        <v>5583</v>
      </c>
      <c r="H85" s="395"/>
      <c r="I85" s="395">
        <v>102896.07</v>
      </c>
      <c r="J85" s="62" t="s">
        <v>5242</v>
      </c>
      <c r="K85" s="467" t="s">
        <v>34</v>
      </c>
      <c r="M85" s="36" t="s">
        <v>5584</v>
      </c>
      <c r="N85" s="398"/>
      <c r="P85" t="s">
        <v>5585</v>
      </c>
      <c r="R85" s="454" t="s">
        <v>5571</v>
      </c>
      <c r="S85" s="468" t="s">
        <v>5586</v>
      </c>
      <c r="AF85" s="471" t="s">
        <v>5569</v>
      </c>
      <c r="AG85" s="398"/>
      <c r="AH85" s="398"/>
      <c r="AJ85"/>
    </row>
    <row r="86" spans="1:36" ht="19.5" customHeight="1">
      <c r="A86" s="25">
        <v>85</v>
      </c>
      <c r="B86" s="401">
        <v>5368922</v>
      </c>
      <c r="C86" s="466" t="s">
        <v>5571</v>
      </c>
      <c r="D86" s="395"/>
      <c r="E86" s="395">
        <v>182.46</v>
      </c>
      <c r="F86" s="290">
        <v>1138582</v>
      </c>
      <c r="G86" s="283" t="s">
        <v>5577</v>
      </c>
      <c r="H86" s="395"/>
      <c r="I86" s="395">
        <v>182.46</v>
      </c>
      <c r="J86" s="62" t="s">
        <v>5242</v>
      </c>
      <c r="K86" s="467" t="s">
        <v>34</v>
      </c>
      <c r="L86" s="472"/>
      <c r="M86" s="36" t="s">
        <v>5587</v>
      </c>
      <c r="N86" s="398"/>
      <c r="P86" s="67" t="s">
        <v>5244</v>
      </c>
      <c r="Q86" s="67"/>
      <c r="R86" s="454" t="s">
        <v>5588</v>
      </c>
      <c r="S86" s="468" t="s">
        <v>5589</v>
      </c>
      <c r="AF86" s="471" t="s">
        <v>5482</v>
      </c>
      <c r="AG86" s="398"/>
      <c r="AH86" s="398"/>
      <c r="AJ86"/>
    </row>
    <row r="87" spans="1:36" ht="19.5" customHeight="1">
      <c r="A87" s="25">
        <v>86</v>
      </c>
      <c r="B87" s="401">
        <v>5373145</v>
      </c>
      <c r="C87" s="466" t="s">
        <v>5590</v>
      </c>
      <c r="D87" s="395"/>
      <c r="E87" s="395">
        <v>354.5</v>
      </c>
      <c r="F87" s="290">
        <v>1138590</v>
      </c>
      <c r="G87" s="283" t="s">
        <v>5591</v>
      </c>
      <c r="H87" s="395"/>
      <c r="I87" s="395">
        <v>354.5</v>
      </c>
      <c r="J87" s="62" t="s">
        <v>5242</v>
      </c>
      <c r="K87" s="467" t="s">
        <v>34</v>
      </c>
      <c r="M87" s="36" t="s">
        <v>5592</v>
      </c>
      <c r="N87" s="398"/>
      <c r="P87" s="67" t="s">
        <v>5244</v>
      </c>
      <c r="Q87" s="67"/>
      <c r="R87" s="454" t="s">
        <v>5593</v>
      </c>
      <c r="S87" s="468" t="s">
        <v>5594</v>
      </c>
      <c r="AF87" s="471" t="s">
        <v>5569</v>
      </c>
      <c r="AG87" s="398"/>
      <c r="AH87" s="398"/>
      <c r="AJ87"/>
    </row>
    <row r="88" spans="1:36" ht="19.5" customHeight="1">
      <c r="A88" s="25">
        <v>87</v>
      </c>
      <c r="B88" s="401">
        <v>5377144</v>
      </c>
      <c r="C88" s="466" t="s">
        <v>5595</v>
      </c>
      <c r="D88" s="395"/>
      <c r="E88" s="395">
        <v>81.67</v>
      </c>
      <c r="F88" s="290">
        <v>1140750</v>
      </c>
      <c r="G88" s="283" t="s">
        <v>5563</v>
      </c>
      <c r="H88" s="395"/>
      <c r="I88" s="395">
        <v>81.67</v>
      </c>
      <c r="J88" s="62" t="s">
        <v>5242</v>
      </c>
      <c r="K88" s="467" t="s">
        <v>34</v>
      </c>
      <c r="M88" s="36" t="s">
        <v>5596</v>
      </c>
      <c r="N88" s="398"/>
      <c r="P88" s="67" t="s">
        <v>5244</v>
      </c>
      <c r="Q88" s="67"/>
      <c r="R88" s="454" t="s">
        <v>5583</v>
      </c>
      <c r="S88" s="468" t="s">
        <v>5597</v>
      </c>
      <c r="AF88" s="471" t="s">
        <v>5569</v>
      </c>
      <c r="AG88" s="398"/>
      <c r="AH88" s="398"/>
      <c r="AJ88"/>
    </row>
    <row r="89" spans="1:36" ht="19.5" customHeight="1">
      <c r="A89" s="25">
        <v>88</v>
      </c>
      <c r="B89" s="401">
        <v>5378047</v>
      </c>
      <c r="C89" s="466" t="s">
        <v>5583</v>
      </c>
      <c r="D89" s="395"/>
      <c r="E89" s="395">
        <v>6569.56</v>
      </c>
      <c r="F89" s="290">
        <v>1142256</v>
      </c>
      <c r="G89" s="283" t="s">
        <v>5598</v>
      </c>
      <c r="H89" s="395"/>
      <c r="I89" s="395">
        <v>6569.56</v>
      </c>
      <c r="J89" s="62" t="s">
        <v>5242</v>
      </c>
      <c r="K89" s="467" t="s">
        <v>34</v>
      </c>
      <c r="M89" s="36" t="s">
        <v>5599</v>
      </c>
      <c r="N89" s="398"/>
      <c r="P89" t="s">
        <v>5600</v>
      </c>
      <c r="R89" s="454" t="s">
        <v>5601</v>
      </c>
      <c r="S89" s="468" t="s">
        <v>5602</v>
      </c>
      <c r="AF89" s="471" t="s">
        <v>5569</v>
      </c>
      <c r="AG89" s="398"/>
      <c r="AH89" s="398"/>
      <c r="AJ89"/>
    </row>
    <row r="90" spans="1:36" ht="19.5" customHeight="1">
      <c r="A90" s="25">
        <v>89</v>
      </c>
      <c r="B90" s="401">
        <v>5378762</v>
      </c>
      <c r="C90" s="466" t="s">
        <v>5563</v>
      </c>
      <c r="D90" s="395"/>
      <c r="E90" s="395">
        <v>34419.1</v>
      </c>
      <c r="F90" s="290">
        <v>1142260</v>
      </c>
      <c r="G90" s="283" t="s">
        <v>5598</v>
      </c>
      <c r="H90" s="395"/>
      <c r="I90" s="395">
        <v>34419.1</v>
      </c>
      <c r="J90" s="62" t="s">
        <v>5242</v>
      </c>
      <c r="K90" s="467" t="s">
        <v>34</v>
      </c>
      <c r="M90" s="36" t="s">
        <v>5603</v>
      </c>
      <c r="N90" s="398"/>
      <c r="P90" s="67" t="s">
        <v>5604</v>
      </c>
      <c r="Q90" s="67"/>
      <c r="R90" s="454" t="s">
        <v>5605</v>
      </c>
      <c r="S90" s="468" t="s">
        <v>5606</v>
      </c>
      <c r="AF90" s="471" t="s">
        <v>5569</v>
      </c>
      <c r="AG90" s="398"/>
      <c r="AH90" s="398"/>
      <c r="AJ90"/>
    </row>
    <row r="91" spans="1:36" ht="19.5" customHeight="1">
      <c r="A91" s="25">
        <v>90</v>
      </c>
      <c r="B91" s="401">
        <v>5378876</v>
      </c>
      <c r="C91" s="466" t="s">
        <v>5563</v>
      </c>
      <c r="D91" s="395"/>
      <c r="E91" s="395">
        <v>4599.71</v>
      </c>
      <c r="F91" s="290">
        <v>1142268</v>
      </c>
      <c r="G91" s="283" t="s">
        <v>5598</v>
      </c>
      <c r="H91" s="395"/>
      <c r="I91" s="395">
        <v>4599.71</v>
      </c>
      <c r="J91" s="62" t="s">
        <v>5242</v>
      </c>
      <c r="K91" s="467" t="s">
        <v>34</v>
      </c>
      <c r="M91" s="36" t="s">
        <v>5607</v>
      </c>
      <c r="N91" s="398"/>
      <c r="P91" t="s">
        <v>5608</v>
      </c>
      <c r="R91" s="478" t="s">
        <v>5609</v>
      </c>
      <c r="S91" s="474" t="s">
        <v>5610</v>
      </c>
      <c r="AF91" s="471" t="s">
        <v>5569</v>
      </c>
      <c r="AG91" s="398"/>
      <c r="AH91" s="398"/>
      <c r="AJ91"/>
    </row>
    <row r="92" spans="1:36" ht="19.5" customHeight="1">
      <c r="A92" s="25">
        <v>91</v>
      </c>
      <c r="B92" s="401">
        <v>5380824</v>
      </c>
      <c r="C92" s="466" t="s">
        <v>5611</v>
      </c>
      <c r="D92" s="395"/>
      <c r="E92" s="395">
        <v>91.25</v>
      </c>
      <c r="F92" s="290">
        <v>1142253</v>
      </c>
      <c r="G92" s="283" t="s">
        <v>5598</v>
      </c>
      <c r="H92" s="395"/>
      <c r="I92" s="395">
        <v>91.25</v>
      </c>
      <c r="J92" s="62" t="s">
        <v>5242</v>
      </c>
      <c r="K92" s="467" t="s">
        <v>34</v>
      </c>
      <c r="M92" s="36" t="s">
        <v>5612</v>
      </c>
      <c r="N92" s="398"/>
      <c r="P92" s="67" t="s">
        <v>5244</v>
      </c>
      <c r="Q92" s="67"/>
      <c r="R92" s="454" t="s">
        <v>5613</v>
      </c>
      <c r="S92" s="468" t="s">
        <v>5614</v>
      </c>
      <c r="W92" s="41" t="s">
        <v>4660</v>
      </c>
      <c r="AF92" s="471" t="s">
        <v>5569</v>
      </c>
      <c r="AG92" s="398"/>
      <c r="AH92" s="398"/>
      <c r="AJ92"/>
    </row>
    <row r="93" spans="1:36" ht="19.5" customHeight="1">
      <c r="A93" s="25">
        <v>92</v>
      </c>
      <c r="B93" s="401">
        <v>5381698</v>
      </c>
      <c r="C93" s="466" t="s">
        <v>5613</v>
      </c>
      <c r="D93" s="395"/>
      <c r="E93" s="395">
        <v>953.13</v>
      </c>
      <c r="F93" s="290">
        <v>1146623</v>
      </c>
      <c r="G93" s="283" t="s">
        <v>5615</v>
      </c>
      <c r="H93" s="395"/>
      <c r="I93" s="395">
        <v>953.13</v>
      </c>
      <c r="J93" s="62" t="s">
        <v>5242</v>
      </c>
      <c r="K93" s="467" t="s">
        <v>34</v>
      </c>
      <c r="L93" s="472"/>
      <c r="M93" s="36" t="s">
        <v>5616</v>
      </c>
      <c r="N93" s="398"/>
      <c r="P93" t="s">
        <v>5617</v>
      </c>
      <c r="R93" s="454" t="s">
        <v>5611</v>
      </c>
      <c r="S93" s="468" t="s">
        <v>5618</v>
      </c>
      <c r="AF93" s="471" t="s">
        <v>5569</v>
      </c>
      <c r="AG93" s="398"/>
      <c r="AH93" s="398"/>
      <c r="AJ93"/>
    </row>
    <row r="94" spans="1:36" ht="19.5" customHeight="1">
      <c r="A94" s="25">
        <v>93</v>
      </c>
      <c r="B94" s="401">
        <v>5382697</v>
      </c>
      <c r="C94" s="466" t="s">
        <v>5619</v>
      </c>
      <c r="D94" s="395"/>
      <c r="E94" s="395">
        <v>638028.06000000006</v>
      </c>
      <c r="F94" s="290">
        <v>1142795</v>
      </c>
      <c r="G94" s="283" t="s">
        <v>5620</v>
      </c>
      <c r="H94" s="395"/>
      <c r="I94" s="395">
        <v>638028.06000000006</v>
      </c>
      <c r="J94" s="62" t="s">
        <v>5242</v>
      </c>
      <c r="K94" s="467" t="s">
        <v>34</v>
      </c>
      <c r="M94" s="36" t="s">
        <v>5621</v>
      </c>
      <c r="N94" s="398"/>
      <c r="P94" t="s">
        <v>5622</v>
      </c>
      <c r="R94" s="454" t="s">
        <v>5619</v>
      </c>
      <c r="S94" s="468" t="s">
        <v>5562</v>
      </c>
      <c r="AF94" s="471" t="s">
        <v>5569</v>
      </c>
      <c r="AG94" s="398"/>
      <c r="AH94" s="398"/>
      <c r="AJ94"/>
    </row>
    <row r="95" spans="1:36" ht="19.5" customHeight="1">
      <c r="A95" s="25">
        <v>94</v>
      </c>
      <c r="C95" s="466" t="s">
        <v>5619</v>
      </c>
      <c r="D95" s="395"/>
      <c r="E95" s="395">
        <v>3570</v>
      </c>
      <c r="F95" s="290">
        <v>1142211</v>
      </c>
      <c r="G95" s="283" t="s">
        <v>5619</v>
      </c>
      <c r="H95" s="395"/>
      <c r="I95" s="395">
        <v>3570</v>
      </c>
      <c r="J95" s="62" t="s">
        <v>5242</v>
      </c>
      <c r="K95" s="467" t="s">
        <v>139</v>
      </c>
      <c r="M95" s="36" t="s">
        <v>5623</v>
      </c>
      <c r="N95" s="398"/>
      <c r="P95" s="67" t="s">
        <v>5257</v>
      </c>
      <c r="Q95" s="67"/>
      <c r="R95" s="454"/>
      <c r="S95" s="468"/>
      <c r="AF95" s="471" t="s">
        <v>5301</v>
      </c>
      <c r="AG95" s="398"/>
      <c r="AH95" s="398"/>
      <c r="AJ95"/>
    </row>
    <row r="96" spans="1:36" ht="19.5" customHeight="1">
      <c r="A96" s="25">
        <v>95</v>
      </c>
      <c r="C96" s="466" t="s">
        <v>5619</v>
      </c>
      <c r="D96" s="395"/>
      <c r="E96" s="395">
        <v>6305</v>
      </c>
      <c r="F96" s="290">
        <v>1142231</v>
      </c>
      <c r="G96" s="283" t="s">
        <v>5619</v>
      </c>
      <c r="H96" s="395"/>
      <c r="I96" s="395">
        <v>6305</v>
      </c>
      <c r="J96" s="62" t="s">
        <v>5242</v>
      </c>
      <c r="K96" s="467" t="s">
        <v>193</v>
      </c>
      <c r="M96" s="36" t="s">
        <v>5624</v>
      </c>
      <c r="N96" s="398"/>
      <c r="P96" s="67" t="s">
        <v>5257</v>
      </c>
      <c r="Q96" s="67"/>
      <c r="R96" s="454"/>
      <c r="S96" s="468"/>
      <c r="AF96" s="471" t="s">
        <v>5337</v>
      </c>
      <c r="AG96" s="398"/>
      <c r="AH96" s="398"/>
      <c r="AJ96"/>
    </row>
    <row r="97" spans="1:36" ht="19.5" customHeight="1">
      <c r="A97" s="25">
        <v>96</v>
      </c>
      <c r="B97" s="401">
        <v>5384883</v>
      </c>
      <c r="C97" s="466" t="s">
        <v>5620</v>
      </c>
      <c r="D97" s="395"/>
      <c r="E97" s="395">
        <v>45.63</v>
      </c>
      <c r="F97" s="290">
        <v>1146593</v>
      </c>
      <c r="G97" s="283" t="s">
        <v>5625</v>
      </c>
      <c r="H97" s="395"/>
      <c r="I97" s="395">
        <v>45.63</v>
      </c>
      <c r="J97" s="62" t="s">
        <v>5242</v>
      </c>
      <c r="K97" s="467" t="s">
        <v>34</v>
      </c>
      <c r="L97" s="472"/>
      <c r="M97" s="36" t="s">
        <v>5626</v>
      </c>
      <c r="N97" s="398"/>
      <c r="P97" s="67" t="s">
        <v>5244</v>
      </c>
      <c r="Q97" s="67"/>
      <c r="R97" s="454" t="s">
        <v>5627</v>
      </c>
      <c r="S97" s="468" t="s">
        <v>5628</v>
      </c>
      <c r="AF97" s="471" t="s">
        <v>5569</v>
      </c>
      <c r="AG97" s="398"/>
      <c r="AH97" s="398"/>
      <c r="AJ97"/>
    </row>
    <row r="98" spans="1:36" ht="19.5" customHeight="1">
      <c r="A98" s="25">
        <v>97</v>
      </c>
      <c r="B98" s="401">
        <v>5389222</v>
      </c>
      <c r="C98" s="466" t="s">
        <v>5629</v>
      </c>
      <c r="D98" s="395"/>
      <c r="E98" s="395" t="s">
        <v>5630</v>
      </c>
      <c r="F98" s="290">
        <v>1145570</v>
      </c>
      <c r="G98" s="283" t="s">
        <v>5631</v>
      </c>
      <c r="H98" s="395"/>
      <c r="I98" s="395" t="s">
        <v>5630</v>
      </c>
      <c r="J98" s="62" t="s">
        <v>5242</v>
      </c>
      <c r="K98" s="467" t="s">
        <v>34</v>
      </c>
      <c r="M98" s="36" t="s">
        <v>5632</v>
      </c>
      <c r="N98" s="398"/>
      <c r="P98" s="67" t="s">
        <v>4292</v>
      </c>
      <c r="Q98" s="67"/>
      <c r="R98" s="454"/>
      <c r="S98" s="468"/>
      <c r="AF98" s="471" t="s">
        <v>5633</v>
      </c>
      <c r="AG98" s="398"/>
      <c r="AH98" s="398"/>
      <c r="AJ98"/>
    </row>
    <row r="99" spans="1:36" ht="19.5" customHeight="1">
      <c r="A99" s="25">
        <v>98</v>
      </c>
      <c r="B99" s="401">
        <v>5391991</v>
      </c>
      <c r="C99" s="466" t="s">
        <v>5631</v>
      </c>
      <c r="D99" s="395"/>
      <c r="E99" s="395">
        <v>62.4</v>
      </c>
      <c r="F99" s="290">
        <v>1146620</v>
      </c>
      <c r="G99" s="283" t="s">
        <v>5625</v>
      </c>
      <c r="H99" s="395"/>
      <c r="I99" s="395">
        <v>62.4</v>
      </c>
      <c r="J99" s="62" t="s">
        <v>5242</v>
      </c>
      <c r="K99" s="467" t="s">
        <v>34</v>
      </c>
      <c r="M99" s="36" t="s">
        <v>5634</v>
      </c>
      <c r="N99" s="398"/>
      <c r="P99" s="67" t="s">
        <v>5244</v>
      </c>
      <c r="Q99" s="67"/>
      <c r="R99" s="454" t="s">
        <v>5635</v>
      </c>
      <c r="S99" s="468" t="s">
        <v>5636</v>
      </c>
      <c r="AF99" s="471" t="s">
        <v>5569</v>
      </c>
      <c r="AG99" s="398"/>
      <c r="AH99" s="398"/>
      <c r="AJ99"/>
    </row>
    <row r="100" spans="1:36" ht="19.5" customHeight="1">
      <c r="A100" s="25">
        <v>99</v>
      </c>
      <c r="B100" s="401">
        <v>5399791</v>
      </c>
      <c r="C100" s="466" t="s">
        <v>5637</v>
      </c>
      <c r="D100" s="395"/>
      <c r="E100" s="395">
        <v>407.78</v>
      </c>
      <c r="F100" s="290">
        <v>1151850</v>
      </c>
      <c r="G100" s="473" t="s">
        <v>5638</v>
      </c>
      <c r="H100" s="395"/>
      <c r="I100" s="395">
        <v>407.78</v>
      </c>
      <c r="J100" s="62" t="s">
        <v>5242</v>
      </c>
      <c r="K100" s="467" t="s">
        <v>34</v>
      </c>
      <c r="L100" s="472"/>
      <c r="M100" s="36" t="s">
        <v>5639</v>
      </c>
      <c r="N100" s="398"/>
      <c r="P100" s="67" t="s">
        <v>5244</v>
      </c>
      <c r="Q100" s="67"/>
      <c r="R100" s="454" t="s">
        <v>5640</v>
      </c>
      <c r="S100" s="471" t="s">
        <v>5641</v>
      </c>
      <c r="AF100" s="471" t="s">
        <v>5569</v>
      </c>
      <c r="AG100" s="398"/>
      <c r="AH100" s="398"/>
      <c r="AJ100"/>
    </row>
    <row r="101" spans="1:36" ht="19.5" customHeight="1">
      <c r="A101" s="25">
        <v>100</v>
      </c>
      <c r="B101" s="401">
        <v>5402526</v>
      </c>
      <c r="C101" s="466" t="s">
        <v>5642</v>
      </c>
      <c r="D101" s="395"/>
      <c r="E101" s="395" t="s">
        <v>5643</v>
      </c>
      <c r="F101" s="290">
        <v>1152211</v>
      </c>
      <c r="G101" s="283" t="s">
        <v>5644</v>
      </c>
      <c r="H101" s="395"/>
      <c r="I101" s="395" t="s">
        <v>5643</v>
      </c>
      <c r="J101" s="62" t="s">
        <v>5242</v>
      </c>
      <c r="K101" s="467" t="s">
        <v>34</v>
      </c>
      <c r="M101" s="36" t="s">
        <v>5645</v>
      </c>
      <c r="N101" s="398"/>
      <c r="P101" t="s">
        <v>5646</v>
      </c>
      <c r="R101" s="454" t="s">
        <v>5647</v>
      </c>
      <c r="S101" s="468" t="s">
        <v>5648</v>
      </c>
      <c r="AF101" s="471" t="s">
        <v>5649</v>
      </c>
      <c r="AG101" s="398"/>
      <c r="AH101" s="398"/>
      <c r="AJ101"/>
    </row>
    <row r="102" spans="1:36" ht="19.5" customHeight="1">
      <c r="A102" s="25">
        <v>101</v>
      </c>
      <c r="B102" s="401">
        <v>5403991</v>
      </c>
      <c r="C102" s="466" t="s">
        <v>5650</v>
      </c>
      <c r="D102" s="395"/>
      <c r="E102" s="395">
        <v>62.3</v>
      </c>
      <c r="F102" s="290">
        <v>1152212</v>
      </c>
      <c r="G102" s="283" t="s">
        <v>5644</v>
      </c>
      <c r="H102" s="395"/>
      <c r="I102" s="395">
        <v>62.3</v>
      </c>
      <c r="J102" s="62" t="s">
        <v>5242</v>
      </c>
      <c r="K102" s="467" t="s">
        <v>34</v>
      </c>
      <c r="L102" s="472"/>
      <c r="M102" s="36" t="s">
        <v>5651</v>
      </c>
      <c r="N102" s="398"/>
      <c r="P102" s="67" t="s">
        <v>5244</v>
      </c>
      <c r="Q102" s="67"/>
      <c r="R102" s="454" t="s">
        <v>5652</v>
      </c>
      <c r="S102" s="468" t="s">
        <v>5653</v>
      </c>
      <c r="AF102" s="471" t="s">
        <v>5569</v>
      </c>
      <c r="AG102" s="398"/>
      <c r="AH102" s="398"/>
      <c r="AJ102"/>
    </row>
    <row r="103" spans="1:36" ht="19.5" customHeight="1">
      <c r="A103" s="25">
        <v>102</v>
      </c>
      <c r="B103" s="401">
        <v>5405820</v>
      </c>
      <c r="C103" s="466" t="s">
        <v>5567</v>
      </c>
      <c r="D103" s="395"/>
      <c r="E103" s="395">
        <v>255537.64</v>
      </c>
      <c r="F103" s="290">
        <v>1157993</v>
      </c>
      <c r="G103" s="283" t="s">
        <v>5654</v>
      </c>
      <c r="H103" s="395"/>
      <c r="I103" s="395">
        <v>255537.64</v>
      </c>
      <c r="J103" s="62" t="s">
        <v>5242</v>
      </c>
      <c r="K103" s="467" t="s">
        <v>34</v>
      </c>
      <c r="M103" s="36" t="s">
        <v>5655</v>
      </c>
      <c r="N103" s="398"/>
      <c r="P103" s="67" t="s">
        <v>5656</v>
      </c>
      <c r="Q103" s="67"/>
      <c r="R103" s="454" t="s">
        <v>5652</v>
      </c>
      <c r="S103" s="468" t="s">
        <v>5653</v>
      </c>
      <c r="AF103" s="471" t="s">
        <v>5649</v>
      </c>
      <c r="AG103" s="398"/>
      <c r="AH103" s="398"/>
      <c r="AJ103"/>
    </row>
    <row r="104" spans="1:36" ht="19.5" customHeight="1">
      <c r="A104" s="25">
        <v>103</v>
      </c>
      <c r="B104" s="401">
        <v>5405909</v>
      </c>
      <c r="C104" s="466" t="s">
        <v>5567</v>
      </c>
      <c r="D104" s="395"/>
      <c r="E104" s="395">
        <v>12967.37</v>
      </c>
      <c r="F104" s="290">
        <v>1153110</v>
      </c>
      <c r="G104" s="283" t="s">
        <v>5542</v>
      </c>
      <c r="H104" s="395"/>
      <c r="I104" s="395">
        <v>12967.37</v>
      </c>
      <c r="J104" s="62" t="s">
        <v>5242</v>
      </c>
      <c r="K104" s="467" t="s">
        <v>34</v>
      </c>
      <c r="L104" s="472"/>
      <c r="M104" s="36" t="s">
        <v>5657</v>
      </c>
      <c r="N104" s="398"/>
      <c r="P104" t="s">
        <v>5658</v>
      </c>
      <c r="R104" s="454" t="s">
        <v>5659</v>
      </c>
      <c r="S104" s="468" t="s">
        <v>5402</v>
      </c>
      <c r="AF104" s="471" t="s">
        <v>5649</v>
      </c>
      <c r="AG104" s="398"/>
      <c r="AH104" s="398"/>
      <c r="AJ104"/>
    </row>
    <row r="105" spans="1:36" ht="19.5" customHeight="1">
      <c r="A105" s="25">
        <v>104</v>
      </c>
      <c r="B105" s="401">
        <v>5408022</v>
      </c>
      <c r="C105" s="466" t="s">
        <v>5638</v>
      </c>
      <c r="D105" s="395"/>
      <c r="E105" s="395">
        <v>52.75</v>
      </c>
      <c r="F105" s="290">
        <v>1153106</v>
      </c>
      <c r="G105" s="473" t="s">
        <v>5557</v>
      </c>
      <c r="H105" s="395"/>
      <c r="I105" s="395">
        <v>52.75</v>
      </c>
      <c r="J105" s="62" t="s">
        <v>5242</v>
      </c>
      <c r="K105" s="467" t="s">
        <v>34</v>
      </c>
      <c r="L105" s="472"/>
      <c r="M105" s="36" t="s">
        <v>5660</v>
      </c>
      <c r="N105" s="398"/>
      <c r="P105" s="67" t="s">
        <v>5244</v>
      </c>
      <c r="Q105" s="67"/>
      <c r="R105" s="454" t="s">
        <v>5644</v>
      </c>
      <c r="S105" s="468" t="s">
        <v>5661</v>
      </c>
      <c r="AF105" s="471" t="s">
        <v>5649</v>
      </c>
      <c r="AG105" s="398"/>
      <c r="AH105" s="398"/>
      <c r="AJ105"/>
    </row>
    <row r="106" spans="1:36" ht="19.5" customHeight="1">
      <c r="A106" s="25">
        <v>105</v>
      </c>
      <c r="B106" s="401">
        <v>5408058</v>
      </c>
      <c r="C106" s="466" t="s">
        <v>5638</v>
      </c>
      <c r="D106" s="395"/>
      <c r="E106" s="395">
        <v>95155.54</v>
      </c>
      <c r="F106" s="290">
        <v>1156907</v>
      </c>
      <c r="G106" s="283" t="s">
        <v>5662</v>
      </c>
      <c r="H106" s="395"/>
      <c r="I106" s="395">
        <v>95155.54</v>
      </c>
      <c r="J106" s="62" t="s">
        <v>5242</v>
      </c>
      <c r="K106" s="467" t="s">
        <v>34</v>
      </c>
      <c r="M106" s="36" t="s">
        <v>5663</v>
      </c>
      <c r="N106" s="398"/>
      <c r="P106" t="s">
        <v>5664</v>
      </c>
      <c r="R106" s="454" t="s">
        <v>5638</v>
      </c>
      <c r="S106" s="468" t="s">
        <v>5665</v>
      </c>
      <c r="AF106" s="471" t="s">
        <v>5649</v>
      </c>
      <c r="AG106" s="398"/>
      <c r="AH106" s="398"/>
      <c r="AJ106"/>
    </row>
    <row r="107" spans="1:36" ht="19.5" customHeight="1">
      <c r="A107" s="25">
        <v>106</v>
      </c>
      <c r="B107" s="401">
        <v>5408066</v>
      </c>
      <c r="C107" s="466" t="s">
        <v>5638</v>
      </c>
      <c r="D107" s="395"/>
      <c r="E107" s="395">
        <v>98577.22</v>
      </c>
      <c r="F107" s="290">
        <v>1158004</v>
      </c>
      <c r="G107" s="283" t="s">
        <v>5666</v>
      </c>
      <c r="H107" s="395"/>
      <c r="I107" s="395">
        <v>98577.22</v>
      </c>
      <c r="J107" s="62" t="s">
        <v>5242</v>
      </c>
      <c r="K107" s="467" t="s">
        <v>34</v>
      </c>
      <c r="M107" s="36" t="s">
        <v>5667</v>
      </c>
      <c r="N107" s="398"/>
      <c r="P107" t="s">
        <v>5668</v>
      </c>
      <c r="R107" s="454" t="s">
        <v>5669</v>
      </c>
      <c r="S107" s="468" t="s">
        <v>5670</v>
      </c>
      <c r="AF107" s="471" t="s">
        <v>5649</v>
      </c>
      <c r="AG107" s="398"/>
      <c r="AH107" s="398"/>
      <c r="AJ107"/>
    </row>
    <row r="108" spans="1:36" ht="19.5" customHeight="1">
      <c r="A108" s="25">
        <v>107</v>
      </c>
      <c r="B108" s="401">
        <v>5410345</v>
      </c>
      <c r="C108" s="466" t="s">
        <v>5671</v>
      </c>
      <c r="D108" s="395"/>
      <c r="E108" s="395">
        <v>72.010000000000005</v>
      </c>
      <c r="F108" s="290">
        <v>1155847</v>
      </c>
      <c r="G108" s="283" t="s">
        <v>5253</v>
      </c>
      <c r="H108" s="395"/>
      <c r="I108" s="395">
        <v>72.010000000000005</v>
      </c>
      <c r="J108" s="62" t="s">
        <v>5242</v>
      </c>
      <c r="K108" s="467" t="s">
        <v>34</v>
      </c>
      <c r="M108" s="36" t="s">
        <v>5672</v>
      </c>
      <c r="N108" s="398"/>
      <c r="P108" s="67" t="s">
        <v>5244</v>
      </c>
      <c r="Q108" s="67"/>
      <c r="R108" s="454" t="s">
        <v>5659</v>
      </c>
      <c r="S108" s="468" t="s">
        <v>5402</v>
      </c>
      <c r="AF108" s="471" t="s">
        <v>5649</v>
      </c>
      <c r="AG108" s="398"/>
      <c r="AH108" s="398"/>
      <c r="AJ108"/>
    </row>
    <row r="109" spans="1:36" ht="19.5" customHeight="1" thickBot="1">
      <c r="A109" s="25">
        <v>108</v>
      </c>
      <c r="B109" s="479">
        <v>5410411</v>
      </c>
      <c r="C109" s="480" t="s">
        <v>5671</v>
      </c>
      <c r="D109" s="395"/>
      <c r="E109" s="395">
        <v>362072.39</v>
      </c>
      <c r="F109" s="481">
        <v>1155820</v>
      </c>
      <c r="G109" s="283" t="s">
        <v>5673</v>
      </c>
      <c r="H109" s="395"/>
      <c r="I109" s="395">
        <v>362072.39</v>
      </c>
      <c r="J109" s="482" t="s">
        <v>5242</v>
      </c>
      <c r="K109" s="483" t="s">
        <v>34</v>
      </c>
      <c r="L109" s="472" t="s">
        <v>5674</v>
      </c>
      <c r="M109" s="484" t="s">
        <v>5675</v>
      </c>
      <c r="N109" s="398"/>
      <c r="P109" t="s">
        <v>5460</v>
      </c>
      <c r="R109" s="454" t="s">
        <v>5676</v>
      </c>
      <c r="S109" s="468" t="s">
        <v>5677</v>
      </c>
      <c r="AF109" s="485" t="s">
        <v>5649</v>
      </c>
      <c r="AG109" s="398"/>
      <c r="AH109" s="398"/>
      <c r="AJ109"/>
    </row>
    <row r="110" spans="1:36" ht="19.5" customHeight="1" thickTop="1">
      <c r="A110" s="25">
        <v>109</v>
      </c>
      <c r="B110" s="401">
        <v>5413509</v>
      </c>
      <c r="C110" s="466" t="s">
        <v>5678</v>
      </c>
      <c r="D110" s="395"/>
      <c r="E110" s="395">
        <v>62</v>
      </c>
      <c r="F110" s="290">
        <v>1155846</v>
      </c>
      <c r="G110" s="283" t="s">
        <v>5679</v>
      </c>
      <c r="H110" s="395"/>
      <c r="I110" s="395">
        <v>62</v>
      </c>
      <c r="J110" s="62" t="s">
        <v>5242</v>
      </c>
      <c r="K110" s="467" t="s">
        <v>34</v>
      </c>
      <c r="M110" s="36" t="s">
        <v>5680</v>
      </c>
      <c r="N110" s="398"/>
      <c r="P110" s="67" t="s">
        <v>5244</v>
      </c>
      <c r="Q110" s="67"/>
      <c r="R110" s="454" t="s">
        <v>5681</v>
      </c>
      <c r="S110" s="468" t="s">
        <v>5682</v>
      </c>
      <c r="AF110" s="471" t="s">
        <v>5649</v>
      </c>
      <c r="AG110" s="398"/>
      <c r="AH110" s="398"/>
      <c r="AJ110"/>
    </row>
    <row r="111" spans="1:36" ht="19.5" customHeight="1">
      <c r="A111" s="25">
        <v>110</v>
      </c>
      <c r="B111" s="401">
        <v>5416872</v>
      </c>
      <c r="C111" s="466" t="s">
        <v>5683</v>
      </c>
      <c r="D111" s="395"/>
      <c r="E111" s="395">
        <v>53417.65</v>
      </c>
      <c r="F111" s="290">
        <v>1158943</v>
      </c>
      <c r="G111" s="283" t="s">
        <v>5684</v>
      </c>
      <c r="H111" s="395"/>
      <c r="I111" s="395">
        <v>53417.65</v>
      </c>
      <c r="J111" s="62" t="s">
        <v>5242</v>
      </c>
      <c r="K111" s="467" t="s">
        <v>34</v>
      </c>
      <c r="M111" s="36" t="s">
        <v>5685</v>
      </c>
      <c r="N111" s="398"/>
      <c r="P111" t="s">
        <v>5686</v>
      </c>
      <c r="R111" s="454" t="s">
        <v>5687</v>
      </c>
      <c r="S111" s="468" t="s">
        <v>5688</v>
      </c>
      <c r="AF111" s="471" t="s">
        <v>5689</v>
      </c>
      <c r="AG111" s="398"/>
      <c r="AH111" s="398"/>
      <c r="AJ111"/>
    </row>
    <row r="112" spans="1:36" ht="19.5" customHeight="1">
      <c r="A112" s="25">
        <v>111</v>
      </c>
      <c r="B112" s="401">
        <v>5417464</v>
      </c>
      <c r="C112" s="466" t="s">
        <v>5690</v>
      </c>
      <c r="D112" s="395"/>
      <c r="E112" s="395">
        <v>52.5</v>
      </c>
      <c r="F112" s="290">
        <v>1156782</v>
      </c>
      <c r="G112" s="283" t="s">
        <v>5691</v>
      </c>
      <c r="H112" s="395"/>
      <c r="I112" s="395">
        <v>52.5</v>
      </c>
      <c r="J112" s="62" t="s">
        <v>5242</v>
      </c>
      <c r="K112" s="467" t="s">
        <v>34</v>
      </c>
      <c r="M112" s="36" t="s">
        <v>5692</v>
      </c>
      <c r="N112" s="398"/>
      <c r="P112" s="67" t="s">
        <v>5244</v>
      </c>
      <c r="Q112" s="67"/>
      <c r="R112" s="454" t="s">
        <v>5693</v>
      </c>
      <c r="S112" s="468" t="s">
        <v>5694</v>
      </c>
      <c r="AF112" s="471" t="s">
        <v>5649</v>
      </c>
      <c r="AG112" s="398"/>
      <c r="AH112" s="398"/>
      <c r="AJ112"/>
    </row>
    <row r="113" spans="1:36" ht="19.5" customHeight="1">
      <c r="A113" s="25">
        <v>112</v>
      </c>
      <c r="B113" s="401">
        <v>5419262</v>
      </c>
      <c r="C113" s="466" t="s">
        <v>5695</v>
      </c>
      <c r="D113" s="395"/>
      <c r="E113" s="395">
        <v>13359.08</v>
      </c>
      <c r="F113" s="290">
        <v>1158941</v>
      </c>
      <c r="G113" s="283" t="s">
        <v>5696</v>
      </c>
      <c r="H113" s="395"/>
      <c r="I113" s="395">
        <v>13359.08</v>
      </c>
      <c r="J113" s="62" t="s">
        <v>5242</v>
      </c>
      <c r="K113" s="467" t="s">
        <v>34</v>
      </c>
      <c r="M113" s="36" t="s">
        <v>5680</v>
      </c>
      <c r="N113" s="398"/>
      <c r="P113" t="s">
        <v>5697</v>
      </c>
      <c r="R113" s="454" t="s">
        <v>5693</v>
      </c>
      <c r="S113" s="468" t="s">
        <v>5433</v>
      </c>
      <c r="AF113" s="471" t="s">
        <v>5689</v>
      </c>
      <c r="AG113" s="398"/>
      <c r="AH113" s="398"/>
      <c r="AJ113"/>
    </row>
    <row r="114" spans="1:36" ht="19.5" customHeight="1">
      <c r="A114" s="25">
        <v>113</v>
      </c>
      <c r="B114" s="401">
        <v>5419344</v>
      </c>
      <c r="C114" s="466" t="s">
        <v>5695</v>
      </c>
      <c r="D114" s="395"/>
      <c r="E114" s="395">
        <v>4455</v>
      </c>
      <c r="F114" s="290">
        <v>1158942</v>
      </c>
      <c r="G114" s="283" t="s">
        <v>5696</v>
      </c>
      <c r="H114" s="395"/>
      <c r="I114" s="395">
        <v>4455</v>
      </c>
      <c r="J114" s="62" t="s">
        <v>5242</v>
      </c>
      <c r="K114" s="467" t="s">
        <v>34</v>
      </c>
      <c r="M114" s="36" t="s">
        <v>5698</v>
      </c>
      <c r="N114" s="398"/>
      <c r="P114" t="s">
        <v>5699</v>
      </c>
      <c r="R114" s="478" t="s">
        <v>5683</v>
      </c>
      <c r="S114" s="468" t="s">
        <v>5700</v>
      </c>
      <c r="AF114" s="471" t="s">
        <v>5689</v>
      </c>
      <c r="AG114" s="398"/>
      <c r="AH114" s="398"/>
      <c r="AJ114"/>
    </row>
    <row r="115" spans="1:36" ht="19.5" customHeight="1">
      <c r="A115" s="25">
        <v>114</v>
      </c>
      <c r="B115" s="401">
        <v>5420692</v>
      </c>
      <c r="C115" s="466" t="s">
        <v>5673</v>
      </c>
      <c r="D115" s="395"/>
      <c r="E115" s="395">
        <v>8149.42</v>
      </c>
      <c r="F115" s="290">
        <v>1169919</v>
      </c>
      <c r="G115" s="283" t="s">
        <v>5701</v>
      </c>
      <c r="H115" s="395"/>
      <c r="I115" s="395">
        <v>8149.42</v>
      </c>
      <c r="J115" s="62" t="s">
        <v>5242</v>
      </c>
      <c r="K115" s="467" t="s">
        <v>34</v>
      </c>
      <c r="M115" s="36" t="s">
        <v>5702</v>
      </c>
      <c r="N115" s="398"/>
      <c r="P115" t="s">
        <v>5703</v>
      </c>
      <c r="R115" s="454" t="s">
        <v>5704</v>
      </c>
      <c r="S115" s="468" t="s">
        <v>5705</v>
      </c>
      <c r="W115" s="41" t="s">
        <v>5706</v>
      </c>
      <c r="AF115" s="471" t="s">
        <v>5707</v>
      </c>
      <c r="AG115" s="398"/>
      <c r="AH115" s="398"/>
      <c r="AJ115"/>
    </row>
    <row r="116" spans="1:36" ht="19.5" customHeight="1">
      <c r="A116" s="25">
        <v>115</v>
      </c>
      <c r="B116" s="401">
        <v>5421394</v>
      </c>
      <c r="C116" s="466" t="s">
        <v>5708</v>
      </c>
      <c r="D116" s="395"/>
      <c r="E116" s="395">
        <v>663333.02</v>
      </c>
      <c r="F116" s="290">
        <v>1161074</v>
      </c>
      <c r="G116" s="283" t="s">
        <v>5709</v>
      </c>
      <c r="H116" s="395"/>
      <c r="I116" s="395">
        <v>663333.02</v>
      </c>
      <c r="J116" s="62" t="s">
        <v>5242</v>
      </c>
      <c r="K116" s="467" t="s">
        <v>34</v>
      </c>
      <c r="L116" s="472"/>
      <c r="M116" s="36" t="s">
        <v>5710</v>
      </c>
      <c r="N116" s="398"/>
      <c r="P116" t="s">
        <v>5711</v>
      </c>
      <c r="R116" s="454" t="s">
        <v>5659</v>
      </c>
      <c r="S116" s="468" t="s">
        <v>5402</v>
      </c>
      <c r="AF116" s="471" t="s">
        <v>5689</v>
      </c>
      <c r="AG116" s="398"/>
      <c r="AH116" s="398"/>
      <c r="AJ116"/>
    </row>
    <row r="117" spans="1:36" ht="19.5" customHeight="1">
      <c r="A117" s="25">
        <v>116</v>
      </c>
      <c r="B117" s="401">
        <v>5421431</v>
      </c>
      <c r="C117" s="475" t="s">
        <v>5708</v>
      </c>
      <c r="D117" s="395"/>
      <c r="E117" s="395">
        <v>24206.58</v>
      </c>
      <c r="F117" s="290">
        <v>1162987</v>
      </c>
      <c r="G117" s="283" t="s">
        <v>5712</v>
      </c>
      <c r="H117" s="395"/>
      <c r="I117" s="395">
        <v>24206.58</v>
      </c>
      <c r="J117" s="62" t="s">
        <v>5242</v>
      </c>
      <c r="K117" s="467" t="s">
        <v>34</v>
      </c>
      <c r="M117" s="36" t="s">
        <v>5713</v>
      </c>
      <c r="N117" s="398"/>
      <c r="P117" t="s">
        <v>5714</v>
      </c>
      <c r="R117" s="454" t="s">
        <v>5708</v>
      </c>
      <c r="S117" s="468" t="s">
        <v>5715</v>
      </c>
      <c r="AF117" s="471" t="s">
        <v>5689</v>
      </c>
      <c r="AG117" s="398"/>
      <c r="AH117" s="398"/>
      <c r="AJ117"/>
    </row>
    <row r="118" spans="1:36" ht="19.5" customHeight="1">
      <c r="A118" s="25">
        <v>117</v>
      </c>
      <c r="B118" s="401">
        <v>5423124</v>
      </c>
      <c r="C118" s="466" t="s">
        <v>5662</v>
      </c>
      <c r="D118" s="395"/>
      <c r="E118" s="395">
        <v>3680.74</v>
      </c>
      <c r="F118" s="290">
        <v>1162341</v>
      </c>
      <c r="G118" s="283" t="s">
        <v>5716</v>
      </c>
      <c r="H118" s="395"/>
      <c r="I118" s="395">
        <v>3680.74</v>
      </c>
      <c r="J118" s="62" t="s">
        <v>5242</v>
      </c>
      <c r="K118" s="467" t="s">
        <v>34</v>
      </c>
      <c r="M118" s="36" t="s">
        <v>5717</v>
      </c>
      <c r="N118" s="398"/>
      <c r="P118" t="s">
        <v>5718</v>
      </c>
      <c r="R118" s="454" t="s">
        <v>5511</v>
      </c>
      <c r="S118" s="468" t="s">
        <v>5512</v>
      </c>
      <c r="AF118" s="471" t="s">
        <v>5689</v>
      </c>
      <c r="AG118" s="398"/>
      <c r="AH118" s="398"/>
      <c r="AJ118"/>
    </row>
    <row r="119" spans="1:36" ht="19.5" customHeight="1">
      <c r="A119" s="25">
        <v>118</v>
      </c>
      <c r="C119" s="466" t="s">
        <v>5719</v>
      </c>
      <c r="D119" s="395"/>
      <c r="E119" s="395">
        <v>4280</v>
      </c>
      <c r="F119" s="290">
        <v>1157727</v>
      </c>
      <c r="G119" s="466" t="s">
        <v>5719</v>
      </c>
      <c r="H119" s="395"/>
      <c r="I119" s="395">
        <v>4280</v>
      </c>
      <c r="J119" s="62" t="s">
        <v>5242</v>
      </c>
      <c r="K119" s="467" t="s">
        <v>139</v>
      </c>
      <c r="M119" s="36" t="s">
        <v>5720</v>
      </c>
      <c r="N119" s="398"/>
      <c r="P119" t="s">
        <v>5711</v>
      </c>
      <c r="R119" s="454"/>
      <c r="S119" s="468"/>
      <c r="AF119" s="471" t="s">
        <v>5721</v>
      </c>
      <c r="AG119" s="398"/>
      <c r="AH119" s="398"/>
      <c r="AJ119"/>
    </row>
    <row r="120" spans="1:36" ht="19.5" customHeight="1">
      <c r="A120" s="25">
        <v>119</v>
      </c>
      <c r="B120" s="401">
        <v>5425023</v>
      </c>
      <c r="C120" s="466" t="s">
        <v>5722</v>
      </c>
      <c r="D120" s="395"/>
      <c r="E120" s="395">
        <v>9327.7800000000007</v>
      </c>
      <c r="F120" s="290">
        <v>1159087</v>
      </c>
      <c r="G120" s="283" t="s">
        <v>5654</v>
      </c>
      <c r="H120" s="395"/>
      <c r="I120" s="395">
        <v>9327.7800000000007</v>
      </c>
      <c r="J120" s="62" t="s">
        <v>5242</v>
      </c>
      <c r="K120" s="467" t="s">
        <v>34</v>
      </c>
      <c r="L120" s="472"/>
      <c r="M120" s="36" t="s">
        <v>5723</v>
      </c>
      <c r="N120" s="398"/>
      <c r="P120" t="s">
        <v>5724</v>
      </c>
      <c r="R120" s="454" t="s">
        <v>5722</v>
      </c>
      <c r="S120" s="468" t="s">
        <v>5725</v>
      </c>
      <c r="AF120" s="471" t="s">
        <v>5649</v>
      </c>
      <c r="AG120" s="398"/>
      <c r="AH120" s="398"/>
      <c r="AJ120"/>
    </row>
    <row r="121" spans="1:36" ht="19.5" customHeight="1">
      <c r="A121" s="25">
        <v>120</v>
      </c>
      <c r="B121" s="401">
        <v>5427293</v>
      </c>
      <c r="C121" s="466" t="s">
        <v>5726</v>
      </c>
      <c r="D121" s="395"/>
      <c r="E121" s="395">
        <v>90.5</v>
      </c>
      <c r="F121" s="290">
        <v>1162041</v>
      </c>
      <c r="G121" s="283" t="s">
        <v>5727</v>
      </c>
      <c r="H121" s="395"/>
      <c r="I121" s="395">
        <v>90.5</v>
      </c>
      <c r="J121" s="62" t="s">
        <v>5242</v>
      </c>
      <c r="K121" s="467" t="s">
        <v>34</v>
      </c>
      <c r="M121" s="36" t="s">
        <v>5728</v>
      </c>
      <c r="N121" s="398"/>
      <c r="P121" s="67" t="s">
        <v>5244</v>
      </c>
      <c r="Q121" s="67"/>
      <c r="R121" s="454" t="s">
        <v>5605</v>
      </c>
      <c r="S121" s="468" t="s">
        <v>5606</v>
      </c>
      <c r="AF121" s="471" t="s">
        <v>5729</v>
      </c>
      <c r="AG121" s="398"/>
      <c r="AH121" s="398"/>
      <c r="AJ121"/>
    </row>
    <row r="122" spans="1:36" ht="19.5" customHeight="1">
      <c r="A122" s="25">
        <v>121</v>
      </c>
      <c r="B122" s="401">
        <v>5427378</v>
      </c>
      <c r="C122" s="466" t="s">
        <v>5726</v>
      </c>
      <c r="D122" s="395"/>
      <c r="E122" s="395">
        <v>4376.3599999999997</v>
      </c>
      <c r="F122" s="290">
        <v>1169920</v>
      </c>
      <c r="G122" s="283" t="s">
        <v>5730</v>
      </c>
      <c r="H122" s="395"/>
      <c r="I122" s="395">
        <v>4376.3599999999997</v>
      </c>
      <c r="J122" s="62" t="s">
        <v>5242</v>
      </c>
      <c r="K122" s="467" t="s">
        <v>34</v>
      </c>
      <c r="M122" s="36" t="s">
        <v>5731</v>
      </c>
      <c r="N122" s="398"/>
      <c r="P122" t="s">
        <v>5732</v>
      </c>
      <c r="R122" s="454" t="s">
        <v>5704</v>
      </c>
      <c r="S122" s="468" t="s">
        <v>5705</v>
      </c>
      <c r="AF122" s="471" t="s">
        <v>5729</v>
      </c>
      <c r="AG122" s="398"/>
      <c r="AH122" s="398"/>
      <c r="AJ122"/>
    </row>
    <row r="123" spans="1:36" ht="19.5" customHeight="1">
      <c r="A123" s="25">
        <v>122</v>
      </c>
      <c r="B123" s="401">
        <v>5429354</v>
      </c>
      <c r="C123" s="466" t="s">
        <v>5684</v>
      </c>
      <c r="D123" s="395"/>
      <c r="E123" s="395">
        <v>115.69</v>
      </c>
      <c r="F123" s="290">
        <v>1162652</v>
      </c>
      <c r="G123" s="283" t="s">
        <v>5253</v>
      </c>
      <c r="H123" s="395"/>
      <c r="I123" s="395">
        <v>115.69</v>
      </c>
      <c r="J123" s="62" t="s">
        <v>5242</v>
      </c>
      <c r="K123" s="467" t="s">
        <v>34</v>
      </c>
      <c r="M123" s="36" t="s">
        <v>5733</v>
      </c>
      <c r="N123" s="398"/>
      <c r="P123" s="67" t="s">
        <v>5244</v>
      </c>
      <c r="Q123" s="67"/>
      <c r="R123" s="454" t="s">
        <v>5709</v>
      </c>
      <c r="S123" s="468" t="s">
        <v>5734</v>
      </c>
      <c r="AF123" s="471" t="s">
        <v>5729</v>
      </c>
      <c r="AG123" s="398"/>
      <c r="AH123" s="398"/>
      <c r="AJ123"/>
    </row>
    <row r="124" spans="1:36" ht="19.5" customHeight="1">
      <c r="A124" s="25">
        <v>123</v>
      </c>
      <c r="B124" s="401">
        <v>5431369</v>
      </c>
      <c r="C124" s="466" t="s">
        <v>5735</v>
      </c>
      <c r="D124" s="395"/>
      <c r="E124" s="395">
        <v>5855</v>
      </c>
      <c r="F124" s="290">
        <v>1209030</v>
      </c>
      <c r="G124" s="473" t="s">
        <v>5736</v>
      </c>
      <c r="H124" s="395"/>
      <c r="I124" s="395">
        <v>5855</v>
      </c>
      <c r="J124" s="62" t="s">
        <v>5242</v>
      </c>
      <c r="K124" s="467" t="s">
        <v>5737</v>
      </c>
      <c r="L124" s="472"/>
      <c r="M124" s="36" t="s">
        <v>5738</v>
      </c>
      <c r="N124" s="398"/>
      <c r="P124" t="s">
        <v>5739</v>
      </c>
      <c r="R124" s="454" t="s">
        <v>5611</v>
      </c>
      <c r="S124" s="471" t="s">
        <v>5665</v>
      </c>
      <c r="AF124" s="471" t="s">
        <v>5446</v>
      </c>
      <c r="AG124" s="398"/>
      <c r="AH124" s="398"/>
      <c r="AJ124"/>
    </row>
    <row r="125" spans="1:36" ht="19.5" customHeight="1">
      <c r="A125" s="25">
        <v>124</v>
      </c>
      <c r="B125" s="401">
        <v>5431751</v>
      </c>
      <c r="C125" s="475" t="s">
        <v>5727</v>
      </c>
      <c r="D125" s="395"/>
      <c r="E125" s="395">
        <v>1740</v>
      </c>
      <c r="F125" s="290">
        <v>1165040</v>
      </c>
      <c r="G125" s="283" t="s">
        <v>5740</v>
      </c>
      <c r="H125" s="395"/>
      <c r="I125" s="395">
        <v>1740</v>
      </c>
      <c r="J125" s="62" t="s">
        <v>5242</v>
      </c>
      <c r="K125" s="467" t="s">
        <v>5741</v>
      </c>
      <c r="L125" s="472"/>
      <c r="M125" s="36" t="s">
        <v>5742</v>
      </c>
      <c r="N125" s="398"/>
      <c r="P125" t="s">
        <v>5739</v>
      </c>
      <c r="R125" s="454" t="s">
        <v>5611</v>
      </c>
      <c r="S125" s="468" t="s">
        <v>5665</v>
      </c>
      <c r="AF125" s="471" t="s">
        <v>5743</v>
      </c>
      <c r="AG125" s="398"/>
      <c r="AH125" s="398"/>
      <c r="AJ125"/>
    </row>
    <row r="126" spans="1:36" ht="19.5" customHeight="1">
      <c r="A126" s="25">
        <v>125</v>
      </c>
      <c r="B126" s="401">
        <v>5431771</v>
      </c>
      <c r="C126" s="466" t="s">
        <v>5727</v>
      </c>
      <c r="D126" s="395"/>
      <c r="E126" s="395">
        <v>23282.44</v>
      </c>
      <c r="F126" s="290">
        <v>1165967</v>
      </c>
      <c r="G126" s="283" t="s">
        <v>5744</v>
      </c>
      <c r="H126" s="395"/>
      <c r="I126" s="395">
        <v>23282.44</v>
      </c>
      <c r="J126" s="62" t="s">
        <v>5242</v>
      </c>
      <c r="K126" s="467" t="s">
        <v>34</v>
      </c>
      <c r="M126" s="36" t="s">
        <v>5745</v>
      </c>
      <c r="N126" s="398"/>
      <c r="P126" t="s">
        <v>5739</v>
      </c>
      <c r="R126" s="454" t="s">
        <v>5727</v>
      </c>
      <c r="S126" s="468" t="s">
        <v>5746</v>
      </c>
      <c r="AF126" s="471" t="s">
        <v>5729</v>
      </c>
      <c r="AG126" s="398"/>
      <c r="AH126" s="398"/>
      <c r="AJ126"/>
    </row>
    <row r="127" spans="1:36" ht="19.5" customHeight="1">
      <c r="A127" s="25">
        <v>126</v>
      </c>
      <c r="B127" s="401">
        <v>5432255</v>
      </c>
      <c r="C127" s="466" t="s">
        <v>5747</v>
      </c>
      <c r="D127" s="395"/>
      <c r="E127" s="395">
        <v>68012.2</v>
      </c>
      <c r="F127" s="290">
        <v>1165999</v>
      </c>
      <c r="G127" s="283" t="s">
        <v>5748</v>
      </c>
      <c r="H127" s="395"/>
      <c r="I127" s="395">
        <v>68012.2</v>
      </c>
      <c r="J127" s="62" t="s">
        <v>5242</v>
      </c>
      <c r="K127" s="467" t="s">
        <v>34</v>
      </c>
      <c r="L127" s="472"/>
      <c r="M127" s="36" t="s">
        <v>5749</v>
      </c>
      <c r="N127" s="398"/>
      <c r="P127" t="s">
        <v>5750</v>
      </c>
      <c r="R127" s="454" t="s">
        <v>5751</v>
      </c>
      <c r="S127" s="468" t="s">
        <v>5752</v>
      </c>
      <c r="AF127" s="471" t="s">
        <v>5729</v>
      </c>
      <c r="AG127" s="398"/>
      <c r="AH127" s="398"/>
      <c r="AJ127"/>
    </row>
    <row r="128" spans="1:36" ht="19.5" customHeight="1">
      <c r="A128" s="25">
        <v>127</v>
      </c>
      <c r="B128" s="401">
        <v>5435290</v>
      </c>
      <c r="C128" s="466" t="s">
        <v>5753</v>
      </c>
      <c r="D128" s="395"/>
      <c r="E128" s="395">
        <v>107.21</v>
      </c>
      <c r="F128" s="290">
        <v>1164781</v>
      </c>
      <c r="G128" s="473" t="s">
        <v>5704</v>
      </c>
      <c r="H128" s="395"/>
      <c r="I128" s="395">
        <v>107.21</v>
      </c>
      <c r="J128" s="62" t="s">
        <v>5242</v>
      </c>
      <c r="K128" s="467" t="s">
        <v>34</v>
      </c>
      <c r="L128" s="472"/>
      <c r="M128" s="36" t="s">
        <v>5754</v>
      </c>
      <c r="N128" s="398"/>
      <c r="P128" s="67" t="s">
        <v>5244</v>
      </c>
      <c r="Q128" s="67"/>
      <c r="R128" s="454" t="s">
        <v>5755</v>
      </c>
      <c r="S128" s="468" t="s">
        <v>5756</v>
      </c>
      <c r="AF128" s="471" t="s">
        <v>5729</v>
      </c>
      <c r="AG128" s="398"/>
      <c r="AH128" s="398"/>
      <c r="AJ128"/>
    </row>
    <row r="129" spans="1:36" ht="19.5" customHeight="1">
      <c r="A129" s="25">
        <v>128</v>
      </c>
      <c r="B129" s="401">
        <v>5437078</v>
      </c>
      <c r="C129" s="466" t="s">
        <v>5757</v>
      </c>
      <c r="D129" s="395"/>
      <c r="E129" s="395">
        <v>8429.69</v>
      </c>
      <c r="F129" s="290">
        <v>1166007</v>
      </c>
      <c r="G129" s="283" t="s">
        <v>5748</v>
      </c>
      <c r="H129" s="395"/>
      <c r="I129" s="395">
        <v>8429.69</v>
      </c>
      <c r="J129" s="62" t="s">
        <v>5242</v>
      </c>
      <c r="K129" s="467" t="s">
        <v>34</v>
      </c>
      <c r="M129" s="36" t="s">
        <v>5758</v>
      </c>
      <c r="N129" s="398"/>
      <c r="P129" t="s">
        <v>5759</v>
      </c>
      <c r="R129" s="454" t="s">
        <v>5755</v>
      </c>
      <c r="S129" s="468" t="s">
        <v>5760</v>
      </c>
      <c r="AF129" s="471" t="s">
        <v>5729</v>
      </c>
      <c r="AG129" s="398"/>
      <c r="AH129" s="398"/>
      <c r="AJ129"/>
    </row>
    <row r="130" spans="1:36" ht="19.5" customHeight="1">
      <c r="A130" s="25">
        <v>129</v>
      </c>
      <c r="B130" s="401">
        <v>5442482</v>
      </c>
      <c r="C130" s="466" t="s">
        <v>5744</v>
      </c>
      <c r="D130" s="395"/>
      <c r="E130" s="395">
        <v>93046.46</v>
      </c>
      <c r="F130" s="290">
        <v>1168120</v>
      </c>
      <c r="G130" s="283" t="s">
        <v>5761</v>
      </c>
      <c r="H130" s="395"/>
      <c r="I130" s="395">
        <v>93046.46</v>
      </c>
      <c r="J130" s="62" t="s">
        <v>5242</v>
      </c>
      <c r="K130" s="467" t="s">
        <v>34</v>
      </c>
      <c r="M130" s="36" t="s">
        <v>5762</v>
      </c>
      <c r="N130" s="398"/>
      <c r="P130" s="67" t="s">
        <v>5763</v>
      </c>
      <c r="Q130" s="67"/>
      <c r="R130" s="454" t="s">
        <v>5727</v>
      </c>
      <c r="S130" s="468" t="s">
        <v>5746</v>
      </c>
      <c r="AF130" s="471" t="s">
        <v>5764</v>
      </c>
      <c r="AG130" s="398"/>
      <c r="AH130" s="398"/>
      <c r="AJ130"/>
    </row>
    <row r="131" spans="1:36" ht="19.5" customHeight="1">
      <c r="A131" s="25">
        <v>130</v>
      </c>
      <c r="B131" s="401">
        <v>5442539</v>
      </c>
      <c r="C131" s="466" t="s">
        <v>5744</v>
      </c>
      <c r="D131" s="395"/>
      <c r="E131" s="395">
        <v>353.04</v>
      </c>
      <c r="F131" s="290">
        <v>1168123</v>
      </c>
      <c r="G131" s="283" t="s">
        <v>5765</v>
      </c>
      <c r="H131" s="395"/>
      <c r="I131" s="395">
        <v>353.04</v>
      </c>
      <c r="J131" s="62" t="s">
        <v>5242</v>
      </c>
      <c r="K131" s="467" t="s">
        <v>34</v>
      </c>
      <c r="M131" s="36" t="s">
        <v>5766</v>
      </c>
      <c r="N131" s="398"/>
      <c r="P131" t="s">
        <v>5767</v>
      </c>
      <c r="R131" s="454" t="s">
        <v>5726</v>
      </c>
      <c r="S131" s="468" t="s">
        <v>5768</v>
      </c>
      <c r="AF131" s="471" t="s">
        <v>5764</v>
      </c>
      <c r="AG131" s="398"/>
      <c r="AH131" s="398"/>
      <c r="AJ131"/>
    </row>
    <row r="132" spans="1:36" ht="19.5" customHeight="1">
      <c r="A132" s="25">
        <v>131</v>
      </c>
      <c r="B132" s="401">
        <v>5442553</v>
      </c>
      <c r="C132" s="466" t="s">
        <v>5744</v>
      </c>
      <c r="D132" s="395"/>
      <c r="E132" s="395">
        <v>43095.27</v>
      </c>
      <c r="F132" s="290">
        <v>1168124</v>
      </c>
      <c r="G132" s="283" t="s">
        <v>5765</v>
      </c>
      <c r="H132" s="395"/>
      <c r="I132" s="395">
        <v>43095.27</v>
      </c>
      <c r="J132" s="62" t="s">
        <v>5242</v>
      </c>
      <c r="K132" s="467" t="s">
        <v>34</v>
      </c>
      <c r="L132" s="472"/>
      <c r="M132" s="36" t="s">
        <v>5769</v>
      </c>
      <c r="N132" s="398"/>
      <c r="P132" t="s">
        <v>5770</v>
      </c>
      <c r="R132" s="454" t="s">
        <v>5712</v>
      </c>
      <c r="S132" s="468" t="s">
        <v>5771</v>
      </c>
      <c r="AF132" s="471" t="s">
        <v>5764</v>
      </c>
      <c r="AG132" s="398"/>
      <c r="AH132" s="398"/>
      <c r="AJ132"/>
    </row>
    <row r="133" spans="1:36" ht="19.5" customHeight="1">
      <c r="A133" s="25">
        <v>132</v>
      </c>
      <c r="B133" s="401">
        <v>5442565</v>
      </c>
      <c r="C133" s="466" t="s">
        <v>5744</v>
      </c>
      <c r="D133" s="395"/>
      <c r="E133" s="395">
        <v>260058.66</v>
      </c>
      <c r="F133" s="290">
        <v>1168121</v>
      </c>
      <c r="G133" s="283" t="s">
        <v>5761</v>
      </c>
      <c r="H133" s="395"/>
      <c r="I133" s="395">
        <v>260058.66</v>
      </c>
      <c r="J133" s="62" t="s">
        <v>5242</v>
      </c>
      <c r="K133" s="467" t="s">
        <v>34</v>
      </c>
      <c r="M133" s="36" t="s">
        <v>5772</v>
      </c>
      <c r="N133" s="398"/>
      <c r="P133" t="s">
        <v>5773</v>
      </c>
      <c r="R133" s="454" t="s">
        <v>5774</v>
      </c>
      <c r="S133" s="468" t="s">
        <v>5775</v>
      </c>
      <c r="AF133" s="471" t="s">
        <v>5764</v>
      </c>
      <c r="AG133" s="398"/>
      <c r="AH133" s="398"/>
      <c r="AJ133"/>
    </row>
    <row r="134" spans="1:36" ht="19.5" customHeight="1">
      <c r="A134" s="25">
        <v>133</v>
      </c>
      <c r="B134" s="401">
        <v>5444080</v>
      </c>
      <c r="C134" s="466" t="s">
        <v>5246</v>
      </c>
      <c r="D134" s="395"/>
      <c r="E134" s="395">
        <v>241.54</v>
      </c>
      <c r="F134" s="290">
        <v>1169917</v>
      </c>
      <c r="G134" s="283" t="s">
        <v>5701</v>
      </c>
      <c r="H134" s="395"/>
      <c r="I134" s="395">
        <v>241.54</v>
      </c>
      <c r="J134" s="62" t="s">
        <v>5242</v>
      </c>
      <c r="K134" s="467" t="s">
        <v>34</v>
      </c>
      <c r="M134" s="36" t="s">
        <v>5776</v>
      </c>
      <c r="N134" s="398"/>
      <c r="P134" t="s">
        <v>5777</v>
      </c>
      <c r="R134" s="454" t="s">
        <v>5778</v>
      </c>
      <c r="S134" s="468" t="s">
        <v>5768</v>
      </c>
      <c r="AF134" s="471" t="s">
        <v>5764</v>
      </c>
      <c r="AG134" s="398"/>
      <c r="AH134" s="398"/>
      <c r="AJ134"/>
    </row>
    <row r="135" spans="1:36" ht="19.5" customHeight="1">
      <c r="A135" s="25">
        <v>134</v>
      </c>
      <c r="B135" s="401">
        <v>5444284</v>
      </c>
      <c r="C135" s="466" t="s">
        <v>5246</v>
      </c>
      <c r="D135" s="395"/>
      <c r="E135" s="395">
        <v>10035.16</v>
      </c>
      <c r="F135" s="290">
        <v>1169918</v>
      </c>
      <c r="G135" s="283" t="s">
        <v>5701</v>
      </c>
      <c r="H135" s="395"/>
      <c r="I135" s="395">
        <v>10035.16</v>
      </c>
      <c r="J135" s="62" t="s">
        <v>5242</v>
      </c>
      <c r="K135" s="467" t="s">
        <v>34</v>
      </c>
      <c r="M135" s="36" t="s">
        <v>5779</v>
      </c>
      <c r="N135" s="398"/>
      <c r="P135" t="s">
        <v>5780</v>
      </c>
      <c r="R135" s="454" t="s">
        <v>5781</v>
      </c>
      <c r="S135" s="468" t="s">
        <v>5782</v>
      </c>
      <c r="AF135" s="471" t="s">
        <v>5764</v>
      </c>
      <c r="AG135" s="398"/>
      <c r="AH135" s="398"/>
      <c r="AJ135"/>
    </row>
    <row r="136" spans="1:36" ht="19.5" customHeight="1">
      <c r="A136" s="25">
        <v>135</v>
      </c>
      <c r="B136" s="401">
        <v>5446027</v>
      </c>
      <c r="C136" s="466" t="s">
        <v>5783</v>
      </c>
      <c r="D136" s="395"/>
      <c r="E136" s="395">
        <v>31.01</v>
      </c>
      <c r="F136" s="290">
        <v>1169274</v>
      </c>
      <c r="G136" s="283" t="s">
        <v>5265</v>
      </c>
      <c r="H136" s="395"/>
      <c r="I136" s="395">
        <v>31.01</v>
      </c>
      <c r="J136" s="62" t="s">
        <v>5242</v>
      </c>
      <c r="K136" s="467" t="s">
        <v>34</v>
      </c>
      <c r="M136" s="36" t="s">
        <v>5784</v>
      </c>
      <c r="N136" s="398"/>
      <c r="P136" s="67" t="s">
        <v>5244</v>
      </c>
      <c r="Q136" s="67"/>
      <c r="R136" s="454" t="s">
        <v>5740</v>
      </c>
      <c r="S136" s="474" t="s">
        <v>5785</v>
      </c>
      <c r="AF136" s="471" t="s">
        <v>5764</v>
      </c>
      <c r="AG136" s="398"/>
      <c r="AH136" s="398"/>
      <c r="AJ136"/>
    </row>
    <row r="137" spans="1:36" ht="19.5" customHeight="1">
      <c r="A137" s="25">
        <v>136</v>
      </c>
      <c r="B137" s="401">
        <v>5449650</v>
      </c>
      <c r="C137" s="466" t="s">
        <v>5786</v>
      </c>
      <c r="D137" s="395"/>
      <c r="E137" s="395">
        <v>28840.03</v>
      </c>
      <c r="F137" s="290">
        <v>1173496</v>
      </c>
      <c r="G137" s="283" t="s">
        <v>5787</v>
      </c>
      <c r="H137" s="395"/>
      <c r="I137" s="395">
        <v>28840.03</v>
      </c>
      <c r="J137" s="62" t="s">
        <v>5242</v>
      </c>
      <c r="K137" s="467" t="s">
        <v>34</v>
      </c>
      <c r="L137" s="486"/>
      <c r="M137" s="36" t="s">
        <v>5788</v>
      </c>
      <c r="N137" s="398"/>
      <c r="P137" s="487" t="s">
        <v>5789</v>
      </c>
      <c r="Q137" s="487"/>
      <c r="R137" s="478" t="s">
        <v>5276</v>
      </c>
      <c r="S137" s="468" t="s">
        <v>5790</v>
      </c>
      <c r="AF137" s="471" t="s">
        <v>5764</v>
      </c>
      <c r="AG137" s="398"/>
      <c r="AH137" s="398"/>
      <c r="AJ137"/>
    </row>
    <row r="138" spans="1:36" ht="19.5" customHeight="1">
      <c r="A138" s="25">
        <v>137</v>
      </c>
      <c r="B138" s="401">
        <v>5450245</v>
      </c>
      <c r="C138" s="466" t="s">
        <v>5765</v>
      </c>
      <c r="D138" s="395"/>
      <c r="E138" s="395">
        <v>39.11</v>
      </c>
      <c r="F138" s="290">
        <v>1170479</v>
      </c>
      <c r="G138" s="283" t="s">
        <v>5791</v>
      </c>
      <c r="H138" s="395"/>
      <c r="I138" s="395">
        <v>39.11</v>
      </c>
      <c r="J138" s="62" t="s">
        <v>5242</v>
      </c>
      <c r="K138" s="467" t="s">
        <v>34</v>
      </c>
      <c r="M138" s="36" t="s">
        <v>5263</v>
      </c>
      <c r="N138" s="398"/>
      <c r="P138" s="67" t="s">
        <v>5244</v>
      </c>
      <c r="Q138" s="67"/>
      <c r="R138" s="454" t="s">
        <v>5792</v>
      </c>
      <c r="S138" s="468" t="s">
        <v>5606</v>
      </c>
      <c r="W138" s="41" t="s">
        <v>4660</v>
      </c>
      <c r="AF138" s="471" t="s">
        <v>5764</v>
      </c>
      <c r="AG138" s="398"/>
      <c r="AH138" s="398"/>
      <c r="AJ138"/>
    </row>
    <row r="139" spans="1:36" ht="19.5" customHeight="1">
      <c r="A139" s="25">
        <v>138</v>
      </c>
      <c r="B139" s="401">
        <v>5452582</v>
      </c>
      <c r="C139" s="466" t="s">
        <v>5276</v>
      </c>
      <c r="D139" s="395"/>
      <c r="E139" s="395">
        <v>126.22</v>
      </c>
      <c r="F139" s="290">
        <v>1170653</v>
      </c>
      <c r="G139" s="283" t="s">
        <v>5793</v>
      </c>
      <c r="H139" s="395"/>
      <c r="I139" s="395">
        <v>126.22</v>
      </c>
      <c r="J139" s="62" t="s">
        <v>5242</v>
      </c>
      <c r="K139" s="467" t="s">
        <v>34</v>
      </c>
      <c r="L139" s="472"/>
      <c r="M139" s="36" t="s">
        <v>5794</v>
      </c>
      <c r="N139" s="398"/>
      <c r="P139" t="s">
        <v>5795</v>
      </c>
      <c r="R139" s="454"/>
      <c r="S139" s="468"/>
      <c r="AF139" s="471" t="s">
        <v>5729</v>
      </c>
      <c r="AG139" s="398"/>
      <c r="AH139" s="398"/>
      <c r="AJ139"/>
    </row>
    <row r="140" spans="1:36" ht="19.5" customHeight="1">
      <c r="A140" s="25">
        <v>139</v>
      </c>
      <c r="B140" s="401">
        <v>5452636</v>
      </c>
      <c r="C140" s="466" t="s">
        <v>5276</v>
      </c>
      <c r="D140" s="395"/>
      <c r="E140" s="395">
        <v>530337.06999999995</v>
      </c>
      <c r="F140" s="290">
        <v>1171284</v>
      </c>
      <c r="G140" s="283" t="s">
        <v>5796</v>
      </c>
      <c r="H140" s="395"/>
      <c r="I140" s="395">
        <v>530337.06999999995</v>
      </c>
      <c r="J140" s="62" t="s">
        <v>5242</v>
      </c>
      <c r="K140" s="467" t="s">
        <v>34</v>
      </c>
      <c r="M140" s="36" t="s">
        <v>5259</v>
      </c>
      <c r="N140" s="398"/>
      <c r="P140" t="s">
        <v>5795</v>
      </c>
      <c r="R140" s="454" t="s">
        <v>5797</v>
      </c>
      <c r="S140" s="468" t="s">
        <v>5798</v>
      </c>
      <c r="AF140" s="471" t="s">
        <v>5764</v>
      </c>
      <c r="AG140" s="398"/>
      <c r="AH140" s="398"/>
      <c r="AJ140"/>
    </row>
    <row r="141" spans="1:36" ht="19.5" customHeight="1">
      <c r="A141" s="25">
        <v>140</v>
      </c>
      <c r="B141" s="401">
        <v>5453939</v>
      </c>
      <c r="C141" s="466" t="s">
        <v>5730</v>
      </c>
      <c r="D141" s="395"/>
      <c r="E141" s="395">
        <v>186.3</v>
      </c>
      <c r="F141" s="290">
        <v>1171288</v>
      </c>
      <c r="G141" s="283" t="s">
        <v>5799</v>
      </c>
      <c r="H141" s="395"/>
      <c r="I141" s="395">
        <v>186.3</v>
      </c>
      <c r="J141" s="62" t="s">
        <v>5242</v>
      </c>
      <c r="K141" s="467" t="s">
        <v>34</v>
      </c>
      <c r="L141" s="472" t="s">
        <v>5800</v>
      </c>
      <c r="M141" s="36" t="s">
        <v>5801</v>
      </c>
      <c r="N141" s="398"/>
      <c r="P141" s="67" t="s">
        <v>5244</v>
      </c>
      <c r="Q141" s="67"/>
      <c r="R141" s="454" t="s">
        <v>5791</v>
      </c>
      <c r="S141" s="468" t="s">
        <v>5802</v>
      </c>
      <c r="AF141" s="471" t="s">
        <v>5764</v>
      </c>
      <c r="AG141" s="398"/>
      <c r="AH141" s="398"/>
      <c r="AJ141"/>
    </row>
    <row r="142" spans="1:36" ht="19.5" customHeight="1">
      <c r="A142" s="25">
        <v>141</v>
      </c>
      <c r="B142" s="401">
        <v>5456347</v>
      </c>
      <c r="C142" s="466" t="s">
        <v>5793</v>
      </c>
      <c r="D142" s="395"/>
      <c r="E142" s="395">
        <v>1996.01</v>
      </c>
      <c r="F142" s="290">
        <v>1172190</v>
      </c>
      <c r="G142" s="283" t="s">
        <v>5803</v>
      </c>
      <c r="H142" s="395"/>
      <c r="I142" s="395">
        <v>1996.01</v>
      </c>
      <c r="J142" s="62" t="s">
        <v>5242</v>
      </c>
      <c r="K142" s="467" t="s">
        <v>34</v>
      </c>
      <c r="M142" s="36" t="s">
        <v>5804</v>
      </c>
      <c r="N142" s="398"/>
      <c r="P142" t="s">
        <v>5805</v>
      </c>
      <c r="R142" s="454" t="s">
        <v>5793</v>
      </c>
      <c r="S142" s="468" t="s">
        <v>5806</v>
      </c>
      <c r="AF142" s="471" t="s">
        <v>5764</v>
      </c>
      <c r="AG142" s="398"/>
      <c r="AH142" s="398"/>
      <c r="AJ142"/>
    </row>
    <row r="143" spans="1:36" ht="19.5" customHeight="1">
      <c r="A143" s="25">
        <v>142</v>
      </c>
      <c r="B143" s="401">
        <v>5456770</v>
      </c>
      <c r="C143" s="466" t="s">
        <v>5796</v>
      </c>
      <c r="D143" s="395"/>
      <c r="E143" s="395">
        <v>8607.7099999999991</v>
      </c>
      <c r="F143" s="290">
        <v>1173121</v>
      </c>
      <c r="G143" s="283" t="s">
        <v>5807</v>
      </c>
      <c r="H143" s="395"/>
      <c r="I143" s="395">
        <v>8607.7099999999991</v>
      </c>
      <c r="J143" s="62" t="s">
        <v>5242</v>
      </c>
      <c r="K143" s="467" t="s">
        <v>34</v>
      </c>
      <c r="L143" s="472"/>
      <c r="M143" s="36" t="s">
        <v>5808</v>
      </c>
      <c r="N143" s="398"/>
      <c r="P143" t="s">
        <v>5809</v>
      </c>
      <c r="R143" s="454" t="s">
        <v>5701</v>
      </c>
      <c r="S143" s="468" t="s">
        <v>5810</v>
      </c>
      <c r="AF143" s="471" t="s">
        <v>5764</v>
      </c>
      <c r="AG143" s="398"/>
      <c r="AH143" s="398"/>
      <c r="AJ143"/>
    </row>
    <row r="144" spans="1:36" ht="19.5" customHeight="1">
      <c r="A144" s="25">
        <v>143</v>
      </c>
      <c r="B144" s="401">
        <v>5456792</v>
      </c>
      <c r="C144" s="466" t="s">
        <v>5796</v>
      </c>
      <c r="D144" s="395"/>
      <c r="E144" s="395">
        <v>5795.51</v>
      </c>
      <c r="F144" s="290">
        <v>1173218</v>
      </c>
      <c r="G144" s="283" t="s">
        <v>5807</v>
      </c>
      <c r="H144" s="395"/>
      <c r="I144" s="395">
        <v>5795.51</v>
      </c>
      <c r="J144" s="62" t="s">
        <v>5242</v>
      </c>
      <c r="K144" s="467" t="s">
        <v>34</v>
      </c>
      <c r="M144" s="36" t="s">
        <v>5811</v>
      </c>
      <c r="N144" s="398"/>
      <c r="P144" t="s">
        <v>5812</v>
      </c>
      <c r="R144" s="454" t="s">
        <v>5751</v>
      </c>
      <c r="S144" s="468" t="s">
        <v>5752</v>
      </c>
      <c r="AF144" s="471" t="s">
        <v>5764</v>
      </c>
      <c r="AG144" s="398"/>
      <c r="AH144" s="398"/>
      <c r="AJ144"/>
    </row>
    <row r="145" spans="1:36" ht="19.5" customHeight="1">
      <c r="A145" s="25">
        <v>144</v>
      </c>
      <c r="B145" s="401">
        <v>5457607</v>
      </c>
      <c r="C145" s="466" t="s">
        <v>5799</v>
      </c>
      <c r="D145" s="395"/>
      <c r="E145" s="395">
        <v>192.51</v>
      </c>
      <c r="F145" s="290">
        <v>1173207</v>
      </c>
      <c r="G145" s="283" t="s">
        <v>5807</v>
      </c>
      <c r="H145" s="395"/>
      <c r="I145" s="395">
        <v>192.51</v>
      </c>
      <c r="J145" s="62" t="s">
        <v>5242</v>
      </c>
      <c r="K145" s="467" t="s">
        <v>34</v>
      </c>
      <c r="M145" s="36" t="s">
        <v>5672</v>
      </c>
      <c r="N145" s="398"/>
      <c r="P145" s="67" t="s">
        <v>5244</v>
      </c>
      <c r="Q145" s="67"/>
      <c r="R145" s="454" t="s">
        <v>5813</v>
      </c>
      <c r="S145" s="468" t="s">
        <v>5814</v>
      </c>
      <c r="AF145" s="471" t="s">
        <v>5764</v>
      </c>
      <c r="AG145" s="398"/>
      <c r="AH145" s="398"/>
      <c r="AJ145"/>
    </row>
    <row r="146" spans="1:36" ht="19.5" customHeight="1">
      <c r="A146" s="25">
        <v>145</v>
      </c>
      <c r="B146" s="401">
        <v>5459189</v>
      </c>
      <c r="C146" s="466" t="s">
        <v>5815</v>
      </c>
      <c r="D146" s="395"/>
      <c r="E146" s="395">
        <v>2285.91</v>
      </c>
      <c r="F146" s="290">
        <v>1174767</v>
      </c>
      <c r="G146" s="283" t="s">
        <v>5371</v>
      </c>
      <c r="H146" s="395"/>
      <c r="I146" s="395">
        <v>2285.91</v>
      </c>
      <c r="J146" s="62" t="s">
        <v>5242</v>
      </c>
      <c r="K146" s="467" t="s">
        <v>34</v>
      </c>
      <c r="M146" s="36" t="s">
        <v>5816</v>
      </c>
      <c r="N146" s="398"/>
      <c r="P146" t="s">
        <v>5817</v>
      </c>
      <c r="R146" s="454" t="s">
        <v>5813</v>
      </c>
      <c r="S146" s="468" t="s">
        <v>5814</v>
      </c>
      <c r="AF146" s="471" t="s">
        <v>5764</v>
      </c>
      <c r="AG146" s="398"/>
      <c r="AH146" s="398"/>
      <c r="AJ146"/>
    </row>
    <row r="147" spans="1:36" ht="19.5" customHeight="1">
      <c r="A147" s="25">
        <v>146</v>
      </c>
      <c r="B147" s="401">
        <v>5461322</v>
      </c>
      <c r="C147" s="466" t="s">
        <v>5807</v>
      </c>
      <c r="D147" s="395"/>
      <c r="E147" s="395">
        <v>108.62</v>
      </c>
      <c r="F147" s="290">
        <v>1174763</v>
      </c>
      <c r="G147" s="473" t="s">
        <v>5371</v>
      </c>
      <c r="H147" s="395"/>
      <c r="I147" s="395">
        <v>108.62</v>
      </c>
      <c r="J147" s="62" t="s">
        <v>5242</v>
      </c>
      <c r="K147" s="467" t="s">
        <v>34</v>
      </c>
      <c r="L147" s="472"/>
      <c r="M147" s="36" t="s">
        <v>5818</v>
      </c>
      <c r="N147" s="398"/>
      <c r="P147" s="67" t="s">
        <v>5244</v>
      </c>
      <c r="Q147" s="67"/>
      <c r="R147" s="454" t="s">
        <v>5807</v>
      </c>
      <c r="S147" s="471" t="s">
        <v>5606</v>
      </c>
      <c r="AF147" s="471" t="s">
        <v>5764</v>
      </c>
      <c r="AG147" s="398"/>
      <c r="AH147" s="398"/>
      <c r="AJ147"/>
    </row>
    <row r="148" spans="1:36" ht="19.5" customHeight="1">
      <c r="A148" s="25">
        <v>147</v>
      </c>
      <c r="B148" s="401">
        <v>5461610</v>
      </c>
      <c r="C148" s="466" t="s">
        <v>5807</v>
      </c>
      <c r="D148" s="395"/>
      <c r="E148" s="395">
        <v>90289.74</v>
      </c>
      <c r="F148" s="290">
        <v>1175391</v>
      </c>
      <c r="G148" s="41" t="s">
        <v>5819</v>
      </c>
      <c r="H148" s="395"/>
      <c r="I148" s="395">
        <v>90289.74</v>
      </c>
      <c r="J148" s="62" t="s">
        <v>5242</v>
      </c>
      <c r="K148" s="467" t="s">
        <v>34</v>
      </c>
      <c r="L148" s="472"/>
      <c r="M148" s="36" t="s">
        <v>5818</v>
      </c>
      <c r="N148" s="398"/>
      <c r="P148" t="s">
        <v>5820</v>
      </c>
      <c r="R148" s="454" t="s">
        <v>5821</v>
      </c>
      <c r="S148" s="468" t="s">
        <v>5822</v>
      </c>
      <c r="AF148" s="471" t="s">
        <v>5764</v>
      </c>
      <c r="AG148" s="398"/>
      <c r="AH148" s="398"/>
      <c r="AJ148"/>
    </row>
    <row r="149" spans="1:36" ht="19.5" customHeight="1">
      <c r="A149" s="25">
        <v>148</v>
      </c>
      <c r="B149" s="401">
        <v>5461780</v>
      </c>
      <c r="C149" s="466" t="s">
        <v>5807</v>
      </c>
      <c r="D149" s="395"/>
      <c r="E149" s="395">
        <v>4388.1400000000003</v>
      </c>
      <c r="F149" s="290">
        <v>1174773</v>
      </c>
      <c r="G149" s="283" t="s">
        <v>5823</v>
      </c>
      <c r="H149" s="395"/>
      <c r="I149" s="395">
        <v>4388.1400000000003</v>
      </c>
      <c r="J149" s="62" t="s">
        <v>5242</v>
      </c>
      <c r="K149" s="467" t="s">
        <v>34</v>
      </c>
      <c r="M149" s="36" t="s">
        <v>5824</v>
      </c>
      <c r="N149" s="398"/>
      <c r="P149" t="s">
        <v>5825</v>
      </c>
      <c r="R149" s="454" t="s">
        <v>5807</v>
      </c>
      <c r="S149" s="468" t="s">
        <v>5826</v>
      </c>
      <c r="AF149" s="471" t="s">
        <v>5764</v>
      </c>
      <c r="AG149" s="398"/>
      <c r="AH149" s="398"/>
      <c r="AJ149"/>
    </row>
    <row r="150" spans="1:36" ht="19.5" customHeight="1">
      <c r="A150" s="25">
        <v>149</v>
      </c>
      <c r="B150" s="401">
        <v>5463713</v>
      </c>
      <c r="C150" s="466" t="s">
        <v>5271</v>
      </c>
      <c r="D150" s="395"/>
      <c r="E150" s="395">
        <v>137.78</v>
      </c>
      <c r="F150" s="290">
        <v>1176285</v>
      </c>
      <c r="G150" s="283" t="s">
        <v>5334</v>
      </c>
      <c r="H150" s="395"/>
      <c r="I150" s="395">
        <v>137.78</v>
      </c>
      <c r="J150" s="62" t="s">
        <v>5242</v>
      </c>
      <c r="K150" s="467" t="s">
        <v>34</v>
      </c>
      <c r="L150" s="472"/>
      <c r="M150" s="36" t="s">
        <v>5827</v>
      </c>
      <c r="N150" s="398"/>
      <c r="P150" s="67" t="s">
        <v>5244</v>
      </c>
      <c r="Q150" s="67"/>
      <c r="R150" s="454" t="s">
        <v>5294</v>
      </c>
      <c r="S150" s="468" t="s">
        <v>5828</v>
      </c>
      <c r="AF150" s="471" t="s">
        <v>5764</v>
      </c>
      <c r="AG150" s="398"/>
      <c r="AH150" s="398"/>
      <c r="AJ150"/>
    </row>
    <row r="151" spans="1:36" ht="19.5" customHeight="1">
      <c r="A151" s="25">
        <v>150</v>
      </c>
      <c r="B151" s="401">
        <v>5467627</v>
      </c>
      <c r="C151" s="466" t="s">
        <v>5823</v>
      </c>
      <c r="D151" s="395"/>
      <c r="E151" s="395">
        <v>16941.43</v>
      </c>
      <c r="F151" s="290">
        <v>1178531</v>
      </c>
      <c r="G151" s="473" t="s">
        <v>5768</v>
      </c>
      <c r="H151" s="395"/>
      <c r="I151" s="395">
        <v>16941.43</v>
      </c>
      <c r="J151" s="62" t="s">
        <v>5242</v>
      </c>
      <c r="K151" s="467" t="s">
        <v>34</v>
      </c>
      <c r="L151" s="472"/>
      <c r="M151" s="36" t="s">
        <v>5829</v>
      </c>
      <c r="N151" s="398"/>
      <c r="P151" t="s">
        <v>5830</v>
      </c>
      <c r="R151" s="454" t="s">
        <v>5819</v>
      </c>
      <c r="S151" s="468" t="s">
        <v>5831</v>
      </c>
      <c r="AF151" s="471" t="s">
        <v>5764</v>
      </c>
      <c r="AG151" s="398"/>
      <c r="AH151" s="398"/>
      <c r="AJ151"/>
    </row>
    <row r="152" spans="1:36" ht="19.5" customHeight="1">
      <c r="A152" s="25">
        <v>151</v>
      </c>
      <c r="B152" s="401">
        <v>5468363</v>
      </c>
      <c r="C152" s="466" t="s">
        <v>5318</v>
      </c>
      <c r="D152" s="395"/>
      <c r="E152" s="395">
        <v>20885.97</v>
      </c>
      <c r="F152" s="290">
        <v>1181796</v>
      </c>
      <c r="G152" s="283" t="s">
        <v>5832</v>
      </c>
      <c r="H152" s="395"/>
      <c r="I152" s="395">
        <v>20885.97</v>
      </c>
      <c r="J152" s="62" t="s">
        <v>5242</v>
      </c>
      <c r="K152" s="467" t="s">
        <v>34</v>
      </c>
      <c r="M152" s="36" t="s">
        <v>5833</v>
      </c>
      <c r="N152" s="398"/>
      <c r="P152" t="s">
        <v>5834</v>
      </c>
      <c r="R152" s="454" t="s">
        <v>5371</v>
      </c>
      <c r="S152" s="468" t="s">
        <v>5835</v>
      </c>
      <c r="AF152" s="471" t="s">
        <v>5836</v>
      </c>
      <c r="AG152" s="398"/>
      <c r="AH152" s="398"/>
      <c r="AJ152"/>
    </row>
    <row r="153" spans="1:36" ht="19.5" customHeight="1">
      <c r="A153" s="25">
        <v>152</v>
      </c>
      <c r="B153" s="401">
        <v>5469191</v>
      </c>
      <c r="C153" s="466" t="s">
        <v>5398</v>
      </c>
      <c r="D153" s="395"/>
      <c r="E153" s="395">
        <v>127.31</v>
      </c>
      <c r="F153" s="290">
        <v>1178573</v>
      </c>
      <c r="G153" s="283" t="s">
        <v>5768</v>
      </c>
      <c r="H153" s="395"/>
      <c r="I153" s="395">
        <v>127.31</v>
      </c>
      <c r="J153" s="62" t="s">
        <v>5242</v>
      </c>
      <c r="K153" s="467" t="s">
        <v>34</v>
      </c>
      <c r="M153" s="36" t="s">
        <v>5837</v>
      </c>
      <c r="N153" s="398"/>
      <c r="P153" s="67" t="s">
        <v>5244</v>
      </c>
      <c r="Q153" s="67"/>
      <c r="R153" s="454" t="s">
        <v>5398</v>
      </c>
      <c r="S153" s="468" t="s">
        <v>5838</v>
      </c>
      <c r="AF153" s="471" t="s">
        <v>5764</v>
      </c>
      <c r="AG153" s="398"/>
      <c r="AH153" s="398"/>
      <c r="AJ153"/>
    </row>
    <row r="154" spans="1:36" ht="19.5" customHeight="1">
      <c r="A154" s="25">
        <v>153</v>
      </c>
      <c r="B154" s="401">
        <v>5470742</v>
      </c>
      <c r="C154" s="466" t="s">
        <v>5839</v>
      </c>
      <c r="D154" s="395"/>
      <c r="E154" s="395">
        <v>345.64</v>
      </c>
      <c r="F154" s="290">
        <v>1177403</v>
      </c>
      <c r="G154" s="283" t="s">
        <v>5768</v>
      </c>
      <c r="H154" s="395"/>
      <c r="I154" s="395">
        <v>345.64</v>
      </c>
      <c r="J154" s="62" t="s">
        <v>5242</v>
      </c>
      <c r="K154" s="467" t="s">
        <v>34</v>
      </c>
      <c r="M154" s="36" t="s">
        <v>5840</v>
      </c>
      <c r="N154" s="398"/>
      <c r="P154" s="67" t="s">
        <v>5244</v>
      </c>
      <c r="Q154" s="67"/>
      <c r="R154" s="454" t="s">
        <v>5841</v>
      </c>
      <c r="S154" s="468" t="s">
        <v>5842</v>
      </c>
      <c r="AF154" s="471" t="s">
        <v>5764</v>
      </c>
      <c r="AG154" s="398"/>
      <c r="AH154" s="398"/>
      <c r="AJ154"/>
    </row>
    <row r="155" spans="1:36" ht="19.5" customHeight="1">
      <c r="A155" s="25">
        <v>154</v>
      </c>
      <c r="B155" s="401">
        <v>5470804</v>
      </c>
      <c r="C155" s="466" t="s">
        <v>5839</v>
      </c>
      <c r="D155" s="395"/>
      <c r="E155" s="395">
        <v>945.67</v>
      </c>
      <c r="F155" s="290">
        <v>1178900</v>
      </c>
      <c r="G155" s="283" t="s">
        <v>5843</v>
      </c>
      <c r="H155" s="395"/>
      <c r="I155" s="395">
        <v>945.67</v>
      </c>
      <c r="J155" s="62" t="s">
        <v>5242</v>
      </c>
      <c r="K155" s="467" t="s">
        <v>34</v>
      </c>
      <c r="L155" s="472"/>
      <c r="M155" s="36" t="s">
        <v>5844</v>
      </c>
      <c r="N155" s="398"/>
      <c r="P155" t="s">
        <v>5845</v>
      </c>
      <c r="R155" s="454" t="s">
        <v>5846</v>
      </c>
      <c r="S155" s="468" t="s">
        <v>5418</v>
      </c>
      <c r="AF155" s="471" t="s">
        <v>5764</v>
      </c>
      <c r="AG155" s="398"/>
      <c r="AH155" s="398"/>
      <c r="AJ155"/>
    </row>
    <row r="156" spans="1:36" ht="19.5" customHeight="1">
      <c r="A156" s="25">
        <v>155</v>
      </c>
      <c r="B156" s="401">
        <v>5474871</v>
      </c>
      <c r="C156" s="466" t="s">
        <v>5768</v>
      </c>
      <c r="D156" s="395"/>
      <c r="E156" s="395">
        <v>92.54</v>
      </c>
      <c r="F156" s="290">
        <v>1180208</v>
      </c>
      <c r="G156" s="283" t="s">
        <v>5847</v>
      </c>
      <c r="H156" s="395"/>
      <c r="I156" s="395">
        <v>92.54</v>
      </c>
      <c r="J156" s="62" t="s">
        <v>5242</v>
      </c>
      <c r="K156" s="467" t="s">
        <v>34</v>
      </c>
      <c r="M156" s="36" t="s">
        <v>5848</v>
      </c>
      <c r="N156" s="398"/>
      <c r="P156" s="67" t="s">
        <v>5244</v>
      </c>
      <c r="Q156" s="67"/>
      <c r="R156" s="454" t="s">
        <v>5849</v>
      </c>
      <c r="S156" s="468" t="s">
        <v>5850</v>
      </c>
      <c r="AF156" s="471" t="s">
        <v>5764</v>
      </c>
      <c r="AG156" s="398"/>
      <c r="AH156" s="398"/>
      <c r="AJ156"/>
    </row>
    <row r="157" spans="1:36" ht="19.5" customHeight="1">
      <c r="A157" s="25">
        <v>156</v>
      </c>
      <c r="B157" s="401">
        <v>5475977</v>
      </c>
      <c r="C157" s="466" t="s">
        <v>5849</v>
      </c>
      <c r="D157" s="395"/>
      <c r="E157" s="395">
        <v>13832</v>
      </c>
      <c r="F157" s="290">
        <v>1181535</v>
      </c>
      <c r="G157" s="283" t="s">
        <v>5832</v>
      </c>
      <c r="H157" s="395"/>
      <c r="I157" s="395">
        <v>13832</v>
      </c>
      <c r="J157" s="62" t="s">
        <v>5242</v>
      </c>
      <c r="K157" s="467" t="s">
        <v>5737</v>
      </c>
      <c r="M157" s="36" t="s">
        <v>5268</v>
      </c>
      <c r="N157" s="398"/>
      <c r="P157" t="s">
        <v>5795</v>
      </c>
      <c r="R157" s="454" t="s">
        <v>5797</v>
      </c>
      <c r="S157" s="468" t="s">
        <v>5798</v>
      </c>
      <c r="AF157" s="471" t="s">
        <v>5446</v>
      </c>
      <c r="AG157" s="398">
        <v>796000</v>
      </c>
      <c r="AH157" s="398">
        <v>565047.98</v>
      </c>
      <c r="AJ157"/>
    </row>
    <row r="158" spans="1:36" ht="19.5" customHeight="1">
      <c r="A158" s="25">
        <v>157</v>
      </c>
      <c r="B158" s="401">
        <v>5476020</v>
      </c>
      <c r="C158" s="466" t="s">
        <v>5849</v>
      </c>
      <c r="D158" s="395"/>
      <c r="E158" s="395">
        <v>21258.69</v>
      </c>
      <c r="F158" s="290">
        <v>1181798</v>
      </c>
      <c r="G158" s="283" t="s">
        <v>5851</v>
      </c>
      <c r="H158" s="395"/>
      <c r="I158" s="395">
        <v>21258.69</v>
      </c>
      <c r="J158" s="62" t="s">
        <v>5242</v>
      </c>
      <c r="K158" s="467" t="s">
        <v>34</v>
      </c>
      <c r="M158" s="36" t="s">
        <v>5852</v>
      </c>
      <c r="N158" s="398"/>
      <c r="P158" t="s">
        <v>5853</v>
      </c>
      <c r="R158" s="454" t="s">
        <v>5854</v>
      </c>
      <c r="S158" s="468" t="s">
        <v>5855</v>
      </c>
      <c r="AF158" s="471" t="s">
        <v>5836</v>
      </c>
      <c r="AG158" s="398">
        <v>82500</v>
      </c>
      <c r="AH158" s="398">
        <v>54845.7</v>
      </c>
      <c r="AJ158"/>
    </row>
    <row r="159" spans="1:36" ht="19.5" customHeight="1">
      <c r="A159" s="25">
        <v>158</v>
      </c>
      <c r="B159" s="401">
        <v>5477958</v>
      </c>
      <c r="C159" s="466" t="s">
        <v>5356</v>
      </c>
      <c r="D159" s="395"/>
      <c r="E159" s="395">
        <v>4141.01</v>
      </c>
      <c r="F159" s="290">
        <v>1181799</v>
      </c>
      <c r="G159" s="283" t="s">
        <v>5851</v>
      </c>
      <c r="H159" s="395"/>
      <c r="I159" s="395">
        <v>4141.01</v>
      </c>
      <c r="J159" s="62" t="s">
        <v>5242</v>
      </c>
      <c r="K159" s="467" t="s">
        <v>34</v>
      </c>
      <c r="M159" s="36" t="s">
        <v>5856</v>
      </c>
      <c r="N159" s="398"/>
      <c r="P159" t="s">
        <v>5857</v>
      </c>
      <c r="R159" s="454" t="s">
        <v>5843</v>
      </c>
      <c r="S159" s="468" t="s">
        <v>5858</v>
      </c>
      <c r="AF159" s="471" t="s">
        <v>5836</v>
      </c>
      <c r="AG159" s="398">
        <v>9800</v>
      </c>
      <c r="AH159" s="398">
        <v>4194.18</v>
      </c>
      <c r="AJ159"/>
    </row>
    <row r="160" spans="1:36" ht="19.5" customHeight="1">
      <c r="A160" s="25">
        <v>159</v>
      </c>
      <c r="C160" s="466" t="s">
        <v>5350</v>
      </c>
      <c r="D160" s="395"/>
      <c r="E160" s="395">
        <v>2800</v>
      </c>
      <c r="F160" s="290">
        <v>1179786</v>
      </c>
      <c r="G160" s="283" t="s">
        <v>5350</v>
      </c>
      <c r="H160" s="395"/>
      <c r="I160" s="395">
        <v>2800</v>
      </c>
      <c r="J160" s="62" t="s">
        <v>5242</v>
      </c>
      <c r="K160" s="467" t="s">
        <v>5859</v>
      </c>
      <c r="L160" s="486"/>
      <c r="M160" s="36" t="s">
        <v>5860</v>
      </c>
      <c r="N160" s="398"/>
      <c r="P160" s="488" t="s">
        <v>5257</v>
      </c>
      <c r="Q160" s="488"/>
      <c r="R160" s="478"/>
      <c r="S160" s="468"/>
      <c r="AF160" s="471" t="s">
        <v>5861</v>
      </c>
      <c r="AG160" s="398"/>
      <c r="AH160" s="398"/>
      <c r="AJ160"/>
    </row>
    <row r="161" spans="1:36" ht="19.5" customHeight="1">
      <c r="A161" s="25">
        <v>160</v>
      </c>
      <c r="B161" s="401">
        <v>5479214</v>
      </c>
      <c r="C161" s="466" t="s">
        <v>5862</v>
      </c>
      <c r="D161" s="395"/>
      <c r="E161" s="395">
        <v>142.61000000000001</v>
      </c>
      <c r="F161" s="290">
        <v>1181797</v>
      </c>
      <c r="G161" s="283" t="s">
        <v>5851</v>
      </c>
      <c r="H161" s="395"/>
      <c r="I161" s="395">
        <v>142.61000000000001</v>
      </c>
      <c r="J161" s="62" t="s">
        <v>5242</v>
      </c>
      <c r="K161" s="467" t="s">
        <v>34</v>
      </c>
      <c r="M161" s="36" t="s">
        <v>5863</v>
      </c>
      <c r="N161" s="398"/>
      <c r="P161" s="67" t="s">
        <v>5244</v>
      </c>
      <c r="Q161" s="67"/>
      <c r="R161" s="454" t="s">
        <v>5821</v>
      </c>
      <c r="S161" s="468" t="s">
        <v>5822</v>
      </c>
      <c r="W161" s="41" t="s">
        <v>4660</v>
      </c>
      <c r="AF161" s="471" t="s">
        <v>5836</v>
      </c>
      <c r="AG161" s="398"/>
      <c r="AH161" s="398"/>
      <c r="AJ161"/>
    </row>
    <row r="162" spans="1:36" ht="19.5" customHeight="1">
      <c r="A162" s="25">
        <v>161</v>
      </c>
      <c r="B162" s="401">
        <v>5480099</v>
      </c>
      <c r="C162" s="466" t="s">
        <v>5821</v>
      </c>
      <c r="D162" s="395"/>
      <c r="E162" s="395">
        <v>21660.55</v>
      </c>
      <c r="F162" s="290">
        <v>1183186</v>
      </c>
      <c r="G162" s="283" t="s">
        <v>5864</v>
      </c>
      <c r="H162" s="395"/>
      <c r="I162" s="395">
        <v>21660.55</v>
      </c>
      <c r="J162" s="62" t="s">
        <v>5242</v>
      </c>
      <c r="K162" s="467" t="s">
        <v>34</v>
      </c>
      <c r="L162" s="472"/>
      <c r="M162" s="36" t="s">
        <v>5865</v>
      </c>
      <c r="N162" s="398"/>
      <c r="P162" t="s">
        <v>5866</v>
      </c>
      <c r="R162" s="454" t="s">
        <v>5867</v>
      </c>
      <c r="S162" s="468" t="s">
        <v>5868</v>
      </c>
      <c r="AF162" s="471" t="s">
        <v>5836</v>
      </c>
      <c r="AG162" s="398">
        <v>112276</v>
      </c>
      <c r="AH162" s="398">
        <v>50927.06</v>
      </c>
      <c r="AJ162"/>
    </row>
    <row r="163" spans="1:36" ht="19.5" customHeight="1">
      <c r="A163" s="25">
        <v>162</v>
      </c>
      <c r="B163" s="401">
        <v>5480864</v>
      </c>
      <c r="C163" s="466" t="s">
        <v>5847</v>
      </c>
      <c r="D163" s="395"/>
      <c r="E163" s="395">
        <v>5958.04</v>
      </c>
      <c r="F163" s="290">
        <v>1183183</v>
      </c>
      <c r="G163" s="283" t="s">
        <v>5864</v>
      </c>
      <c r="H163" s="395"/>
      <c r="I163" s="395">
        <v>5958.04</v>
      </c>
      <c r="J163" s="62" t="s">
        <v>5242</v>
      </c>
      <c r="K163" s="467" t="s">
        <v>34</v>
      </c>
      <c r="M163" s="36" t="s">
        <v>5869</v>
      </c>
      <c r="N163" s="398"/>
      <c r="P163" t="s">
        <v>5870</v>
      </c>
      <c r="R163" s="454" t="s">
        <v>5519</v>
      </c>
      <c r="S163" s="468" t="s">
        <v>5871</v>
      </c>
      <c r="AF163" s="471" t="s">
        <v>5836</v>
      </c>
      <c r="AG163" s="398">
        <v>87350</v>
      </c>
      <c r="AH163" s="398">
        <v>16072.99</v>
      </c>
      <c r="AJ163"/>
    </row>
    <row r="164" spans="1:36" ht="19.5" customHeight="1">
      <c r="A164" s="25">
        <v>163</v>
      </c>
      <c r="B164" s="401">
        <v>5481879</v>
      </c>
      <c r="C164" s="466" t="s">
        <v>5872</v>
      </c>
      <c r="D164" s="395"/>
      <c r="E164" s="395">
        <v>170743.52</v>
      </c>
      <c r="F164" s="290">
        <v>1181224</v>
      </c>
      <c r="G164" s="283" t="s">
        <v>5873</v>
      </c>
      <c r="H164" s="395"/>
      <c r="I164" s="395">
        <v>170743.52</v>
      </c>
      <c r="J164" s="62" t="s">
        <v>5242</v>
      </c>
      <c r="K164" s="467" t="s">
        <v>5394</v>
      </c>
      <c r="L164" s="472"/>
      <c r="M164" s="36" t="s">
        <v>5395</v>
      </c>
      <c r="N164" s="398"/>
      <c r="P164" t="s">
        <v>5874</v>
      </c>
      <c r="R164" s="454" t="s">
        <v>5875</v>
      </c>
      <c r="S164" s="468" t="s">
        <v>5876</v>
      </c>
      <c r="AF164" s="471" t="s">
        <v>5832</v>
      </c>
      <c r="AG164" s="398">
        <v>550000</v>
      </c>
      <c r="AH164" s="398">
        <v>453881.79</v>
      </c>
      <c r="AJ164"/>
    </row>
    <row r="165" spans="1:36" ht="19.5" customHeight="1">
      <c r="A165" s="25">
        <v>164</v>
      </c>
      <c r="B165" s="401">
        <v>5482270</v>
      </c>
      <c r="C165" s="466" t="s">
        <v>5877</v>
      </c>
      <c r="D165" s="395"/>
      <c r="E165" s="395">
        <v>6389.59</v>
      </c>
      <c r="F165" s="290">
        <v>1183185</v>
      </c>
      <c r="G165" s="283" t="s">
        <v>5864</v>
      </c>
      <c r="H165" s="395"/>
      <c r="I165" s="395">
        <v>6389.59</v>
      </c>
      <c r="J165" s="62" t="s">
        <v>5242</v>
      </c>
      <c r="K165" s="467" t="s">
        <v>34</v>
      </c>
      <c r="M165" s="36" t="s">
        <v>5878</v>
      </c>
      <c r="N165" s="398"/>
      <c r="P165" t="s">
        <v>5879</v>
      </c>
      <c r="R165" s="454" t="s">
        <v>5877</v>
      </c>
      <c r="S165" s="468" t="s">
        <v>5880</v>
      </c>
      <c r="AF165" s="471" t="s">
        <v>5836</v>
      </c>
      <c r="AG165" s="398">
        <v>9642</v>
      </c>
      <c r="AH165" s="398">
        <v>6430.4</v>
      </c>
      <c r="AJ165"/>
    </row>
    <row r="166" spans="1:36" ht="19.5" customHeight="1">
      <c r="A166" s="25">
        <v>165</v>
      </c>
      <c r="B166" s="401">
        <v>5483862</v>
      </c>
      <c r="C166" s="466" t="s">
        <v>5851</v>
      </c>
      <c r="D166" s="395"/>
      <c r="E166" s="395">
        <v>30.85</v>
      </c>
      <c r="F166" s="290">
        <v>1183184</v>
      </c>
      <c r="G166" s="283" t="s">
        <v>5875</v>
      </c>
      <c r="H166" s="395"/>
      <c r="I166" s="395">
        <v>30.85</v>
      </c>
      <c r="J166" s="62" t="s">
        <v>5242</v>
      </c>
      <c r="K166" s="467" t="s">
        <v>34</v>
      </c>
      <c r="L166" s="472"/>
      <c r="M166" s="36" t="s">
        <v>5881</v>
      </c>
      <c r="N166" s="398"/>
      <c r="P166" s="67" t="s">
        <v>5244</v>
      </c>
      <c r="Q166" s="67"/>
      <c r="R166" s="454" t="s">
        <v>5851</v>
      </c>
      <c r="S166" s="468" t="s">
        <v>5882</v>
      </c>
      <c r="AF166" s="471" t="s">
        <v>5836</v>
      </c>
      <c r="AG166" s="330" t="s">
        <v>141</v>
      </c>
      <c r="AH166" s="330" t="s">
        <v>141</v>
      </c>
      <c r="AJ166"/>
    </row>
    <row r="167" spans="1:36" ht="19.5" customHeight="1">
      <c r="A167" s="25">
        <v>166</v>
      </c>
      <c r="B167" s="401">
        <v>5486136</v>
      </c>
      <c r="C167" s="466" t="s">
        <v>5875</v>
      </c>
      <c r="D167" s="395"/>
      <c r="E167" s="395">
        <v>7619.98</v>
      </c>
      <c r="F167" s="290">
        <v>1184906</v>
      </c>
      <c r="G167" s="283" t="s">
        <v>5391</v>
      </c>
      <c r="H167" s="395"/>
      <c r="I167" s="395">
        <v>7619.98</v>
      </c>
      <c r="J167" s="62" t="s">
        <v>5242</v>
      </c>
      <c r="K167" s="467" t="s">
        <v>34</v>
      </c>
      <c r="M167" s="36" t="s">
        <v>5363</v>
      </c>
      <c r="N167" s="398"/>
      <c r="P167" t="s">
        <v>5883</v>
      </c>
      <c r="R167" s="454" t="s">
        <v>5884</v>
      </c>
      <c r="S167" s="468" t="s">
        <v>5885</v>
      </c>
      <c r="AF167" s="471" t="s">
        <v>5836</v>
      </c>
      <c r="AG167" s="398">
        <v>30681</v>
      </c>
      <c r="AH167" s="398">
        <v>16041</v>
      </c>
      <c r="AJ167"/>
    </row>
    <row r="168" spans="1:36" ht="19.5" customHeight="1">
      <c r="A168" s="25">
        <v>167</v>
      </c>
      <c r="B168" s="401">
        <v>5486850</v>
      </c>
      <c r="C168" s="466" t="s">
        <v>5864</v>
      </c>
      <c r="D168" s="395"/>
      <c r="E168" s="395">
        <v>30.3</v>
      </c>
      <c r="F168" s="290">
        <v>1184905</v>
      </c>
      <c r="G168" s="283" t="s">
        <v>5886</v>
      </c>
      <c r="H168" s="395"/>
      <c r="I168" s="395">
        <v>30.3</v>
      </c>
      <c r="J168" s="62" t="s">
        <v>5242</v>
      </c>
      <c r="K168" s="467" t="s">
        <v>34</v>
      </c>
      <c r="M168" s="36" t="s">
        <v>5887</v>
      </c>
      <c r="N168" s="398"/>
      <c r="P168" s="67" t="s">
        <v>5244</v>
      </c>
      <c r="Q168" s="67"/>
      <c r="R168" s="454" t="s">
        <v>5888</v>
      </c>
      <c r="S168" s="468" t="s">
        <v>5606</v>
      </c>
      <c r="AF168" s="471" t="s">
        <v>5836</v>
      </c>
      <c r="AG168" s="330" t="s">
        <v>141</v>
      </c>
      <c r="AH168" s="330" t="s">
        <v>141</v>
      </c>
      <c r="AJ168"/>
    </row>
    <row r="169" spans="1:36" ht="19.5" customHeight="1">
      <c r="A169" s="25">
        <v>168</v>
      </c>
      <c r="B169" s="401">
        <v>5486869</v>
      </c>
      <c r="C169" s="466" t="s">
        <v>5864</v>
      </c>
      <c r="D169" s="395"/>
      <c r="E169" s="395">
        <v>52297.27</v>
      </c>
      <c r="F169" s="290">
        <v>1184908</v>
      </c>
      <c r="G169" s="283" t="s">
        <v>5391</v>
      </c>
      <c r="H169" s="395"/>
      <c r="I169" s="395">
        <v>52297.27</v>
      </c>
      <c r="J169" s="62" t="s">
        <v>5242</v>
      </c>
      <c r="K169" s="467" t="s">
        <v>34</v>
      </c>
      <c r="M169" s="36" t="s">
        <v>5889</v>
      </c>
      <c r="N169" s="398"/>
      <c r="P169" t="s">
        <v>5890</v>
      </c>
      <c r="R169" s="454" t="s">
        <v>5851</v>
      </c>
      <c r="S169" s="468" t="s">
        <v>5891</v>
      </c>
      <c r="AF169" s="471" t="s">
        <v>5836</v>
      </c>
      <c r="AG169" s="330" t="s">
        <v>141</v>
      </c>
      <c r="AH169" s="330" t="s">
        <v>141</v>
      </c>
      <c r="AJ169"/>
    </row>
    <row r="170" spans="1:36" ht="19.5" customHeight="1">
      <c r="A170" s="25">
        <v>169</v>
      </c>
      <c r="B170" s="401">
        <v>5486936</v>
      </c>
      <c r="C170" s="475" t="s">
        <v>5864</v>
      </c>
      <c r="D170" s="395"/>
      <c r="E170" s="395">
        <v>326688.07</v>
      </c>
      <c r="F170" s="290">
        <v>1184907</v>
      </c>
      <c r="G170" s="283" t="s">
        <v>5391</v>
      </c>
      <c r="H170" s="395"/>
      <c r="I170" s="395">
        <v>326688.07</v>
      </c>
      <c r="J170" s="62" t="s">
        <v>5242</v>
      </c>
      <c r="K170" s="467" t="s">
        <v>34</v>
      </c>
      <c r="L170" s="486" t="s">
        <v>5630</v>
      </c>
      <c r="M170" s="36" t="s">
        <v>5892</v>
      </c>
      <c r="N170" s="398"/>
      <c r="P170" t="s">
        <v>5893</v>
      </c>
      <c r="R170" s="454" t="s">
        <v>5376</v>
      </c>
      <c r="S170" s="468" t="s">
        <v>5894</v>
      </c>
      <c r="AF170" s="471" t="s">
        <v>5836</v>
      </c>
      <c r="AG170" s="398">
        <v>560000</v>
      </c>
      <c r="AH170" s="398">
        <v>406109.89</v>
      </c>
      <c r="AJ170"/>
    </row>
    <row r="171" spans="1:36" ht="19.5" customHeight="1">
      <c r="A171" s="25">
        <v>170</v>
      </c>
      <c r="B171" s="401">
        <v>5488755</v>
      </c>
      <c r="C171" s="466" t="s">
        <v>5895</v>
      </c>
      <c r="D171" s="395"/>
      <c r="E171" s="395">
        <v>276561.21999999997</v>
      </c>
      <c r="F171" s="290">
        <v>1184863</v>
      </c>
      <c r="G171" s="283" t="s">
        <v>5391</v>
      </c>
      <c r="H171" s="395"/>
      <c r="I171" s="395">
        <v>276561.21999999997</v>
      </c>
      <c r="J171" s="62" t="s">
        <v>5242</v>
      </c>
      <c r="K171" s="467" t="s">
        <v>34</v>
      </c>
      <c r="M171" s="36" t="s">
        <v>5896</v>
      </c>
      <c r="N171" s="398"/>
      <c r="P171" t="s">
        <v>5897</v>
      </c>
      <c r="R171" s="454" t="s">
        <v>5888</v>
      </c>
      <c r="S171" s="468" t="s">
        <v>5806</v>
      </c>
      <c r="AF171" s="471" t="s">
        <v>5836</v>
      </c>
      <c r="AG171" s="330" t="s">
        <v>141</v>
      </c>
      <c r="AH171" s="330" t="s">
        <v>141</v>
      </c>
      <c r="AJ171"/>
    </row>
    <row r="172" spans="1:36" ht="19.5" customHeight="1">
      <c r="A172" s="25">
        <v>171</v>
      </c>
      <c r="B172" s="401">
        <v>5488801</v>
      </c>
      <c r="C172" s="466" t="s">
        <v>5895</v>
      </c>
      <c r="D172" s="395"/>
      <c r="E172" s="395">
        <v>14893.31</v>
      </c>
      <c r="F172" s="290">
        <v>1184864</v>
      </c>
      <c r="G172" s="283" t="s">
        <v>5886</v>
      </c>
      <c r="H172" s="395"/>
      <c r="I172" s="395">
        <v>14893.31</v>
      </c>
      <c r="J172" s="62" t="s">
        <v>5242</v>
      </c>
      <c r="K172" s="467" t="s">
        <v>34</v>
      </c>
      <c r="L172" s="472"/>
      <c r="M172" s="36" t="s">
        <v>5898</v>
      </c>
      <c r="N172" s="398"/>
      <c r="P172" t="s">
        <v>5899</v>
      </c>
      <c r="R172" s="454" t="s">
        <v>5900</v>
      </c>
      <c r="S172" s="468" t="s">
        <v>5901</v>
      </c>
      <c r="AF172" s="471" t="s">
        <v>5836</v>
      </c>
      <c r="AG172" s="398">
        <v>170825</v>
      </c>
      <c r="AH172" s="398">
        <v>15891.38</v>
      </c>
      <c r="AJ172"/>
    </row>
    <row r="173" spans="1:36" ht="19.5" customHeight="1">
      <c r="A173" s="25">
        <v>172</v>
      </c>
      <c r="B173" s="401">
        <v>5489444</v>
      </c>
      <c r="C173" s="466" t="s">
        <v>5330</v>
      </c>
      <c r="D173" s="395"/>
      <c r="E173" s="395">
        <v>285009.83</v>
      </c>
      <c r="F173" s="290">
        <v>1188240</v>
      </c>
      <c r="G173" s="473" t="s">
        <v>5902</v>
      </c>
      <c r="H173" s="395"/>
      <c r="I173" s="395">
        <v>285009.83</v>
      </c>
      <c r="J173" s="62" t="s">
        <v>5242</v>
      </c>
      <c r="K173" s="467" t="s">
        <v>34</v>
      </c>
      <c r="L173" s="472"/>
      <c r="M173" s="36" t="s">
        <v>5903</v>
      </c>
      <c r="N173" s="398"/>
      <c r="P173" t="s">
        <v>5874</v>
      </c>
      <c r="R173" s="454" t="s">
        <v>5904</v>
      </c>
      <c r="S173" s="468" t="s">
        <v>5905</v>
      </c>
      <c r="AF173" s="471" t="s">
        <v>5906</v>
      </c>
      <c r="AG173" s="398">
        <v>550000</v>
      </c>
      <c r="AH173" s="398">
        <v>453881.79</v>
      </c>
      <c r="AJ173"/>
    </row>
    <row r="174" spans="1:36" ht="19.5" customHeight="1">
      <c r="A174" s="25">
        <v>173</v>
      </c>
      <c r="B174" s="401">
        <v>5489970</v>
      </c>
      <c r="C174" s="466" t="s">
        <v>5907</v>
      </c>
      <c r="D174" s="395"/>
      <c r="E174" s="395">
        <v>5373.81</v>
      </c>
      <c r="F174" s="290">
        <v>1186665</v>
      </c>
      <c r="G174" s="283" t="s">
        <v>5908</v>
      </c>
      <c r="H174" s="395"/>
      <c r="I174" s="395">
        <v>5373.81</v>
      </c>
      <c r="J174" s="62" t="s">
        <v>5242</v>
      </c>
      <c r="K174" s="467" t="s">
        <v>34</v>
      </c>
      <c r="M174" s="36" t="s">
        <v>5909</v>
      </c>
      <c r="N174" s="398"/>
      <c r="P174" t="s">
        <v>5910</v>
      </c>
      <c r="R174" s="454" t="s">
        <v>5911</v>
      </c>
      <c r="S174" s="468" t="s">
        <v>5912</v>
      </c>
      <c r="AF174" s="471" t="s">
        <v>5836</v>
      </c>
      <c r="AG174" s="398">
        <v>15149.79</v>
      </c>
      <c r="AH174" s="398">
        <v>6071.98</v>
      </c>
      <c r="AJ174"/>
    </row>
    <row r="175" spans="1:36" ht="19.5" customHeight="1">
      <c r="A175" s="25">
        <v>174</v>
      </c>
      <c r="B175" s="401">
        <v>5490704</v>
      </c>
      <c r="C175" s="466" t="s">
        <v>5913</v>
      </c>
      <c r="D175" s="395"/>
      <c r="E175" s="395">
        <v>95.99</v>
      </c>
      <c r="F175" s="290">
        <v>1186668</v>
      </c>
      <c r="G175" s="283" t="s">
        <v>5908</v>
      </c>
      <c r="H175" s="395"/>
      <c r="I175" s="395">
        <v>95.99</v>
      </c>
      <c r="J175" s="62" t="s">
        <v>5242</v>
      </c>
      <c r="K175" s="467" t="s">
        <v>34</v>
      </c>
      <c r="M175" s="36" t="s">
        <v>5914</v>
      </c>
      <c r="N175" s="398"/>
      <c r="P175" s="67" t="s">
        <v>5244</v>
      </c>
      <c r="Q175" s="67"/>
      <c r="R175" s="454" t="s">
        <v>5886</v>
      </c>
      <c r="S175" s="468" t="s">
        <v>5915</v>
      </c>
      <c r="AF175" s="471" t="s">
        <v>5836</v>
      </c>
      <c r="AG175" s="330" t="s">
        <v>141</v>
      </c>
      <c r="AH175" s="330" t="s">
        <v>141</v>
      </c>
      <c r="AJ175"/>
    </row>
    <row r="176" spans="1:36" ht="19.5" customHeight="1">
      <c r="A176" s="25">
        <v>175</v>
      </c>
      <c r="B176" s="401">
        <v>5490707</v>
      </c>
      <c r="C176" s="466" t="s">
        <v>5913</v>
      </c>
      <c r="D176" s="395"/>
      <c r="E176" s="395">
        <v>23721.69</v>
      </c>
      <c r="F176" s="290">
        <v>1186669</v>
      </c>
      <c r="G176" s="283" t="s">
        <v>5908</v>
      </c>
      <c r="H176" s="395"/>
      <c r="I176" s="395">
        <v>23721.69</v>
      </c>
      <c r="J176" s="62" t="s">
        <v>5242</v>
      </c>
      <c r="K176" s="467" t="s">
        <v>34</v>
      </c>
      <c r="M176" s="36" t="s">
        <v>5916</v>
      </c>
      <c r="N176" s="398"/>
      <c r="P176" t="s">
        <v>5917</v>
      </c>
      <c r="R176" s="454" t="s">
        <v>5330</v>
      </c>
      <c r="S176" s="468" t="s">
        <v>5918</v>
      </c>
      <c r="AF176" s="471" t="s">
        <v>5836</v>
      </c>
      <c r="AG176" s="398">
        <v>35800</v>
      </c>
      <c r="AH176" s="398">
        <v>23864.57</v>
      </c>
      <c r="AJ176"/>
    </row>
    <row r="177" spans="1:36" ht="19.5" customHeight="1">
      <c r="A177" s="25">
        <v>176</v>
      </c>
      <c r="B177" s="401">
        <v>5492465</v>
      </c>
      <c r="C177" s="466" t="s">
        <v>5391</v>
      </c>
      <c r="D177" s="395"/>
      <c r="E177" s="395">
        <v>3500</v>
      </c>
      <c r="F177" s="290">
        <v>1187919</v>
      </c>
      <c r="G177" s="283" t="s">
        <v>5919</v>
      </c>
      <c r="H177" s="395"/>
      <c r="I177" s="395">
        <v>3500</v>
      </c>
      <c r="J177" s="62" t="s">
        <v>5242</v>
      </c>
      <c r="K177" s="467" t="s">
        <v>5920</v>
      </c>
      <c r="L177" s="472"/>
      <c r="M177" s="36" t="s">
        <v>5921</v>
      </c>
      <c r="N177" s="398"/>
      <c r="P177" t="s">
        <v>5922</v>
      </c>
      <c r="R177" s="478" t="s">
        <v>5793</v>
      </c>
      <c r="S177" s="468" t="s">
        <v>5923</v>
      </c>
      <c r="AF177" s="471" t="s">
        <v>5924</v>
      </c>
      <c r="AG177" s="398">
        <v>400000</v>
      </c>
      <c r="AH177" s="398">
        <v>62919.54</v>
      </c>
      <c r="AJ177"/>
    </row>
    <row r="178" spans="1:36" ht="19.5" customHeight="1">
      <c r="A178" s="25">
        <v>177</v>
      </c>
      <c r="B178" s="401">
        <v>5492478</v>
      </c>
      <c r="C178" s="466" t="s">
        <v>5391</v>
      </c>
      <c r="D178" s="395"/>
      <c r="E178" s="395">
        <v>38988.550000000003</v>
      </c>
      <c r="F178" s="290">
        <v>1187862</v>
      </c>
      <c r="G178" s="283" t="s">
        <v>5423</v>
      </c>
      <c r="H178" s="395"/>
      <c r="I178" s="395">
        <v>38988.550000000003</v>
      </c>
      <c r="J178" s="62" t="s">
        <v>5242</v>
      </c>
      <c r="K178" s="467" t="s">
        <v>34</v>
      </c>
      <c r="M178" s="36" t="s">
        <v>5925</v>
      </c>
      <c r="N178" s="398"/>
      <c r="P178" t="s">
        <v>5922</v>
      </c>
      <c r="R178" s="454" t="s">
        <v>5872</v>
      </c>
      <c r="S178" s="468" t="s">
        <v>5926</v>
      </c>
      <c r="AF178" s="471" t="s">
        <v>5906</v>
      </c>
      <c r="AG178" s="330" t="s">
        <v>141</v>
      </c>
      <c r="AH178" s="330" t="s">
        <v>141</v>
      </c>
      <c r="AJ178"/>
    </row>
    <row r="179" spans="1:36" ht="19.5" customHeight="1">
      <c r="A179" s="25">
        <v>178</v>
      </c>
      <c r="B179" s="401">
        <v>5493308</v>
      </c>
      <c r="C179" s="466" t="s">
        <v>5927</v>
      </c>
      <c r="D179" s="395"/>
      <c r="E179" s="395">
        <v>30.86</v>
      </c>
      <c r="F179" s="290">
        <v>1187863</v>
      </c>
      <c r="G179" s="283" t="s">
        <v>5423</v>
      </c>
      <c r="H179" s="395"/>
      <c r="I179" s="395">
        <v>30.86</v>
      </c>
      <c r="J179" s="62" t="s">
        <v>5242</v>
      </c>
      <c r="K179" s="467" t="s">
        <v>34</v>
      </c>
      <c r="M179" s="36" t="s">
        <v>5881</v>
      </c>
      <c r="N179" s="398"/>
      <c r="P179" s="67" t="s">
        <v>5244</v>
      </c>
      <c r="Q179" s="67"/>
      <c r="R179" s="454" t="s">
        <v>5908</v>
      </c>
      <c r="S179" s="468" t="s">
        <v>5928</v>
      </c>
      <c r="AF179" s="471" t="s">
        <v>5906</v>
      </c>
      <c r="AG179" s="330" t="s">
        <v>141</v>
      </c>
      <c r="AH179" s="330" t="s">
        <v>141</v>
      </c>
      <c r="AJ179"/>
    </row>
    <row r="180" spans="1:36" ht="19.5" customHeight="1">
      <c r="A180" s="25">
        <v>179</v>
      </c>
      <c r="B180" s="401">
        <v>5493845</v>
      </c>
      <c r="C180" s="466" t="s">
        <v>5929</v>
      </c>
      <c r="D180" s="395"/>
      <c r="E180" s="395">
        <v>324522.12</v>
      </c>
      <c r="F180" s="290">
        <v>1188250</v>
      </c>
      <c r="G180" s="283" t="s">
        <v>5930</v>
      </c>
      <c r="H180" s="395"/>
      <c r="I180" s="395">
        <v>324522.12</v>
      </c>
      <c r="J180" s="62" t="s">
        <v>5242</v>
      </c>
      <c r="K180" s="467" t="s">
        <v>34</v>
      </c>
      <c r="M180" s="36" t="s">
        <v>5931</v>
      </c>
      <c r="N180" s="398"/>
      <c r="P180" t="s">
        <v>5932</v>
      </c>
      <c r="R180" s="454" t="s">
        <v>5913</v>
      </c>
      <c r="S180" s="468" t="s">
        <v>5894</v>
      </c>
      <c r="AF180" s="471" t="s">
        <v>5906</v>
      </c>
      <c r="AG180" s="398">
        <v>385150</v>
      </c>
      <c r="AH180" s="398">
        <v>327420.28000000003</v>
      </c>
      <c r="AJ180"/>
    </row>
    <row r="181" spans="1:36" ht="19.5" customHeight="1">
      <c r="A181" s="25">
        <v>180</v>
      </c>
      <c r="B181" s="401">
        <v>5495349</v>
      </c>
      <c r="C181" s="466" t="s">
        <v>5908</v>
      </c>
      <c r="D181" s="395"/>
      <c r="E181" s="395">
        <v>4500.33</v>
      </c>
      <c r="F181" s="290">
        <v>1188255</v>
      </c>
      <c r="G181" s="283" t="s">
        <v>5930</v>
      </c>
      <c r="H181" s="395"/>
      <c r="I181" s="395">
        <v>4500.33</v>
      </c>
      <c r="J181" s="62" t="s">
        <v>5242</v>
      </c>
      <c r="K181" s="467" t="s">
        <v>34</v>
      </c>
      <c r="M181" s="36" t="s">
        <v>5933</v>
      </c>
      <c r="N181" s="398"/>
      <c r="P181" t="s">
        <v>5934</v>
      </c>
      <c r="R181" s="476" t="s">
        <v>5935</v>
      </c>
      <c r="S181" s="468" t="s">
        <v>5936</v>
      </c>
      <c r="AF181" s="471" t="s">
        <v>5906</v>
      </c>
      <c r="AG181" s="398">
        <v>27650</v>
      </c>
      <c r="AH181" s="398">
        <v>9112.66</v>
      </c>
      <c r="AJ181"/>
    </row>
    <row r="182" spans="1:36" ht="19.5" customHeight="1">
      <c r="A182" s="25">
        <v>181</v>
      </c>
      <c r="B182" s="401">
        <v>5497803</v>
      </c>
      <c r="C182" s="466" t="s">
        <v>5937</v>
      </c>
      <c r="D182" s="395"/>
      <c r="E182" s="395">
        <v>7201.81</v>
      </c>
      <c r="F182" s="290">
        <v>1189325</v>
      </c>
      <c r="G182" s="283" t="s">
        <v>5433</v>
      </c>
      <c r="H182" s="395"/>
      <c r="I182" s="395">
        <v>7201.81</v>
      </c>
      <c r="J182" s="62" t="s">
        <v>5242</v>
      </c>
      <c r="K182" s="467" t="s">
        <v>34</v>
      </c>
      <c r="M182" s="36" t="s">
        <v>5938</v>
      </c>
      <c r="N182" s="398"/>
      <c r="P182" t="s">
        <v>5939</v>
      </c>
      <c r="R182" s="454" t="s">
        <v>5940</v>
      </c>
      <c r="S182" s="468" t="s">
        <v>5941</v>
      </c>
      <c r="AF182" s="471" t="s">
        <v>5906</v>
      </c>
      <c r="AG182" s="398">
        <v>28142</v>
      </c>
      <c r="AH182" s="398">
        <v>11167.67</v>
      </c>
      <c r="AJ182"/>
    </row>
    <row r="183" spans="1:36" ht="19.5" customHeight="1">
      <c r="A183" s="25">
        <v>182</v>
      </c>
      <c r="B183" s="401">
        <v>5498412</v>
      </c>
      <c r="C183" s="466" t="s">
        <v>5919</v>
      </c>
      <c r="D183" s="395"/>
      <c r="E183" s="395">
        <v>144.75</v>
      </c>
      <c r="F183" s="290">
        <v>1189328</v>
      </c>
      <c r="G183" s="283" t="s">
        <v>5433</v>
      </c>
      <c r="H183" s="395"/>
      <c r="I183" s="395">
        <v>144.75</v>
      </c>
      <c r="J183" s="62" t="s">
        <v>5242</v>
      </c>
      <c r="K183" s="467" t="s">
        <v>34</v>
      </c>
      <c r="L183" s="486"/>
      <c r="M183" s="36" t="s">
        <v>5942</v>
      </c>
      <c r="N183" s="398"/>
      <c r="P183" s="488" t="s">
        <v>5244</v>
      </c>
      <c r="Q183" s="488"/>
      <c r="R183" s="478" t="s">
        <v>5902</v>
      </c>
      <c r="S183" s="474" t="s">
        <v>5943</v>
      </c>
      <c r="AF183" s="471" t="s">
        <v>5906</v>
      </c>
      <c r="AG183" s="330" t="s">
        <v>141</v>
      </c>
      <c r="AH183" s="330" t="s">
        <v>141</v>
      </c>
      <c r="AJ183"/>
    </row>
    <row r="184" spans="1:36" ht="19.5" customHeight="1">
      <c r="A184" s="25">
        <v>183</v>
      </c>
      <c r="B184" s="401">
        <v>5499422</v>
      </c>
      <c r="C184" s="466" t="s">
        <v>5902</v>
      </c>
      <c r="D184" s="395"/>
      <c r="E184" s="395">
        <v>3193.58</v>
      </c>
      <c r="F184" s="290">
        <v>1189994</v>
      </c>
      <c r="G184" s="283" t="s">
        <v>5707</v>
      </c>
      <c r="H184" s="395"/>
      <c r="I184" s="395">
        <v>3193.58</v>
      </c>
      <c r="J184" s="62" t="s">
        <v>5242</v>
      </c>
      <c r="K184" s="467" t="s">
        <v>34</v>
      </c>
      <c r="L184" s="486"/>
      <c r="M184" s="36" t="s">
        <v>5944</v>
      </c>
      <c r="N184" s="398"/>
      <c r="P184" s="487" t="s">
        <v>5945</v>
      </c>
      <c r="Q184" s="487"/>
      <c r="R184" s="478" t="s">
        <v>5930</v>
      </c>
      <c r="S184" s="468" t="s">
        <v>5891</v>
      </c>
      <c r="W184" s="41" t="s">
        <v>4660</v>
      </c>
      <c r="AF184" s="471" t="s">
        <v>5906</v>
      </c>
      <c r="AG184" s="398">
        <v>48800</v>
      </c>
      <c r="AH184" s="398">
        <v>23046.21</v>
      </c>
      <c r="AJ184"/>
    </row>
    <row r="185" spans="1:36" ht="19.5" customHeight="1">
      <c r="A185" s="25">
        <v>184</v>
      </c>
      <c r="B185" s="401">
        <v>5499463</v>
      </c>
      <c r="C185" s="466" t="s">
        <v>5902</v>
      </c>
      <c r="D185" s="395"/>
      <c r="E185" s="395">
        <v>2999.98</v>
      </c>
      <c r="F185" s="290">
        <v>1189997</v>
      </c>
      <c r="G185" s="283" t="s">
        <v>5707</v>
      </c>
      <c r="H185" s="395"/>
      <c r="I185" s="395">
        <v>2999.98</v>
      </c>
      <c r="J185" s="62" t="s">
        <v>5242</v>
      </c>
      <c r="K185" s="467" t="s">
        <v>34</v>
      </c>
      <c r="L185" s="472"/>
      <c r="M185" s="36" t="s">
        <v>5946</v>
      </c>
      <c r="N185" s="398"/>
      <c r="P185" t="s">
        <v>5947</v>
      </c>
      <c r="R185" s="454" t="s">
        <v>5609</v>
      </c>
      <c r="S185" s="468" t="s">
        <v>5610</v>
      </c>
      <c r="AF185" s="471" t="s">
        <v>5906</v>
      </c>
      <c r="AG185" s="330" t="s">
        <v>141</v>
      </c>
      <c r="AH185" s="330" t="s">
        <v>141</v>
      </c>
      <c r="AJ185"/>
    </row>
    <row r="186" spans="1:36" ht="19.5" customHeight="1">
      <c r="A186" s="25">
        <v>185</v>
      </c>
      <c r="B186" s="401">
        <v>5503202</v>
      </c>
      <c r="C186" s="466" t="s">
        <v>5433</v>
      </c>
      <c r="D186" s="395"/>
      <c r="E186" s="395">
        <v>92.57</v>
      </c>
      <c r="F186" s="290">
        <v>1190611</v>
      </c>
      <c r="G186" s="283" t="s">
        <v>5948</v>
      </c>
      <c r="H186" s="395"/>
      <c r="I186" s="395">
        <v>92.57</v>
      </c>
      <c r="J186" s="62" t="s">
        <v>5242</v>
      </c>
      <c r="K186" s="467" t="s">
        <v>34</v>
      </c>
      <c r="M186" s="36" t="s">
        <v>5949</v>
      </c>
      <c r="N186" s="398"/>
      <c r="P186" s="67" t="s">
        <v>5244</v>
      </c>
      <c r="Q186" s="67"/>
      <c r="R186" s="454" t="s">
        <v>5950</v>
      </c>
      <c r="S186" s="468" t="s">
        <v>5951</v>
      </c>
      <c r="AF186" s="471" t="s">
        <v>5906</v>
      </c>
      <c r="AG186" s="330" t="s">
        <v>141</v>
      </c>
      <c r="AH186" s="330" t="s">
        <v>141</v>
      </c>
      <c r="AJ186"/>
    </row>
    <row r="187" spans="1:36" ht="19.5" customHeight="1">
      <c r="A187" s="25">
        <v>186</v>
      </c>
      <c r="B187" s="401">
        <v>5503409</v>
      </c>
      <c r="C187" s="466" t="s">
        <v>5433</v>
      </c>
      <c r="D187" s="395"/>
      <c r="E187" s="395">
        <v>1135.1600000000001</v>
      </c>
      <c r="F187" s="290">
        <v>1191500</v>
      </c>
      <c r="G187" s="283" t="s">
        <v>5952</v>
      </c>
      <c r="H187" s="395"/>
      <c r="I187" s="395">
        <v>1135.1600000000001</v>
      </c>
      <c r="J187" s="62" t="s">
        <v>5242</v>
      </c>
      <c r="K187" s="467" t="s">
        <v>34</v>
      </c>
      <c r="L187" s="472"/>
      <c r="M187" s="36" t="s">
        <v>5953</v>
      </c>
      <c r="N187" s="398"/>
      <c r="P187" t="s">
        <v>5954</v>
      </c>
      <c r="R187" s="454" t="s">
        <v>5955</v>
      </c>
      <c r="S187" s="468" t="s">
        <v>5457</v>
      </c>
      <c r="AF187" s="471" t="s">
        <v>5906</v>
      </c>
      <c r="AG187" s="398">
        <v>50624</v>
      </c>
      <c r="AH187" s="398">
        <v>1141.99</v>
      </c>
      <c r="AJ187"/>
    </row>
    <row r="188" spans="1:36" ht="19.5" customHeight="1">
      <c r="A188" s="25">
        <v>187</v>
      </c>
      <c r="B188" s="401">
        <v>5503501</v>
      </c>
      <c r="C188" s="466" t="s">
        <v>5433</v>
      </c>
      <c r="D188" s="395"/>
      <c r="E188" s="395">
        <v>144033.35999999999</v>
      </c>
      <c r="F188" s="290">
        <v>1191216</v>
      </c>
      <c r="G188" s="283" t="s">
        <v>5948</v>
      </c>
      <c r="H188" s="395"/>
      <c r="I188" s="395">
        <v>144033.35999999999</v>
      </c>
      <c r="J188" s="62" t="s">
        <v>5242</v>
      </c>
      <c r="K188" s="467" t="s">
        <v>34</v>
      </c>
      <c r="L188" s="25" t="s">
        <v>5956</v>
      </c>
      <c r="M188" s="36" t="s">
        <v>5957</v>
      </c>
      <c r="N188" s="398"/>
      <c r="P188" t="s">
        <v>5958</v>
      </c>
      <c r="R188" s="454" t="s">
        <v>5950</v>
      </c>
      <c r="S188" s="468" t="s">
        <v>5806</v>
      </c>
      <c r="AF188" s="471" t="s">
        <v>5906</v>
      </c>
      <c r="AG188" s="398">
        <v>286998</v>
      </c>
      <c r="AH188" s="398">
        <v>209451.45</v>
      </c>
      <c r="AJ188"/>
    </row>
    <row r="189" spans="1:36" ht="19.5" customHeight="1">
      <c r="A189" s="25">
        <v>188</v>
      </c>
      <c r="B189" s="401">
        <v>5504046</v>
      </c>
      <c r="C189" s="466" t="s">
        <v>5959</v>
      </c>
      <c r="D189" s="395"/>
      <c r="E189" s="395">
        <v>529.34</v>
      </c>
      <c r="F189" s="290">
        <v>1190613</v>
      </c>
      <c r="G189" s="283" t="s">
        <v>5948</v>
      </c>
      <c r="H189" s="395"/>
      <c r="I189" s="395">
        <v>529.34</v>
      </c>
      <c r="J189" s="62" t="s">
        <v>5242</v>
      </c>
      <c r="K189" s="467" t="s">
        <v>34</v>
      </c>
      <c r="L189" s="472"/>
      <c r="M189" s="36" t="s">
        <v>5960</v>
      </c>
      <c r="N189" s="398"/>
      <c r="O189" s="487" t="s">
        <v>5630</v>
      </c>
      <c r="P189" t="s">
        <v>5961</v>
      </c>
      <c r="R189" s="454" t="s">
        <v>5609</v>
      </c>
      <c r="S189" s="468" t="s">
        <v>5610</v>
      </c>
      <c r="U189" s="489" t="s">
        <v>5630</v>
      </c>
      <c r="AF189" s="471" t="s">
        <v>5962</v>
      </c>
      <c r="AG189" s="417">
        <v>166092</v>
      </c>
      <c r="AH189" s="417">
        <v>33434.01</v>
      </c>
      <c r="AJ189"/>
    </row>
    <row r="190" spans="1:36" ht="19.5" customHeight="1">
      <c r="A190" s="25">
        <v>189</v>
      </c>
      <c r="B190" s="401">
        <v>5504706</v>
      </c>
      <c r="C190" s="466" t="s">
        <v>5707</v>
      </c>
      <c r="D190" s="395"/>
      <c r="E190" s="395">
        <v>418.67</v>
      </c>
      <c r="F190" s="290">
        <v>1191505</v>
      </c>
      <c r="G190" s="283" t="s">
        <v>5963</v>
      </c>
      <c r="H190" s="395"/>
      <c r="I190" s="395">
        <v>418.67</v>
      </c>
      <c r="J190" s="62" t="s">
        <v>5242</v>
      </c>
      <c r="K190" s="467" t="s">
        <v>34</v>
      </c>
      <c r="M190" s="36" t="s">
        <v>5964</v>
      </c>
      <c r="N190" s="398"/>
      <c r="P190" s="67" t="s">
        <v>5244</v>
      </c>
      <c r="Q190" s="67"/>
      <c r="R190" s="454" t="s">
        <v>5904</v>
      </c>
      <c r="S190" s="468" t="s">
        <v>5965</v>
      </c>
      <c r="U190" s="489" t="s">
        <v>5630</v>
      </c>
      <c r="AF190" s="471" t="s">
        <v>5962</v>
      </c>
      <c r="AG190" s="330" t="s">
        <v>141</v>
      </c>
      <c r="AH190" s="330" t="s">
        <v>141</v>
      </c>
      <c r="AJ190"/>
    </row>
    <row r="191" spans="1:36" ht="19.5" customHeight="1">
      <c r="A191" s="25">
        <v>190</v>
      </c>
      <c r="B191" s="401">
        <v>5505652</v>
      </c>
      <c r="C191" s="466" t="s">
        <v>5904</v>
      </c>
      <c r="D191" s="395"/>
      <c r="E191" s="395">
        <v>67569.03</v>
      </c>
      <c r="F191" s="290">
        <v>1191795</v>
      </c>
      <c r="G191" s="283" t="s">
        <v>5963</v>
      </c>
      <c r="H191" s="395"/>
      <c r="I191" s="395">
        <v>67569.03</v>
      </c>
      <c r="J191" s="62" t="s">
        <v>5242</v>
      </c>
      <c r="K191" s="467" t="s">
        <v>34</v>
      </c>
      <c r="M191" s="36" t="s">
        <v>5966</v>
      </c>
      <c r="N191" s="398"/>
      <c r="P191" t="s">
        <v>5967</v>
      </c>
      <c r="R191" s="454" t="s">
        <v>5955</v>
      </c>
      <c r="S191" s="468" t="s">
        <v>5968</v>
      </c>
      <c r="U191" s="489" t="s">
        <v>5630</v>
      </c>
      <c r="AF191" s="471" t="s">
        <v>5906</v>
      </c>
      <c r="AG191" s="417">
        <v>93000</v>
      </c>
      <c r="AH191" s="417">
        <v>68653.210000000006</v>
      </c>
      <c r="AJ191"/>
    </row>
    <row r="192" spans="1:36" ht="19.5" customHeight="1">
      <c r="A192" s="25">
        <v>191</v>
      </c>
      <c r="C192" s="466" t="s">
        <v>5904</v>
      </c>
      <c r="D192" s="395"/>
      <c r="E192" s="395">
        <v>650</v>
      </c>
      <c r="F192" s="290">
        <v>1190517</v>
      </c>
      <c r="G192" s="283" t="s">
        <v>5904</v>
      </c>
      <c r="H192" s="395"/>
      <c r="I192" s="395">
        <v>650</v>
      </c>
      <c r="J192" s="62" t="s">
        <v>5242</v>
      </c>
      <c r="K192" s="467" t="s">
        <v>193</v>
      </c>
      <c r="M192" s="36" t="s">
        <v>5969</v>
      </c>
      <c r="N192" s="398"/>
      <c r="P192" t="s">
        <v>5967</v>
      </c>
      <c r="R192" s="454"/>
      <c r="S192" s="468"/>
      <c r="U192" s="489" t="s">
        <v>5630</v>
      </c>
      <c r="AF192" s="471" t="s">
        <v>5970</v>
      </c>
      <c r="AG192" s="330" t="s">
        <v>141</v>
      </c>
      <c r="AH192" s="330" t="s">
        <v>141</v>
      </c>
      <c r="AJ192"/>
    </row>
    <row r="193" spans="1:36" ht="19.5" customHeight="1">
      <c r="A193" s="25">
        <v>192</v>
      </c>
      <c r="B193" s="401">
        <v>5508576</v>
      </c>
      <c r="C193" s="466" t="s">
        <v>5971</v>
      </c>
      <c r="D193" s="395"/>
      <c r="E193" s="395">
        <v>86.8</v>
      </c>
      <c r="F193" s="290">
        <v>1192972</v>
      </c>
      <c r="G193" s="283" t="s">
        <v>5972</v>
      </c>
      <c r="H193" s="395"/>
      <c r="I193" s="395">
        <v>86.8</v>
      </c>
      <c r="J193" s="62" t="s">
        <v>5242</v>
      </c>
      <c r="K193" s="467" t="s">
        <v>34</v>
      </c>
      <c r="L193" s="472"/>
      <c r="M193" s="36" t="s">
        <v>5973</v>
      </c>
      <c r="N193" s="398"/>
      <c r="P193" s="67" t="s">
        <v>5244</v>
      </c>
      <c r="Q193" s="67"/>
      <c r="R193" s="454" t="s">
        <v>5952</v>
      </c>
      <c r="S193" s="468" t="s">
        <v>5974</v>
      </c>
      <c r="U193" s="489" t="s">
        <v>5630</v>
      </c>
      <c r="AF193" s="471" t="s">
        <v>5906</v>
      </c>
      <c r="AG193" s="398"/>
      <c r="AH193" s="398"/>
      <c r="AJ193"/>
    </row>
    <row r="194" spans="1:36" ht="19.5" customHeight="1">
      <c r="A194" s="25">
        <v>193</v>
      </c>
      <c r="B194" s="401">
        <v>5512278</v>
      </c>
      <c r="C194" s="466" t="s">
        <v>5972</v>
      </c>
      <c r="D194" s="395"/>
      <c r="E194" s="395">
        <v>49.91</v>
      </c>
      <c r="F194" s="290">
        <v>1194350</v>
      </c>
      <c r="G194" s="283" t="s">
        <v>5911</v>
      </c>
      <c r="H194" s="395"/>
      <c r="I194" s="395">
        <v>49.91</v>
      </c>
      <c r="J194" s="62" t="s">
        <v>5242</v>
      </c>
      <c r="K194" s="467" t="s">
        <v>34</v>
      </c>
      <c r="M194" s="36" t="s">
        <v>5975</v>
      </c>
      <c r="N194" s="398"/>
      <c r="P194" s="67" t="s">
        <v>5244</v>
      </c>
      <c r="Q194" s="67"/>
      <c r="R194" s="454" t="s">
        <v>5976</v>
      </c>
      <c r="S194" s="468" t="s">
        <v>5977</v>
      </c>
      <c r="U194" s="489" t="s">
        <v>5630</v>
      </c>
      <c r="AF194" s="471" t="s">
        <v>5962</v>
      </c>
      <c r="AG194" s="330"/>
      <c r="AH194" s="330"/>
      <c r="AJ194"/>
    </row>
    <row r="195" spans="1:36" ht="19.5" customHeight="1">
      <c r="A195" s="25">
        <v>194</v>
      </c>
      <c r="B195" s="401">
        <v>5514658</v>
      </c>
      <c r="C195" s="466" t="s">
        <v>5978</v>
      </c>
      <c r="D195" s="395"/>
      <c r="E195" s="395">
        <v>4218.59</v>
      </c>
      <c r="F195" s="290">
        <v>1194953</v>
      </c>
      <c r="G195" s="283" t="s">
        <v>5481</v>
      </c>
      <c r="H195" s="395"/>
      <c r="I195" s="395">
        <v>4218.59</v>
      </c>
      <c r="J195" s="62" t="s">
        <v>5242</v>
      </c>
      <c r="K195" s="467" t="s">
        <v>34</v>
      </c>
      <c r="L195" s="472"/>
      <c r="M195" s="36" t="s">
        <v>5979</v>
      </c>
      <c r="N195" s="398"/>
      <c r="P195" t="s">
        <v>5980</v>
      </c>
      <c r="R195" s="476" t="s">
        <v>5468</v>
      </c>
      <c r="S195" s="468" t="s">
        <v>5981</v>
      </c>
      <c r="U195" s="489" t="s">
        <v>5630</v>
      </c>
      <c r="AF195" s="471" t="s">
        <v>5962</v>
      </c>
      <c r="AG195" s="398">
        <v>32730</v>
      </c>
      <c r="AH195" s="398">
        <v>5084.92</v>
      </c>
      <c r="AJ195"/>
    </row>
    <row r="196" spans="1:36" ht="19.5" customHeight="1">
      <c r="A196" s="25">
        <v>195</v>
      </c>
      <c r="B196" s="401">
        <v>5516623</v>
      </c>
      <c r="C196" s="466" t="s">
        <v>5982</v>
      </c>
      <c r="D196" s="395"/>
      <c r="E196" s="395">
        <v>23.41</v>
      </c>
      <c r="F196" s="290">
        <v>1196336</v>
      </c>
      <c r="G196" s="473" t="s">
        <v>5983</v>
      </c>
      <c r="H196" s="395"/>
      <c r="I196" s="395">
        <v>23.41</v>
      </c>
      <c r="J196" s="62" t="s">
        <v>5242</v>
      </c>
      <c r="K196" s="467" t="s">
        <v>34</v>
      </c>
      <c r="L196" s="472"/>
      <c r="M196" s="36" t="s">
        <v>5818</v>
      </c>
      <c r="N196" s="398"/>
      <c r="P196" s="67" t="s">
        <v>5244</v>
      </c>
      <c r="Q196" s="67"/>
      <c r="R196" s="454" t="s">
        <v>5982</v>
      </c>
      <c r="S196" s="468" t="s">
        <v>5606</v>
      </c>
      <c r="U196" s="489" t="s">
        <v>5630</v>
      </c>
      <c r="AF196" s="471" t="s">
        <v>5962</v>
      </c>
      <c r="AG196" s="417" t="s">
        <v>5984</v>
      </c>
      <c r="AH196" s="398"/>
      <c r="AJ196"/>
    </row>
    <row r="197" spans="1:36" ht="19.5" customHeight="1">
      <c r="A197" s="25">
        <v>196</v>
      </c>
      <c r="B197" s="401">
        <v>5516727</v>
      </c>
      <c r="C197" s="466" t="s">
        <v>5982</v>
      </c>
      <c r="D197" s="395"/>
      <c r="E197" s="395">
        <v>12093.02</v>
      </c>
      <c r="F197" s="290">
        <v>1196992</v>
      </c>
      <c r="G197" s="283" t="s">
        <v>5729</v>
      </c>
      <c r="H197" s="395"/>
      <c r="I197" s="395">
        <v>12093.02</v>
      </c>
      <c r="J197" s="62" t="s">
        <v>5242</v>
      </c>
      <c r="K197" s="467" t="s">
        <v>34</v>
      </c>
      <c r="M197" s="36" t="s">
        <v>5353</v>
      </c>
      <c r="N197" s="398"/>
      <c r="P197" t="s">
        <v>5985</v>
      </c>
      <c r="R197" s="454" t="s">
        <v>5982</v>
      </c>
      <c r="S197" s="468" t="s">
        <v>5986</v>
      </c>
      <c r="U197" s="489" t="s">
        <v>5630</v>
      </c>
      <c r="AF197" s="471" t="s">
        <v>5962</v>
      </c>
      <c r="AG197" s="398">
        <v>59026</v>
      </c>
      <c r="AH197" s="398">
        <v>21965.11</v>
      </c>
      <c r="AJ197"/>
    </row>
    <row r="198" spans="1:36" ht="19.5" customHeight="1">
      <c r="A198" s="25">
        <v>197</v>
      </c>
      <c r="B198" s="401">
        <v>5518088</v>
      </c>
      <c r="C198" s="466" t="s">
        <v>5987</v>
      </c>
      <c r="D198" s="395"/>
      <c r="E198" s="395">
        <v>11602.65</v>
      </c>
      <c r="F198" s="290">
        <v>1198646</v>
      </c>
      <c r="G198" s="283" t="s">
        <v>5500</v>
      </c>
      <c r="H198" s="395"/>
      <c r="I198" s="395">
        <v>11602.65</v>
      </c>
      <c r="J198" s="62" t="s">
        <v>5242</v>
      </c>
      <c r="K198" s="467" t="s">
        <v>34</v>
      </c>
      <c r="M198" s="36" t="s">
        <v>5988</v>
      </c>
      <c r="N198" s="398"/>
      <c r="P198" t="s">
        <v>5989</v>
      </c>
      <c r="R198" s="454" t="s">
        <v>5402</v>
      </c>
      <c r="S198" s="468" t="s">
        <v>5990</v>
      </c>
      <c r="U198" s="489" t="s">
        <v>5991</v>
      </c>
      <c r="AF198" s="471" t="s">
        <v>5962</v>
      </c>
      <c r="AG198" s="417">
        <v>367865</v>
      </c>
      <c r="AH198" s="417">
        <v>156477.65</v>
      </c>
      <c r="AJ198"/>
    </row>
    <row r="199" spans="1:36" ht="19.5" customHeight="1">
      <c r="A199" s="25">
        <v>198</v>
      </c>
      <c r="B199" s="401">
        <v>5518106</v>
      </c>
      <c r="C199" s="466" t="s">
        <v>5987</v>
      </c>
      <c r="D199" s="395"/>
      <c r="E199" s="395">
        <v>6485.99</v>
      </c>
      <c r="F199" s="290">
        <v>1196337</v>
      </c>
      <c r="G199" s="283" t="s">
        <v>5992</v>
      </c>
      <c r="H199" s="395"/>
      <c r="I199" s="395">
        <v>6485.99</v>
      </c>
      <c r="J199" s="62" t="s">
        <v>5242</v>
      </c>
      <c r="K199" s="467" t="s">
        <v>34</v>
      </c>
      <c r="L199" s="25" t="s">
        <v>5630</v>
      </c>
      <c r="M199" s="36" t="s">
        <v>5993</v>
      </c>
      <c r="N199" s="398"/>
      <c r="P199" t="s">
        <v>5994</v>
      </c>
      <c r="R199" s="454" t="s">
        <v>5982</v>
      </c>
      <c r="S199" s="468" t="s">
        <v>5986</v>
      </c>
      <c r="U199" s="489" t="s">
        <v>5630</v>
      </c>
      <c r="AF199" s="471" t="s">
        <v>5962</v>
      </c>
      <c r="AG199" s="398">
        <v>22500</v>
      </c>
      <c r="AH199" s="398">
        <v>6569.51</v>
      </c>
      <c r="AJ199"/>
    </row>
    <row r="200" spans="1:36" ht="19.5" customHeight="1">
      <c r="A200" s="25">
        <v>199</v>
      </c>
      <c r="B200" s="401">
        <v>5519781</v>
      </c>
      <c r="C200" s="466" t="s">
        <v>5995</v>
      </c>
      <c r="D200" s="395"/>
      <c r="E200" s="395">
        <v>591.05999999999995</v>
      </c>
      <c r="F200" s="290">
        <v>1197007</v>
      </c>
      <c r="G200" s="283" t="s">
        <v>5492</v>
      </c>
      <c r="H200" s="395"/>
      <c r="I200" s="395">
        <v>591.05999999999995</v>
      </c>
      <c r="J200" s="62" t="s">
        <v>5242</v>
      </c>
      <c r="K200" s="467" t="s">
        <v>34</v>
      </c>
      <c r="L200" s="472"/>
      <c r="M200" s="36" t="s">
        <v>5996</v>
      </c>
      <c r="N200" s="398"/>
      <c r="P200" s="67" t="s">
        <v>5244</v>
      </c>
      <c r="Q200" s="67"/>
      <c r="R200" s="454" t="s">
        <v>5995</v>
      </c>
      <c r="S200" s="468" t="s">
        <v>5997</v>
      </c>
      <c r="U200" s="489" t="s">
        <v>5630</v>
      </c>
      <c r="AF200" s="471" t="s">
        <v>5962</v>
      </c>
      <c r="AG200" s="398"/>
      <c r="AH200" s="398"/>
      <c r="AJ200"/>
    </row>
    <row r="201" spans="1:36" ht="19.5" customHeight="1">
      <c r="A201" s="25">
        <v>200</v>
      </c>
      <c r="B201" s="401">
        <v>5523718</v>
      </c>
      <c r="C201" s="466" t="s">
        <v>5729</v>
      </c>
      <c r="D201" s="395"/>
      <c r="E201" s="395">
        <v>21.62</v>
      </c>
      <c r="F201" s="290">
        <v>1198650</v>
      </c>
      <c r="G201" s="283" t="s">
        <v>5500</v>
      </c>
      <c r="H201" s="395"/>
      <c r="I201" s="395">
        <v>21.62</v>
      </c>
      <c r="J201" s="62" t="s">
        <v>5242</v>
      </c>
      <c r="K201" s="467" t="s">
        <v>34</v>
      </c>
      <c r="M201" s="36" t="s">
        <v>5626</v>
      </c>
      <c r="N201" s="398"/>
      <c r="P201" s="67" t="s">
        <v>5244</v>
      </c>
      <c r="Q201" s="67"/>
      <c r="R201" s="454" t="s">
        <v>5729</v>
      </c>
      <c r="S201" s="468" t="s">
        <v>5606</v>
      </c>
      <c r="AF201" s="471" t="s">
        <v>5962</v>
      </c>
      <c r="AG201" s="330"/>
      <c r="AH201" s="330"/>
      <c r="AJ201"/>
    </row>
    <row r="202" spans="1:36" ht="19.5" customHeight="1">
      <c r="A202" s="25">
        <v>201</v>
      </c>
      <c r="B202" s="401">
        <v>5524550</v>
      </c>
      <c r="C202" s="466" t="s">
        <v>5492</v>
      </c>
      <c r="D202" s="395"/>
      <c r="E202" s="395">
        <v>8161.69</v>
      </c>
      <c r="F202" s="290">
        <v>1198651</v>
      </c>
      <c r="G202" s="283" t="s">
        <v>5500</v>
      </c>
      <c r="H202" s="395"/>
      <c r="I202" s="395">
        <v>8161.69</v>
      </c>
      <c r="J202" s="62" t="s">
        <v>5242</v>
      </c>
      <c r="K202" s="467" t="s">
        <v>34</v>
      </c>
      <c r="M202" s="36" t="s">
        <v>5998</v>
      </c>
      <c r="N202" s="398"/>
      <c r="P202" s="67" t="s">
        <v>5999</v>
      </c>
      <c r="Q202" s="67"/>
      <c r="R202" s="454" t="s">
        <v>5492</v>
      </c>
      <c r="S202" s="468" t="s">
        <v>6000</v>
      </c>
      <c r="AF202" s="471" t="s">
        <v>5962</v>
      </c>
      <c r="AG202" s="417">
        <v>21173</v>
      </c>
      <c r="AH202" s="417">
        <v>13708.61</v>
      </c>
      <c r="AJ202"/>
    </row>
    <row r="203" spans="1:36" ht="19.5" customHeight="1">
      <c r="A203" s="25">
        <v>202</v>
      </c>
      <c r="B203" s="401">
        <v>5525207</v>
      </c>
      <c r="C203" s="466" t="s">
        <v>6001</v>
      </c>
      <c r="D203" s="395"/>
      <c r="E203" s="395">
        <v>60115.28</v>
      </c>
      <c r="F203" s="290">
        <v>1201221</v>
      </c>
      <c r="G203" s="283" t="s">
        <v>5457</v>
      </c>
      <c r="H203" s="395"/>
      <c r="I203" s="395">
        <v>60115.28</v>
      </c>
      <c r="J203" s="62" t="s">
        <v>5242</v>
      </c>
      <c r="K203" s="467" t="s">
        <v>34</v>
      </c>
      <c r="M203" s="36" t="s">
        <v>6002</v>
      </c>
      <c r="N203" s="398"/>
      <c r="P203" t="s">
        <v>6003</v>
      </c>
      <c r="R203" s="454" t="s">
        <v>6001</v>
      </c>
      <c r="S203" s="468" t="s">
        <v>6004</v>
      </c>
      <c r="AF203" s="471" t="s">
        <v>5962</v>
      </c>
      <c r="AG203" s="398">
        <v>361490</v>
      </c>
      <c r="AH203" s="398">
        <v>87589.2</v>
      </c>
      <c r="AJ203"/>
    </row>
    <row r="204" spans="1:36" ht="19.5" customHeight="1">
      <c r="A204" s="25">
        <v>203</v>
      </c>
      <c r="B204" s="401">
        <v>5525780</v>
      </c>
      <c r="C204" s="466" t="s">
        <v>6005</v>
      </c>
      <c r="D204" s="395"/>
      <c r="E204" s="395">
        <v>20.77</v>
      </c>
      <c r="F204" s="290">
        <v>1200471</v>
      </c>
      <c r="G204" s="283" t="s">
        <v>6006</v>
      </c>
      <c r="H204" s="395"/>
      <c r="I204" s="395">
        <v>20.77</v>
      </c>
      <c r="J204" s="62" t="s">
        <v>5242</v>
      </c>
      <c r="K204" s="467" t="s">
        <v>34</v>
      </c>
      <c r="M204" s="36" t="s">
        <v>5728</v>
      </c>
      <c r="N204" s="398"/>
      <c r="P204" s="67" t="s">
        <v>5244</v>
      </c>
      <c r="Q204" s="67"/>
      <c r="R204" s="454" t="s">
        <v>6007</v>
      </c>
      <c r="S204" s="468" t="s">
        <v>5606</v>
      </c>
      <c r="AF204" s="471" t="s">
        <v>5962</v>
      </c>
      <c r="AG204" s="398"/>
      <c r="AH204" s="398"/>
      <c r="AJ204"/>
    </row>
    <row r="205" spans="1:36" ht="19.5" customHeight="1">
      <c r="A205" s="25">
        <v>204</v>
      </c>
      <c r="C205" s="466" t="s">
        <v>6005</v>
      </c>
      <c r="D205" s="395"/>
      <c r="E205" s="395">
        <v>3380</v>
      </c>
      <c r="F205" s="290">
        <v>1198412</v>
      </c>
      <c r="G205" s="283" t="s">
        <v>6005</v>
      </c>
      <c r="H205" s="395"/>
      <c r="I205" s="395">
        <v>3380</v>
      </c>
      <c r="J205" s="62" t="s">
        <v>5242</v>
      </c>
      <c r="K205" s="467" t="s">
        <v>193</v>
      </c>
      <c r="M205" s="36" t="s">
        <v>6008</v>
      </c>
      <c r="N205" s="398"/>
      <c r="P205" t="s">
        <v>6009</v>
      </c>
      <c r="R205" s="454"/>
      <c r="S205" s="468"/>
      <c r="AF205" s="471" t="s">
        <v>5970</v>
      </c>
      <c r="AG205" s="398"/>
      <c r="AH205" s="398"/>
      <c r="AJ205"/>
    </row>
    <row r="206" spans="1:36" ht="19.5" customHeight="1">
      <c r="A206" s="25">
        <v>205</v>
      </c>
      <c r="B206" s="401">
        <v>5527221</v>
      </c>
      <c r="C206" s="466" t="s">
        <v>6010</v>
      </c>
      <c r="D206" s="395"/>
      <c r="E206" s="395">
        <v>2367.11</v>
      </c>
      <c r="F206" s="290">
        <v>1201223</v>
      </c>
      <c r="G206" s="283" t="s">
        <v>5457</v>
      </c>
      <c r="H206" s="395"/>
      <c r="I206" s="395">
        <v>2367.11</v>
      </c>
      <c r="J206" s="62" t="s">
        <v>5242</v>
      </c>
      <c r="K206" s="467" t="s">
        <v>34</v>
      </c>
      <c r="L206" s="486"/>
      <c r="M206" s="36" t="s">
        <v>6011</v>
      </c>
      <c r="N206" s="398"/>
      <c r="P206" s="487" t="s">
        <v>6012</v>
      </c>
      <c r="Q206" s="487"/>
      <c r="R206" s="478" t="s">
        <v>5900</v>
      </c>
      <c r="S206" s="468" t="s">
        <v>5901</v>
      </c>
      <c r="AF206" s="471" t="s">
        <v>5962</v>
      </c>
      <c r="AG206" s="417">
        <v>35580</v>
      </c>
      <c r="AH206" s="417">
        <v>2945.08</v>
      </c>
      <c r="AJ206"/>
    </row>
    <row r="207" spans="1:36" ht="19.5" customHeight="1">
      <c r="A207" s="25">
        <v>206</v>
      </c>
      <c r="B207" s="401">
        <v>5529212</v>
      </c>
      <c r="C207" s="466" t="s">
        <v>6013</v>
      </c>
      <c r="D207" s="395"/>
      <c r="E207" s="395">
        <v>259331.20000000001</v>
      </c>
      <c r="F207" s="290">
        <v>1201220</v>
      </c>
      <c r="G207" s="283" t="s">
        <v>6014</v>
      </c>
      <c r="H207" s="395"/>
      <c r="I207" s="395">
        <v>259331.20000000001</v>
      </c>
      <c r="J207" s="62" t="s">
        <v>5242</v>
      </c>
      <c r="K207" s="467" t="s">
        <v>34</v>
      </c>
      <c r="L207" s="486"/>
      <c r="M207" s="36" t="s">
        <v>6015</v>
      </c>
      <c r="N207" s="398"/>
      <c r="P207" s="487" t="s">
        <v>6016</v>
      </c>
      <c r="Q207" s="487"/>
      <c r="R207" s="478" t="s">
        <v>6017</v>
      </c>
      <c r="S207" s="468" t="s">
        <v>6018</v>
      </c>
      <c r="W207" s="41" t="s">
        <v>4660</v>
      </c>
      <c r="AF207" s="471" t="s">
        <v>5962</v>
      </c>
      <c r="AG207" s="398">
        <v>1144840</v>
      </c>
      <c r="AH207" s="398">
        <v>259193.39</v>
      </c>
      <c r="AJ207"/>
    </row>
    <row r="208" spans="1:36" ht="19.5" customHeight="1">
      <c r="A208" s="25">
        <v>207</v>
      </c>
      <c r="B208" s="401">
        <v>5533060</v>
      </c>
      <c r="C208" s="466" t="s">
        <v>6006</v>
      </c>
      <c r="D208" s="395"/>
      <c r="E208" s="395">
        <v>108.97</v>
      </c>
      <c r="F208" s="290">
        <v>1202454</v>
      </c>
      <c r="G208" s="283" t="s">
        <v>6019</v>
      </c>
      <c r="H208" s="395"/>
      <c r="I208" s="395">
        <v>108.97</v>
      </c>
      <c r="J208" s="62" t="s">
        <v>5242</v>
      </c>
      <c r="K208" s="467" t="s">
        <v>34</v>
      </c>
      <c r="L208" s="472"/>
      <c r="M208" s="36" t="s">
        <v>6020</v>
      </c>
      <c r="N208" s="398"/>
      <c r="P208" s="67" t="s">
        <v>5244</v>
      </c>
      <c r="Q208" s="67"/>
      <c r="R208" s="454" t="s">
        <v>5519</v>
      </c>
      <c r="S208" s="468" t="s">
        <v>5871</v>
      </c>
      <c r="AF208" s="471" t="s">
        <v>5962</v>
      </c>
      <c r="AG208" s="330"/>
      <c r="AH208" s="330"/>
      <c r="AJ208"/>
    </row>
    <row r="209" spans="1:36" ht="19.5" customHeight="1">
      <c r="A209" s="25">
        <v>208</v>
      </c>
      <c r="B209" s="401">
        <v>5533102</v>
      </c>
      <c r="C209" s="466" t="s">
        <v>6006</v>
      </c>
      <c r="D209" s="395"/>
      <c r="E209" s="395">
        <v>14769.85</v>
      </c>
      <c r="F209" s="290">
        <v>1204417</v>
      </c>
      <c r="G209" s="283" t="s">
        <v>6021</v>
      </c>
      <c r="H209" s="395"/>
      <c r="I209" s="395">
        <v>14769.85</v>
      </c>
      <c r="J209" s="62" t="s">
        <v>5242</v>
      </c>
      <c r="K209" s="467" t="s">
        <v>34</v>
      </c>
      <c r="M209" s="36" t="s">
        <v>6022</v>
      </c>
      <c r="N209" s="398"/>
      <c r="P209" t="s">
        <v>6023</v>
      </c>
      <c r="R209" s="454" t="s">
        <v>5519</v>
      </c>
      <c r="S209" s="468" t="s">
        <v>5871</v>
      </c>
      <c r="AF209" s="471" t="s">
        <v>5962</v>
      </c>
      <c r="AG209" s="417">
        <v>38000</v>
      </c>
      <c r="AH209" s="417">
        <v>16782.830000000002</v>
      </c>
      <c r="AJ209"/>
    </row>
    <row r="210" spans="1:36" ht="19.5" customHeight="1">
      <c r="A210" s="25">
        <v>209</v>
      </c>
      <c r="B210" s="401">
        <v>5534882</v>
      </c>
      <c r="C210" s="466" t="s">
        <v>5457</v>
      </c>
      <c r="D210" s="395"/>
      <c r="E210" s="395">
        <v>65987.990000000005</v>
      </c>
      <c r="F210" s="290">
        <v>1204419</v>
      </c>
      <c r="G210" s="283" t="s">
        <v>6021</v>
      </c>
      <c r="H210" s="395"/>
      <c r="I210" s="395">
        <v>65987.990000000005</v>
      </c>
      <c r="J210" s="62" t="s">
        <v>5242</v>
      </c>
      <c r="K210" s="467" t="s">
        <v>34</v>
      </c>
      <c r="L210" s="472"/>
      <c r="M210" s="36" t="s">
        <v>6024</v>
      </c>
      <c r="N210" s="398"/>
      <c r="P210" t="s">
        <v>6025</v>
      </c>
      <c r="R210" s="454" t="s">
        <v>6026</v>
      </c>
      <c r="S210" s="474" t="s">
        <v>5871</v>
      </c>
      <c r="AF210" s="471" t="s">
        <v>5962</v>
      </c>
      <c r="AG210" s="398">
        <v>142546</v>
      </c>
      <c r="AH210" s="398">
        <v>66002.2</v>
      </c>
      <c r="AJ210"/>
    </row>
    <row r="211" spans="1:36" ht="19.5" customHeight="1">
      <c r="A211" s="25">
        <v>210</v>
      </c>
      <c r="B211" s="401">
        <v>5534892</v>
      </c>
      <c r="C211" s="466" t="s">
        <v>5457</v>
      </c>
      <c r="D211" s="395"/>
      <c r="E211" s="395">
        <v>35748.629999999997</v>
      </c>
      <c r="F211" s="290">
        <v>1204418</v>
      </c>
      <c r="G211" s="283" t="s">
        <v>6021</v>
      </c>
      <c r="H211" s="395"/>
      <c r="I211" s="395">
        <v>35748.629999999997</v>
      </c>
      <c r="J211" s="62" t="s">
        <v>5242</v>
      </c>
      <c r="K211" s="467" t="s">
        <v>34</v>
      </c>
      <c r="M211" s="36" t="s">
        <v>6027</v>
      </c>
      <c r="N211" s="398"/>
      <c r="P211" t="s">
        <v>6028</v>
      </c>
      <c r="R211" s="454" t="s">
        <v>5519</v>
      </c>
      <c r="S211" s="468" t="s">
        <v>5871</v>
      </c>
      <c r="AF211" s="471" t="s">
        <v>5962</v>
      </c>
      <c r="AG211" s="490">
        <v>185000</v>
      </c>
      <c r="AH211" s="490">
        <v>64449.91</v>
      </c>
      <c r="AJ211"/>
    </row>
    <row r="212" spans="1:36" ht="19.5" customHeight="1">
      <c r="A212" s="25">
        <v>211</v>
      </c>
      <c r="B212" s="401">
        <v>5537036</v>
      </c>
      <c r="C212" s="466" t="s">
        <v>6019</v>
      </c>
      <c r="D212" s="395"/>
      <c r="E212" s="395">
        <v>10053.25</v>
      </c>
      <c r="F212" s="290">
        <v>1206119</v>
      </c>
      <c r="G212" s="283" t="s">
        <v>6029</v>
      </c>
      <c r="H212" s="395"/>
      <c r="I212" s="395">
        <v>10053.25</v>
      </c>
      <c r="J212" s="62" t="s">
        <v>5242</v>
      </c>
      <c r="K212" s="467" t="s">
        <v>34</v>
      </c>
      <c r="L212" s="472"/>
      <c r="M212" s="36" t="s">
        <v>6030</v>
      </c>
      <c r="N212" s="398"/>
      <c r="P212" t="s">
        <v>6031</v>
      </c>
      <c r="R212" s="454" t="s">
        <v>6032</v>
      </c>
      <c r="S212" s="468" t="s">
        <v>6033</v>
      </c>
      <c r="AF212" s="471" t="s">
        <v>6034</v>
      </c>
      <c r="AG212" s="417">
        <v>52760</v>
      </c>
      <c r="AH212" s="417">
        <v>10117.85</v>
      </c>
      <c r="AJ212"/>
    </row>
    <row r="213" spans="1:36" ht="19.5" customHeight="1">
      <c r="A213" s="25">
        <v>212</v>
      </c>
      <c r="B213" s="401">
        <v>5537637</v>
      </c>
      <c r="C213" s="466" t="s">
        <v>6035</v>
      </c>
      <c r="D213" s="395"/>
      <c r="E213" s="395">
        <v>79.83</v>
      </c>
      <c r="F213" s="290">
        <v>1204839</v>
      </c>
      <c r="G213" s="283" t="s">
        <v>6036</v>
      </c>
      <c r="H213" s="395"/>
      <c r="I213" s="395">
        <v>79.83</v>
      </c>
      <c r="J213" s="62" t="s">
        <v>5242</v>
      </c>
      <c r="K213" s="467" t="s">
        <v>34</v>
      </c>
      <c r="M213" s="36" t="s">
        <v>6037</v>
      </c>
      <c r="N213" s="398"/>
      <c r="P213" s="67" t="s">
        <v>5244</v>
      </c>
      <c r="Q213" s="67"/>
      <c r="R213" s="454" t="s">
        <v>6006</v>
      </c>
      <c r="S213" s="468" t="s">
        <v>6038</v>
      </c>
      <c r="AF213" s="471" t="s">
        <v>6034</v>
      </c>
      <c r="AG213" s="330" t="s">
        <v>141</v>
      </c>
      <c r="AH213" s="330" t="s">
        <v>141</v>
      </c>
      <c r="AJ213"/>
    </row>
    <row r="214" spans="1:36" ht="19.5" customHeight="1">
      <c r="A214" s="25">
        <v>213</v>
      </c>
      <c r="B214" s="401">
        <v>5539506</v>
      </c>
      <c r="C214" s="466" t="s">
        <v>5525</v>
      </c>
      <c r="D214" s="395"/>
      <c r="E214" s="395">
        <v>1759.14</v>
      </c>
      <c r="F214" s="290">
        <v>1206121</v>
      </c>
      <c r="G214" s="283" t="s">
        <v>6029</v>
      </c>
      <c r="H214" s="395"/>
      <c r="I214" s="395">
        <v>1759.14</v>
      </c>
      <c r="J214" s="62" t="s">
        <v>5242</v>
      </c>
      <c r="K214" s="467" t="s">
        <v>34</v>
      </c>
      <c r="M214" s="36" t="s">
        <v>6039</v>
      </c>
      <c r="N214" s="398"/>
      <c r="P214" t="s">
        <v>6040</v>
      </c>
      <c r="R214" s="454" t="s">
        <v>5525</v>
      </c>
      <c r="S214" s="468" t="s">
        <v>6041</v>
      </c>
      <c r="AF214" s="471" t="s">
        <v>6034</v>
      </c>
      <c r="AG214" s="417">
        <v>33193</v>
      </c>
      <c r="AH214" s="417">
        <v>2020.36</v>
      </c>
      <c r="AJ214"/>
    </row>
    <row r="215" spans="1:36" ht="19.5" customHeight="1">
      <c r="A215" s="25">
        <v>214</v>
      </c>
      <c r="B215" s="401">
        <v>5540243</v>
      </c>
      <c r="C215" s="466" t="s">
        <v>6021</v>
      </c>
      <c r="D215" s="395"/>
      <c r="E215" s="395">
        <v>7888.62</v>
      </c>
      <c r="F215" s="290">
        <v>1206129</v>
      </c>
      <c r="G215" s="283" t="s">
        <v>6042</v>
      </c>
      <c r="H215" s="395"/>
      <c r="I215" s="395">
        <v>7888.62</v>
      </c>
      <c r="J215" s="62" t="s">
        <v>5242</v>
      </c>
      <c r="K215" s="467" t="s">
        <v>34</v>
      </c>
      <c r="M215" s="36" t="s">
        <v>5960</v>
      </c>
      <c r="N215" s="398"/>
      <c r="P215" t="s">
        <v>6043</v>
      </c>
      <c r="R215" s="454" t="s">
        <v>6044</v>
      </c>
      <c r="S215" s="468" t="s">
        <v>6045</v>
      </c>
      <c r="AF215" s="471" t="s">
        <v>6034</v>
      </c>
      <c r="AG215" s="417">
        <v>158695</v>
      </c>
      <c r="AH215" s="417">
        <v>32345.66</v>
      </c>
      <c r="AJ215"/>
    </row>
    <row r="216" spans="1:36" ht="19.5" customHeight="1">
      <c r="A216" s="25">
        <v>215</v>
      </c>
      <c r="B216" s="401">
        <v>5541568</v>
      </c>
      <c r="C216" s="466" t="s">
        <v>6046</v>
      </c>
      <c r="D216" s="395"/>
      <c r="E216" s="395">
        <v>235.14</v>
      </c>
      <c r="F216" s="290">
        <v>1206808</v>
      </c>
      <c r="G216" s="283" t="s">
        <v>6047</v>
      </c>
      <c r="H216" s="395"/>
      <c r="I216" s="395">
        <v>235.14</v>
      </c>
      <c r="J216" s="62" t="s">
        <v>5242</v>
      </c>
      <c r="K216" s="467" t="s">
        <v>34</v>
      </c>
      <c r="L216" s="472"/>
      <c r="M216" s="36" t="s">
        <v>6048</v>
      </c>
      <c r="N216" s="398"/>
      <c r="P216" s="67" t="s">
        <v>5244</v>
      </c>
      <c r="Q216" s="67"/>
      <c r="R216" s="454" t="s">
        <v>6049</v>
      </c>
      <c r="S216" s="468" t="s">
        <v>6050</v>
      </c>
      <c r="AF216" s="471" t="s">
        <v>6034</v>
      </c>
      <c r="AG216" s="330" t="s">
        <v>141</v>
      </c>
      <c r="AH216" s="330" t="s">
        <v>141</v>
      </c>
      <c r="AJ216"/>
    </row>
    <row r="217" spans="1:36" ht="19.5" customHeight="1">
      <c r="A217" s="25">
        <v>216</v>
      </c>
      <c r="B217" s="401">
        <v>5542582</v>
      </c>
      <c r="C217" s="466" t="s">
        <v>6049</v>
      </c>
      <c r="D217" s="395"/>
      <c r="E217" s="395">
        <v>3548.12</v>
      </c>
      <c r="F217" s="290">
        <v>1206809</v>
      </c>
      <c r="G217" s="283" t="s">
        <v>6047</v>
      </c>
      <c r="H217" s="395"/>
      <c r="I217" s="395">
        <v>3548.12</v>
      </c>
      <c r="J217" s="62" t="s">
        <v>5242</v>
      </c>
      <c r="K217" s="467" t="s">
        <v>34</v>
      </c>
      <c r="M217" s="36" t="s">
        <v>6051</v>
      </c>
      <c r="N217" s="398"/>
      <c r="P217" t="s">
        <v>6052</v>
      </c>
      <c r="R217" s="454" t="s">
        <v>5519</v>
      </c>
      <c r="S217" s="468" t="s">
        <v>5402</v>
      </c>
      <c r="AF217" s="471" t="s">
        <v>6034</v>
      </c>
      <c r="AG217" s="417">
        <v>20693</v>
      </c>
      <c r="AH217" s="417">
        <v>3571</v>
      </c>
      <c r="AJ217"/>
    </row>
    <row r="218" spans="1:36" ht="19.5" customHeight="1">
      <c r="A218" s="25">
        <v>217</v>
      </c>
      <c r="B218" s="401">
        <v>5544347</v>
      </c>
      <c r="C218" s="466" t="s">
        <v>5940</v>
      </c>
      <c r="D218" s="395"/>
      <c r="E218" s="395">
        <v>173557.98</v>
      </c>
      <c r="F218" s="290">
        <v>1207856</v>
      </c>
      <c r="G218" s="283" t="s">
        <v>6053</v>
      </c>
      <c r="H218" s="395"/>
      <c r="I218" s="395">
        <v>173557.98</v>
      </c>
      <c r="J218" s="62" t="s">
        <v>5242</v>
      </c>
      <c r="K218" s="467" t="s">
        <v>34</v>
      </c>
      <c r="L218" s="472"/>
      <c r="M218" s="36" t="s">
        <v>6054</v>
      </c>
      <c r="N218" s="398"/>
      <c r="P218" t="s">
        <v>6055</v>
      </c>
      <c r="R218" s="454" t="s">
        <v>6056</v>
      </c>
      <c r="S218" s="468" t="s">
        <v>6057</v>
      </c>
      <c r="AF218" s="471" t="s">
        <v>6034</v>
      </c>
      <c r="AG218" s="398">
        <v>448360</v>
      </c>
      <c r="AH218" s="398">
        <v>181244</v>
      </c>
      <c r="AJ218"/>
    </row>
    <row r="219" spans="1:36" ht="19.5" customHeight="1">
      <c r="A219" s="25">
        <v>218</v>
      </c>
      <c r="B219" s="401">
        <v>5546362</v>
      </c>
      <c r="C219" s="466" t="s">
        <v>6047</v>
      </c>
      <c r="D219" s="395"/>
      <c r="E219" s="395">
        <v>94.55</v>
      </c>
      <c r="F219" s="290">
        <v>1207857</v>
      </c>
      <c r="G219" s="473" t="s">
        <v>5900</v>
      </c>
      <c r="H219" s="395"/>
      <c r="I219" s="395">
        <v>94.55</v>
      </c>
      <c r="J219" s="62" t="s">
        <v>5242</v>
      </c>
      <c r="K219" s="467" t="s">
        <v>34</v>
      </c>
      <c r="L219" s="472"/>
      <c r="M219" s="36" t="s">
        <v>6058</v>
      </c>
      <c r="N219" s="398"/>
      <c r="P219" s="67" t="s">
        <v>5244</v>
      </c>
      <c r="Q219" s="67"/>
      <c r="R219" s="454" t="s">
        <v>6047</v>
      </c>
      <c r="S219" s="468" t="s">
        <v>6059</v>
      </c>
      <c r="AF219" s="471" t="s">
        <v>6034</v>
      </c>
      <c r="AG219" s="330" t="s">
        <v>141</v>
      </c>
      <c r="AH219" s="330" t="s">
        <v>141</v>
      </c>
      <c r="AJ219"/>
    </row>
    <row r="220" spans="1:36" ht="19.5" customHeight="1">
      <c r="A220" s="25">
        <v>219</v>
      </c>
      <c r="B220" s="401">
        <v>5546408</v>
      </c>
      <c r="C220" s="466" t="s">
        <v>6047</v>
      </c>
      <c r="D220" s="395"/>
      <c r="E220" s="395">
        <v>3736.2</v>
      </c>
      <c r="F220" s="290">
        <v>1209374</v>
      </c>
      <c r="G220" s="283" t="s">
        <v>6060</v>
      </c>
      <c r="H220" s="395"/>
      <c r="I220" s="395">
        <v>3736.2</v>
      </c>
      <c r="J220" s="62" t="s">
        <v>5242</v>
      </c>
      <c r="K220" s="467" t="s">
        <v>6061</v>
      </c>
      <c r="M220" s="36" t="s">
        <v>6062</v>
      </c>
      <c r="N220" s="398"/>
      <c r="P220" t="s">
        <v>6063</v>
      </c>
      <c r="R220" s="454" t="s">
        <v>5519</v>
      </c>
      <c r="S220" s="468" t="s">
        <v>5871</v>
      </c>
      <c r="AF220" s="471" t="s">
        <v>6064</v>
      </c>
      <c r="AG220" s="398">
        <v>1158374.1000000001</v>
      </c>
      <c r="AH220" s="398">
        <v>453460.35</v>
      </c>
      <c r="AJ220"/>
    </row>
    <row r="221" spans="1:36" ht="19.5" customHeight="1">
      <c r="A221" s="25">
        <v>220</v>
      </c>
      <c r="B221" s="401">
        <v>5547510</v>
      </c>
      <c r="C221" s="466" t="s">
        <v>6065</v>
      </c>
      <c r="D221" s="395"/>
      <c r="E221" s="395">
        <v>380076.71</v>
      </c>
      <c r="F221" s="290">
        <v>1209839</v>
      </c>
      <c r="G221" s="283" t="s">
        <v>6066</v>
      </c>
      <c r="H221" s="395"/>
      <c r="I221" s="395">
        <v>380076.71</v>
      </c>
      <c r="J221" s="62" t="s">
        <v>5242</v>
      </c>
      <c r="K221" s="467" t="s">
        <v>34</v>
      </c>
      <c r="M221" s="36" t="s">
        <v>5528</v>
      </c>
      <c r="N221" s="398"/>
      <c r="P221" t="s">
        <v>6063</v>
      </c>
      <c r="R221" s="454" t="s">
        <v>5519</v>
      </c>
      <c r="S221" s="468" t="s">
        <v>5871</v>
      </c>
      <c r="AF221" s="471" t="s">
        <v>6034</v>
      </c>
      <c r="AG221" s="68" t="s">
        <v>6067</v>
      </c>
      <c r="AH221" s="68" t="s">
        <v>6067</v>
      </c>
      <c r="AJ221"/>
    </row>
    <row r="222" spans="1:36" ht="19.5" customHeight="1">
      <c r="A222" s="25">
        <v>221</v>
      </c>
      <c r="B222" s="401">
        <v>5550315</v>
      </c>
      <c r="C222" s="466" t="s">
        <v>6053</v>
      </c>
      <c r="D222" s="395"/>
      <c r="E222" s="395">
        <v>15.58</v>
      </c>
      <c r="F222" s="290">
        <v>1209533</v>
      </c>
      <c r="G222" s="283" t="s">
        <v>6068</v>
      </c>
      <c r="H222" s="395"/>
      <c r="I222" s="395">
        <v>15.58</v>
      </c>
      <c r="J222" s="62" t="s">
        <v>5242</v>
      </c>
      <c r="K222" s="467" t="s">
        <v>34</v>
      </c>
      <c r="M222" s="36" t="s">
        <v>5626</v>
      </c>
      <c r="N222" s="398"/>
      <c r="P222" s="67" t="s">
        <v>5244</v>
      </c>
      <c r="Q222" s="67"/>
      <c r="R222" s="454" t="s">
        <v>6053</v>
      </c>
      <c r="S222" s="468" t="s">
        <v>5606</v>
      </c>
      <c r="AF222" s="471" t="s">
        <v>6034</v>
      </c>
      <c r="AG222" s="330" t="s">
        <v>141</v>
      </c>
      <c r="AH222" s="330" t="s">
        <v>141</v>
      </c>
      <c r="AJ222"/>
    </row>
    <row r="223" spans="1:36" ht="19.5" customHeight="1">
      <c r="A223" s="25">
        <v>222</v>
      </c>
      <c r="B223" s="401">
        <v>5551210</v>
      </c>
      <c r="C223" s="466" t="s">
        <v>5562</v>
      </c>
      <c r="D223" s="395"/>
      <c r="E223" s="395">
        <v>2964.84</v>
      </c>
      <c r="F223" s="290">
        <v>1209842</v>
      </c>
      <c r="G223" s="283" t="s">
        <v>6068</v>
      </c>
      <c r="H223" s="395"/>
      <c r="I223" s="395">
        <v>2964.84</v>
      </c>
      <c r="J223" s="62" t="s">
        <v>5242</v>
      </c>
      <c r="K223" s="467" t="s">
        <v>34</v>
      </c>
      <c r="L223" s="472"/>
      <c r="M223" s="36" t="s">
        <v>6069</v>
      </c>
      <c r="N223" s="398"/>
      <c r="P223" t="s">
        <v>6070</v>
      </c>
      <c r="R223" s="454" t="s">
        <v>6053</v>
      </c>
      <c r="S223" s="468" t="s">
        <v>6071</v>
      </c>
      <c r="AF223" s="471" t="s">
        <v>6034</v>
      </c>
      <c r="AG223" s="398">
        <v>21688</v>
      </c>
      <c r="AH223" s="398">
        <v>7355</v>
      </c>
      <c r="AJ223"/>
    </row>
    <row r="224" spans="1:36" ht="19.5" customHeight="1">
      <c r="A224" s="25">
        <v>223</v>
      </c>
      <c r="B224" s="401">
        <v>5551810</v>
      </c>
      <c r="C224" s="466" t="s">
        <v>6072</v>
      </c>
      <c r="D224" s="395"/>
      <c r="E224" s="395">
        <v>106.95</v>
      </c>
      <c r="F224" s="290">
        <v>1212069</v>
      </c>
      <c r="G224" s="283" t="s">
        <v>6073</v>
      </c>
      <c r="H224" s="395"/>
      <c r="I224" s="395">
        <v>106.95</v>
      </c>
      <c r="J224" s="62" t="s">
        <v>5242</v>
      </c>
      <c r="K224" s="467" t="s">
        <v>34</v>
      </c>
      <c r="L224" s="25" t="s">
        <v>6074</v>
      </c>
      <c r="M224" s="36" t="s">
        <v>5672</v>
      </c>
      <c r="N224" s="398"/>
      <c r="P224" s="67" t="s">
        <v>5244</v>
      </c>
      <c r="Q224" s="67"/>
      <c r="R224" s="454" t="s">
        <v>6075</v>
      </c>
      <c r="S224" s="468" t="s">
        <v>6076</v>
      </c>
      <c r="AF224" s="471" t="s">
        <v>6034</v>
      </c>
      <c r="AG224" s="330" t="s">
        <v>141</v>
      </c>
      <c r="AH224" s="330" t="s">
        <v>141</v>
      </c>
      <c r="AJ224"/>
    </row>
    <row r="225" spans="1:36" ht="19.5" customHeight="1">
      <c r="A225" s="25">
        <v>224</v>
      </c>
      <c r="B225" s="401">
        <v>5555355</v>
      </c>
      <c r="C225" s="466" t="s">
        <v>5736</v>
      </c>
      <c r="D225" s="395"/>
      <c r="E225" s="395">
        <v>206</v>
      </c>
      <c r="F225" s="290">
        <v>1212338</v>
      </c>
      <c r="G225" s="283" t="s">
        <v>6077</v>
      </c>
      <c r="H225" s="395"/>
      <c r="I225" s="395">
        <v>206</v>
      </c>
      <c r="J225" s="62" t="s">
        <v>5242</v>
      </c>
      <c r="K225" s="467" t="s">
        <v>34</v>
      </c>
      <c r="M225" s="36" t="s">
        <v>5964</v>
      </c>
      <c r="N225" s="398"/>
      <c r="P225" s="67" t="s">
        <v>5244</v>
      </c>
      <c r="Q225" s="67"/>
      <c r="R225" s="454" t="s">
        <v>6078</v>
      </c>
      <c r="S225" s="468" t="s">
        <v>6079</v>
      </c>
      <c r="AF225" s="471" t="s">
        <v>6034</v>
      </c>
      <c r="AG225" s="330" t="s">
        <v>141</v>
      </c>
      <c r="AH225" s="330" t="s">
        <v>141</v>
      </c>
      <c r="AJ225"/>
    </row>
    <row r="226" spans="1:36" ht="19.5" customHeight="1">
      <c r="A226" s="25">
        <v>225</v>
      </c>
      <c r="B226" s="401">
        <v>5557605</v>
      </c>
      <c r="C226" s="466" t="s">
        <v>6073</v>
      </c>
      <c r="D226" s="395"/>
      <c r="E226" s="395">
        <v>11286.01</v>
      </c>
      <c r="F226" s="290">
        <v>1213389</v>
      </c>
      <c r="G226" s="283" t="s">
        <v>6080</v>
      </c>
      <c r="H226" s="395"/>
      <c r="I226" s="395">
        <v>11286.01</v>
      </c>
      <c r="J226" s="62" t="s">
        <v>5242</v>
      </c>
      <c r="K226" s="467" t="s">
        <v>34</v>
      </c>
      <c r="M226" s="36" t="s">
        <v>6081</v>
      </c>
      <c r="N226" s="398"/>
      <c r="P226" t="s">
        <v>6082</v>
      </c>
      <c r="R226" s="454" t="s">
        <v>6073</v>
      </c>
      <c r="S226" s="468" t="s">
        <v>6083</v>
      </c>
      <c r="AF226" s="471" t="s">
        <v>6084</v>
      </c>
      <c r="AG226" s="398">
        <v>37127</v>
      </c>
      <c r="AH226" s="398">
        <v>11358.67</v>
      </c>
      <c r="AJ226"/>
    </row>
    <row r="227" spans="1:36" ht="19.5" customHeight="1">
      <c r="A227" s="25">
        <v>226</v>
      </c>
      <c r="B227" s="401">
        <v>5558846</v>
      </c>
      <c r="C227" s="466" t="s">
        <v>6085</v>
      </c>
      <c r="D227" s="395"/>
      <c r="E227" s="395">
        <v>43.87</v>
      </c>
      <c r="F227" s="290">
        <v>1214502</v>
      </c>
      <c r="G227" s="283" t="s">
        <v>6086</v>
      </c>
      <c r="H227" s="395"/>
      <c r="I227" s="395">
        <v>43.87</v>
      </c>
      <c r="J227" s="62" t="s">
        <v>5242</v>
      </c>
      <c r="K227" s="467" t="s">
        <v>34</v>
      </c>
      <c r="M227" s="36" t="s">
        <v>6087</v>
      </c>
      <c r="N227" s="398"/>
      <c r="P227" s="67" t="s">
        <v>5244</v>
      </c>
      <c r="Q227" s="67"/>
      <c r="R227" s="454" t="s">
        <v>6088</v>
      </c>
      <c r="S227" s="468" t="s">
        <v>6089</v>
      </c>
      <c r="AF227" s="471" t="s">
        <v>6084</v>
      </c>
      <c r="AG227" s="330" t="s">
        <v>141</v>
      </c>
      <c r="AH227" s="330" t="s">
        <v>141</v>
      </c>
      <c r="AJ227"/>
    </row>
    <row r="228" spans="1:36" ht="19.5" customHeight="1">
      <c r="A228" s="25">
        <v>227</v>
      </c>
      <c r="B228" s="401">
        <v>5564024</v>
      </c>
      <c r="C228" s="466" t="s">
        <v>5597</v>
      </c>
      <c r="D228" s="395"/>
      <c r="E228" s="395">
        <v>43.01</v>
      </c>
      <c r="F228" s="290">
        <v>1215761</v>
      </c>
      <c r="G228" s="283" t="s">
        <v>6090</v>
      </c>
      <c r="H228" s="395"/>
      <c r="I228" s="395">
        <v>43.01</v>
      </c>
      <c r="J228" s="62" t="s">
        <v>5242</v>
      </c>
      <c r="K228" s="467" t="s">
        <v>34</v>
      </c>
      <c r="M228" s="36" t="s">
        <v>6091</v>
      </c>
      <c r="N228" s="398"/>
      <c r="P228" s="67" t="s">
        <v>5244</v>
      </c>
      <c r="Q228" s="67"/>
      <c r="R228" s="454" t="s">
        <v>6092</v>
      </c>
      <c r="S228" s="468" t="s">
        <v>6093</v>
      </c>
      <c r="AF228" s="471" t="s">
        <v>6084</v>
      </c>
      <c r="AG228" s="330" t="s">
        <v>141</v>
      </c>
      <c r="AH228" s="330" t="s">
        <v>141</v>
      </c>
      <c r="AJ228"/>
    </row>
    <row r="229" spans="1:36" ht="19.5" customHeight="1">
      <c r="A229" s="25">
        <v>228</v>
      </c>
      <c r="B229" s="401">
        <v>5566837</v>
      </c>
      <c r="C229" s="466" t="s">
        <v>6090</v>
      </c>
      <c r="D229" s="395"/>
      <c r="E229" s="395">
        <v>61.69</v>
      </c>
      <c r="F229" s="290">
        <v>1217824</v>
      </c>
      <c r="G229" s="283" t="s">
        <v>6094</v>
      </c>
      <c r="H229" s="395"/>
      <c r="I229" s="395">
        <v>61.69</v>
      </c>
      <c r="J229" s="62" t="s">
        <v>5242</v>
      </c>
      <c r="K229" s="467" t="s">
        <v>34</v>
      </c>
      <c r="L229" s="486"/>
      <c r="M229" s="36" t="s">
        <v>6095</v>
      </c>
      <c r="N229" s="398"/>
      <c r="P229" s="488" t="s">
        <v>5244</v>
      </c>
      <c r="Q229" s="488"/>
      <c r="R229" s="478" t="s">
        <v>6096</v>
      </c>
      <c r="S229" s="468" t="s">
        <v>6097</v>
      </c>
      <c r="AF229" s="471" t="s">
        <v>6098</v>
      </c>
      <c r="AG229" s="330" t="s">
        <v>141</v>
      </c>
      <c r="AH229" s="330" t="s">
        <v>141</v>
      </c>
      <c r="AJ229"/>
    </row>
    <row r="230" spans="1:36" ht="19.5" customHeight="1">
      <c r="A230" s="25">
        <v>229</v>
      </c>
      <c r="B230" s="401">
        <v>5567738</v>
      </c>
      <c r="C230" s="466" t="s">
        <v>6099</v>
      </c>
      <c r="D230" s="395"/>
      <c r="E230" s="395">
        <v>45971.69</v>
      </c>
      <c r="F230" s="290">
        <v>1229312</v>
      </c>
      <c r="G230" s="283" t="s">
        <v>6100</v>
      </c>
      <c r="H230" s="395"/>
      <c r="I230" s="395">
        <v>45971.69</v>
      </c>
      <c r="J230" s="62" t="s">
        <v>5242</v>
      </c>
      <c r="K230" s="467" t="s">
        <v>34</v>
      </c>
      <c r="L230" s="486"/>
      <c r="M230" s="36" t="s">
        <v>6101</v>
      </c>
      <c r="N230" s="398"/>
      <c r="P230" s="487" t="s">
        <v>6102</v>
      </c>
      <c r="Q230" s="487"/>
      <c r="R230" s="478" t="s">
        <v>5736</v>
      </c>
      <c r="S230" s="471" t="s">
        <v>6103</v>
      </c>
      <c r="W230" s="41" t="s">
        <v>4660</v>
      </c>
      <c r="AF230" s="471" t="s">
        <v>6098</v>
      </c>
      <c r="AG230" s="398">
        <v>145300</v>
      </c>
      <c r="AH230" s="398">
        <v>88750.53</v>
      </c>
      <c r="AJ230"/>
    </row>
    <row r="231" spans="1:36" ht="19.5" customHeight="1">
      <c r="A231" s="25">
        <v>230</v>
      </c>
      <c r="B231" s="401">
        <v>5569944</v>
      </c>
      <c r="C231" s="466" t="s">
        <v>6104</v>
      </c>
      <c r="D231" s="395"/>
      <c r="E231" s="395">
        <v>7049.04</v>
      </c>
      <c r="F231" s="290">
        <v>1221971</v>
      </c>
      <c r="G231" s="466" t="s">
        <v>6105</v>
      </c>
      <c r="H231" s="395"/>
      <c r="I231" s="395">
        <v>7049.04</v>
      </c>
      <c r="J231" s="62" t="s">
        <v>5242</v>
      </c>
      <c r="K231" s="467" t="s">
        <v>5737</v>
      </c>
      <c r="L231" s="472"/>
      <c r="M231" s="36" t="s">
        <v>6106</v>
      </c>
      <c r="N231" s="398"/>
      <c r="P231" t="s">
        <v>6107</v>
      </c>
      <c r="R231" s="454" t="s">
        <v>6056</v>
      </c>
      <c r="S231" s="468" t="s">
        <v>6057</v>
      </c>
      <c r="AF231" s="471" t="s">
        <v>5446</v>
      </c>
      <c r="AG231" s="417">
        <v>558518</v>
      </c>
      <c r="AH231" s="417">
        <v>411182.48</v>
      </c>
      <c r="AJ231"/>
    </row>
    <row r="232" spans="1:36" ht="19.5" customHeight="1">
      <c r="A232" s="25">
        <v>231</v>
      </c>
      <c r="B232" s="401">
        <v>5570075</v>
      </c>
      <c r="C232" s="466" t="s">
        <v>6104</v>
      </c>
      <c r="D232" s="395"/>
      <c r="E232" s="395">
        <v>13000</v>
      </c>
      <c r="F232" s="290">
        <v>1219801</v>
      </c>
      <c r="G232" s="283" t="s">
        <v>6108</v>
      </c>
      <c r="H232" s="395"/>
      <c r="I232" s="395">
        <v>13000</v>
      </c>
      <c r="J232" s="62" t="s">
        <v>5242</v>
      </c>
      <c r="K232" s="467" t="s">
        <v>5859</v>
      </c>
      <c r="M232" s="36" t="s">
        <v>6109</v>
      </c>
      <c r="N232" s="398"/>
      <c r="P232" t="s">
        <v>6107</v>
      </c>
      <c r="R232" s="454" t="s">
        <v>141</v>
      </c>
      <c r="S232" s="468" t="s">
        <v>141</v>
      </c>
      <c r="AF232" s="471" t="s">
        <v>5861</v>
      </c>
      <c r="AG232" s="330" t="s">
        <v>141</v>
      </c>
      <c r="AH232" s="330" t="s">
        <v>141</v>
      </c>
      <c r="AJ232"/>
    </row>
    <row r="233" spans="1:36" ht="19.5" customHeight="1">
      <c r="A233" s="25">
        <v>232</v>
      </c>
      <c r="B233" s="401">
        <v>5570657</v>
      </c>
      <c r="C233" s="466" t="s">
        <v>6110</v>
      </c>
      <c r="D233" s="395"/>
      <c r="E233" s="395">
        <v>300857.96000000002</v>
      </c>
      <c r="F233" s="290">
        <v>1220281</v>
      </c>
      <c r="G233" s="283" t="s">
        <v>6111</v>
      </c>
      <c r="H233" s="395"/>
      <c r="I233" s="395">
        <v>300857.96000000002</v>
      </c>
      <c r="J233" s="62" t="s">
        <v>5242</v>
      </c>
      <c r="K233" s="467" t="s">
        <v>34</v>
      </c>
      <c r="M233" s="36" t="s">
        <v>6112</v>
      </c>
      <c r="N233" s="398"/>
      <c r="P233" t="s">
        <v>6107</v>
      </c>
      <c r="R233" s="454" t="s">
        <v>6104</v>
      </c>
      <c r="S233" s="468" t="s">
        <v>6113</v>
      </c>
      <c r="AF233" s="471" t="s">
        <v>6098</v>
      </c>
      <c r="AG233" s="330" t="s">
        <v>141</v>
      </c>
      <c r="AH233" s="330" t="s">
        <v>141</v>
      </c>
      <c r="AJ233"/>
    </row>
    <row r="234" spans="1:36" ht="19.5" customHeight="1">
      <c r="A234" s="25">
        <v>233</v>
      </c>
      <c r="B234" s="401">
        <v>5574286</v>
      </c>
      <c r="C234" s="466" t="s">
        <v>6114</v>
      </c>
      <c r="D234" s="395"/>
      <c r="E234" s="395">
        <v>33228.050000000003</v>
      </c>
      <c r="F234" s="290">
        <v>1220734</v>
      </c>
      <c r="G234" s="283" t="s">
        <v>6108</v>
      </c>
      <c r="H234" s="395"/>
      <c r="I234" s="395">
        <v>33228.050000000003</v>
      </c>
      <c r="J234" s="62" t="s">
        <v>5242</v>
      </c>
      <c r="K234" s="467" t="s">
        <v>34</v>
      </c>
      <c r="L234" s="472"/>
      <c r="M234" s="36" t="s">
        <v>6115</v>
      </c>
      <c r="N234" s="398"/>
      <c r="P234" t="s">
        <v>6116</v>
      </c>
      <c r="R234" s="454" t="s">
        <v>6114</v>
      </c>
      <c r="S234" s="468" t="s">
        <v>6117</v>
      </c>
      <c r="AF234" s="471" t="s">
        <v>6098</v>
      </c>
      <c r="AG234" s="417">
        <v>86320</v>
      </c>
      <c r="AH234" s="417">
        <v>46501.760000000002</v>
      </c>
      <c r="AJ234"/>
    </row>
    <row r="235" spans="1:36" ht="19.5" customHeight="1">
      <c r="A235" s="25">
        <v>234</v>
      </c>
      <c r="B235" s="401">
        <v>5576980</v>
      </c>
      <c r="C235" s="466" t="s">
        <v>6118</v>
      </c>
      <c r="D235" s="395"/>
      <c r="E235" s="395">
        <v>3116.05</v>
      </c>
      <c r="F235" s="290">
        <v>1221600</v>
      </c>
      <c r="G235" s="283" t="s">
        <v>6119</v>
      </c>
      <c r="H235" s="395"/>
      <c r="I235" s="395">
        <v>3116.05</v>
      </c>
      <c r="J235" s="62" t="s">
        <v>5242</v>
      </c>
      <c r="K235" s="467" t="s">
        <v>34</v>
      </c>
      <c r="M235" s="36" t="s">
        <v>6120</v>
      </c>
      <c r="N235" s="398"/>
      <c r="P235" t="s">
        <v>6121</v>
      </c>
      <c r="R235" s="454" t="s">
        <v>6122</v>
      </c>
      <c r="S235" s="468" t="s">
        <v>6113</v>
      </c>
      <c r="AF235" s="471" t="s">
        <v>6098</v>
      </c>
      <c r="AG235" s="417">
        <v>9566</v>
      </c>
      <c r="AH235" s="417">
        <v>2765.02</v>
      </c>
      <c r="AJ235"/>
    </row>
    <row r="236" spans="1:36" ht="19.5" customHeight="1">
      <c r="A236" s="25">
        <v>235</v>
      </c>
      <c r="B236" s="401">
        <v>5578415</v>
      </c>
      <c r="C236" s="466" t="s">
        <v>6108</v>
      </c>
      <c r="D236" s="395"/>
      <c r="E236" s="395">
        <v>522.04999999999995</v>
      </c>
      <c r="F236" s="290">
        <v>1222498</v>
      </c>
      <c r="G236" s="283" t="s">
        <v>6123</v>
      </c>
      <c r="H236" s="395"/>
      <c r="I236" s="395">
        <v>522.04999999999995</v>
      </c>
      <c r="J236" s="62" t="s">
        <v>5242</v>
      </c>
      <c r="K236" s="467" t="s">
        <v>34</v>
      </c>
      <c r="M236" s="36" t="s">
        <v>6124</v>
      </c>
      <c r="N236" s="398"/>
      <c r="P236" t="s">
        <v>5585</v>
      </c>
      <c r="R236" s="454" t="s">
        <v>6108</v>
      </c>
      <c r="S236" s="468" t="s">
        <v>6125</v>
      </c>
      <c r="AF236" s="471" t="s">
        <v>6098</v>
      </c>
      <c r="AG236" s="417">
        <v>179000</v>
      </c>
      <c r="AH236" s="417">
        <v>102986.35</v>
      </c>
      <c r="AJ236"/>
    </row>
    <row r="237" spans="1:36" ht="19.5" customHeight="1">
      <c r="A237" s="25">
        <v>236</v>
      </c>
      <c r="B237" s="401">
        <v>5580953</v>
      </c>
      <c r="C237" s="466" t="s">
        <v>5636</v>
      </c>
      <c r="D237" s="395"/>
      <c r="E237" s="395">
        <v>9380</v>
      </c>
      <c r="F237" s="290">
        <v>1223651</v>
      </c>
      <c r="G237" s="283" t="s">
        <v>6126</v>
      </c>
      <c r="H237" s="395"/>
      <c r="I237" s="395">
        <v>9380</v>
      </c>
      <c r="J237" s="62" t="s">
        <v>5242</v>
      </c>
      <c r="K237" s="467" t="s">
        <v>193</v>
      </c>
      <c r="M237" s="36" t="s">
        <v>6127</v>
      </c>
      <c r="N237" s="398"/>
      <c r="P237" s="67" t="s">
        <v>5244</v>
      </c>
      <c r="Q237" s="67"/>
      <c r="R237" s="454" t="s">
        <v>141</v>
      </c>
      <c r="S237" s="468" t="s">
        <v>141</v>
      </c>
      <c r="AF237" s="471" t="s">
        <v>6128</v>
      </c>
      <c r="AG237" s="330" t="s">
        <v>141</v>
      </c>
      <c r="AH237" s="330" t="s">
        <v>141</v>
      </c>
      <c r="AJ237"/>
    </row>
    <row r="238" spans="1:36" ht="19.5" customHeight="1">
      <c r="A238" s="25">
        <v>237</v>
      </c>
      <c r="B238" s="401">
        <v>5582617</v>
      </c>
      <c r="C238" s="466" t="s">
        <v>6123</v>
      </c>
      <c r="D238" s="395"/>
      <c r="E238" s="395">
        <v>13355.92</v>
      </c>
      <c r="F238" s="290">
        <v>1224671</v>
      </c>
      <c r="G238" s="283" t="s">
        <v>6129</v>
      </c>
      <c r="H238" s="395"/>
      <c r="I238" s="395">
        <v>13355.92</v>
      </c>
      <c r="J238" s="62" t="s">
        <v>5242</v>
      </c>
      <c r="K238" s="467" t="s">
        <v>34</v>
      </c>
      <c r="L238" s="472"/>
      <c r="M238" s="36" t="s">
        <v>6130</v>
      </c>
      <c r="N238" s="398"/>
      <c r="P238" t="s">
        <v>6131</v>
      </c>
      <c r="R238" s="454" t="s">
        <v>6111</v>
      </c>
      <c r="S238" s="468" t="s">
        <v>6132</v>
      </c>
      <c r="AF238" s="471" t="s">
        <v>6098</v>
      </c>
      <c r="AG238" s="417">
        <v>129849</v>
      </c>
      <c r="AH238" s="417">
        <v>86567.8</v>
      </c>
      <c r="AJ238"/>
    </row>
    <row r="239" spans="1:36" ht="19.5" customHeight="1">
      <c r="A239" s="25">
        <v>238</v>
      </c>
      <c r="B239" s="401">
        <v>5586427</v>
      </c>
      <c r="C239" s="466" t="s">
        <v>6133</v>
      </c>
      <c r="D239" s="395"/>
      <c r="E239" s="395">
        <v>7925.42</v>
      </c>
      <c r="F239" s="290">
        <v>1232425</v>
      </c>
      <c r="G239" s="283" t="s">
        <v>6134</v>
      </c>
      <c r="H239" s="395"/>
      <c r="I239" s="395">
        <v>7925.42</v>
      </c>
      <c r="J239" s="62" t="s">
        <v>5242</v>
      </c>
      <c r="K239" s="467" t="s">
        <v>34</v>
      </c>
      <c r="M239" s="36" t="s">
        <v>6135</v>
      </c>
      <c r="N239" s="398"/>
      <c r="P239" t="s">
        <v>6136</v>
      </c>
      <c r="R239" s="454" t="s">
        <v>6137</v>
      </c>
      <c r="S239" s="468" t="s">
        <v>6138</v>
      </c>
      <c r="AF239" s="471" t="s">
        <v>6139</v>
      </c>
      <c r="AG239" s="417">
        <v>24777</v>
      </c>
      <c r="AH239" s="417">
        <v>7382.85</v>
      </c>
      <c r="AJ239"/>
    </row>
    <row r="240" spans="1:36" ht="19.5" customHeight="1">
      <c r="A240" s="25">
        <v>239</v>
      </c>
      <c r="B240" s="401">
        <v>5587027</v>
      </c>
      <c r="C240" s="466" t="s">
        <v>6140</v>
      </c>
      <c r="D240" s="395"/>
      <c r="E240" s="395">
        <v>6581.02</v>
      </c>
      <c r="F240" s="290">
        <v>1232426</v>
      </c>
      <c r="G240" s="466" t="s">
        <v>5694</v>
      </c>
      <c r="H240" s="395"/>
      <c r="I240" s="395">
        <v>6581.02</v>
      </c>
      <c r="J240" s="62" t="s">
        <v>5242</v>
      </c>
      <c r="K240" s="467" t="s">
        <v>34</v>
      </c>
      <c r="L240" s="472"/>
      <c r="M240" s="36" t="s">
        <v>6141</v>
      </c>
      <c r="N240" s="398"/>
      <c r="P240" t="s">
        <v>6142</v>
      </c>
      <c r="R240" s="478" t="s">
        <v>6143</v>
      </c>
      <c r="S240" s="468" t="s">
        <v>6144</v>
      </c>
      <c r="AF240" s="471" t="s">
        <v>6139</v>
      </c>
      <c r="AG240" s="330" t="s">
        <v>141</v>
      </c>
      <c r="AH240" s="330" t="s">
        <v>141</v>
      </c>
      <c r="AJ240"/>
    </row>
    <row r="241" spans="1:36" ht="19.5" customHeight="1">
      <c r="A241" s="25">
        <v>240</v>
      </c>
      <c r="B241" s="401">
        <v>5597219</v>
      </c>
      <c r="C241" s="466" t="s">
        <v>6145</v>
      </c>
      <c r="D241" s="395"/>
      <c r="E241" s="395">
        <v>63.25</v>
      </c>
      <c r="F241" s="290">
        <v>1230032</v>
      </c>
      <c r="G241" s="473" t="s">
        <v>6100</v>
      </c>
      <c r="H241" s="395"/>
      <c r="I241" s="395">
        <v>63.25</v>
      </c>
      <c r="J241" s="62" t="s">
        <v>5242</v>
      </c>
      <c r="K241" s="467" t="s">
        <v>34</v>
      </c>
      <c r="L241" s="25" t="s">
        <v>6146</v>
      </c>
      <c r="M241" s="36" t="s">
        <v>5754</v>
      </c>
      <c r="N241" s="398"/>
      <c r="P241" s="67" t="s">
        <v>5244</v>
      </c>
      <c r="Q241" s="67"/>
      <c r="R241" s="454" t="s">
        <v>141</v>
      </c>
      <c r="S241" s="468" t="s">
        <v>141</v>
      </c>
      <c r="AF241" s="471" t="s">
        <v>6139</v>
      </c>
      <c r="AG241" s="330" t="s">
        <v>141</v>
      </c>
      <c r="AH241" s="330" t="s">
        <v>141</v>
      </c>
      <c r="AJ241"/>
    </row>
    <row r="242" spans="1:36" ht="19.5" customHeight="1">
      <c r="A242" s="25">
        <v>241</v>
      </c>
      <c r="B242" s="401">
        <v>5600848</v>
      </c>
      <c r="C242" s="466" t="s">
        <v>6147</v>
      </c>
      <c r="D242" s="395"/>
      <c r="E242" s="395">
        <v>13398.58</v>
      </c>
      <c r="F242" s="290">
        <v>1232428</v>
      </c>
      <c r="G242" s="283" t="s">
        <v>6148</v>
      </c>
      <c r="H242" s="395"/>
      <c r="I242" s="395">
        <v>13398.58</v>
      </c>
      <c r="J242" s="62" t="s">
        <v>5242</v>
      </c>
      <c r="K242" s="467" t="s">
        <v>34</v>
      </c>
      <c r="M242" s="36" t="s">
        <v>5657</v>
      </c>
      <c r="N242" s="398"/>
      <c r="P242" t="s">
        <v>6149</v>
      </c>
      <c r="R242" s="454" t="s">
        <v>6017</v>
      </c>
      <c r="S242" s="468" t="s">
        <v>6018</v>
      </c>
      <c r="AF242" s="471" t="s">
        <v>6139</v>
      </c>
      <c r="AG242" s="398">
        <v>281097</v>
      </c>
      <c r="AH242" s="398">
        <v>13479.8</v>
      </c>
      <c r="AJ242"/>
    </row>
    <row r="243" spans="1:36" ht="19.5" customHeight="1">
      <c r="A243" s="25">
        <v>242</v>
      </c>
      <c r="B243" s="401">
        <v>5601712</v>
      </c>
      <c r="C243" s="466" t="s">
        <v>5682</v>
      </c>
      <c r="D243" s="395"/>
      <c r="E243" s="395">
        <v>7993.11</v>
      </c>
      <c r="F243" s="290">
        <v>1232829</v>
      </c>
      <c r="G243" s="283" t="s">
        <v>6148</v>
      </c>
      <c r="H243" s="395"/>
      <c r="I243" s="395">
        <v>7993.11</v>
      </c>
      <c r="J243" s="62" t="s">
        <v>5242</v>
      </c>
      <c r="K243" s="467" t="s">
        <v>34</v>
      </c>
      <c r="M243" s="36" t="s">
        <v>6150</v>
      </c>
      <c r="N243" s="398"/>
      <c r="P243" t="s">
        <v>6151</v>
      </c>
      <c r="R243" s="454" t="s">
        <v>5670</v>
      </c>
      <c r="S243" s="468" t="s">
        <v>6113</v>
      </c>
      <c r="AF243" s="471" t="s">
        <v>6139</v>
      </c>
      <c r="AG243" s="398">
        <v>23700</v>
      </c>
      <c r="AH243" s="398">
        <v>8093.11</v>
      </c>
      <c r="AJ243"/>
    </row>
    <row r="244" spans="1:36" ht="19.5" customHeight="1">
      <c r="A244" s="25">
        <v>243</v>
      </c>
      <c r="B244" s="401">
        <v>5601729</v>
      </c>
      <c r="C244" s="466" t="s">
        <v>5682</v>
      </c>
      <c r="D244" s="395"/>
      <c r="E244" s="395">
        <v>33064.76</v>
      </c>
      <c r="F244" s="290">
        <v>1232840</v>
      </c>
      <c r="G244" s="283" t="s">
        <v>6148</v>
      </c>
      <c r="H244" s="395"/>
      <c r="I244" s="395">
        <v>33064.76</v>
      </c>
      <c r="J244" s="62" t="s">
        <v>5242</v>
      </c>
      <c r="K244" s="467" t="s">
        <v>34</v>
      </c>
      <c r="M244" s="36" t="s">
        <v>6152</v>
      </c>
      <c r="N244" s="398"/>
      <c r="P244" t="s">
        <v>6153</v>
      </c>
      <c r="R244" s="454" t="s">
        <v>5670</v>
      </c>
      <c r="S244" s="468" t="s">
        <v>6113</v>
      </c>
      <c r="AF244" s="471" t="s">
        <v>6139</v>
      </c>
      <c r="AG244" s="417">
        <v>180289.7</v>
      </c>
      <c r="AH244" s="417">
        <v>56672.65</v>
      </c>
      <c r="AJ244"/>
    </row>
    <row r="245" spans="1:36" ht="19.5" customHeight="1">
      <c r="A245" s="25">
        <v>244</v>
      </c>
      <c r="B245" s="401">
        <v>5601739</v>
      </c>
      <c r="C245" s="466" t="s">
        <v>5682</v>
      </c>
      <c r="D245" s="395"/>
      <c r="E245" s="395">
        <v>95933.14</v>
      </c>
      <c r="F245" s="290">
        <v>1234560</v>
      </c>
      <c r="G245" s="283" t="s">
        <v>6154</v>
      </c>
      <c r="H245" s="395"/>
      <c r="I245" s="395">
        <v>95933.14</v>
      </c>
      <c r="J245" s="62" t="s">
        <v>5242</v>
      </c>
      <c r="K245" s="467" t="s">
        <v>34</v>
      </c>
      <c r="L245" s="472"/>
      <c r="M245" s="36" t="s">
        <v>6155</v>
      </c>
      <c r="N245" s="398"/>
      <c r="P245" t="s">
        <v>6156</v>
      </c>
      <c r="R245" s="454" t="s">
        <v>6157</v>
      </c>
      <c r="S245" s="468" t="s">
        <v>6158</v>
      </c>
      <c r="AF245" s="471" t="s">
        <v>6139</v>
      </c>
      <c r="AG245" s="398">
        <v>159550</v>
      </c>
      <c r="AH245" s="398">
        <v>118069.33</v>
      </c>
      <c r="AJ245"/>
    </row>
    <row r="246" spans="1:36" ht="19.5" customHeight="1">
      <c r="A246" s="25">
        <v>245</v>
      </c>
      <c r="B246" s="401">
        <v>5602344</v>
      </c>
      <c r="C246" s="466" t="s">
        <v>6159</v>
      </c>
      <c r="D246" s="395"/>
      <c r="E246" s="395">
        <v>13929.58</v>
      </c>
      <c r="F246" s="290">
        <v>1232826</v>
      </c>
      <c r="G246" s="283" t="s">
        <v>6148</v>
      </c>
      <c r="H246" s="395"/>
      <c r="I246" s="395">
        <v>13929.58</v>
      </c>
      <c r="J246" s="62" t="s">
        <v>5242</v>
      </c>
      <c r="K246" s="467" t="s">
        <v>34</v>
      </c>
      <c r="M246" s="36" t="s">
        <v>6160</v>
      </c>
      <c r="N246" s="398"/>
      <c r="P246" t="s">
        <v>6161</v>
      </c>
      <c r="R246" s="454" t="s">
        <v>5670</v>
      </c>
      <c r="S246" s="468" t="s">
        <v>6113</v>
      </c>
      <c r="AF246" s="471" t="s">
        <v>6139</v>
      </c>
      <c r="AG246" s="417">
        <v>79268</v>
      </c>
      <c r="AH246" s="417">
        <v>38651</v>
      </c>
      <c r="AJ246"/>
    </row>
    <row r="247" spans="1:36" ht="19.5" customHeight="1">
      <c r="A247" s="25">
        <v>246</v>
      </c>
      <c r="B247" s="401">
        <v>5602361</v>
      </c>
      <c r="C247" s="466" t="s">
        <v>6159</v>
      </c>
      <c r="D247" s="395"/>
      <c r="E247" s="395">
        <v>185058.14</v>
      </c>
      <c r="F247" s="290">
        <v>1235378</v>
      </c>
      <c r="G247" s="283" t="s">
        <v>6162</v>
      </c>
      <c r="H247" s="395"/>
      <c r="I247" s="395">
        <v>185058.14</v>
      </c>
      <c r="J247" s="62" t="s">
        <v>5242</v>
      </c>
      <c r="K247" s="467" t="s">
        <v>34</v>
      </c>
      <c r="M247" s="36" t="s">
        <v>5655</v>
      </c>
      <c r="N247" s="398"/>
      <c r="P247" t="s">
        <v>6163</v>
      </c>
      <c r="R247" s="454" t="s">
        <v>6143</v>
      </c>
      <c r="S247" s="468" t="s">
        <v>6164</v>
      </c>
      <c r="AF247" s="471" t="s">
        <v>6139</v>
      </c>
      <c r="AG247" s="417">
        <v>232000</v>
      </c>
      <c r="AH247" s="417">
        <v>186188.41</v>
      </c>
      <c r="AJ247"/>
    </row>
    <row r="248" spans="1:36" ht="19.5" customHeight="1">
      <c r="A248" s="25">
        <v>247</v>
      </c>
      <c r="B248" s="401">
        <v>5602368</v>
      </c>
      <c r="C248" s="466" t="s">
        <v>6159</v>
      </c>
      <c r="D248" s="395"/>
      <c r="E248" s="395">
        <v>825802.96</v>
      </c>
      <c r="F248" s="290">
        <v>1237061</v>
      </c>
      <c r="G248" s="283" t="s">
        <v>6165</v>
      </c>
      <c r="H248" s="395"/>
      <c r="I248" s="395">
        <v>825802.96</v>
      </c>
      <c r="J248" s="62" t="s">
        <v>5242</v>
      </c>
      <c r="K248" s="467" t="s">
        <v>34</v>
      </c>
      <c r="M248" s="36" t="s">
        <v>6166</v>
      </c>
      <c r="N248" s="398"/>
      <c r="P248" t="s">
        <v>6167</v>
      </c>
      <c r="R248" s="454" t="s">
        <v>5670</v>
      </c>
      <c r="S248" s="468" t="s">
        <v>6113</v>
      </c>
      <c r="AF248" s="471" t="s">
        <v>6139</v>
      </c>
      <c r="AG248" s="398">
        <v>1636134.61</v>
      </c>
      <c r="AH248" s="398">
        <v>824780.35</v>
      </c>
      <c r="AJ248"/>
    </row>
    <row r="249" spans="1:36" ht="19.5" customHeight="1">
      <c r="A249" s="25">
        <v>248</v>
      </c>
      <c r="B249" s="401">
        <v>5602801</v>
      </c>
      <c r="C249" s="466" t="s">
        <v>5688</v>
      </c>
      <c r="D249" s="395"/>
      <c r="E249" s="395">
        <v>111384.87</v>
      </c>
      <c r="F249" s="290">
        <v>1233691</v>
      </c>
      <c r="G249" s="283" t="s">
        <v>6154</v>
      </c>
      <c r="H249" s="395"/>
      <c r="I249" s="395">
        <v>111384.87</v>
      </c>
      <c r="J249" s="62" t="s">
        <v>5242</v>
      </c>
      <c r="K249" s="467" t="s">
        <v>34</v>
      </c>
      <c r="M249" s="36" t="s">
        <v>6168</v>
      </c>
      <c r="N249" s="398"/>
      <c r="P249" t="s">
        <v>6169</v>
      </c>
      <c r="R249" s="454" t="s">
        <v>5670</v>
      </c>
      <c r="S249" s="468" t="s">
        <v>6170</v>
      </c>
      <c r="AF249" s="471" t="s">
        <v>6139</v>
      </c>
      <c r="AG249" s="417">
        <v>147095</v>
      </c>
      <c r="AH249" s="417">
        <v>112060.1</v>
      </c>
      <c r="AJ249"/>
    </row>
    <row r="250" spans="1:36" ht="19.5" customHeight="1">
      <c r="A250" s="25">
        <v>249</v>
      </c>
      <c r="B250" s="401">
        <v>5602920</v>
      </c>
      <c r="C250" s="466" t="s">
        <v>5688</v>
      </c>
      <c r="D250" s="395"/>
      <c r="E250" s="395">
        <v>5855</v>
      </c>
      <c r="F250" s="290">
        <v>1233877</v>
      </c>
      <c r="G250" s="283" t="s">
        <v>6171</v>
      </c>
      <c r="H250" s="395"/>
      <c r="I250" s="395">
        <v>5855</v>
      </c>
      <c r="J250" s="62" t="s">
        <v>5242</v>
      </c>
      <c r="K250" s="467" t="s">
        <v>5737</v>
      </c>
      <c r="M250" s="36" t="s">
        <v>5738</v>
      </c>
      <c r="N250" s="398"/>
      <c r="P250" t="s">
        <v>6172</v>
      </c>
      <c r="R250" s="454" t="s">
        <v>6173</v>
      </c>
      <c r="S250" s="468" t="s">
        <v>6174</v>
      </c>
      <c r="AF250" s="471" t="s">
        <v>6175</v>
      </c>
      <c r="AG250" s="417">
        <v>226388</v>
      </c>
      <c r="AH250" s="417">
        <v>50220.03</v>
      </c>
      <c r="AJ250"/>
    </row>
    <row r="251" spans="1:36" ht="19.5" customHeight="1">
      <c r="A251" s="25">
        <v>250</v>
      </c>
      <c r="C251" s="466" t="s">
        <v>6176</v>
      </c>
      <c r="D251" s="395"/>
      <c r="E251" s="395">
        <v>4031.56</v>
      </c>
      <c r="F251" s="290">
        <v>1232350</v>
      </c>
      <c r="G251" s="283" t="s">
        <v>6177</v>
      </c>
      <c r="H251" s="395"/>
      <c r="I251" s="395">
        <v>4031.56</v>
      </c>
      <c r="J251" s="62" t="s">
        <v>5242</v>
      </c>
      <c r="K251" s="450" t="s">
        <v>733</v>
      </c>
      <c r="L251" s="486"/>
      <c r="M251" s="36" t="s">
        <v>6178</v>
      </c>
      <c r="N251" s="398"/>
      <c r="P251" s="487" t="s">
        <v>6179</v>
      </c>
      <c r="Q251" s="487"/>
      <c r="R251" s="478" t="s">
        <v>5670</v>
      </c>
      <c r="S251" s="468" t="s">
        <v>6170</v>
      </c>
      <c r="AF251" s="471" t="s">
        <v>6180</v>
      </c>
      <c r="AG251" s="417">
        <v>23560</v>
      </c>
      <c r="AH251" s="417">
        <v>8164</v>
      </c>
      <c r="AJ251"/>
    </row>
    <row r="252" spans="1:36" ht="19.5" customHeight="1">
      <c r="A252" s="25">
        <v>251</v>
      </c>
      <c r="B252" s="401">
        <v>5604395</v>
      </c>
      <c r="C252" s="466" t="s">
        <v>6134</v>
      </c>
      <c r="D252" s="395"/>
      <c r="E252" s="395">
        <v>59755.94</v>
      </c>
      <c r="F252" s="290">
        <v>1235021</v>
      </c>
      <c r="G252" s="283" t="s">
        <v>6181</v>
      </c>
      <c r="H252" s="395"/>
      <c r="I252" s="395">
        <v>59755.94</v>
      </c>
      <c r="J252" s="62" t="s">
        <v>5242</v>
      </c>
      <c r="K252" s="467" t="s">
        <v>34</v>
      </c>
      <c r="L252" s="486"/>
      <c r="M252" s="36" t="s">
        <v>6182</v>
      </c>
      <c r="N252" s="398"/>
      <c r="P252" s="487" t="s">
        <v>6183</v>
      </c>
      <c r="Q252" s="487"/>
      <c r="R252" s="478" t="s">
        <v>5670</v>
      </c>
      <c r="S252" s="468" t="s">
        <v>6113</v>
      </c>
      <c r="W252" s="41" t="s">
        <v>4660</v>
      </c>
      <c r="AF252" s="471" t="s">
        <v>6139</v>
      </c>
      <c r="AG252" s="398">
        <v>156000</v>
      </c>
      <c r="AH252" s="398">
        <v>60503.56</v>
      </c>
      <c r="AJ252"/>
    </row>
    <row r="253" spans="1:36" ht="19.5" customHeight="1">
      <c r="A253" s="25">
        <v>252</v>
      </c>
      <c r="B253" s="401">
        <v>5604447</v>
      </c>
      <c r="C253" s="466" t="s">
        <v>6134</v>
      </c>
      <c r="D253" s="395"/>
      <c r="E253" s="395">
        <v>14215.44</v>
      </c>
      <c r="F253" s="290">
        <v>1234521</v>
      </c>
      <c r="G253" s="466" t="s">
        <v>6165</v>
      </c>
      <c r="H253" s="395"/>
      <c r="I253" s="395">
        <v>14215.44</v>
      </c>
      <c r="J253" s="62" t="s">
        <v>5242</v>
      </c>
      <c r="K253" s="467" t="s">
        <v>34</v>
      </c>
      <c r="L253" s="472"/>
      <c r="M253" s="36" t="s">
        <v>6184</v>
      </c>
      <c r="N253" s="398"/>
      <c r="P253" t="s">
        <v>6185</v>
      </c>
      <c r="R253" s="454" t="s">
        <v>6186</v>
      </c>
      <c r="S253" s="468" t="s">
        <v>6187</v>
      </c>
      <c r="AF253" s="471" t="s">
        <v>6139</v>
      </c>
      <c r="AG253" s="417">
        <v>143517</v>
      </c>
      <c r="AH253" s="417">
        <v>18926.509999999998</v>
      </c>
      <c r="AJ253"/>
    </row>
    <row r="254" spans="1:36" ht="19.5" customHeight="1">
      <c r="A254" s="25">
        <v>253</v>
      </c>
      <c r="B254" s="401">
        <v>5605204</v>
      </c>
      <c r="C254" s="466" t="s">
        <v>5694</v>
      </c>
      <c r="D254" s="395"/>
      <c r="E254" s="395">
        <v>29515.83</v>
      </c>
      <c r="F254" s="290">
        <v>1235393</v>
      </c>
      <c r="G254" s="283" t="s">
        <v>6165</v>
      </c>
      <c r="H254" s="395"/>
      <c r="I254" s="395">
        <v>29515.83</v>
      </c>
      <c r="J254" s="62" t="s">
        <v>5242</v>
      </c>
      <c r="K254" s="467" t="s">
        <v>34</v>
      </c>
      <c r="M254" s="36" t="s">
        <v>6188</v>
      </c>
      <c r="N254" s="398"/>
      <c r="P254" t="s">
        <v>6172</v>
      </c>
      <c r="R254" s="454" t="s">
        <v>6173</v>
      </c>
      <c r="S254" s="468" t="s">
        <v>6174</v>
      </c>
      <c r="AF254" s="471" t="s">
        <v>6139</v>
      </c>
      <c r="AG254" s="330" t="s">
        <v>141</v>
      </c>
      <c r="AH254" s="330" t="s">
        <v>141</v>
      </c>
      <c r="AJ254"/>
    </row>
    <row r="255" spans="1:36" ht="19.5" customHeight="1">
      <c r="A255" s="25">
        <v>254</v>
      </c>
      <c r="B255" s="401">
        <v>5605219</v>
      </c>
      <c r="C255" s="466" t="s">
        <v>5694</v>
      </c>
      <c r="D255" s="395"/>
      <c r="E255" s="395">
        <v>260183.7</v>
      </c>
      <c r="F255" s="290">
        <v>1237063</v>
      </c>
      <c r="G255" s="283" t="s">
        <v>6189</v>
      </c>
      <c r="H255" s="395"/>
      <c r="I255" s="395">
        <v>260183.7</v>
      </c>
      <c r="J255" s="62" t="s">
        <v>5242</v>
      </c>
      <c r="K255" s="467" t="s">
        <v>34</v>
      </c>
      <c r="M255" s="36" t="s">
        <v>6190</v>
      </c>
      <c r="N255" s="398"/>
      <c r="P255" t="s">
        <v>6191</v>
      </c>
      <c r="R255" s="454" t="s">
        <v>5670</v>
      </c>
      <c r="S255" s="468" t="s">
        <v>6113</v>
      </c>
      <c r="AF255" s="471" t="s">
        <v>6117</v>
      </c>
      <c r="AG255" s="417">
        <v>385000</v>
      </c>
      <c r="AH255" s="417">
        <v>260876</v>
      </c>
      <c r="AJ255"/>
    </row>
    <row r="256" spans="1:36" ht="19.5" customHeight="1">
      <c r="A256" s="25">
        <v>255</v>
      </c>
      <c r="B256" s="401">
        <v>5606470</v>
      </c>
      <c r="C256" s="466" t="s">
        <v>6192</v>
      </c>
      <c r="D256" s="395"/>
      <c r="E256" s="395">
        <v>8902.85</v>
      </c>
      <c r="F256" s="290">
        <v>1235049</v>
      </c>
      <c r="G256" s="283" t="s">
        <v>6189</v>
      </c>
      <c r="H256" s="395"/>
      <c r="I256" s="395">
        <v>8902.85</v>
      </c>
      <c r="J256" s="62" t="s">
        <v>5242</v>
      </c>
      <c r="K256" s="467" t="s">
        <v>34</v>
      </c>
      <c r="M256" s="36" t="s">
        <v>6193</v>
      </c>
      <c r="N256" s="398"/>
      <c r="P256" t="s">
        <v>6194</v>
      </c>
      <c r="R256" s="454" t="s">
        <v>6056</v>
      </c>
      <c r="S256" s="468" t="s">
        <v>6057</v>
      </c>
      <c r="AF256" s="471" t="s">
        <v>6117</v>
      </c>
      <c r="AG256" s="417">
        <v>82616</v>
      </c>
      <c r="AH256" s="417">
        <v>9165.4699999999993</v>
      </c>
      <c r="AJ256"/>
    </row>
    <row r="257" spans="1:36" ht="19.5" customHeight="1">
      <c r="A257" s="25">
        <v>256</v>
      </c>
      <c r="B257" s="401">
        <v>5606496</v>
      </c>
      <c r="C257" s="466" t="s">
        <v>6192</v>
      </c>
      <c r="D257" s="395"/>
      <c r="E257" s="395">
        <v>312540.95</v>
      </c>
      <c r="F257" s="290">
        <v>1234999</v>
      </c>
      <c r="G257" s="283" t="s">
        <v>6195</v>
      </c>
      <c r="H257" s="395"/>
      <c r="I257" s="395">
        <v>312540.95</v>
      </c>
      <c r="J257" s="62" t="s">
        <v>5242</v>
      </c>
      <c r="K257" s="467" t="s">
        <v>34</v>
      </c>
      <c r="L257" s="472"/>
      <c r="M257" s="36" t="s">
        <v>6196</v>
      </c>
      <c r="N257" s="398"/>
      <c r="P257" t="s">
        <v>6197</v>
      </c>
      <c r="R257" s="454" t="s">
        <v>5670</v>
      </c>
      <c r="S257" s="468" t="s">
        <v>5610</v>
      </c>
      <c r="AF257" s="471" t="s">
        <v>6139</v>
      </c>
      <c r="AG257" s="417">
        <v>452412</v>
      </c>
      <c r="AH257" s="417">
        <v>341501.86</v>
      </c>
      <c r="AJ257"/>
    </row>
    <row r="258" spans="1:36" ht="19.5" customHeight="1">
      <c r="A258" s="25">
        <v>257</v>
      </c>
      <c r="B258" s="401">
        <v>5607099</v>
      </c>
      <c r="C258" s="466" t="s">
        <v>6198</v>
      </c>
      <c r="D258" s="395"/>
      <c r="E258" s="395">
        <v>52.26</v>
      </c>
      <c r="F258" s="290">
        <v>1235050</v>
      </c>
      <c r="G258" s="283" t="s">
        <v>6195</v>
      </c>
      <c r="H258" s="395"/>
      <c r="I258" s="395">
        <v>52.26</v>
      </c>
      <c r="J258" s="62" t="s">
        <v>5242</v>
      </c>
      <c r="K258" s="467" t="s">
        <v>34</v>
      </c>
      <c r="M258" s="36" t="s">
        <v>6199</v>
      </c>
      <c r="N258" s="398"/>
      <c r="P258" s="67" t="s">
        <v>5244</v>
      </c>
      <c r="Q258" s="67"/>
      <c r="R258" s="454" t="s">
        <v>6148</v>
      </c>
      <c r="S258" s="468" t="s">
        <v>6200</v>
      </c>
      <c r="AF258" s="471" t="s">
        <v>6139</v>
      </c>
      <c r="AG258" s="330" t="s">
        <v>141</v>
      </c>
      <c r="AH258" s="330" t="s">
        <v>141</v>
      </c>
      <c r="AJ258"/>
    </row>
    <row r="259" spans="1:36" ht="19.5" customHeight="1">
      <c r="A259" s="25">
        <v>258</v>
      </c>
      <c r="B259" s="401">
        <v>5607147</v>
      </c>
      <c r="C259" s="466" t="s">
        <v>6198</v>
      </c>
      <c r="D259" s="395"/>
      <c r="E259" s="395">
        <v>4774.6899999999996</v>
      </c>
      <c r="F259" s="290">
        <v>1235758</v>
      </c>
      <c r="G259" s="283" t="s">
        <v>6165</v>
      </c>
      <c r="H259" s="395"/>
      <c r="I259" s="395">
        <v>4774.6899999999996</v>
      </c>
      <c r="J259" s="62" t="s">
        <v>5242</v>
      </c>
      <c r="K259" s="467" t="s">
        <v>34</v>
      </c>
      <c r="M259" s="36" t="s">
        <v>6201</v>
      </c>
      <c r="N259" s="398"/>
      <c r="P259" t="s">
        <v>6202</v>
      </c>
      <c r="R259" s="454" t="s">
        <v>5525</v>
      </c>
      <c r="S259" s="468" t="s">
        <v>6203</v>
      </c>
      <c r="AF259" s="471" t="s">
        <v>6139</v>
      </c>
      <c r="AG259" s="417">
        <v>32448</v>
      </c>
      <c r="AH259" s="417">
        <v>8729.83</v>
      </c>
      <c r="AJ259"/>
    </row>
    <row r="260" spans="1:36" ht="19.5" customHeight="1">
      <c r="A260" s="25">
        <v>259</v>
      </c>
      <c r="B260" s="401">
        <v>5607164</v>
      </c>
      <c r="C260" s="466" t="s">
        <v>6198</v>
      </c>
      <c r="D260" s="395"/>
      <c r="E260" s="395">
        <v>6300</v>
      </c>
      <c r="F260" s="290">
        <v>1235575</v>
      </c>
      <c r="G260" s="283" t="s">
        <v>6204</v>
      </c>
      <c r="H260" s="395"/>
      <c r="I260" s="395">
        <v>6300</v>
      </c>
      <c r="J260" s="62" t="s">
        <v>5242</v>
      </c>
      <c r="K260" s="467" t="s">
        <v>5859</v>
      </c>
      <c r="M260" s="36" t="s">
        <v>6205</v>
      </c>
      <c r="N260" s="398"/>
      <c r="P260" t="s">
        <v>6161</v>
      </c>
      <c r="R260" s="454" t="s">
        <v>141</v>
      </c>
      <c r="S260" s="468" t="s">
        <v>141</v>
      </c>
      <c r="AF260" s="471" t="s">
        <v>6206</v>
      </c>
      <c r="AG260" s="330" t="s">
        <v>141</v>
      </c>
      <c r="AH260" s="330" t="s">
        <v>141</v>
      </c>
      <c r="AJ260"/>
    </row>
    <row r="261" spans="1:36" ht="19.5" customHeight="1">
      <c r="A261" s="25">
        <v>260</v>
      </c>
      <c r="B261" s="401">
        <v>5607198</v>
      </c>
      <c r="C261" s="466" t="s">
        <v>6198</v>
      </c>
      <c r="D261" s="395"/>
      <c r="E261" s="395">
        <v>79474.37</v>
      </c>
      <c r="F261" s="290">
        <v>1235760</v>
      </c>
      <c r="G261" s="283" t="s">
        <v>6165</v>
      </c>
      <c r="H261" s="395"/>
      <c r="I261" s="395">
        <v>79474.37</v>
      </c>
      <c r="J261" s="62" t="s">
        <v>5242</v>
      </c>
      <c r="K261" s="467" t="s">
        <v>34</v>
      </c>
      <c r="L261" s="472"/>
      <c r="M261" s="36" t="s">
        <v>6207</v>
      </c>
      <c r="N261" s="398"/>
      <c r="P261" t="s">
        <v>6208</v>
      </c>
      <c r="R261" s="454" t="s">
        <v>6173</v>
      </c>
      <c r="S261" s="468" t="s">
        <v>6174</v>
      </c>
      <c r="AF261" s="471" t="s">
        <v>6139</v>
      </c>
      <c r="AG261" s="417">
        <v>143959</v>
      </c>
      <c r="AH261" s="417">
        <v>105934.61</v>
      </c>
      <c r="AJ261"/>
    </row>
    <row r="262" spans="1:36" ht="19.5" customHeight="1">
      <c r="A262" s="25">
        <v>261</v>
      </c>
      <c r="C262" s="466" t="s">
        <v>6154</v>
      </c>
      <c r="D262" s="395"/>
      <c r="E262" s="395">
        <v>2300</v>
      </c>
      <c r="F262" s="290">
        <v>1234711</v>
      </c>
      <c r="G262" s="283" t="s">
        <v>5861</v>
      </c>
      <c r="H262" s="395"/>
      <c r="I262" s="395">
        <v>2300</v>
      </c>
      <c r="J262" s="62" t="s">
        <v>5242</v>
      </c>
      <c r="K262" s="467" t="s">
        <v>6209</v>
      </c>
      <c r="M262" s="36" t="s">
        <v>6210</v>
      </c>
      <c r="N262" s="398"/>
      <c r="P262" s="67" t="s">
        <v>5257</v>
      </c>
      <c r="Q262" s="67"/>
      <c r="R262" s="454" t="s">
        <v>141</v>
      </c>
      <c r="S262" s="468" t="s">
        <v>141</v>
      </c>
      <c r="AF262" s="471" t="s">
        <v>6211</v>
      </c>
      <c r="AG262" s="330" t="s">
        <v>141</v>
      </c>
      <c r="AH262" s="330" t="s">
        <v>141</v>
      </c>
      <c r="AJ262"/>
    </row>
    <row r="263" spans="1:36" ht="19.5" customHeight="1">
      <c r="A263" s="25">
        <v>262</v>
      </c>
      <c r="B263" s="401">
        <v>5610348</v>
      </c>
      <c r="C263" s="466" t="s">
        <v>6181</v>
      </c>
      <c r="D263" s="395"/>
      <c r="E263" s="395">
        <v>32661.759999999998</v>
      </c>
      <c r="F263" s="290">
        <v>1237653</v>
      </c>
      <c r="G263" s="466" t="s">
        <v>6212</v>
      </c>
      <c r="H263" s="395"/>
      <c r="I263" s="395">
        <v>32661.759999999998</v>
      </c>
      <c r="J263" s="62" t="s">
        <v>5242</v>
      </c>
      <c r="K263" s="467" t="s">
        <v>34</v>
      </c>
      <c r="L263" s="472"/>
      <c r="M263" s="36" t="s">
        <v>6213</v>
      </c>
      <c r="N263" s="398"/>
      <c r="P263" t="s">
        <v>6214</v>
      </c>
      <c r="R263" s="478" t="s">
        <v>6181</v>
      </c>
      <c r="S263" s="468" t="s">
        <v>6215</v>
      </c>
      <c r="AF263" s="471" t="s">
        <v>6117</v>
      </c>
      <c r="AG263" s="330" t="s">
        <v>141</v>
      </c>
      <c r="AH263" s="330" t="s">
        <v>141</v>
      </c>
      <c r="AJ263"/>
    </row>
    <row r="264" spans="1:36" ht="19.5" customHeight="1">
      <c r="A264" s="25">
        <v>263</v>
      </c>
      <c r="B264" s="401">
        <v>5614133</v>
      </c>
      <c r="C264" s="466" t="s">
        <v>6216</v>
      </c>
      <c r="D264" s="395"/>
      <c r="E264" s="395">
        <v>4813.25</v>
      </c>
      <c r="F264" s="290">
        <v>1243791</v>
      </c>
      <c r="G264" s="473" t="s">
        <v>6217</v>
      </c>
      <c r="H264" s="395"/>
      <c r="I264" s="395">
        <v>4813.25</v>
      </c>
      <c r="J264" s="62" t="s">
        <v>5242</v>
      </c>
      <c r="K264" s="467" t="s">
        <v>34</v>
      </c>
      <c r="L264" s="472"/>
      <c r="M264" s="36" t="s">
        <v>5717</v>
      </c>
      <c r="N264" s="398"/>
      <c r="P264" t="s">
        <v>6218</v>
      </c>
      <c r="R264" s="454" t="s">
        <v>6029</v>
      </c>
      <c r="S264" s="468" t="s">
        <v>6132</v>
      </c>
      <c r="AF264" s="471" t="s">
        <v>6219</v>
      </c>
      <c r="AG264" s="417">
        <v>16360</v>
      </c>
      <c r="AH264" s="417">
        <v>3872.54</v>
      </c>
      <c r="AJ264"/>
    </row>
    <row r="265" spans="1:36" ht="19.5" customHeight="1">
      <c r="A265" s="25">
        <v>264</v>
      </c>
      <c r="B265" s="401">
        <v>5614186</v>
      </c>
      <c r="C265" s="466" t="s">
        <v>6216</v>
      </c>
      <c r="D265" s="395"/>
      <c r="E265" s="395">
        <v>12931.42</v>
      </c>
      <c r="F265" s="290">
        <v>1238801</v>
      </c>
      <c r="G265" s="283" t="s">
        <v>6220</v>
      </c>
      <c r="H265" s="395"/>
      <c r="I265" s="395">
        <v>12931.42</v>
      </c>
      <c r="J265" s="62" t="s">
        <v>5242</v>
      </c>
      <c r="K265" s="467" t="s">
        <v>5737</v>
      </c>
      <c r="M265" s="36" t="s">
        <v>6221</v>
      </c>
      <c r="N265" s="398"/>
      <c r="P265" t="s">
        <v>6222</v>
      </c>
      <c r="R265" s="454" t="s">
        <v>6223</v>
      </c>
      <c r="S265" s="468" t="s">
        <v>6224</v>
      </c>
      <c r="AF265" s="471" t="s">
        <v>6175</v>
      </c>
      <c r="AG265" s="398">
        <v>18500</v>
      </c>
      <c r="AH265" s="398">
        <v>12931.42</v>
      </c>
      <c r="AJ265"/>
    </row>
    <row r="266" spans="1:36" ht="19.5" customHeight="1">
      <c r="A266" s="25">
        <v>265</v>
      </c>
      <c r="B266" s="401">
        <v>5615445</v>
      </c>
      <c r="C266" s="466" t="s">
        <v>6225</v>
      </c>
      <c r="D266" s="395"/>
      <c r="E266" s="395">
        <v>28339.73</v>
      </c>
      <c r="F266" s="290">
        <v>1239857</v>
      </c>
      <c r="G266" s="283" t="s">
        <v>5705</v>
      </c>
      <c r="H266" s="395"/>
      <c r="I266" s="395">
        <v>28339.73</v>
      </c>
      <c r="J266" s="62" t="s">
        <v>5242</v>
      </c>
      <c r="K266" s="467" t="s">
        <v>34</v>
      </c>
      <c r="M266" s="36" t="s">
        <v>6226</v>
      </c>
      <c r="N266" s="398"/>
      <c r="P266" t="s">
        <v>6227</v>
      </c>
      <c r="R266" s="454" t="s">
        <v>5670</v>
      </c>
      <c r="S266" s="468" t="s">
        <v>6113</v>
      </c>
      <c r="AF266" s="471" t="s">
        <v>6219</v>
      </c>
      <c r="AG266" s="398">
        <v>116113</v>
      </c>
      <c r="AH266" s="398">
        <v>54469.19</v>
      </c>
      <c r="AJ266"/>
    </row>
    <row r="267" spans="1:36" ht="19.5" customHeight="1">
      <c r="A267" s="25">
        <v>266</v>
      </c>
      <c r="B267" s="401">
        <v>5615474</v>
      </c>
      <c r="C267" s="466" t="s">
        <v>6225</v>
      </c>
      <c r="D267" s="395"/>
      <c r="E267" s="395">
        <v>716.42</v>
      </c>
      <c r="F267" s="290">
        <v>1239847</v>
      </c>
      <c r="G267" s="283" t="s">
        <v>5771</v>
      </c>
      <c r="H267" s="395"/>
      <c r="I267" s="395">
        <v>716.42</v>
      </c>
      <c r="J267" s="62" t="s">
        <v>5242</v>
      </c>
      <c r="K267" s="467" t="s">
        <v>34</v>
      </c>
      <c r="M267" s="36" t="s">
        <v>6228</v>
      </c>
      <c r="N267" s="398"/>
      <c r="P267" t="s">
        <v>6229</v>
      </c>
      <c r="R267" s="454" t="s">
        <v>6230</v>
      </c>
      <c r="S267" s="468" t="s">
        <v>6231</v>
      </c>
      <c r="AF267" s="471" t="s">
        <v>6117</v>
      </c>
      <c r="AG267" s="417">
        <v>3300</v>
      </c>
      <c r="AH267" s="417">
        <v>725.5</v>
      </c>
      <c r="AJ267"/>
    </row>
    <row r="268" spans="1:36" ht="19.5" customHeight="1">
      <c r="A268" s="25">
        <v>267</v>
      </c>
      <c r="B268" s="401">
        <v>5616626</v>
      </c>
      <c r="C268" s="466" t="s">
        <v>6165</v>
      </c>
      <c r="D268" s="395"/>
      <c r="E268" s="395">
        <v>71007.19</v>
      </c>
      <c r="F268" s="290">
        <v>1245808</v>
      </c>
      <c r="G268" s="283" t="s">
        <v>5785</v>
      </c>
      <c r="H268" s="395"/>
      <c r="I268" s="395">
        <v>71007.19</v>
      </c>
      <c r="J268" s="62" t="s">
        <v>5242</v>
      </c>
      <c r="K268" s="467" t="s">
        <v>34</v>
      </c>
      <c r="L268" s="472"/>
      <c r="M268" s="36" t="s">
        <v>6232</v>
      </c>
      <c r="N268" s="398"/>
      <c r="P268" t="s">
        <v>6233</v>
      </c>
      <c r="R268" s="454" t="s">
        <v>5670</v>
      </c>
      <c r="S268" s="468" t="s">
        <v>6113</v>
      </c>
      <c r="AF268" s="471" t="s">
        <v>6059</v>
      </c>
      <c r="AG268" s="398">
        <v>362224</v>
      </c>
      <c r="AH268" s="398">
        <v>82611.05</v>
      </c>
      <c r="AJ268"/>
    </row>
    <row r="269" spans="1:36" ht="19.5" customHeight="1">
      <c r="A269" s="25">
        <v>268</v>
      </c>
      <c r="B269" s="401">
        <v>5617943</v>
      </c>
      <c r="C269" s="466" t="s">
        <v>6212</v>
      </c>
      <c r="D269" s="395"/>
      <c r="E269" s="395">
        <v>20844.59</v>
      </c>
      <c r="F269" s="290">
        <v>1241517</v>
      </c>
      <c r="G269" s="283" t="s">
        <v>6234</v>
      </c>
      <c r="H269" s="395"/>
      <c r="I269" s="395">
        <v>20844.59</v>
      </c>
      <c r="J269" s="62" t="s">
        <v>5242</v>
      </c>
      <c r="K269" s="467" t="s">
        <v>34</v>
      </c>
      <c r="M269" s="36" t="s">
        <v>6235</v>
      </c>
      <c r="N269" s="398"/>
      <c r="P269" t="s">
        <v>6236</v>
      </c>
      <c r="R269" s="454" t="s">
        <v>5602</v>
      </c>
      <c r="S269" s="468" t="s">
        <v>6237</v>
      </c>
      <c r="AF269" s="471" t="s">
        <v>6219</v>
      </c>
      <c r="AG269" s="417">
        <v>43450</v>
      </c>
      <c r="AH269" s="417">
        <v>6732</v>
      </c>
      <c r="AJ269"/>
    </row>
    <row r="270" spans="1:36" ht="19.5" customHeight="1">
      <c r="A270" s="25">
        <v>269</v>
      </c>
      <c r="B270" s="401">
        <v>5617953</v>
      </c>
      <c r="C270" s="466" t="s">
        <v>6212</v>
      </c>
      <c r="D270" s="395"/>
      <c r="E270" s="395">
        <v>85856.84</v>
      </c>
      <c r="F270" s="290">
        <v>1239980</v>
      </c>
      <c r="G270" s="283" t="s">
        <v>5775</v>
      </c>
      <c r="H270" s="395"/>
      <c r="I270" s="395">
        <v>85856.84</v>
      </c>
      <c r="J270" s="62" t="s">
        <v>5242</v>
      </c>
      <c r="K270" s="467" t="s">
        <v>34</v>
      </c>
      <c r="M270" s="36" t="s">
        <v>6238</v>
      </c>
      <c r="N270" s="398"/>
      <c r="P270" t="s">
        <v>6239</v>
      </c>
      <c r="R270" s="454" t="s">
        <v>6240</v>
      </c>
      <c r="S270" s="468" t="s">
        <v>6241</v>
      </c>
      <c r="AF270" s="471" t="s">
        <v>6219</v>
      </c>
      <c r="AG270" s="417">
        <v>292750</v>
      </c>
      <c r="AH270" s="417">
        <v>88353.48</v>
      </c>
      <c r="AJ270"/>
    </row>
    <row r="271" spans="1:36" ht="19.5" customHeight="1">
      <c r="A271" s="25">
        <v>270</v>
      </c>
      <c r="B271" s="401">
        <v>5618575</v>
      </c>
      <c r="C271" s="466" t="s">
        <v>6242</v>
      </c>
      <c r="D271" s="395"/>
      <c r="E271" s="395">
        <v>22487.97</v>
      </c>
      <c r="F271" s="290">
        <v>1239865</v>
      </c>
      <c r="G271" s="283" t="s">
        <v>6243</v>
      </c>
      <c r="H271" s="395"/>
      <c r="I271" s="395">
        <v>22487.97</v>
      </c>
      <c r="J271" s="62" t="s">
        <v>5242</v>
      </c>
      <c r="K271" s="467" t="s">
        <v>34</v>
      </c>
      <c r="M271" s="36" t="s">
        <v>5713</v>
      </c>
      <c r="N271" s="398"/>
      <c r="P271" t="s">
        <v>6244</v>
      </c>
      <c r="R271" s="454" t="s">
        <v>5653</v>
      </c>
      <c r="S271" s="468" t="s">
        <v>6245</v>
      </c>
      <c r="AF271" s="471" t="s">
        <v>6219</v>
      </c>
      <c r="AG271" s="398">
        <v>100291</v>
      </c>
      <c r="AH271" s="398">
        <v>28033.759999999998</v>
      </c>
      <c r="AJ271"/>
    </row>
    <row r="272" spans="1:36" ht="19.5" customHeight="1">
      <c r="A272" s="25">
        <v>271</v>
      </c>
      <c r="B272" s="401">
        <v>5618636</v>
      </c>
      <c r="C272" s="466" t="s">
        <v>6242</v>
      </c>
      <c r="D272" s="395"/>
      <c r="E272" s="395">
        <v>355.89</v>
      </c>
      <c r="F272" s="290">
        <v>1239861</v>
      </c>
      <c r="G272" s="283" t="s">
        <v>6243</v>
      </c>
      <c r="H272" s="395"/>
      <c r="I272" s="395">
        <v>355.89</v>
      </c>
      <c r="J272" s="62" t="s">
        <v>5242</v>
      </c>
      <c r="K272" s="467" t="s">
        <v>34</v>
      </c>
      <c r="M272" s="36" t="s">
        <v>6246</v>
      </c>
      <c r="N272" s="398"/>
      <c r="P272" t="s">
        <v>6244</v>
      </c>
      <c r="R272" s="454" t="s">
        <v>5653</v>
      </c>
      <c r="S272" s="468" t="s">
        <v>6245</v>
      </c>
      <c r="AF272" s="471" t="s">
        <v>6117</v>
      </c>
      <c r="AG272" s="330" t="s">
        <v>141</v>
      </c>
      <c r="AH272" s="330" t="s">
        <v>141</v>
      </c>
      <c r="AJ272"/>
    </row>
    <row r="273" spans="1:36" ht="19.5" customHeight="1">
      <c r="A273" s="25">
        <v>272</v>
      </c>
      <c r="B273" s="401">
        <v>5621141</v>
      </c>
      <c r="C273" s="466" t="s">
        <v>6247</v>
      </c>
      <c r="D273" s="395"/>
      <c r="E273" s="395">
        <v>44431.22</v>
      </c>
      <c r="F273" s="290">
        <v>1241983</v>
      </c>
      <c r="G273" s="283" t="s">
        <v>6234</v>
      </c>
      <c r="H273" s="395"/>
      <c r="I273" s="395">
        <v>44431.22</v>
      </c>
      <c r="J273" s="62" t="s">
        <v>5242</v>
      </c>
      <c r="K273" s="467" t="s">
        <v>34</v>
      </c>
      <c r="M273" s="36" t="s">
        <v>6248</v>
      </c>
      <c r="N273" s="398"/>
      <c r="P273" t="s">
        <v>6249</v>
      </c>
      <c r="R273" s="454" t="s">
        <v>5519</v>
      </c>
      <c r="S273" s="468" t="s">
        <v>5871</v>
      </c>
      <c r="AF273" s="471" t="s">
        <v>6219</v>
      </c>
      <c r="AG273" s="417">
        <v>50624</v>
      </c>
      <c r="AH273" s="417">
        <v>44701.8</v>
      </c>
      <c r="AJ273"/>
    </row>
    <row r="274" spans="1:36" ht="19.5" customHeight="1">
      <c r="A274" s="25">
        <v>273</v>
      </c>
      <c r="B274" s="401">
        <v>5627001</v>
      </c>
      <c r="C274" s="466" t="s">
        <v>6234</v>
      </c>
      <c r="D274" s="395"/>
      <c r="E274" s="395">
        <v>178.06</v>
      </c>
      <c r="F274" s="290">
        <v>1243006</v>
      </c>
      <c r="G274" s="283" t="s">
        <v>6250</v>
      </c>
      <c r="H274" s="395"/>
      <c r="I274" s="395">
        <v>178.06</v>
      </c>
      <c r="J274" s="62" t="s">
        <v>5242</v>
      </c>
      <c r="K274" s="467" t="s">
        <v>34</v>
      </c>
      <c r="L274" s="486"/>
      <c r="M274" s="36" t="s">
        <v>6251</v>
      </c>
      <c r="N274" s="398"/>
      <c r="P274" s="488" t="s">
        <v>5244</v>
      </c>
      <c r="Q274" s="488"/>
      <c r="R274" s="478" t="s">
        <v>6234</v>
      </c>
      <c r="S274" s="468" t="s">
        <v>6252</v>
      </c>
      <c r="AF274" s="471" t="s">
        <v>6219</v>
      </c>
      <c r="AG274" s="330" t="s">
        <v>141</v>
      </c>
      <c r="AH274" s="330" t="s">
        <v>141</v>
      </c>
      <c r="AJ274"/>
    </row>
    <row r="275" spans="1:36" ht="19.5" customHeight="1">
      <c r="A275" s="25">
        <v>274</v>
      </c>
      <c r="C275" s="466" t="s">
        <v>5775</v>
      </c>
      <c r="D275" s="395"/>
      <c r="E275" s="395">
        <v>390</v>
      </c>
      <c r="F275" s="290">
        <v>1243476</v>
      </c>
      <c r="G275" s="283" t="s">
        <v>5775</v>
      </c>
      <c r="H275" s="395"/>
      <c r="I275" s="395">
        <v>390</v>
      </c>
      <c r="J275" s="62" t="s">
        <v>5242</v>
      </c>
      <c r="K275" s="467" t="s">
        <v>193</v>
      </c>
      <c r="L275" s="486"/>
      <c r="M275" s="36" t="s">
        <v>6253</v>
      </c>
      <c r="N275" s="398"/>
      <c r="P275" s="488" t="s">
        <v>5257</v>
      </c>
      <c r="Q275" s="488"/>
      <c r="R275" s="478" t="s">
        <v>141</v>
      </c>
      <c r="S275" s="468" t="s">
        <v>141</v>
      </c>
      <c r="W275" s="41" t="s">
        <v>4660</v>
      </c>
      <c r="AF275" s="471" t="s">
        <v>6254</v>
      </c>
      <c r="AG275" s="330" t="s">
        <v>141</v>
      </c>
      <c r="AH275" s="330" t="s">
        <v>141</v>
      </c>
      <c r="AJ275"/>
    </row>
    <row r="276" spans="1:36" ht="19.5" customHeight="1">
      <c r="A276" s="25">
        <v>275</v>
      </c>
      <c r="C276" s="466" t="s">
        <v>5775</v>
      </c>
      <c r="D276" s="395"/>
      <c r="E276" s="395">
        <v>1600</v>
      </c>
      <c r="F276" s="290">
        <v>1243493</v>
      </c>
      <c r="G276" s="466" t="s">
        <v>5775</v>
      </c>
      <c r="H276" s="395"/>
      <c r="I276" s="395">
        <v>1600</v>
      </c>
      <c r="J276" s="62" t="s">
        <v>5242</v>
      </c>
      <c r="K276" s="467" t="s">
        <v>5859</v>
      </c>
      <c r="L276" s="472"/>
      <c r="M276" s="36" t="s">
        <v>6255</v>
      </c>
      <c r="N276" s="398"/>
      <c r="P276" s="67" t="s">
        <v>6256</v>
      </c>
      <c r="Q276" s="67"/>
      <c r="R276" s="454" t="s">
        <v>141</v>
      </c>
      <c r="S276" s="468" t="s">
        <v>141</v>
      </c>
      <c r="AF276" s="471" t="s">
        <v>6254</v>
      </c>
      <c r="AG276" s="330" t="s">
        <v>141</v>
      </c>
      <c r="AH276" s="330" t="s">
        <v>141</v>
      </c>
      <c r="AJ276"/>
    </row>
    <row r="277" spans="1:36" ht="19.5" customHeight="1">
      <c r="A277" s="25">
        <v>276</v>
      </c>
      <c r="B277" s="401">
        <v>5630567</v>
      </c>
      <c r="C277" s="466" t="s">
        <v>6257</v>
      </c>
      <c r="D277" s="395"/>
      <c r="E277" s="395">
        <v>61.72</v>
      </c>
      <c r="F277" s="290">
        <v>1245085</v>
      </c>
      <c r="G277" s="283" t="s">
        <v>6258</v>
      </c>
      <c r="H277" s="395"/>
      <c r="I277" s="395">
        <v>61.72</v>
      </c>
      <c r="J277" s="62" t="s">
        <v>5242</v>
      </c>
      <c r="K277" s="467" t="s">
        <v>34</v>
      </c>
      <c r="M277" s="36" t="s">
        <v>6095</v>
      </c>
      <c r="N277" s="398"/>
      <c r="P277" s="67" t="s">
        <v>5244</v>
      </c>
      <c r="Q277" s="67"/>
      <c r="R277" s="454" t="s">
        <v>141</v>
      </c>
      <c r="S277" s="468" t="s">
        <v>141</v>
      </c>
      <c r="AF277" s="471" t="s">
        <v>6219</v>
      </c>
      <c r="AG277" s="330" t="s">
        <v>141</v>
      </c>
      <c r="AH277" s="330" t="s">
        <v>141</v>
      </c>
      <c r="AJ277"/>
    </row>
    <row r="278" spans="1:36" ht="19.5" customHeight="1">
      <c r="A278" s="25">
        <v>277</v>
      </c>
      <c r="B278" s="401">
        <v>5631295</v>
      </c>
      <c r="C278" s="466" t="s">
        <v>6259</v>
      </c>
      <c r="D278" s="395"/>
      <c r="E278" s="395">
        <v>76315.360000000001</v>
      </c>
      <c r="F278" s="290">
        <v>1246246</v>
      </c>
      <c r="G278" s="283" t="s">
        <v>6260</v>
      </c>
      <c r="H278" s="395"/>
      <c r="I278" s="395">
        <v>76315.360000000001</v>
      </c>
      <c r="J278" s="62" t="s">
        <v>5242</v>
      </c>
      <c r="K278" s="467" t="s">
        <v>34</v>
      </c>
      <c r="M278" s="36" t="s">
        <v>6261</v>
      </c>
      <c r="N278" s="398"/>
      <c r="P278" t="s">
        <v>6262</v>
      </c>
      <c r="R278" s="454" t="s">
        <v>6263</v>
      </c>
      <c r="S278" s="468" t="s">
        <v>6264</v>
      </c>
      <c r="AF278" s="471" t="s">
        <v>6219</v>
      </c>
      <c r="AG278" s="417">
        <v>94540</v>
      </c>
      <c r="AH278" s="417">
        <v>76772.759999999995</v>
      </c>
      <c r="AJ278"/>
    </row>
    <row r="279" spans="1:36" ht="19.5" customHeight="1">
      <c r="A279" s="25">
        <v>278</v>
      </c>
      <c r="B279" s="401">
        <v>5635092</v>
      </c>
      <c r="C279" s="466" t="s">
        <v>5785</v>
      </c>
      <c r="D279" s="395"/>
      <c r="E279" s="395">
        <v>11814.85</v>
      </c>
      <c r="F279" s="290">
        <v>1247248</v>
      </c>
      <c r="G279" s="283" t="s">
        <v>5790</v>
      </c>
      <c r="H279" s="395"/>
      <c r="I279" s="395">
        <v>11814.85</v>
      </c>
      <c r="J279" s="62" t="s">
        <v>5242</v>
      </c>
      <c r="K279" s="467" t="s">
        <v>34</v>
      </c>
      <c r="M279" s="36" t="s">
        <v>6265</v>
      </c>
      <c r="N279" s="398"/>
      <c r="P279" t="s">
        <v>6266</v>
      </c>
      <c r="R279" s="454" t="s">
        <v>5715</v>
      </c>
      <c r="S279" s="468" t="s">
        <v>6267</v>
      </c>
      <c r="AF279" s="471" t="s">
        <v>6219</v>
      </c>
      <c r="AG279" s="417">
        <v>60354</v>
      </c>
      <c r="AH279" s="417">
        <v>13256.3</v>
      </c>
      <c r="AJ279"/>
    </row>
    <row r="280" spans="1:36" ht="19.5" customHeight="1">
      <c r="A280" s="25">
        <v>279</v>
      </c>
      <c r="B280" s="401">
        <v>5639046</v>
      </c>
      <c r="C280" s="466" t="s">
        <v>6260</v>
      </c>
      <c r="D280" s="395"/>
      <c r="E280" s="395">
        <v>277.82</v>
      </c>
      <c r="F280" s="290">
        <v>1249330</v>
      </c>
      <c r="G280" s="283" t="s">
        <v>5802</v>
      </c>
      <c r="H280" s="395"/>
      <c r="I280" s="395">
        <v>277.82</v>
      </c>
      <c r="J280" s="62" t="s">
        <v>5242</v>
      </c>
      <c r="K280" s="467" t="s">
        <v>34</v>
      </c>
      <c r="L280" s="472"/>
      <c r="M280" s="36" t="s">
        <v>6268</v>
      </c>
      <c r="N280" s="398"/>
      <c r="P280" s="67" t="s">
        <v>5244</v>
      </c>
      <c r="Q280" s="67"/>
      <c r="R280" s="454" t="s">
        <v>141</v>
      </c>
      <c r="S280" s="468" t="s">
        <v>141</v>
      </c>
      <c r="AF280" s="471" t="s">
        <v>6219</v>
      </c>
      <c r="AG280" s="330" t="s">
        <v>141</v>
      </c>
      <c r="AH280" s="330" t="s">
        <v>141</v>
      </c>
      <c r="AJ280"/>
    </row>
    <row r="281" spans="1:36" ht="19.5" customHeight="1">
      <c r="A281" s="25">
        <v>280</v>
      </c>
      <c r="B281" s="401">
        <v>5640103</v>
      </c>
      <c r="C281" s="466" t="s">
        <v>5790</v>
      </c>
      <c r="D281" s="395"/>
      <c r="E281" s="395">
        <v>16299.71</v>
      </c>
      <c r="F281" s="290">
        <v>1250631</v>
      </c>
      <c r="G281" s="283" t="s">
        <v>6269</v>
      </c>
      <c r="H281" s="395"/>
      <c r="I281" s="395">
        <v>16299.71</v>
      </c>
      <c r="J281" s="62" t="s">
        <v>5242</v>
      </c>
      <c r="K281" s="467" t="s">
        <v>34</v>
      </c>
      <c r="M281" s="36" t="s">
        <v>6270</v>
      </c>
      <c r="N281" s="398"/>
      <c r="P281" t="s">
        <v>6271</v>
      </c>
      <c r="R281" s="454" t="s">
        <v>6272</v>
      </c>
      <c r="S281" s="468" t="s">
        <v>6273</v>
      </c>
      <c r="AF281" s="471" t="s">
        <v>6219</v>
      </c>
      <c r="AG281" s="417">
        <v>91078</v>
      </c>
      <c r="AH281" s="417">
        <v>16501.72</v>
      </c>
      <c r="AJ281"/>
    </row>
    <row r="282" spans="1:36" ht="19.5" customHeight="1">
      <c r="A282" s="25">
        <v>281</v>
      </c>
      <c r="B282" s="401">
        <v>5641511</v>
      </c>
      <c r="C282" s="466" t="s">
        <v>6274</v>
      </c>
      <c r="D282" s="395"/>
      <c r="E282" s="395">
        <v>30.86</v>
      </c>
      <c r="F282" s="290">
        <v>1249755</v>
      </c>
      <c r="G282" s="283" t="s">
        <v>6275</v>
      </c>
      <c r="H282" s="395"/>
      <c r="I282" s="395">
        <v>30.86</v>
      </c>
      <c r="J282" s="62" t="s">
        <v>5242</v>
      </c>
      <c r="K282" s="467" t="s">
        <v>34</v>
      </c>
      <c r="M282" s="36" t="s">
        <v>5784</v>
      </c>
      <c r="N282" s="398"/>
      <c r="P282" s="67" t="s">
        <v>5244</v>
      </c>
      <c r="Q282" s="67"/>
      <c r="R282" s="454" t="s">
        <v>5802</v>
      </c>
      <c r="S282" s="468" t="s">
        <v>6276</v>
      </c>
      <c r="AF282" s="471" t="s">
        <v>6219</v>
      </c>
      <c r="AG282" s="330" t="s">
        <v>141</v>
      </c>
      <c r="AH282" s="330" t="s">
        <v>141</v>
      </c>
      <c r="AJ282"/>
    </row>
    <row r="283" spans="1:36" ht="19.5" customHeight="1">
      <c r="A283" s="25">
        <v>282</v>
      </c>
      <c r="B283" s="401">
        <v>5643004</v>
      </c>
      <c r="C283" s="466" t="s">
        <v>6277</v>
      </c>
      <c r="D283" s="395"/>
      <c r="E283" s="395">
        <v>20515.18</v>
      </c>
      <c r="F283" s="290">
        <v>1254247</v>
      </c>
      <c r="G283" s="283" t="s">
        <v>5831</v>
      </c>
      <c r="H283" s="395"/>
      <c r="I283" s="395">
        <v>20515.18</v>
      </c>
      <c r="J283" s="62" t="s">
        <v>5242</v>
      </c>
      <c r="K283" s="467" t="s">
        <v>34</v>
      </c>
      <c r="M283" s="36" t="s">
        <v>6278</v>
      </c>
      <c r="N283" s="398"/>
      <c r="P283" s="67" t="s">
        <v>6279</v>
      </c>
      <c r="Q283" s="67"/>
      <c r="R283" s="454" t="s">
        <v>6280</v>
      </c>
      <c r="S283" s="468" t="s">
        <v>5798</v>
      </c>
      <c r="AF283" s="471" t="s">
        <v>6219</v>
      </c>
      <c r="AG283" s="417">
        <v>19942</v>
      </c>
      <c r="AH283" s="417">
        <v>16536</v>
      </c>
      <c r="AJ283"/>
    </row>
    <row r="284" spans="1:36" ht="19.5" customHeight="1">
      <c r="A284" s="25">
        <v>283</v>
      </c>
      <c r="C284" s="466" t="s">
        <v>6277</v>
      </c>
      <c r="D284" s="395"/>
      <c r="E284" s="395"/>
      <c r="F284" s="290">
        <v>1250250</v>
      </c>
      <c r="G284" s="283"/>
      <c r="H284" s="395"/>
      <c r="I284" s="395"/>
      <c r="J284" s="62" t="s">
        <v>5242</v>
      </c>
      <c r="K284" s="467" t="s">
        <v>193</v>
      </c>
      <c r="L284" s="25" t="s">
        <v>6281</v>
      </c>
      <c r="M284" s="36" t="s">
        <v>6282</v>
      </c>
      <c r="N284" s="398"/>
      <c r="R284" s="454"/>
      <c r="S284" s="468"/>
      <c r="AF284" s="471" t="s">
        <v>5826</v>
      </c>
      <c r="AG284" s="417"/>
      <c r="AH284" s="417"/>
      <c r="AJ284"/>
    </row>
    <row r="285" spans="1:36" ht="19.5" customHeight="1">
      <c r="A285" s="25">
        <v>284</v>
      </c>
      <c r="B285" s="401">
        <v>5644210</v>
      </c>
      <c r="C285" s="466" t="s">
        <v>6280</v>
      </c>
      <c r="D285" s="395"/>
      <c r="E285" s="395">
        <v>22484.48</v>
      </c>
      <c r="F285" s="290">
        <v>1253051</v>
      </c>
      <c r="G285" s="283" t="s">
        <v>5835</v>
      </c>
      <c r="H285" s="395"/>
      <c r="I285" s="395">
        <v>22484.48</v>
      </c>
      <c r="J285" s="62" t="s">
        <v>5242</v>
      </c>
      <c r="K285" s="467" t="s">
        <v>34</v>
      </c>
      <c r="M285" s="36" t="s">
        <v>6283</v>
      </c>
      <c r="N285" s="398"/>
      <c r="P285" t="s">
        <v>6284</v>
      </c>
      <c r="R285" s="454" t="s">
        <v>6274</v>
      </c>
      <c r="S285" s="468" t="s">
        <v>6285</v>
      </c>
      <c r="AF285" s="471" t="s">
        <v>6286</v>
      </c>
      <c r="AG285" s="417">
        <v>82500</v>
      </c>
      <c r="AH285" s="417">
        <v>56647.5</v>
      </c>
      <c r="AJ285"/>
    </row>
    <row r="286" spans="1:36" ht="19.5" customHeight="1">
      <c r="A286" s="25">
        <v>285</v>
      </c>
      <c r="B286" s="401">
        <v>5644229</v>
      </c>
      <c r="C286" s="466" t="s">
        <v>6280</v>
      </c>
      <c r="D286" s="395"/>
      <c r="E286" s="395">
        <v>7340</v>
      </c>
      <c r="F286" s="290">
        <v>1255006</v>
      </c>
      <c r="G286" s="466" t="s">
        <v>6287</v>
      </c>
      <c r="H286" s="395"/>
      <c r="I286" s="395">
        <v>7340</v>
      </c>
      <c r="J286" s="62" t="s">
        <v>5242</v>
      </c>
      <c r="K286" s="467" t="s">
        <v>34</v>
      </c>
      <c r="L286" s="472"/>
      <c r="M286" s="36" t="s">
        <v>6288</v>
      </c>
      <c r="N286" s="398"/>
      <c r="P286" t="s">
        <v>6289</v>
      </c>
      <c r="R286" s="478" t="s">
        <v>6225</v>
      </c>
      <c r="S286" s="468" t="s">
        <v>6290</v>
      </c>
      <c r="AF286" s="471" t="s">
        <v>6286</v>
      </c>
      <c r="AG286" s="417">
        <v>60400</v>
      </c>
      <c r="AH286" s="417">
        <v>5987.35</v>
      </c>
      <c r="AJ286"/>
    </row>
    <row r="287" spans="1:36" ht="19.5" customHeight="1">
      <c r="A287" s="25">
        <v>286</v>
      </c>
      <c r="B287" s="401">
        <v>5645049</v>
      </c>
      <c r="C287" s="466" t="s">
        <v>6291</v>
      </c>
      <c r="D287" s="395"/>
      <c r="E287" s="395">
        <v>213745.21</v>
      </c>
      <c r="F287" s="290">
        <v>1254141</v>
      </c>
      <c r="G287" s="473" t="s">
        <v>5831</v>
      </c>
      <c r="H287" s="395"/>
      <c r="I287" s="395">
        <v>213745.21</v>
      </c>
      <c r="J287" s="62" t="s">
        <v>5242</v>
      </c>
      <c r="K287" s="467" t="s">
        <v>34</v>
      </c>
      <c r="L287" s="472"/>
      <c r="M287" s="36" t="s">
        <v>6292</v>
      </c>
      <c r="N287" s="398"/>
      <c r="P287" t="s">
        <v>6293</v>
      </c>
      <c r="R287" s="454" t="s">
        <v>6280</v>
      </c>
      <c r="S287" s="468" t="s">
        <v>5798</v>
      </c>
      <c r="AF287" s="471" t="s">
        <v>6286</v>
      </c>
      <c r="AG287" s="417">
        <v>286998</v>
      </c>
      <c r="AH287" s="417">
        <v>210285.74</v>
      </c>
      <c r="AJ287"/>
    </row>
    <row r="288" spans="1:36" ht="19.5" customHeight="1">
      <c r="A288" s="25">
        <v>287</v>
      </c>
      <c r="B288" s="401">
        <v>5645695</v>
      </c>
      <c r="C288" s="466" t="s">
        <v>6269</v>
      </c>
      <c r="D288" s="395"/>
      <c r="E288" s="395">
        <v>128600.78</v>
      </c>
      <c r="F288" s="290">
        <v>1254415</v>
      </c>
      <c r="G288" s="283" t="s">
        <v>6294</v>
      </c>
      <c r="H288" s="395"/>
      <c r="I288" s="395">
        <v>128600.78</v>
      </c>
      <c r="J288" s="62" t="s">
        <v>5242</v>
      </c>
      <c r="K288" s="467" t="s">
        <v>34</v>
      </c>
      <c r="M288" s="36" t="s">
        <v>6295</v>
      </c>
      <c r="N288" s="398"/>
      <c r="P288" t="s">
        <v>6296</v>
      </c>
      <c r="R288" s="454" t="s">
        <v>5606</v>
      </c>
      <c r="S288" s="468" t="s">
        <v>6297</v>
      </c>
      <c r="AF288" s="471" t="s">
        <v>6286</v>
      </c>
      <c r="AG288" s="398">
        <v>281323</v>
      </c>
      <c r="AH288" s="398">
        <v>129083</v>
      </c>
      <c r="AJ288"/>
    </row>
    <row r="289" spans="1:36" ht="19.5" customHeight="1">
      <c r="A289" s="25">
        <v>288</v>
      </c>
      <c r="B289" s="401">
        <v>5645730</v>
      </c>
      <c r="C289" s="466" t="s">
        <v>6269</v>
      </c>
      <c r="D289" s="395"/>
      <c r="E289" s="395">
        <v>10440</v>
      </c>
      <c r="F289" s="290">
        <v>1254209</v>
      </c>
      <c r="G289" s="283" t="s">
        <v>6298</v>
      </c>
      <c r="H289" s="395"/>
      <c r="I289" s="395">
        <v>10440</v>
      </c>
      <c r="J289" s="62" t="s">
        <v>5242</v>
      </c>
      <c r="K289" s="467" t="s">
        <v>5859</v>
      </c>
      <c r="M289" s="36" t="s">
        <v>6299</v>
      </c>
      <c r="N289" s="398"/>
      <c r="P289" s="67" t="s">
        <v>5257</v>
      </c>
      <c r="Q289" s="67"/>
      <c r="R289" s="454" t="s">
        <v>141</v>
      </c>
      <c r="S289" s="474" t="s">
        <v>141</v>
      </c>
      <c r="AF289" s="471" t="s">
        <v>6300</v>
      </c>
      <c r="AG289" s="330" t="s">
        <v>141</v>
      </c>
      <c r="AH289" s="330" t="s">
        <v>141</v>
      </c>
      <c r="AJ289"/>
    </row>
    <row r="290" spans="1:36" ht="19.5" customHeight="1">
      <c r="A290" s="25">
        <v>289</v>
      </c>
      <c r="C290" s="466" t="s">
        <v>6269</v>
      </c>
      <c r="D290" s="395"/>
      <c r="E290" s="395">
        <v>3700</v>
      </c>
      <c r="F290" s="290">
        <v>1251438</v>
      </c>
      <c r="G290" s="283" t="s">
        <v>6298</v>
      </c>
      <c r="H290" s="395"/>
      <c r="I290" s="395">
        <v>3700</v>
      </c>
      <c r="J290" s="62" t="s">
        <v>5242</v>
      </c>
      <c r="K290" s="467" t="s">
        <v>5859</v>
      </c>
      <c r="M290" s="36" t="s">
        <v>6301</v>
      </c>
      <c r="N290" s="398"/>
      <c r="P290" s="67" t="s">
        <v>5257</v>
      </c>
      <c r="Q290" s="67"/>
      <c r="R290" s="454" t="s">
        <v>141</v>
      </c>
      <c r="S290" s="468" t="s">
        <v>141</v>
      </c>
      <c r="AF290" s="471" t="s">
        <v>6300</v>
      </c>
      <c r="AG290" s="330" t="s">
        <v>141</v>
      </c>
      <c r="AH290" s="330" t="s">
        <v>141</v>
      </c>
      <c r="AJ290"/>
    </row>
    <row r="291" spans="1:36" ht="19.5" customHeight="1">
      <c r="A291" s="25">
        <v>290</v>
      </c>
      <c r="B291" s="401">
        <v>5646390</v>
      </c>
      <c r="C291" s="466" t="s">
        <v>6302</v>
      </c>
      <c r="D291" s="395"/>
      <c r="E291" s="395">
        <v>10400</v>
      </c>
      <c r="F291" s="290">
        <v>1254210</v>
      </c>
      <c r="G291" s="283" t="s">
        <v>6303</v>
      </c>
      <c r="H291" s="395"/>
      <c r="I291" s="395">
        <v>10400</v>
      </c>
      <c r="J291" s="62" t="s">
        <v>5242</v>
      </c>
      <c r="K291" s="467" t="s">
        <v>193</v>
      </c>
      <c r="L291" s="472"/>
      <c r="M291" s="36" t="s">
        <v>6304</v>
      </c>
      <c r="N291" s="398"/>
      <c r="P291" s="67" t="s">
        <v>5257</v>
      </c>
      <c r="Q291" s="67"/>
      <c r="R291" s="454" t="s">
        <v>141</v>
      </c>
      <c r="S291" s="468" t="s">
        <v>141</v>
      </c>
      <c r="AF291" s="471" t="s">
        <v>6305</v>
      </c>
      <c r="AG291" s="330" t="s">
        <v>141</v>
      </c>
      <c r="AH291" s="330" t="s">
        <v>141</v>
      </c>
      <c r="AJ291"/>
    </row>
    <row r="292" spans="1:36" ht="19.5" customHeight="1">
      <c r="A292" s="25">
        <v>291</v>
      </c>
      <c r="B292" s="401">
        <v>5647949</v>
      </c>
      <c r="C292" s="466" t="s">
        <v>5826</v>
      </c>
      <c r="D292" s="395"/>
      <c r="E292" s="395">
        <v>709.25</v>
      </c>
      <c r="F292" s="290">
        <v>1254110</v>
      </c>
      <c r="G292" s="283" t="s">
        <v>6294</v>
      </c>
      <c r="H292" s="395"/>
      <c r="I292" s="395">
        <v>709.25</v>
      </c>
      <c r="J292" s="62" t="s">
        <v>5242</v>
      </c>
      <c r="K292" s="467" t="s">
        <v>34</v>
      </c>
      <c r="M292" s="36" t="s">
        <v>6306</v>
      </c>
      <c r="N292" s="398"/>
      <c r="P292" t="s">
        <v>6307</v>
      </c>
      <c r="R292" s="454" t="s">
        <v>6280</v>
      </c>
      <c r="S292" s="468" t="s">
        <v>5610</v>
      </c>
      <c r="AF292" s="471" t="s">
        <v>6286</v>
      </c>
      <c r="AG292" s="417">
        <v>7096</v>
      </c>
      <c r="AH292" s="417">
        <v>717</v>
      </c>
      <c r="AJ292"/>
    </row>
    <row r="293" spans="1:36" ht="19.5" customHeight="1">
      <c r="A293" s="25">
        <v>292</v>
      </c>
      <c r="B293" s="401">
        <v>5649232</v>
      </c>
      <c r="C293" s="466" t="s">
        <v>6308</v>
      </c>
      <c r="D293" s="395"/>
      <c r="E293" s="395">
        <v>2595.9499999999998</v>
      </c>
      <c r="F293" s="290">
        <v>1255007</v>
      </c>
      <c r="G293" s="283" t="s">
        <v>5838</v>
      </c>
      <c r="H293" s="395"/>
      <c r="I293" s="395">
        <v>2595.9499999999998</v>
      </c>
      <c r="J293" s="62" t="s">
        <v>5242</v>
      </c>
      <c r="K293" s="467" t="s">
        <v>34</v>
      </c>
      <c r="M293" s="36" t="s">
        <v>6309</v>
      </c>
      <c r="N293" s="398"/>
      <c r="P293" t="s">
        <v>6310</v>
      </c>
      <c r="R293" s="454" t="s">
        <v>6269</v>
      </c>
      <c r="S293" s="468" t="s">
        <v>6311</v>
      </c>
      <c r="AF293" s="471" t="s">
        <v>6286</v>
      </c>
      <c r="AG293" s="417">
        <v>12126</v>
      </c>
      <c r="AH293" s="417">
        <v>2622.37</v>
      </c>
      <c r="AJ293"/>
    </row>
    <row r="294" spans="1:36" ht="19.5" customHeight="1">
      <c r="A294" s="25">
        <v>293</v>
      </c>
      <c r="C294" s="466" t="s">
        <v>5828</v>
      </c>
      <c r="D294" s="395"/>
      <c r="E294" s="395">
        <v>4410</v>
      </c>
      <c r="F294" s="290">
        <v>1253703</v>
      </c>
      <c r="G294" s="283" t="s">
        <v>6298</v>
      </c>
      <c r="H294" s="395"/>
      <c r="I294" s="395">
        <v>4410</v>
      </c>
      <c r="J294" s="62" t="s">
        <v>5242</v>
      </c>
      <c r="K294" s="467" t="s">
        <v>139</v>
      </c>
      <c r="M294" s="36" t="s">
        <v>6312</v>
      </c>
      <c r="N294" s="398"/>
      <c r="P294" t="s">
        <v>6313</v>
      </c>
      <c r="R294" s="478" t="s">
        <v>6280</v>
      </c>
      <c r="S294" s="468" t="s">
        <v>6290</v>
      </c>
      <c r="AF294" s="471" t="s">
        <v>6206</v>
      </c>
      <c r="AG294" s="398">
        <v>420000</v>
      </c>
      <c r="AH294" s="398">
        <v>294872.76</v>
      </c>
      <c r="AJ294"/>
    </row>
    <row r="295" spans="1:36" ht="19.5" customHeight="1">
      <c r="A295" s="25">
        <v>294</v>
      </c>
      <c r="B295" s="401">
        <v>5651457</v>
      </c>
      <c r="C295" s="466" t="s">
        <v>5835</v>
      </c>
      <c r="D295" s="395"/>
      <c r="E295" s="395">
        <v>278992.33</v>
      </c>
      <c r="F295" s="290">
        <v>1255116</v>
      </c>
      <c r="G295" s="283" t="s">
        <v>6287</v>
      </c>
      <c r="H295" s="395"/>
      <c r="I295" s="395">
        <v>278992.33</v>
      </c>
      <c r="J295" s="62" t="s">
        <v>5242</v>
      </c>
      <c r="K295" s="467" t="s">
        <v>34</v>
      </c>
      <c r="M295" s="36" t="s">
        <v>5896</v>
      </c>
      <c r="N295" s="398"/>
      <c r="P295" t="s">
        <v>6313</v>
      </c>
      <c r="R295" s="454" t="s">
        <v>6280</v>
      </c>
      <c r="S295" s="468" t="s">
        <v>6290</v>
      </c>
      <c r="AF295" s="471" t="s">
        <v>6286</v>
      </c>
      <c r="AG295" s="330" t="s">
        <v>141</v>
      </c>
      <c r="AH295" s="330" t="s">
        <v>141</v>
      </c>
      <c r="AJ295"/>
    </row>
    <row r="296" spans="1:36" ht="19.5" customHeight="1">
      <c r="A296" s="25">
        <v>295</v>
      </c>
      <c r="B296" s="401">
        <v>5653614</v>
      </c>
      <c r="C296" s="466" t="s">
        <v>6294</v>
      </c>
      <c r="D296" s="395"/>
      <c r="E296" s="395">
        <v>20759.490000000002</v>
      </c>
      <c r="F296" s="290">
        <v>1256713</v>
      </c>
      <c r="G296" s="283" t="s">
        <v>6314</v>
      </c>
      <c r="H296" s="395"/>
      <c r="I296" s="395">
        <v>20759.490000000002</v>
      </c>
      <c r="J296" s="62" t="s">
        <v>5242</v>
      </c>
      <c r="K296" s="467" t="s">
        <v>34</v>
      </c>
      <c r="M296" s="36" t="s">
        <v>6315</v>
      </c>
      <c r="N296" s="398"/>
      <c r="P296" t="s">
        <v>6316</v>
      </c>
      <c r="R296" s="454" t="s">
        <v>5831</v>
      </c>
      <c r="S296" s="468" t="s">
        <v>6317</v>
      </c>
      <c r="AF296" s="471" t="s">
        <v>6286</v>
      </c>
      <c r="AG296" s="417">
        <v>150000</v>
      </c>
      <c r="AH296" s="417">
        <v>71872.009999999995</v>
      </c>
      <c r="AJ296"/>
    </row>
    <row r="297" spans="1:36" ht="19.5" customHeight="1">
      <c r="A297" s="25">
        <v>296</v>
      </c>
      <c r="B297" s="401">
        <v>5654317</v>
      </c>
      <c r="C297" s="466" t="s">
        <v>5838</v>
      </c>
      <c r="D297" s="395"/>
      <c r="E297" s="395">
        <v>92.78</v>
      </c>
      <c r="F297" s="290">
        <v>1256331</v>
      </c>
      <c r="G297" s="283" t="s">
        <v>5842</v>
      </c>
      <c r="H297" s="395"/>
      <c r="I297" s="395">
        <v>92.78</v>
      </c>
      <c r="J297" s="62" t="s">
        <v>5242</v>
      </c>
      <c r="K297" s="467" t="s">
        <v>34</v>
      </c>
      <c r="L297" s="486"/>
      <c r="M297" s="36" t="s">
        <v>6095</v>
      </c>
      <c r="N297" s="398"/>
      <c r="P297" s="488" t="s">
        <v>5244</v>
      </c>
      <c r="Q297" s="488"/>
      <c r="R297" s="478" t="s">
        <v>5838</v>
      </c>
      <c r="S297" s="468" t="s">
        <v>6318</v>
      </c>
      <c r="AF297" s="471" t="s">
        <v>6286</v>
      </c>
      <c r="AG297" s="330" t="s">
        <v>141</v>
      </c>
      <c r="AH297" s="330" t="s">
        <v>141</v>
      </c>
      <c r="AJ297"/>
    </row>
    <row r="298" spans="1:36" ht="19.5" customHeight="1">
      <c r="A298" s="25">
        <v>297</v>
      </c>
      <c r="C298" s="466" t="s">
        <v>6319</v>
      </c>
      <c r="D298" s="395"/>
      <c r="E298" s="395">
        <v>5740</v>
      </c>
      <c r="F298" s="290">
        <v>1256463</v>
      </c>
      <c r="G298" s="283" t="s">
        <v>6320</v>
      </c>
      <c r="H298" s="395"/>
      <c r="I298" s="395">
        <v>5740</v>
      </c>
      <c r="J298" s="62" t="s">
        <v>5242</v>
      </c>
      <c r="K298" s="467" t="s">
        <v>338</v>
      </c>
      <c r="L298" s="486"/>
      <c r="M298" s="36" t="s">
        <v>6321</v>
      </c>
      <c r="N298" s="398"/>
      <c r="P298" s="488" t="s">
        <v>5257</v>
      </c>
      <c r="Q298" s="488"/>
      <c r="R298" s="478" t="s">
        <v>141</v>
      </c>
      <c r="S298" s="468" t="s">
        <v>141</v>
      </c>
      <c r="W298" s="41" t="s">
        <v>6322</v>
      </c>
      <c r="AF298" s="471" t="s">
        <v>6323</v>
      </c>
      <c r="AG298" s="330" t="s">
        <v>141</v>
      </c>
      <c r="AH298" s="330" t="s">
        <v>141</v>
      </c>
      <c r="AJ298"/>
    </row>
    <row r="299" spans="1:36" ht="19.5" customHeight="1">
      <c r="A299" s="25">
        <v>298</v>
      </c>
      <c r="B299" s="401">
        <v>5656169</v>
      </c>
      <c r="C299" s="466" t="s">
        <v>6319</v>
      </c>
      <c r="D299" s="395"/>
      <c r="E299" s="395">
        <v>6683.28</v>
      </c>
      <c r="F299" s="290">
        <v>1259457</v>
      </c>
      <c r="G299" s="466" t="s">
        <v>6324</v>
      </c>
      <c r="H299" s="395"/>
      <c r="I299" s="395">
        <v>6683.28</v>
      </c>
      <c r="J299" s="62" t="s">
        <v>5242</v>
      </c>
      <c r="K299" s="467" t="s">
        <v>34</v>
      </c>
      <c r="L299" s="472"/>
      <c r="M299" s="36" t="s">
        <v>6325</v>
      </c>
      <c r="N299" s="398"/>
      <c r="P299" t="s">
        <v>6326</v>
      </c>
      <c r="R299" s="454" t="s">
        <v>5670</v>
      </c>
      <c r="S299" s="468" t="s">
        <v>6113</v>
      </c>
      <c r="AF299" s="471" t="s">
        <v>6286</v>
      </c>
      <c r="AG299" s="417">
        <v>20693</v>
      </c>
      <c r="AH299" s="417">
        <v>7342</v>
      </c>
      <c r="AJ299"/>
    </row>
    <row r="300" spans="1:36" ht="19.5" customHeight="1">
      <c r="A300" s="25">
        <v>299</v>
      </c>
      <c r="B300" s="401">
        <v>5657296</v>
      </c>
      <c r="C300" s="466" t="s">
        <v>5842</v>
      </c>
      <c r="D300" s="395"/>
      <c r="E300" s="395">
        <v>3000</v>
      </c>
      <c r="F300" s="290">
        <v>1259871</v>
      </c>
      <c r="G300" s="283" t="s">
        <v>6327</v>
      </c>
      <c r="H300" s="395"/>
      <c r="I300" s="395">
        <v>3000</v>
      </c>
      <c r="J300" s="62" t="s">
        <v>5242</v>
      </c>
      <c r="K300" s="467" t="s">
        <v>5920</v>
      </c>
      <c r="M300" s="36" t="s">
        <v>5921</v>
      </c>
      <c r="N300" s="398"/>
      <c r="P300" t="s">
        <v>6328</v>
      </c>
      <c r="R300" s="454" t="s">
        <v>6329</v>
      </c>
      <c r="S300" s="468" t="s">
        <v>6330</v>
      </c>
      <c r="AF300" s="471" t="s">
        <v>6305</v>
      </c>
      <c r="AG300" s="417">
        <v>400000</v>
      </c>
      <c r="AH300" s="417">
        <v>37428.1</v>
      </c>
      <c r="AJ300"/>
    </row>
    <row r="301" spans="1:36" ht="19.5" customHeight="1">
      <c r="A301" s="25">
        <v>300</v>
      </c>
      <c r="B301" s="401">
        <v>5658617</v>
      </c>
      <c r="C301" s="466" t="s">
        <v>6331</v>
      </c>
      <c r="D301" s="395"/>
      <c r="E301" s="395">
        <v>20727.39</v>
      </c>
      <c r="F301" s="290">
        <v>1261063</v>
      </c>
      <c r="G301" s="283" t="s">
        <v>5880</v>
      </c>
      <c r="H301" s="395"/>
      <c r="I301" s="395">
        <v>20727.39</v>
      </c>
      <c r="J301" s="62" t="s">
        <v>5242</v>
      </c>
      <c r="K301" s="467" t="s">
        <v>34</v>
      </c>
      <c r="M301" s="36" t="s">
        <v>6332</v>
      </c>
      <c r="N301" s="398"/>
      <c r="P301" t="s">
        <v>6333</v>
      </c>
      <c r="R301" s="454" t="s">
        <v>6334</v>
      </c>
      <c r="S301" s="468" t="s">
        <v>6335</v>
      </c>
      <c r="AF301" s="471" t="s">
        <v>6187</v>
      </c>
      <c r="AG301" s="417">
        <v>208292</v>
      </c>
      <c r="AH301" s="417">
        <v>34500.629999999997</v>
      </c>
      <c r="AJ301"/>
    </row>
    <row r="302" spans="1:36" ht="19.5" customHeight="1">
      <c r="A302" s="25">
        <v>301</v>
      </c>
      <c r="B302" s="401">
        <v>5659307</v>
      </c>
      <c r="C302" s="466" t="s">
        <v>6336</v>
      </c>
      <c r="D302" s="395"/>
      <c r="E302" s="395">
        <v>23747.39</v>
      </c>
      <c r="F302" s="290">
        <v>1261447</v>
      </c>
      <c r="G302" s="283" t="s">
        <v>5882</v>
      </c>
      <c r="H302" s="395"/>
      <c r="I302" s="395">
        <v>23747.39</v>
      </c>
      <c r="J302" s="62" t="s">
        <v>5242</v>
      </c>
      <c r="K302" s="467" t="s">
        <v>34</v>
      </c>
      <c r="M302" s="36" t="s">
        <v>5916</v>
      </c>
      <c r="N302" s="398"/>
      <c r="P302" t="s">
        <v>6337</v>
      </c>
      <c r="R302" s="454" t="s">
        <v>6338</v>
      </c>
      <c r="S302" s="468" t="s">
        <v>6339</v>
      </c>
      <c r="AF302" s="471" t="s">
        <v>6187</v>
      </c>
      <c r="AG302" s="417">
        <v>35800</v>
      </c>
      <c r="AH302" s="417">
        <v>23864.5</v>
      </c>
      <c r="AJ302"/>
    </row>
    <row r="303" spans="1:36" ht="19.5" customHeight="1">
      <c r="A303" s="25">
        <v>302</v>
      </c>
      <c r="B303" s="401">
        <v>5659315</v>
      </c>
      <c r="C303" s="466" t="s">
        <v>6336</v>
      </c>
      <c r="D303" s="395"/>
      <c r="E303" s="395">
        <v>34259.06</v>
      </c>
      <c r="F303" s="290">
        <v>1261064</v>
      </c>
      <c r="G303" s="283" t="s">
        <v>5880</v>
      </c>
      <c r="H303" s="395"/>
      <c r="I303" s="395">
        <v>34259.06</v>
      </c>
      <c r="J303" s="62" t="s">
        <v>5242</v>
      </c>
      <c r="K303" s="467" t="s">
        <v>34</v>
      </c>
      <c r="L303" s="472"/>
      <c r="M303" s="36" t="s">
        <v>6340</v>
      </c>
      <c r="N303" s="398"/>
      <c r="P303" t="s">
        <v>6328</v>
      </c>
      <c r="R303" s="454" t="s">
        <v>6341</v>
      </c>
      <c r="S303" s="468" t="s">
        <v>6330</v>
      </c>
      <c r="AF303" s="471" t="s">
        <v>6187</v>
      </c>
      <c r="AG303" s="330" t="s">
        <v>141</v>
      </c>
      <c r="AH303" s="330" t="s">
        <v>141</v>
      </c>
      <c r="AJ303"/>
    </row>
    <row r="304" spans="1:36" ht="19.5" customHeight="1">
      <c r="A304" s="25">
        <v>303</v>
      </c>
      <c r="B304" s="401">
        <v>5659892</v>
      </c>
      <c r="C304" s="466" t="s">
        <v>6342</v>
      </c>
      <c r="D304" s="395"/>
      <c r="E304" s="395">
        <v>111.85</v>
      </c>
      <c r="F304" s="290">
        <v>1259942</v>
      </c>
      <c r="G304" s="283" t="s">
        <v>5822</v>
      </c>
      <c r="H304" s="395"/>
      <c r="I304" s="395">
        <v>111.85</v>
      </c>
      <c r="J304" s="62" t="s">
        <v>5242</v>
      </c>
      <c r="K304" s="467" t="s">
        <v>34</v>
      </c>
      <c r="M304" s="36" t="s">
        <v>6343</v>
      </c>
      <c r="N304" s="398"/>
      <c r="P304" s="67" t="s">
        <v>5244</v>
      </c>
      <c r="Q304" s="67"/>
      <c r="R304" s="454" t="s">
        <v>5850</v>
      </c>
      <c r="S304" s="468" t="s">
        <v>6344</v>
      </c>
      <c r="AF304" s="471" t="s">
        <v>6187</v>
      </c>
      <c r="AG304" s="330" t="s">
        <v>141</v>
      </c>
      <c r="AH304" s="330" t="s">
        <v>141</v>
      </c>
      <c r="AJ304"/>
    </row>
    <row r="305" spans="1:36" ht="19.5" customHeight="1">
      <c r="A305" s="25">
        <v>304</v>
      </c>
      <c r="B305" s="401">
        <v>5661847</v>
      </c>
      <c r="C305" s="466" t="s">
        <v>6324</v>
      </c>
      <c r="D305" s="395"/>
      <c r="E305" s="395">
        <v>3494.94</v>
      </c>
      <c r="F305" s="290">
        <v>1262128</v>
      </c>
      <c r="G305" s="283" t="s">
        <v>5923</v>
      </c>
      <c r="H305" s="395"/>
      <c r="I305" s="395">
        <v>3494.94</v>
      </c>
      <c r="J305" s="62" t="s">
        <v>5242</v>
      </c>
      <c r="K305" s="467" t="s">
        <v>34</v>
      </c>
      <c r="M305" s="36" t="s">
        <v>6069</v>
      </c>
      <c r="N305" s="398"/>
      <c r="P305" t="s">
        <v>6345</v>
      </c>
      <c r="R305" s="454" t="s">
        <v>5670</v>
      </c>
      <c r="S305" s="468" t="s">
        <v>6113</v>
      </c>
      <c r="AF305" s="471" t="s">
        <v>6187</v>
      </c>
      <c r="AG305" s="417">
        <v>21688</v>
      </c>
      <c r="AH305" s="417">
        <v>3512.28</v>
      </c>
      <c r="AJ305"/>
    </row>
    <row r="306" spans="1:36" ht="19.5" customHeight="1">
      <c r="A306" s="25">
        <v>305</v>
      </c>
      <c r="B306" s="401">
        <v>5661863</v>
      </c>
      <c r="C306" s="466" t="s">
        <v>6324</v>
      </c>
      <c r="D306" s="395"/>
      <c r="E306" s="395">
        <v>2784.9</v>
      </c>
      <c r="F306" s="290">
        <v>1262181</v>
      </c>
      <c r="G306" s="283" t="s">
        <v>6329</v>
      </c>
      <c r="H306" s="395"/>
      <c r="I306" s="395">
        <v>2784.9</v>
      </c>
      <c r="J306" s="62" t="s">
        <v>5242</v>
      </c>
      <c r="K306" s="467" t="s">
        <v>34</v>
      </c>
      <c r="M306" s="36" t="s">
        <v>6120</v>
      </c>
      <c r="N306" s="398"/>
      <c r="P306" t="s">
        <v>6346</v>
      </c>
      <c r="R306" s="454" t="s">
        <v>5670</v>
      </c>
      <c r="S306" s="468" t="s">
        <v>6113</v>
      </c>
      <c r="AF306" s="471" t="s">
        <v>6187</v>
      </c>
      <c r="AG306" s="417">
        <v>12760</v>
      </c>
      <c r="AH306" s="417">
        <v>3293.22</v>
      </c>
      <c r="AJ306"/>
    </row>
    <row r="307" spans="1:36" ht="19.5" customHeight="1">
      <c r="A307" s="25">
        <v>306</v>
      </c>
      <c r="C307" s="466" t="s">
        <v>6041</v>
      </c>
      <c r="D307" s="395"/>
      <c r="E307" s="395">
        <v>1050</v>
      </c>
      <c r="F307" s="290">
        <v>1260316</v>
      </c>
      <c r="G307" s="283" t="s">
        <v>6347</v>
      </c>
      <c r="H307" s="395"/>
      <c r="I307" s="395">
        <v>1050</v>
      </c>
      <c r="J307" s="62" t="s">
        <v>5242</v>
      </c>
      <c r="K307" s="467" t="s">
        <v>5859</v>
      </c>
      <c r="M307" s="36" t="s">
        <v>6348</v>
      </c>
      <c r="N307" s="398"/>
      <c r="P307" t="s">
        <v>6349</v>
      </c>
      <c r="R307" s="454" t="s">
        <v>6280</v>
      </c>
      <c r="S307" s="468" t="s">
        <v>5798</v>
      </c>
      <c r="AF307" s="471" t="s">
        <v>6285</v>
      </c>
      <c r="AG307" s="417">
        <v>10665</v>
      </c>
      <c r="AH307" s="417">
        <v>1050</v>
      </c>
      <c r="AJ307"/>
    </row>
    <row r="308" spans="1:36" ht="19.5" customHeight="1">
      <c r="A308" s="25">
        <v>307</v>
      </c>
      <c r="B308" s="401">
        <v>5663122</v>
      </c>
      <c r="C308" s="466" t="s">
        <v>6350</v>
      </c>
      <c r="D308" s="395"/>
      <c r="E308" s="395">
        <v>6161.32</v>
      </c>
      <c r="F308" s="290">
        <v>1262184</v>
      </c>
      <c r="G308" s="466" t="s">
        <v>5923</v>
      </c>
      <c r="H308" s="395"/>
      <c r="I308" s="395">
        <v>6161.32</v>
      </c>
      <c r="J308" s="62" t="s">
        <v>5242</v>
      </c>
      <c r="K308" s="467" t="s">
        <v>34</v>
      </c>
      <c r="L308" s="472"/>
      <c r="M308" s="36" t="s">
        <v>6351</v>
      </c>
      <c r="N308" s="398"/>
      <c r="P308" t="s">
        <v>6352</v>
      </c>
      <c r="R308" s="478" t="s">
        <v>6353</v>
      </c>
      <c r="S308" s="468" t="s">
        <v>6354</v>
      </c>
      <c r="AF308" s="471" t="s">
        <v>6187</v>
      </c>
      <c r="AG308" s="417">
        <v>31000</v>
      </c>
      <c r="AH308" s="417">
        <v>9528.7199999999993</v>
      </c>
      <c r="AJ308"/>
    </row>
    <row r="309" spans="1:36" ht="19.5" customHeight="1">
      <c r="A309" s="25">
        <v>308</v>
      </c>
      <c r="B309" s="401">
        <v>5664258</v>
      </c>
      <c r="C309" s="466" t="s">
        <v>6327</v>
      </c>
      <c r="D309" s="395"/>
      <c r="E309" s="395">
        <v>61.78</v>
      </c>
      <c r="F309" s="290">
        <v>1263228</v>
      </c>
      <c r="G309" s="473" t="s">
        <v>6355</v>
      </c>
      <c r="H309" s="395"/>
      <c r="I309" s="395">
        <v>61.78</v>
      </c>
      <c r="J309" s="62" t="s">
        <v>5242</v>
      </c>
      <c r="K309" s="467" t="s">
        <v>34</v>
      </c>
      <c r="L309" s="472"/>
      <c r="M309" s="36" t="s">
        <v>6356</v>
      </c>
      <c r="N309" s="398"/>
      <c r="P309" s="67" t="s">
        <v>5244</v>
      </c>
      <c r="Q309" s="67"/>
      <c r="R309" s="454" t="s">
        <v>5822</v>
      </c>
      <c r="S309" s="468" t="s">
        <v>6357</v>
      </c>
      <c r="AF309" s="471" t="s">
        <v>6187</v>
      </c>
      <c r="AG309" s="330" t="s">
        <v>141</v>
      </c>
      <c r="AH309" s="330" t="s">
        <v>141</v>
      </c>
      <c r="AJ309"/>
    </row>
    <row r="310" spans="1:36" ht="19.5" customHeight="1">
      <c r="A310" s="25">
        <v>309</v>
      </c>
      <c r="B310" s="401">
        <v>5664856</v>
      </c>
      <c r="C310" s="466" t="s">
        <v>5880</v>
      </c>
      <c r="D310" s="395"/>
      <c r="E310" s="395">
        <v>16243.69</v>
      </c>
      <c r="F310" s="290">
        <v>1263291</v>
      </c>
      <c r="G310" s="283" t="s">
        <v>6358</v>
      </c>
      <c r="H310" s="395"/>
      <c r="I310" s="395">
        <v>16243.69</v>
      </c>
      <c r="J310" s="62" t="s">
        <v>5242</v>
      </c>
      <c r="K310" s="467" t="s">
        <v>34</v>
      </c>
      <c r="M310" s="36" t="s">
        <v>6359</v>
      </c>
      <c r="N310" s="398"/>
      <c r="P310" t="s">
        <v>6360</v>
      </c>
      <c r="R310" s="454" t="s">
        <v>6041</v>
      </c>
      <c r="S310" s="468" t="s">
        <v>6361</v>
      </c>
      <c r="AF310" s="471" t="s">
        <v>6187</v>
      </c>
      <c r="AG310" s="330" t="s">
        <v>141</v>
      </c>
      <c r="AH310" s="330" t="s">
        <v>141</v>
      </c>
      <c r="AJ310"/>
    </row>
    <row r="311" spans="1:36" ht="19.5" customHeight="1">
      <c r="A311" s="25">
        <v>310</v>
      </c>
      <c r="B311" s="401">
        <v>5666319</v>
      </c>
      <c r="C311" s="466" t="s">
        <v>5882</v>
      </c>
      <c r="D311" s="395"/>
      <c r="E311" s="395">
        <v>8701.1</v>
      </c>
      <c r="F311" s="290">
        <v>1263292</v>
      </c>
      <c r="G311" s="283" t="s">
        <v>6358</v>
      </c>
      <c r="H311" s="395"/>
      <c r="I311" s="395">
        <v>8701.1</v>
      </c>
      <c r="J311" s="62" t="s">
        <v>5242</v>
      </c>
      <c r="K311" s="467" t="s">
        <v>34</v>
      </c>
      <c r="M311" s="36" t="s">
        <v>6362</v>
      </c>
      <c r="N311" s="398"/>
      <c r="P311" s="67" t="s">
        <v>6363</v>
      </c>
      <c r="Q311" s="67"/>
      <c r="R311" s="454" t="s">
        <v>5847</v>
      </c>
      <c r="S311" s="468" t="s">
        <v>6364</v>
      </c>
      <c r="AF311" s="471" t="s">
        <v>6187</v>
      </c>
      <c r="AG311" s="417">
        <v>37820</v>
      </c>
      <c r="AH311" s="417">
        <v>22838.27</v>
      </c>
      <c r="AJ311"/>
    </row>
    <row r="312" spans="1:36" ht="19.5" customHeight="1">
      <c r="A312" s="25">
        <v>311</v>
      </c>
      <c r="C312" s="466" t="s">
        <v>6365</v>
      </c>
      <c r="D312" s="395"/>
      <c r="E312" s="395">
        <v>3380</v>
      </c>
      <c r="F312" s="290">
        <v>1262620</v>
      </c>
      <c r="G312" s="283" t="s">
        <v>6365</v>
      </c>
      <c r="H312" s="395"/>
      <c r="I312" s="395">
        <v>3380</v>
      </c>
      <c r="J312" s="62" t="s">
        <v>5242</v>
      </c>
      <c r="K312" s="467" t="s">
        <v>193</v>
      </c>
      <c r="M312" s="36" t="s">
        <v>6366</v>
      </c>
      <c r="N312" s="398"/>
      <c r="P312" t="s">
        <v>6367</v>
      </c>
      <c r="R312" s="454" t="s">
        <v>141</v>
      </c>
      <c r="S312" s="468" t="s">
        <v>141</v>
      </c>
      <c r="AF312" s="471" t="s">
        <v>6254</v>
      </c>
      <c r="AG312" s="330" t="s">
        <v>141</v>
      </c>
      <c r="AH312" s="330" t="s">
        <v>141</v>
      </c>
      <c r="AJ312"/>
    </row>
    <row r="313" spans="1:36" ht="19.5" customHeight="1">
      <c r="A313" s="25">
        <v>312</v>
      </c>
      <c r="B313" s="401">
        <v>5667697</v>
      </c>
      <c r="C313" s="466" t="s">
        <v>6365</v>
      </c>
      <c r="D313" s="395"/>
      <c r="E313" s="395">
        <v>4198.54</v>
      </c>
      <c r="F313" s="290">
        <v>1264091</v>
      </c>
      <c r="G313" s="283" t="s">
        <v>6368</v>
      </c>
      <c r="H313" s="395"/>
      <c r="I313" s="395">
        <v>4198.54</v>
      </c>
      <c r="J313" s="62" t="s">
        <v>5242</v>
      </c>
      <c r="K313" s="467" t="s">
        <v>34</v>
      </c>
      <c r="L313" s="472"/>
      <c r="M313" s="36" t="s">
        <v>5944</v>
      </c>
      <c r="N313" s="398"/>
      <c r="P313" t="s">
        <v>6369</v>
      </c>
      <c r="R313" s="454" t="s">
        <v>6370</v>
      </c>
      <c r="S313" s="468" t="s">
        <v>6371</v>
      </c>
      <c r="AF313" s="471" t="s">
        <v>6187</v>
      </c>
      <c r="AG313" s="417">
        <v>44800</v>
      </c>
      <c r="AH313" s="417">
        <v>19102.54</v>
      </c>
      <c r="AJ313"/>
    </row>
    <row r="314" spans="1:36" ht="19.5" customHeight="1">
      <c r="A314" s="25">
        <v>313</v>
      </c>
      <c r="B314" s="401">
        <v>5667738</v>
      </c>
      <c r="C314" s="466" t="s">
        <v>6365</v>
      </c>
      <c r="D314" s="395"/>
      <c r="E314" s="395">
        <v>4388.93</v>
      </c>
      <c r="F314" s="290">
        <v>1264094</v>
      </c>
      <c r="G314" s="283" t="s">
        <v>6368</v>
      </c>
      <c r="H314" s="395"/>
      <c r="I314" s="395">
        <v>4388.93</v>
      </c>
      <c r="J314" s="62" t="s">
        <v>5242</v>
      </c>
      <c r="K314" s="467" t="s">
        <v>34</v>
      </c>
      <c r="M314" s="36" t="s">
        <v>6372</v>
      </c>
      <c r="N314" s="398"/>
      <c r="P314" t="s">
        <v>6373</v>
      </c>
      <c r="R314" s="454" t="s">
        <v>5968</v>
      </c>
      <c r="S314" s="468" t="s">
        <v>6374</v>
      </c>
      <c r="AF314" s="471" t="s">
        <v>6187</v>
      </c>
      <c r="AG314" s="417">
        <v>172000</v>
      </c>
      <c r="AH314" s="417">
        <v>4438.8599999999997</v>
      </c>
      <c r="AJ314"/>
    </row>
    <row r="315" spans="1:36" ht="19.5" customHeight="1">
      <c r="A315" s="25">
        <v>314</v>
      </c>
      <c r="C315" s="466" t="s">
        <v>6355</v>
      </c>
      <c r="D315" s="395"/>
      <c r="E315" s="395">
        <v>1640</v>
      </c>
      <c r="F315" s="290">
        <v>1263155</v>
      </c>
      <c r="G315" s="283" t="s">
        <v>6375</v>
      </c>
      <c r="H315" s="395"/>
      <c r="I315" s="395">
        <v>1640</v>
      </c>
      <c r="J315" s="62" t="s">
        <v>5242</v>
      </c>
      <c r="K315" s="467" t="s">
        <v>139</v>
      </c>
      <c r="M315" s="36" t="s">
        <v>6376</v>
      </c>
      <c r="N315" s="398"/>
      <c r="P315" s="67" t="s">
        <v>6377</v>
      </c>
      <c r="Q315" s="67"/>
      <c r="R315" s="454" t="s">
        <v>141</v>
      </c>
      <c r="S315" s="468" t="s">
        <v>141</v>
      </c>
      <c r="AF315" s="471" t="s">
        <v>6206</v>
      </c>
      <c r="AG315" s="330" t="s">
        <v>141</v>
      </c>
      <c r="AH315" s="330" t="s">
        <v>141</v>
      </c>
      <c r="AJ315"/>
    </row>
    <row r="316" spans="1:36" ht="19.5" customHeight="1">
      <c r="A316" s="25">
        <v>315</v>
      </c>
      <c r="B316" s="401">
        <v>5670961</v>
      </c>
      <c r="C316" s="466" t="s">
        <v>5918</v>
      </c>
      <c r="D316" s="395"/>
      <c r="E316" s="395">
        <v>21093.51</v>
      </c>
      <c r="F316" s="290">
        <v>1265791</v>
      </c>
      <c r="G316" s="283" t="s">
        <v>5965</v>
      </c>
      <c r="H316" s="395"/>
      <c r="I316" s="395">
        <v>21093.51</v>
      </c>
      <c r="J316" s="62" t="s">
        <v>5242</v>
      </c>
      <c r="K316" s="467" t="s">
        <v>34</v>
      </c>
      <c r="M316" s="36" t="s">
        <v>6378</v>
      </c>
      <c r="N316" s="398"/>
      <c r="P316" t="s">
        <v>6379</v>
      </c>
      <c r="R316" s="478" t="s">
        <v>6380</v>
      </c>
      <c r="S316" s="468" t="s">
        <v>6381</v>
      </c>
      <c r="AF316" s="471" t="s">
        <v>6382</v>
      </c>
      <c r="AG316" s="398">
        <v>26484</v>
      </c>
      <c r="AH316" s="398">
        <v>21444.31</v>
      </c>
      <c r="AJ316"/>
    </row>
    <row r="317" spans="1:36" ht="19.5" customHeight="1">
      <c r="A317" s="25">
        <v>316</v>
      </c>
      <c r="B317" s="401">
        <v>5672246</v>
      </c>
      <c r="C317" s="466" t="s">
        <v>6383</v>
      </c>
      <c r="D317" s="395"/>
      <c r="E317" s="395">
        <v>6796.51</v>
      </c>
      <c r="F317" s="290">
        <v>1266324</v>
      </c>
      <c r="G317" s="283" t="s">
        <v>5891</v>
      </c>
      <c r="H317" s="395"/>
      <c r="I317" s="395">
        <v>6796.51</v>
      </c>
      <c r="J317" s="62" t="s">
        <v>5242</v>
      </c>
      <c r="K317" s="467" t="s">
        <v>34</v>
      </c>
      <c r="M317" s="36" t="s">
        <v>5938</v>
      </c>
      <c r="N317" s="398"/>
      <c r="P317" t="s">
        <v>6384</v>
      </c>
      <c r="R317" s="454" t="s">
        <v>6385</v>
      </c>
      <c r="S317" s="468" t="s">
        <v>6386</v>
      </c>
      <c r="AF317" s="471" t="s">
        <v>6187</v>
      </c>
      <c r="AG317" s="417">
        <v>28862</v>
      </c>
      <c r="AH317" s="417">
        <v>8513.35</v>
      </c>
      <c r="AJ317"/>
    </row>
    <row r="318" spans="1:36" ht="19.5" customHeight="1">
      <c r="A318" s="25">
        <v>317</v>
      </c>
      <c r="B318" s="401">
        <v>5675327</v>
      </c>
      <c r="C318" s="466" t="s">
        <v>6387</v>
      </c>
      <c r="D318" s="395"/>
      <c r="E318" s="395">
        <v>61.79</v>
      </c>
      <c r="F318" s="290">
        <v>1266764</v>
      </c>
      <c r="G318" s="283" t="s">
        <v>6370</v>
      </c>
      <c r="H318" s="395"/>
      <c r="I318" s="395">
        <v>61.79</v>
      </c>
      <c r="J318" s="62" t="s">
        <v>5242</v>
      </c>
      <c r="K318" s="467" t="s">
        <v>34</v>
      </c>
      <c r="M318" s="36" t="s">
        <v>6388</v>
      </c>
      <c r="N318" s="398"/>
      <c r="P318" s="67" t="s">
        <v>5244</v>
      </c>
      <c r="Q318" s="67"/>
      <c r="R318" s="454" t="s">
        <v>5928</v>
      </c>
      <c r="S318" s="468" t="s">
        <v>6389</v>
      </c>
      <c r="AF318" s="471" t="s">
        <v>6187</v>
      </c>
      <c r="AG318" s="330" t="s">
        <v>141</v>
      </c>
      <c r="AH318" s="330" t="s">
        <v>141</v>
      </c>
      <c r="AJ318"/>
    </row>
    <row r="319" spans="1:36" ht="19.5" customHeight="1">
      <c r="A319" s="25">
        <v>318</v>
      </c>
      <c r="B319" s="401">
        <v>5675365</v>
      </c>
      <c r="C319" s="466" t="s">
        <v>6387</v>
      </c>
      <c r="D319" s="395"/>
      <c r="E319" s="395">
        <v>35950.86</v>
      </c>
      <c r="F319" s="290">
        <v>1268963</v>
      </c>
      <c r="G319" s="283" t="s">
        <v>6370</v>
      </c>
      <c r="H319" s="395"/>
      <c r="I319" s="395">
        <v>35950.86</v>
      </c>
      <c r="J319" s="62" t="s">
        <v>5242</v>
      </c>
      <c r="K319" s="467" t="s">
        <v>34</v>
      </c>
      <c r="L319" s="486"/>
      <c r="M319" s="36" t="s">
        <v>6390</v>
      </c>
      <c r="N319" s="398"/>
      <c r="P319" s="487" t="s">
        <v>6391</v>
      </c>
      <c r="Q319" s="487"/>
      <c r="R319" s="478" t="s">
        <v>6392</v>
      </c>
      <c r="S319" s="468" t="s">
        <v>6393</v>
      </c>
      <c r="AF319" s="471" t="s">
        <v>6187</v>
      </c>
      <c r="AG319" s="417">
        <v>72500</v>
      </c>
      <c r="AH319" s="417">
        <v>36125.47</v>
      </c>
      <c r="AJ319"/>
    </row>
    <row r="320" spans="1:36" ht="19.5" customHeight="1">
      <c r="A320" s="25">
        <v>319</v>
      </c>
      <c r="B320" s="401">
        <v>5681474</v>
      </c>
      <c r="C320" s="466" t="s">
        <v>6394</v>
      </c>
      <c r="D320" s="395"/>
      <c r="E320" s="395">
        <v>30.89</v>
      </c>
      <c r="F320" s="290">
        <v>1270850</v>
      </c>
      <c r="G320" s="283" t="s">
        <v>5965</v>
      </c>
      <c r="H320" s="395"/>
      <c r="I320" s="395">
        <v>30.89</v>
      </c>
      <c r="J320" s="62" t="s">
        <v>5242</v>
      </c>
      <c r="K320" s="467" t="s">
        <v>34</v>
      </c>
      <c r="L320" s="486"/>
      <c r="M320" s="36" t="s">
        <v>6395</v>
      </c>
      <c r="N320" s="398"/>
      <c r="P320" s="488" t="s">
        <v>5244</v>
      </c>
      <c r="Q320" s="488"/>
      <c r="R320" s="478" t="s">
        <v>5951</v>
      </c>
      <c r="S320" s="468" t="s">
        <v>6396</v>
      </c>
      <c r="AF320" s="471" t="s">
        <v>6382</v>
      </c>
      <c r="AG320" s="330" t="s">
        <v>141</v>
      </c>
      <c r="AH320" s="330" t="s">
        <v>141</v>
      </c>
      <c r="AJ320"/>
    </row>
    <row r="321" spans="1:36" ht="19.5" customHeight="1">
      <c r="A321" s="25">
        <v>320</v>
      </c>
      <c r="B321" s="401">
        <v>5681539</v>
      </c>
      <c r="C321" s="466" t="s">
        <v>5951</v>
      </c>
      <c r="D321" s="395"/>
      <c r="E321" s="395">
        <v>40231.85</v>
      </c>
      <c r="F321" s="290">
        <v>1270851</v>
      </c>
      <c r="G321" s="283" t="s">
        <v>5974</v>
      </c>
      <c r="H321" s="395"/>
      <c r="I321" s="395">
        <v>40231.85</v>
      </c>
      <c r="J321" s="62" t="s">
        <v>5242</v>
      </c>
      <c r="K321" s="467" t="s">
        <v>34</v>
      </c>
      <c r="L321" s="486"/>
      <c r="M321" s="36" t="s">
        <v>6397</v>
      </c>
      <c r="N321" s="398"/>
      <c r="P321" s="487" t="s">
        <v>6398</v>
      </c>
      <c r="Q321" s="487"/>
      <c r="R321" s="478" t="s">
        <v>6370</v>
      </c>
      <c r="S321" s="468" t="s">
        <v>6371</v>
      </c>
      <c r="W321" s="41" t="s">
        <v>4660</v>
      </c>
      <c r="AF321" s="471" t="s">
        <v>6382</v>
      </c>
      <c r="AG321" s="398">
        <v>130333</v>
      </c>
      <c r="AH321" s="398">
        <v>40427.24</v>
      </c>
      <c r="AJ321"/>
    </row>
    <row r="322" spans="1:36" ht="19.5" customHeight="1">
      <c r="A322" s="25">
        <v>321</v>
      </c>
      <c r="B322" s="401">
        <v>5681582</v>
      </c>
      <c r="C322" s="466" t="s">
        <v>5951</v>
      </c>
      <c r="D322" s="395"/>
      <c r="E322" s="395">
        <v>69111.33</v>
      </c>
      <c r="F322" s="290">
        <v>1272128</v>
      </c>
      <c r="G322" s="466" t="s">
        <v>6399</v>
      </c>
      <c r="H322" s="395"/>
      <c r="I322" s="395">
        <v>69111.33</v>
      </c>
      <c r="J322" s="62" t="s">
        <v>5242</v>
      </c>
      <c r="K322" s="467" t="s">
        <v>34</v>
      </c>
      <c r="L322" s="25" t="s">
        <v>6400</v>
      </c>
      <c r="M322" s="36" t="s">
        <v>5966</v>
      </c>
      <c r="N322" s="398"/>
      <c r="P322" t="s">
        <v>6401</v>
      </c>
      <c r="R322" s="454" t="s">
        <v>6402</v>
      </c>
      <c r="S322" s="468" t="s">
        <v>6403</v>
      </c>
      <c r="AF322" s="471" t="s">
        <v>6382</v>
      </c>
      <c r="AG322" s="417">
        <v>95083</v>
      </c>
      <c r="AH322" s="417">
        <v>69446.990000000005</v>
      </c>
      <c r="AJ322"/>
    </row>
    <row r="323" spans="1:36" ht="19.5" customHeight="1">
      <c r="A323" s="25">
        <v>322</v>
      </c>
      <c r="B323" s="401">
        <v>5683702</v>
      </c>
      <c r="C323" s="466" t="s">
        <v>6404</v>
      </c>
      <c r="D323" s="395"/>
      <c r="E323" s="395">
        <v>85.63</v>
      </c>
      <c r="F323" s="290">
        <v>1271816</v>
      </c>
      <c r="G323" s="283" t="s">
        <v>6405</v>
      </c>
      <c r="H323" s="395"/>
      <c r="I323" s="395">
        <v>85.63</v>
      </c>
      <c r="J323" s="62" t="s">
        <v>5242</v>
      </c>
      <c r="K323" s="467" t="s">
        <v>34</v>
      </c>
      <c r="M323" s="36" t="s">
        <v>6406</v>
      </c>
      <c r="N323" s="398"/>
      <c r="P323" s="67" t="s">
        <v>5244</v>
      </c>
      <c r="Q323" s="67"/>
      <c r="R323" s="454" t="s">
        <v>141</v>
      </c>
      <c r="S323" s="468" t="s">
        <v>141</v>
      </c>
      <c r="AF323" s="471" t="s">
        <v>6382</v>
      </c>
      <c r="AG323" s="330" t="s">
        <v>141</v>
      </c>
      <c r="AH323" s="330" t="s">
        <v>141</v>
      </c>
      <c r="AJ323"/>
    </row>
    <row r="324" spans="1:36" ht="19.5" customHeight="1">
      <c r="A324" s="25">
        <v>323</v>
      </c>
      <c r="B324" s="401">
        <v>5683770</v>
      </c>
      <c r="C324" s="466" t="s">
        <v>6404</v>
      </c>
      <c r="D324" s="395"/>
      <c r="E324" s="395">
        <v>21502.29</v>
      </c>
      <c r="F324" s="290">
        <v>1272445</v>
      </c>
      <c r="G324" s="283" t="s">
        <v>5977</v>
      </c>
      <c r="H324" s="395"/>
      <c r="I324" s="395">
        <v>21502.29</v>
      </c>
      <c r="J324" s="62" t="s">
        <v>5242</v>
      </c>
      <c r="K324" s="467" t="s">
        <v>34</v>
      </c>
      <c r="M324" s="36" t="s">
        <v>5898</v>
      </c>
      <c r="N324" s="398"/>
      <c r="P324" t="s">
        <v>6407</v>
      </c>
      <c r="R324" s="454" t="s">
        <v>6408</v>
      </c>
      <c r="S324" s="468" t="s">
        <v>5798</v>
      </c>
      <c r="AF324" s="471" t="s">
        <v>6382</v>
      </c>
      <c r="AG324" s="417">
        <v>120000</v>
      </c>
      <c r="AH324" s="417">
        <v>21742.15</v>
      </c>
      <c r="AJ324"/>
    </row>
    <row r="325" spans="1:36" ht="19.5" customHeight="1">
      <c r="A325" s="25">
        <v>324</v>
      </c>
      <c r="C325" s="466" t="s">
        <v>6409</v>
      </c>
      <c r="D325" s="395"/>
      <c r="E325" s="395"/>
      <c r="F325" s="290">
        <v>1272148</v>
      </c>
      <c r="G325" s="283"/>
      <c r="H325" s="395"/>
      <c r="I325" s="395"/>
      <c r="J325" s="62" t="s">
        <v>5242</v>
      </c>
      <c r="K325" s="467" t="s">
        <v>193</v>
      </c>
      <c r="M325" s="36" t="s">
        <v>6410</v>
      </c>
      <c r="N325" s="398"/>
      <c r="R325" s="454"/>
      <c r="S325" s="468"/>
      <c r="AF325" s="471" t="s">
        <v>6411</v>
      </c>
      <c r="AG325" s="417"/>
      <c r="AH325" s="417"/>
      <c r="AJ325"/>
    </row>
    <row r="326" spans="1:36" ht="19.5" customHeight="1">
      <c r="A326" s="25">
        <v>325</v>
      </c>
      <c r="B326" s="401">
        <v>5689946</v>
      </c>
      <c r="C326" s="466" t="s">
        <v>6305</v>
      </c>
      <c r="D326" s="395"/>
      <c r="E326" s="395">
        <v>69002.649999999994</v>
      </c>
      <c r="F326" s="290">
        <v>1275051</v>
      </c>
      <c r="G326" s="283" t="s">
        <v>5876</v>
      </c>
      <c r="H326" s="395"/>
      <c r="I326" s="395">
        <v>69002.649999999994</v>
      </c>
      <c r="J326" s="62" t="s">
        <v>5242</v>
      </c>
      <c r="K326" s="467" t="s">
        <v>34</v>
      </c>
      <c r="M326" s="36" t="s">
        <v>6412</v>
      </c>
      <c r="N326" s="398"/>
      <c r="P326" t="s">
        <v>6413</v>
      </c>
      <c r="R326" s="454" t="s">
        <v>6187</v>
      </c>
      <c r="S326" s="468" t="s">
        <v>6414</v>
      </c>
      <c r="AF326" s="471" t="s">
        <v>6415</v>
      </c>
      <c r="AG326" s="417">
        <v>149925</v>
      </c>
      <c r="AH326" s="490">
        <v>69328</v>
      </c>
      <c r="AJ326"/>
    </row>
    <row r="327" spans="1:36" ht="19.5" customHeight="1">
      <c r="A327" s="25">
        <v>326</v>
      </c>
      <c r="B327" s="401">
        <v>5690603</v>
      </c>
      <c r="C327" s="466" t="s">
        <v>6399</v>
      </c>
      <c r="D327" s="395"/>
      <c r="E327" s="395">
        <v>3970.98</v>
      </c>
      <c r="F327" s="290">
        <v>1274718</v>
      </c>
      <c r="G327" s="283" t="s">
        <v>6380</v>
      </c>
      <c r="H327" s="395"/>
      <c r="I327" s="395">
        <v>3970.98</v>
      </c>
      <c r="J327" s="62" t="s">
        <v>5242</v>
      </c>
      <c r="K327" s="467" t="s">
        <v>34</v>
      </c>
      <c r="M327" s="36" t="s">
        <v>6416</v>
      </c>
      <c r="N327" s="398"/>
      <c r="P327" t="s">
        <v>6417</v>
      </c>
      <c r="R327" s="454" t="s">
        <v>6329</v>
      </c>
      <c r="S327" s="468" t="s">
        <v>6330</v>
      </c>
      <c r="AF327" s="471" t="s">
        <v>6382</v>
      </c>
      <c r="AG327" s="417">
        <v>14799</v>
      </c>
      <c r="AH327" s="417">
        <v>8920.73</v>
      </c>
      <c r="AJ327"/>
    </row>
    <row r="328" spans="1:36" ht="19.5" customHeight="1">
      <c r="A328" s="25">
        <v>327</v>
      </c>
      <c r="B328" s="401">
        <v>5691445</v>
      </c>
      <c r="C328" s="466" t="s">
        <v>5977</v>
      </c>
      <c r="D328" s="395"/>
      <c r="E328" s="395">
        <v>60276.36</v>
      </c>
      <c r="F328" s="290">
        <v>1275498</v>
      </c>
      <c r="G328" s="283" t="s">
        <v>5876</v>
      </c>
      <c r="H328" s="395"/>
      <c r="I328" s="395">
        <v>60276.36</v>
      </c>
      <c r="J328" s="62" t="s">
        <v>5242</v>
      </c>
      <c r="K328" s="467" t="s">
        <v>34</v>
      </c>
      <c r="M328" s="36" t="s">
        <v>6418</v>
      </c>
      <c r="N328" s="398"/>
      <c r="P328" t="s">
        <v>6419</v>
      </c>
      <c r="R328" s="454" t="s">
        <v>6420</v>
      </c>
      <c r="S328" s="468" t="s">
        <v>6421</v>
      </c>
      <c r="AF328" s="471" t="s">
        <v>6415</v>
      </c>
      <c r="AG328" s="417">
        <v>394500</v>
      </c>
      <c r="AH328" s="417">
        <v>103369.61</v>
      </c>
      <c r="AJ328"/>
    </row>
    <row r="329" spans="1:36" ht="19.5" customHeight="1">
      <c r="A329" s="25">
        <v>328</v>
      </c>
      <c r="B329" s="401">
        <v>5691500</v>
      </c>
      <c r="C329" s="466" t="s">
        <v>5977</v>
      </c>
      <c r="D329" s="395"/>
      <c r="E329" s="395">
        <v>4531.8100000000004</v>
      </c>
      <c r="F329" s="290">
        <v>1275055</v>
      </c>
      <c r="G329" s="283" t="s">
        <v>5986</v>
      </c>
      <c r="H329" s="395"/>
      <c r="I329" s="395">
        <v>4531.8100000000004</v>
      </c>
      <c r="J329" s="62" t="s">
        <v>5242</v>
      </c>
      <c r="K329" s="467" t="s">
        <v>34</v>
      </c>
      <c r="M329" s="36" t="s">
        <v>6422</v>
      </c>
      <c r="N329" s="398"/>
      <c r="P329" t="s">
        <v>6423</v>
      </c>
      <c r="R329" s="454" t="s">
        <v>6329</v>
      </c>
      <c r="S329" s="468" t="s">
        <v>6290</v>
      </c>
      <c r="AF329" s="471" t="s">
        <v>6382</v>
      </c>
      <c r="AG329" s="417">
        <v>6638</v>
      </c>
      <c r="AH329" s="417">
        <v>5000.45</v>
      </c>
      <c r="AJ329"/>
    </row>
    <row r="330" spans="1:36" ht="19.5" customHeight="1">
      <c r="A330" s="25">
        <v>329</v>
      </c>
      <c r="B330" s="401">
        <v>5692728</v>
      </c>
      <c r="C330" s="466" t="s">
        <v>6424</v>
      </c>
      <c r="D330" s="395"/>
      <c r="E330" s="395">
        <v>6765.88</v>
      </c>
      <c r="F330" s="290">
        <v>1276105</v>
      </c>
      <c r="G330" s="466" t="s">
        <v>6425</v>
      </c>
      <c r="H330" s="395"/>
      <c r="I330" s="395">
        <v>6765.88</v>
      </c>
      <c r="J330" s="62" t="s">
        <v>5242</v>
      </c>
      <c r="K330" s="467" t="s">
        <v>34</v>
      </c>
      <c r="L330" s="472"/>
      <c r="M330" s="36" t="s">
        <v>5993</v>
      </c>
      <c r="N330" s="398"/>
      <c r="P330" t="s">
        <v>6426</v>
      </c>
      <c r="R330" s="478" t="s">
        <v>6387</v>
      </c>
      <c r="S330" s="468" t="s">
        <v>6427</v>
      </c>
      <c r="AF330" s="471" t="s">
        <v>6415</v>
      </c>
      <c r="AG330" s="417">
        <v>28400</v>
      </c>
      <c r="AH330" s="417">
        <v>6841.35</v>
      </c>
      <c r="AJ330"/>
    </row>
    <row r="331" spans="1:36" ht="19.5" customHeight="1">
      <c r="A331" s="25">
        <v>330</v>
      </c>
      <c r="B331" s="401">
        <v>5693840</v>
      </c>
      <c r="C331" s="466" t="s">
        <v>5912</v>
      </c>
      <c r="D331" s="395"/>
      <c r="E331" s="395">
        <v>30.9</v>
      </c>
      <c r="F331" s="290">
        <v>1275499</v>
      </c>
      <c r="G331" s="473" t="s">
        <v>5876</v>
      </c>
      <c r="H331" s="395"/>
      <c r="I331" s="395">
        <v>30.9</v>
      </c>
      <c r="J331" s="62" t="s">
        <v>5242</v>
      </c>
      <c r="K331" s="467" t="s">
        <v>34</v>
      </c>
      <c r="L331" s="472"/>
      <c r="M331" s="36" t="s">
        <v>6428</v>
      </c>
      <c r="N331" s="398"/>
      <c r="P331" s="67" t="s">
        <v>5244</v>
      </c>
      <c r="Q331" s="67"/>
      <c r="R331" s="454" t="s">
        <v>5986</v>
      </c>
      <c r="S331" s="468" t="s">
        <v>6429</v>
      </c>
      <c r="AF331" s="471" t="s">
        <v>6415</v>
      </c>
      <c r="AG331" s="330" t="s">
        <v>141</v>
      </c>
      <c r="AH331" s="330" t="s">
        <v>141</v>
      </c>
      <c r="AJ331"/>
    </row>
    <row r="332" spans="1:36" ht="19.5" customHeight="1">
      <c r="A332" s="25">
        <v>331</v>
      </c>
      <c r="B332" s="401">
        <v>5693904</v>
      </c>
      <c r="C332" s="466" t="s">
        <v>5912</v>
      </c>
      <c r="D332" s="395"/>
      <c r="E332" s="395">
        <v>49036.52</v>
      </c>
      <c r="F332" s="290">
        <v>1281215</v>
      </c>
      <c r="G332" s="283" t="s">
        <v>6064</v>
      </c>
      <c r="H332" s="395"/>
      <c r="I332" s="395">
        <v>49036.52</v>
      </c>
      <c r="J332" s="62" t="s">
        <v>5242</v>
      </c>
      <c r="K332" s="467" t="s">
        <v>34</v>
      </c>
      <c r="M332" s="36" t="s">
        <v>6430</v>
      </c>
      <c r="N332" s="398"/>
      <c r="P332" t="s">
        <v>6431</v>
      </c>
      <c r="R332" s="454" t="s">
        <v>6432</v>
      </c>
      <c r="S332" s="468" t="s">
        <v>6433</v>
      </c>
      <c r="AF332" s="471" t="s">
        <v>6415</v>
      </c>
      <c r="AG332" s="490">
        <v>185000</v>
      </c>
      <c r="AH332" s="490">
        <v>61218.62</v>
      </c>
      <c r="AJ332"/>
    </row>
    <row r="333" spans="1:36" ht="19.5" customHeight="1">
      <c r="A333" s="25">
        <v>332</v>
      </c>
      <c r="C333" s="466" t="s">
        <v>5876</v>
      </c>
      <c r="D333" s="395"/>
      <c r="E333" s="395">
        <v>470</v>
      </c>
      <c r="F333" s="290">
        <v>1275874</v>
      </c>
      <c r="G333" s="283" t="s">
        <v>6375</v>
      </c>
      <c r="H333" s="395"/>
      <c r="I333" s="395">
        <v>470</v>
      </c>
      <c r="J333" s="62" t="s">
        <v>5242</v>
      </c>
      <c r="K333" s="467" t="s">
        <v>139</v>
      </c>
      <c r="M333" s="36" t="s">
        <v>6434</v>
      </c>
      <c r="N333" s="398"/>
      <c r="P333" t="s">
        <v>6435</v>
      </c>
      <c r="R333" s="454" t="s">
        <v>141</v>
      </c>
      <c r="S333" s="468" t="s">
        <v>141</v>
      </c>
      <c r="AF333" s="471" t="s">
        <v>6206</v>
      </c>
      <c r="AG333" s="330" t="s">
        <v>141</v>
      </c>
      <c r="AH333" s="330" t="s">
        <v>141</v>
      </c>
      <c r="AJ333"/>
    </row>
    <row r="334" spans="1:36" ht="19.5" customHeight="1">
      <c r="A334" s="25">
        <v>333</v>
      </c>
      <c r="B334" s="401">
        <v>5696544</v>
      </c>
      <c r="C334" s="466" t="s">
        <v>5990</v>
      </c>
      <c r="D334" s="395"/>
      <c r="E334" s="395">
        <v>9470</v>
      </c>
      <c r="F334" s="290">
        <v>1278518</v>
      </c>
      <c r="G334" s="283" t="s">
        <v>6436</v>
      </c>
      <c r="H334" s="395"/>
      <c r="I334" s="395">
        <v>9470</v>
      </c>
      <c r="J334" s="62" t="s">
        <v>5242</v>
      </c>
      <c r="K334" s="467" t="s">
        <v>139</v>
      </c>
      <c r="M334" s="36" t="s">
        <v>6437</v>
      </c>
      <c r="N334" s="398"/>
      <c r="P334" t="s">
        <v>6438</v>
      </c>
      <c r="R334" s="454" t="s">
        <v>141</v>
      </c>
      <c r="S334" s="468" t="s">
        <v>141</v>
      </c>
      <c r="AF334" s="471" t="s">
        <v>6206</v>
      </c>
      <c r="AG334" s="330" t="s">
        <v>141</v>
      </c>
      <c r="AH334" s="330" t="s">
        <v>141</v>
      </c>
      <c r="AJ334"/>
    </row>
    <row r="335" spans="1:36" ht="19.5" customHeight="1">
      <c r="A335" s="25">
        <v>334</v>
      </c>
      <c r="B335" s="401">
        <v>5696558</v>
      </c>
      <c r="C335" s="466" t="s">
        <v>5990</v>
      </c>
      <c r="D335" s="395"/>
      <c r="E335" s="395">
        <v>435828.86</v>
      </c>
      <c r="F335" s="290">
        <v>1279884</v>
      </c>
      <c r="G335" s="283" t="s">
        <v>6439</v>
      </c>
      <c r="H335" s="395"/>
      <c r="I335" s="395">
        <v>435828.86</v>
      </c>
      <c r="J335" s="62" t="s">
        <v>5242</v>
      </c>
      <c r="K335" s="467" t="s">
        <v>34</v>
      </c>
      <c r="L335" s="472"/>
      <c r="M335" s="36" t="s">
        <v>6440</v>
      </c>
      <c r="N335" s="398"/>
      <c r="P335" t="s">
        <v>6441</v>
      </c>
      <c r="R335" s="454" t="s">
        <v>6442</v>
      </c>
      <c r="S335" s="468" t="s">
        <v>6113</v>
      </c>
      <c r="AF335" s="471" t="s">
        <v>6415</v>
      </c>
      <c r="AG335" s="417">
        <v>597296.17000000004</v>
      </c>
      <c r="AH335" s="330" t="s">
        <v>6443</v>
      </c>
      <c r="AJ335"/>
    </row>
    <row r="336" spans="1:36" ht="19.5" customHeight="1">
      <c r="A336" s="25">
        <v>335</v>
      </c>
      <c r="B336" s="401">
        <v>5700030</v>
      </c>
      <c r="C336" s="466" t="s">
        <v>6444</v>
      </c>
      <c r="D336" s="395"/>
      <c r="E336" s="395">
        <v>46761.19</v>
      </c>
      <c r="F336" s="290">
        <v>1281557</v>
      </c>
      <c r="G336" s="283" t="s">
        <v>6445</v>
      </c>
      <c r="H336" s="395"/>
      <c r="I336" s="395">
        <v>46761.19</v>
      </c>
      <c r="J336" s="62" t="s">
        <v>5242</v>
      </c>
      <c r="K336" s="467" t="s">
        <v>34</v>
      </c>
      <c r="M336" s="36" t="s">
        <v>6446</v>
      </c>
      <c r="N336" s="398"/>
      <c r="P336" t="s">
        <v>6447</v>
      </c>
      <c r="R336" s="454" t="s">
        <v>6385</v>
      </c>
      <c r="S336" s="468" t="s">
        <v>6386</v>
      </c>
      <c r="AF336" s="471" t="s">
        <v>6415</v>
      </c>
      <c r="AG336" s="490">
        <v>86320</v>
      </c>
      <c r="AH336" s="490">
        <v>67031.13</v>
      </c>
      <c r="AJ336"/>
    </row>
    <row r="337" spans="1:36" ht="19.5" customHeight="1">
      <c r="A337" s="25">
        <v>336</v>
      </c>
      <c r="B337" s="401">
        <v>5702240</v>
      </c>
      <c r="C337" s="466" t="s">
        <v>6000</v>
      </c>
      <c r="D337" s="395"/>
      <c r="E337" s="395">
        <v>8810</v>
      </c>
      <c r="F337" s="290">
        <v>1281291</v>
      </c>
      <c r="G337" s="283" t="s">
        <v>6448</v>
      </c>
      <c r="H337" s="395"/>
      <c r="I337" s="395">
        <v>8810</v>
      </c>
      <c r="J337" s="62" t="s">
        <v>5242</v>
      </c>
      <c r="K337" s="467" t="s">
        <v>139</v>
      </c>
      <c r="M337" s="36" t="s">
        <v>6449</v>
      </c>
      <c r="N337" s="398"/>
      <c r="P337" t="s">
        <v>6447</v>
      </c>
      <c r="R337" s="478" t="s">
        <v>141</v>
      </c>
      <c r="S337" s="468" t="s">
        <v>141</v>
      </c>
      <c r="AF337" s="471" t="s">
        <v>6206</v>
      </c>
      <c r="AG337" s="330" t="s">
        <v>141</v>
      </c>
      <c r="AH337" s="330" t="s">
        <v>141</v>
      </c>
      <c r="AJ337"/>
    </row>
    <row r="338" spans="1:36" ht="19.5" customHeight="1">
      <c r="A338" s="25">
        <v>337</v>
      </c>
      <c r="B338" s="401">
        <v>5703396</v>
      </c>
      <c r="C338" s="466" t="s">
        <v>6439</v>
      </c>
      <c r="D338" s="395"/>
      <c r="E338" s="395">
        <v>16740.7</v>
      </c>
      <c r="F338" s="290">
        <v>1296986</v>
      </c>
      <c r="G338" s="283" t="s">
        <v>6450</v>
      </c>
      <c r="H338" s="395"/>
      <c r="I338" s="395">
        <v>16740.7</v>
      </c>
      <c r="J338" s="62" t="s">
        <v>5242</v>
      </c>
      <c r="K338" s="467" t="s">
        <v>34</v>
      </c>
      <c r="M338" s="36" t="s">
        <v>6451</v>
      </c>
      <c r="N338" s="398"/>
      <c r="P338" t="s">
        <v>6452</v>
      </c>
      <c r="R338" s="454" t="s">
        <v>6324</v>
      </c>
      <c r="S338" s="468" t="s">
        <v>5858</v>
      </c>
      <c r="AF338" s="471" t="s">
        <v>6453</v>
      </c>
      <c r="AG338" s="417">
        <v>40900</v>
      </c>
      <c r="AH338" s="417">
        <v>12116.16</v>
      </c>
      <c r="AJ338"/>
    </row>
    <row r="339" spans="1:36" ht="19.5" customHeight="1">
      <c r="A339" s="25">
        <v>338</v>
      </c>
      <c r="B339" s="401">
        <v>5704030</v>
      </c>
      <c r="C339" s="466" t="s">
        <v>6454</v>
      </c>
      <c r="D339" s="395"/>
      <c r="E339" s="395">
        <v>30.95</v>
      </c>
      <c r="F339" s="290">
        <v>1281182</v>
      </c>
      <c r="G339" s="283" t="s">
        <v>6064</v>
      </c>
      <c r="H339" s="395"/>
      <c r="I339" s="395">
        <v>30.95</v>
      </c>
      <c r="J339" s="62" t="s">
        <v>5242</v>
      </c>
      <c r="K339" s="467" t="s">
        <v>34</v>
      </c>
      <c r="M339" s="36" t="s">
        <v>6455</v>
      </c>
      <c r="N339" s="398"/>
      <c r="P339" s="67" t="s">
        <v>5244</v>
      </c>
      <c r="Q339" s="67"/>
      <c r="R339" s="454" t="s">
        <v>6456</v>
      </c>
      <c r="S339" s="468" t="s">
        <v>6457</v>
      </c>
      <c r="AF339" s="471" t="s">
        <v>6415</v>
      </c>
      <c r="AG339" s="330" t="s">
        <v>141</v>
      </c>
      <c r="AH339" s="330" t="s">
        <v>141</v>
      </c>
      <c r="AJ339"/>
    </row>
    <row r="340" spans="1:36" ht="19.5" customHeight="1">
      <c r="A340" s="25">
        <v>339</v>
      </c>
      <c r="C340" s="466" t="s">
        <v>6454</v>
      </c>
      <c r="D340" s="395"/>
      <c r="E340" s="395">
        <v>3600</v>
      </c>
      <c r="F340" s="290">
        <v>1280615</v>
      </c>
      <c r="G340" s="283" t="s">
        <v>6454</v>
      </c>
      <c r="H340" s="395"/>
      <c r="I340" s="395">
        <v>3600</v>
      </c>
      <c r="J340" s="62" t="s">
        <v>5242</v>
      </c>
      <c r="K340" s="467" t="s">
        <v>338</v>
      </c>
      <c r="L340" s="486"/>
      <c r="M340" s="36" t="s">
        <v>6458</v>
      </c>
      <c r="N340" s="398"/>
      <c r="P340" s="488" t="s">
        <v>5257</v>
      </c>
      <c r="Q340" s="488"/>
      <c r="R340" s="478" t="s">
        <v>141</v>
      </c>
      <c r="S340" s="468" t="s">
        <v>141</v>
      </c>
      <c r="AF340" s="471" t="s">
        <v>6459</v>
      </c>
      <c r="AG340" s="330" t="s">
        <v>141</v>
      </c>
      <c r="AH340" s="330" t="s">
        <v>141</v>
      </c>
      <c r="AJ340"/>
    </row>
    <row r="341" spans="1:36" ht="19.5" customHeight="1">
      <c r="A341" s="25">
        <v>340</v>
      </c>
      <c r="B341" s="401">
        <v>5706124</v>
      </c>
      <c r="C341" s="466" t="s">
        <v>6445</v>
      </c>
      <c r="D341" s="395"/>
      <c r="E341" s="395">
        <v>30.95</v>
      </c>
      <c r="F341" s="290">
        <v>1285461</v>
      </c>
      <c r="G341" s="283" t="s">
        <v>6203</v>
      </c>
      <c r="H341" s="395"/>
      <c r="I341" s="395">
        <v>30.95</v>
      </c>
      <c r="J341" s="62" t="s">
        <v>5242</v>
      </c>
      <c r="K341" s="467" t="s">
        <v>34</v>
      </c>
      <c r="L341" s="486"/>
      <c r="M341" s="36" t="s">
        <v>6455</v>
      </c>
      <c r="N341" s="398"/>
      <c r="P341" s="488" t="s">
        <v>5244</v>
      </c>
      <c r="Q341" s="488"/>
      <c r="R341" s="478" t="s">
        <v>6460</v>
      </c>
      <c r="S341" s="468" t="s">
        <v>6461</v>
      </c>
      <c r="AF341" s="471" t="s">
        <v>6462</v>
      </c>
      <c r="AG341" s="330" t="s">
        <v>141</v>
      </c>
      <c r="AH341" s="330" t="s">
        <v>141</v>
      </c>
      <c r="AJ341"/>
    </row>
    <row r="342" spans="1:36" ht="19.5" customHeight="1">
      <c r="A342" s="25">
        <v>341</v>
      </c>
      <c r="B342" s="401">
        <v>5707121</v>
      </c>
      <c r="C342" s="466" t="s">
        <v>6463</v>
      </c>
      <c r="D342" s="395"/>
      <c r="E342" s="395">
        <v>20122.21</v>
      </c>
      <c r="F342" s="290">
        <v>1283652</v>
      </c>
      <c r="G342" s="283" t="s">
        <v>6464</v>
      </c>
      <c r="H342" s="395"/>
      <c r="I342" s="395">
        <v>20122.21</v>
      </c>
      <c r="J342" s="62" t="s">
        <v>5242</v>
      </c>
      <c r="K342" s="467" t="s">
        <v>34</v>
      </c>
      <c r="L342" s="486"/>
      <c r="M342" s="36" t="s">
        <v>6130</v>
      </c>
      <c r="N342" s="398"/>
      <c r="P342" s="487" t="s">
        <v>6465</v>
      </c>
      <c r="Q342" s="487"/>
      <c r="R342" s="491" t="s">
        <v>5941</v>
      </c>
      <c r="S342" s="468" t="s">
        <v>6466</v>
      </c>
      <c r="W342" s="41" t="s">
        <v>6467</v>
      </c>
      <c r="AF342" s="471" t="s">
        <v>6415</v>
      </c>
      <c r="AG342" s="398">
        <v>86483</v>
      </c>
      <c r="AH342" s="398">
        <v>62902.16</v>
      </c>
      <c r="AJ342"/>
    </row>
    <row r="343" spans="1:36" ht="19.5" customHeight="1">
      <c r="A343" s="25">
        <v>342</v>
      </c>
      <c r="B343" s="401">
        <v>5708341</v>
      </c>
      <c r="C343" s="466" t="s">
        <v>6460</v>
      </c>
      <c r="D343" s="395"/>
      <c r="E343" s="395">
        <v>232996.83</v>
      </c>
      <c r="F343" s="290">
        <v>1285465</v>
      </c>
      <c r="G343" s="466" t="s">
        <v>6468</v>
      </c>
      <c r="H343" s="395"/>
      <c r="I343" s="395">
        <v>232996.83</v>
      </c>
      <c r="J343" s="62" t="s">
        <v>5242</v>
      </c>
      <c r="K343" s="467" t="s">
        <v>34</v>
      </c>
      <c r="M343" s="36" t="s">
        <v>6469</v>
      </c>
      <c r="N343" s="398"/>
      <c r="P343" t="s">
        <v>6470</v>
      </c>
      <c r="R343" s="454" t="s">
        <v>6471</v>
      </c>
      <c r="S343" s="468" t="s">
        <v>6472</v>
      </c>
      <c r="AF343" s="471" t="s">
        <v>6462</v>
      </c>
      <c r="AG343" s="417">
        <v>391552</v>
      </c>
      <c r="AH343" s="417">
        <v>171438.62</v>
      </c>
      <c r="AJ343"/>
    </row>
    <row r="344" spans="1:36" ht="19.5" customHeight="1">
      <c r="A344" s="25">
        <v>343</v>
      </c>
      <c r="B344" s="401">
        <v>5710077</v>
      </c>
      <c r="C344" s="466" t="s">
        <v>6038</v>
      </c>
      <c r="D344" s="395"/>
      <c r="E344" s="395">
        <v>396928.96</v>
      </c>
      <c r="F344" s="290">
        <v>1283521</v>
      </c>
      <c r="G344" s="283" t="s">
        <v>6038</v>
      </c>
      <c r="H344" s="395"/>
      <c r="I344" s="395">
        <v>396928.96</v>
      </c>
      <c r="J344" s="62" t="s">
        <v>5242</v>
      </c>
      <c r="K344" s="467" t="s">
        <v>34</v>
      </c>
      <c r="M344" s="36" t="s">
        <v>6473</v>
      </c>
      <c r="N344" s="398"/>
      <c r="P344" t="s">
        <v>6474</v>
      </c>
      <c r="R344" s="454" t="s">
        <v>6187</v>
      </c>
      <c r="S344" s="468" t="s">
        <v>6414</v>
      </c>
      <c r="AF344" s="471" t="s">
        <v>6415</v>
      </c>
      <c r="AG344" s="490">
        <v>1168559.3</v>
      </c>
      <c r="AH344" s="490">
        <v>462973.94</v>
      </c>
      <c r="AJ344"/>
    </row>
    <row r="345" spans="1:36" ht="19.5" customHeight="1">
      <c r="A345" s="25">
        <v>344</v>
      </c>
      <c r="B345" s="401">
        <v>5710507</v>
      </c>
      <c r="C345" s="466" t="s">
        <v>6464</v>
      </c>
      <c r="D345" s="395"/>
      <c r="E345" s="395">
        <v>4321.2</v>
      </c>
      <c r="F345" s="290">
        <v>1285025</v>
      </c>
      <c r="G345" s="283" t="s">
        <v>6475</v>
      </c>
      <c r="H345" s="395"/>
      <c r="I345" s="395">
        <v>4321.2</v>
      </c>
      <c r="J345" s="62" t="s">
        <v>5242</v>
      </c>
      <c r="K345" s="467" t="s">
        <v>6061</v>
      </c>
      <c r="M345" s="36" t="s">
        <v>6062</v>
      </c>
      <c r="N345" s="398"/>
      <c r="P345" t="s">
        <v>6474</v>
      </c>
      <c r="R345" s="454" t="s">
        <v>6187</v>
      </c>
      <c r="S345" s="468" t="s">
        <v>6414</v>
      </c>
      <c r="AF345" s="471" t="s">
        <v>6476</v>
      </c>
      <c r="AG345" s="330" t="s">
        <v>141</v>
      </c>
      <c r="AH345" s="330" t="s">
        <v>141</v>
      </c>
      <c r="AJ345"/>
    </row>
    <row r="346" spans="1:36" ht="19.5" customHeight="1">
      <c r="A346" s="25">
        <v>345</v>
      </c>
      <c r="B346" s="401">
        <v>5710600</v>
      </c>
      <c r="C346" s="466" t="s">
        <v>6464</v>
      </c>
      <c r="D346" s="395"/>
      <c r="E346" s="395">
        <v>4141.26</v>
      </c>
      <c r="F346" s="290">
        <v>1285473</v>
      </c>
      <c r="G346" s="283" t="s">
        <v>6477</v>
      </c>
      <c r="H346" s="395"/>
      <c r="I346" s="395">
        <v>4141.26</v>
      </c>
      <c r="J346" s="62" t="s">
        <v>5242</v>
      </c>
      <c r="K346" s="467" t="s">
        <v>34</v>
      </c>
      <c r="M346" s="36" t="s">
        <v>5717</v>
      </c>
      <c r="N346" s="398"/>
      <c r="P346" t="s">
        <v>6478</v>
      </c>
      <c r="R346" s="476" t="s">
        <v>6479</v>
      </c>
      <c r="S346" s="468" t="s">
        <v>6170</v>
      </c>
      <c r="AF346" s="471" t="s">
        <v>6462</v>
      </c>
      <c r="AG346" s="417">
        <v>22190</v>
      </c>
      <c r="AH346" s="417">
        <v>4180</v>
      </c>
      <c r="AJ346"/>
    </row>
    <row r="347" spans="1:36" ht="19.5" customHeight="1">
      <c r="A347" s="25">
        <v>346</v>
      </c>
      <c r="B347" s="401">
        <v>5711217</v>
      </c>
      <c r="C347" s="466" t="s">
        <v>6480</v>
      </c>
      <c r="D347" s="395"/>
      <c r="E347" s="395">
        <v>30.95</v>
      </c>
      <c r="F347" s="290">
        <v>1284388</v>
      </c>
      <c r="G347" s="283" t="s">
        <v>6481</v>
      </c>
      <c r="H347" s="395"/>
      <c r="I347" s="395">
        <v>30.95</v>
      </c>
      <c r="J347" s="62" t="s">
        <v>5242</v>
      </c>
      <c r="K347" s="467" t="s">
        <v>34</v>
      </c>
      <c r="L347" s="472"/>
      <c r="M347" s="36" t="s">
        <v>6482</v>
      </c>
      <c r="N347" s="398"/>
      <c r="P347" s="67" t="s">
        <v>5244</v>
      </c>
      <c r="Q347" s="67"/>
      <c r="R347" s="454" t="s">
        <v>6480</v>
      </c>
      <c r="S347" s="468" t="s">
        <v>6483</v>
      </c>
      <c r="AF347" s="471" t="s">
        <v>6462</v>
      </c>
      <c r="AG347" s="330" t="s">
        <v>141</v>
      </c>
      <c r="AH347" s="330" t="s">
        <v>141</v>
      </c>
      <c r="AJ347"/>
    </row>
    <row r="348" spans="1:36" ht="19.5" customHeight="1">
      <c r="A348" s="25">
        <v>347</v>
      </c>
      <c r="B348" s="401">
        <v>5711366</v>
      </c>
      <c r="C348" s="466" t="s">
        <v>6480</v>
      </c>
      <c r="D348" s="395"/>
      <c r="E348" s="395">
        <v>33069.97</v>
      </c>
      <c r="F348" s="290">
        <v>1287008</v>
      </c>
      <c r="G348" s="283" t="s">
        <v>6471</v>
      </c>
      <c r="H348" s="395"/>
      <c r="I348" s="395">
        <v>33069.97</v>
      </c>
      <c r="J348" s="62" t="s">
        <v>5242</v>
      </c>
      <c r="K348" s="467" t="s">
        <v>34</v>
      </c>
      <c r="M348" s="36" t="s">
        <v>6484</v>
      </c>
      <c r="N348" s="398"/>
      <c r="P348" t="s">
        <v>6485</v>
      </c>
      <c r="R348" s="454" t="s">
        <v>6420</v>
      </c>
      <c r="S348" s="468" t="s">
        <v>6421</v>
      </c>
      <c r="AF348" s="471" t="s">
        <v>6462</v>
      </c>
      <c r="AG348" s="417">
        <v>59980</v>
      </c>
      <c r="AH348" s="490">
        <v>33556.22</v>
      </c>
      <c r="AJ348"/>
    </row>
    <row r="349" spans="1:36" ht="19.5" customHeight="1">
      <c r="A349" s="25">
        <v>348</v>
      </c>
      <c r="B349" s="401">
        <v>5711856</v>
      </c>
      <c r="C349" s="466" t="s">
        <v>5871</v>
      </c>
      <c r="D349" s="395"/>
      <c r="E349" s="395">
        <v>12055.75</v>
      </c>
      <c r="F349" s="290">
        <v>1287014</v>
      </c>
      <c r="G349" s="283" t="s">
        <v>6471</v>
      </c>
      <c r="H349" s="395"/>
      <c r="I349" s="395">
        <v>12055.75</v>
      </c>
      <c r="J349" s="62" t="s">
        <v>5242</v>
      </c>
      <c r="K349" s="467" t="s">
        <v>34</v>
      </c>
      <c r="M349" s="36" t="s">
        <v>6486</v>
      </c>
      <c r="N349" s="398"/>
      <c r="P349" t="s">
        <v>6487</v>
      </c>
      <c r="R349" s="454" t="s">
        <v>6445</v>
      </c>
      <c r="S349" s="468" t="s">
        <v>6414</v>
      </c>
      <c r="AF349" s="471" t="s">
        <v>6462</v>
      </c>
      <c r="AG349" s="417">
        <v>60688</v>
      </c>
      <c r="AH349" s="417">
        <v>23278</v>
      </c>
      <c r="AJ349"/>
    </row>
    <row r="350" spans="1:36" ht="19.5" customHeight="1">
      <c r="A350" s="25">
        <v>349</v>
      </c>
      <c r="B350" s="401">
        <v>5713624</v>
      </c>
      <c r="C350" s="466" t="s">
        <v>6481</v>
      </c>
      <c r="D350" s="395"/>
      <c r="E350" s="395">
        <v>279493.86</v>
      </c>
      <c r="F350" s="290">
        <v>1286441</v>
      </c>
      <c r="G350" s="283" t="s">
        <v>6488</v>
      </c>
      <c r="H350" s="395"/>
      <c r="I350" s="395">
        <v>279493.86</v>
      </c>
      <c r="J350" s="62" t="s">
        <v>5242</v>
      </c>
      <c r="K350" s="467" t="s">
        <v>34</v>
      </c>
      <c r="M350" s="36" t="s">
        <v>6489</v>
      </c>
      <c r="N350" s="398"/>
      <c r="P350" t="s">
        <v>6490</v>
      </c>
      <c r="R350" s="454" t="s">
        <v>6491</v>
      </c>
      <c r="S350" s="468" t="s">
        <v>6113</v>
      </c>
      <c r="AF350" s="471" t="s">
        <v>6462</v>
      </c>
      <c r="AG350" s="330" t="s">
        <v>141</v>
      </c>
      <c r="AH350" s="330" t="s">
        <v>141</v>
      </c>
      <c r="AJ350"/>
    </row>
    <row r="351" spans="1:36" ht="19.5" customHeight="1">
      <c r="A351" s="25">
        <v>350</v>
      </c>
      <c r="B351" s="401">
        <v>5716197</v>
      </c>
      <c r="C351" s="466" t="s">
        <v>6144</v>
      </c>
      <c r="D351" s="395"/>
      <c r="E351" s="395">
        <v>260705.64</v>
      </c>
      <c r="F351" s="290">
        <v>1288025</v>
      </c>
      <c r="G351" s="283" t="s">
        <v>6492</v>
      </c>
      <c r="H351" s="395"/>
      <c r="I351" s="395">
        <v>260705.64</v>
      </c>
      <c r="J351" s="62" t="s">
        <v>5242</v>
      </c>
      <c r="K351" s="467" t="s">
        <v>34</v>
      </c>
      <c r="M351" s="36" t="s">
        <v>6493</v>
      </c>
      <c r="N351" s="398"/>
      <c r="P351" t="s">
        <v>6494</v>
      </c>
      <c r="R351" s="454" t="s">
        <v>5941</v>
      </c>
      <c r="S351" s="468" t="s">
        <v>6495</v>
      </c>
      <c r="AF351" s="471" t="s">
        <v>6462</v>
      </c>
      <c r="AG351" s="417">
        <v>1144840</v>
      </c>
      <c r="AH351" s="417">
        <v>250045.38</v>
      </c>
      <c r="AJ351"/>
    </row>
    <row r="352" spans="1:36" ht="19.5" customHeight="1">
      <c r="A352" s="25">
        <v>351</v>
      </c>
      <c r="B352" s="401">
        <v>5712766</v>
      </c>
      <c r="C352" s="466" t="s">
        <v>6496</v>
      </c>
      <c r="D352" s="395"/>
      <c r="E352" s="395">
        <v>2808.75</v>
      </c>
      <c r="F352" s="290">
        <v>1288911</v>
      </c>
      <c r="G352" s="466" t="s">
        <v>5901</v>
      </c>
      <c r="H352" s="395"/>
      <c r="I352" s="395">
        <v>2808.75</v>
      </c>
      <c r="J352" s="62" t="s">
        <v>5242</v>
      </c>
      <c r="K352" s="467" t="s">
        <v>34</v>
      </c>
      <c r="L352" s="472"/>
      <c r="M352" s="36" t="s">
        <v>6497</v>
      </c>
      <c r="N352" s="398"/>
      <c r="P352" t="s">
        <v>6498</v>
      </c>
      <c r="R352" s="478" t="s">
        <v>6499</v>
      </c>
      <c r="S352" s="468" t="s">
        <v>6170</v>
      </c>
      <c r="AF352" s="471" t="s">
        <v>6462</v>
      </c>
      <c r="AG352" s="417">
        <v>7020</v>
      </c>
      <c r="AH352" s="417">
        <v>2871.84</v>
      </c>
      <c r="AJ352"/>
    </row>
    <row r="353" spans="1:36" ht="19.5" customHeight="1">
      <c r="A353" s="25">
        <v>352</v>
      </c>
      <c r="B353" s="401">
        <v>5721346</v>
      </c>
      <c r="C353" s="466" t="s">
        <v>6059</v>
      </c>
      <c r="D353" s="395"/>
      <c r="E353" s="395">
        <v>31</v>
      </c>
      <c r="F353" s="492" t="s">
        <v>6500</v>
      </c>
      <c r="G353" s="473" t="s">
        <v>6492</v>
      </c>
      <c r="H353" s="395"/>
      <c r="I353" s="395">
        <v>31</v>
      </c>
      <c r="J353" s="62" t="s">
        <v>5242</v>
      </c>
      <c r="K353" s="467" t="s">
        <v>34</v>
      </c>
      <c r="L353" s="472"/>
      <c r="M353" s="36" t="s">
        <v>6501</v>
      </c>
      <c r="N353" s="398"/>
      <c r="P353" s="67" t="s">
        <v>5244</v>
      </c>
      <c r="Q353" s="67"/>
      <c r="R353" s="454" t="s">
        <v>6059</v>
      </c>
      <c r="S353" s="468" t="s">
        <v>6502</v>
      </c>
      <c r="AF353" s="471" t="s">
        <v>6462</v>
      </c>
      <c r="AG353" s="330" t="s">
        <v>141</v>
      </c>
      <c r="AH353" s="330" t="s">
        <v>141</v>
      </c>
      <c r="AJ353"/>
    </row>
    <row r="354" spans="1:36" ht="19.5" customHeight="1">
      <c r="A354" s="25">
        <v>353</v>
      </c>
      <c r="B354" s="401">
        <v>5723766</v>
      </c>
      <c r="C354" s="466" t="s">
        <v>5901</v>
      </c>
      <c r="D354" s="395"/>
      <c r="E354" s="395">
        <v>4098</v>
      </c>
      <c r="F354" s="290">
        <v>1290331</v>
      </c>
      <c r="G354" s="283" t="s">
        <v>6503</v>
      </c>
      <c r="H354" s="395"/>
      <c r="I354" s="395">
        <v>4098</v>
      </c>
      <c r="J354" s="62" t="s">
        <v>5242</v>
      </c>
      <c r="K354" s="467" t="s">
        <v>6504</v>
      </c>
      <c r="M354" s="36" t="s">
        <v>6505</v>
      </c>
      <c r="N354" s="398"/>
      <c r="P354" t="s">
        <v>6506</v>
      </c>
      <c r="R354" s="454" t="s">
        <v>5676</v>
      </c>
      <c r="S354" s="468" t="s">
        <v>5677</v>
      </c>
      <c r="AF354" s="471" t="s">
        <v>6507</v>
      </c>
      <c r="AG354" s="490">
        <v>723000</v>
      </c>
      <c r="AH354" s="490">
        <v>506662.57</v>
      </c>
      <c r="AJ354"/>
    </row>
    <row r="355" spans="1:36" ht="19.5" customHeight="1">
      <c r="A355" s="25">
        <v>354</v>
      </c>
      <c r="B355" s="401">
        <v>5723849</v>
      </c>
      <c r="C355" s="466" t="s">
        <v>5901</v>
      </c>
      <c r="D355" s="395"/>
      <c r="E355" s="395">
        <v>50.15</v>
      </c>
      <c r="F355" s="290">
        <v>1290529</v>
      </c>
      <c r="G355" s="283" t="s">
        <v>6508</v>
      </c>
      <c r="H355" s="395"/>
      <c r="I355" s="395">
        <v>50.15</v>
      </c>
      <c r="J355" s="62" t="s">
        <v>5242</v>
      </c>
      <c r="K355" s="467" t="s">
        <v>34</v>
      </c>
      <c r="M355" s="36" t="s">
        <v>6509</v>
      </c>
      <c r="N355" s="398"/>
      <c r="P355" s="67" t="s">
        <v>5244</v>
      </c>
      <c r="Q355" s="67"/>
      <c r="R355" s="454" t="s">
        <v>6071</v>
      </c>
      <c r="S355" s="468" t="s">
        <v>6510</v>
      </c>
      <c r="AF355" s="471" t="s">
        <v>6453</v>
      </c>
      <c r="AG355" s="330" t="s">
        <v>141</v>
      </c>
      <c r="AH355" s="330" t="s">
        <v>141</v>
      </c>
      <c r="AJ355"/>
    </row>
    <row r="356" spans="1:36" ht="19.5" customHeight="1">
      <c r="A356" s="25">
        <v>355</v>
      </c>
      <c r="B356" s="401">
        <v>5724457</v>
      </c>
      <c r="C356" s="466" t="s">
        <v>6071</v>
      </c>
      <c r="D356" s="395"/>
      <c r="E356" s="395">
        <v>153123.72</v>
      </c>
      <c r="F356" s="290">
        <v>1290665</v>
      </c>
      <c r="G356" s="283" t="s">
        <v>6508</v>
      </c>
      <c r="H356" s="395"/>
      <c r="I356" s="395">
        <v>153123.72</v>
      </c>
      <c r="J356" s="62" t="s">
        <v>5242</v>
      </c>
      <c r="K356" s="467" t="s">
        <v>5394</v>
      </c>
      <c r="M356" s="36" t="s">
        <v>5395</v>
      </c>
      <c r="N356" s="398"/>
      <c r="P356" t="s">
        <v>6511</v>
      </c>
      <c r="R356" s="454" t="s">
        <v>6512</v>
      </c>
      <c r="S356" s="468" t="s">
        <v>6513</v>
      </c>
      <c r="AF356" s="471" t="s">
        <v>6514</v>
      </c>
      <c r="AG356" s="490">
        <v>530000</v>
      </c>
      <c r="AH356" s="490">
        <v>426769.32</v>
      </c>
      <c r="AJ356"/>
    </row>
    <row r="357" spans="1:36" ht="19.5" customHeight="1">
      <c r="A357" s="25">
        <v>356</v>
      </c>
      <c r="B357" s="401">
        <v>5725411</v>
      </c>
      <c r="C357" s="466" t="s">
        <v>6503</v>
      </c>
      <c r="D357" s="395"/>
      <c r="E357" s="395">
        <v>2601.59</v>
      </c>
      <c r="F357" s="290">
        <v>1292667</v>
      </c>
      <c r="G357" s="283" t="s">
        <v>6079</v>
      </c>
      <c r="H357" s="395"/>
      <c r="I357" s="395">
        <v>2601.59</v>
      </c>
      <c r="J357" s="62" t="s">
        <v>5242</v>
      </c>
      <c r="K357" s="467" t="s">
        <v>34</v>
      </c>
      <c r="L357" s="472"/>
      <c r="M357" s="36" t="s">
        <v>6515</v>
      </c>
      <c r="N357" s="398"/>
      <c r="P357" t="s">
        <v>6516</v>
      </c>
      <c r="R357" s="454" t="s">
        <v>6517</v>
      </c>
      <c r="S357" s="468" t="s">
        <v>6518</v>
      </c>
      <c r="T357" s="283" t="s">
        <v>6187</v>
      </c>
      <c r="U357" s="283" t="s">
        <v>6414</v>
      </c>
      <c r="AF357" s="471" t="s">
        <v>6453</v>
      </c>
      <c r="AG357" s="417">
        <v>33193</v>
      </c>
      <c r="AH357" s="490">
        <v>1627.24</v>
      </c>
      <c r="AJ357"/>
    </row>
    <row r="358" spans="1:36" ht="19.5" customHeight="1">
      <c r="A358" s="25">
        <v>357</v>
      </c>
      <c r="B358" s="401">
        <v>5726232</v>
      </c>
      <c r="C358" s="466" t="s">
        <v>6508</v>
      </c>
      <c r="D358" s="395"/>
      <c r="E358" s="395">
        <v>2601.59</v>
      </c>
      <c r="F358" s="290">
        <v>1292670</v>
      </c>
      <c r="G358" s="283" t="s">
        <v>6079</v>
      </c>
      <c r="H358" s="395"/>
      <c r="I358" s="395">
        <v>2601.59</v>
      </c>
      <c r="J358" s="62" t="s">
        <v>5242</v>
      </c>
      <c r="K358" s="467" t="s">
        <v>34</v>
      </c>
      <c r="M358" s="36" t="s">
        <v>6515</v>
      </c>
      <c r="N358" s="398"/>
      <c r="P358" t="s">
        <v>6519</v>
      </c>
      <c r="R358" s="454" t="s">
        <v>6517</v>
      </c>
      <c r="S358" s="468" t="s">
        <v>6518</v>
      </c>
      <c r="T358" s="283" t="s">
        <v>6508</v>
      </c>
      <c r="U358" s="283" t="s">
        <v>6520</v>
      </c>
      <c r="AF358" s="471" t="s">
        <v>6453</v>
      </c>
      <c r="AG358" s="417">
        <v>32197</v>
      </c>
      <c r="AH358" s="490">
        <v>2605.67</v>
      </c>
      <c r="AJ358"/>
    </row>
    <row r="359" spans="1:36" ht="19.5" customHeight="1">
      <c r="A359" s="25">
        <v>358</v>
      </c>
      <c r="B359" s="401">
        <v>5727114</v>
      </c>
      <c r="C359" s="466" t="s">
        <v>6057</v>
      </c>
      <c r="D359" s="395"/>
      <c r="E359" s="395">
        <v>283477.78999999998</v>
      </c>
      <c r="F359" s="290">
        <v>1291139</v>
      </c>
      <c r="G359" s="283" t="s">
        <v>6057</v>
      </c>
      <c r="H359" s="395"/>
      <c r="I359" s="395">
        <v>283477.78999999998</v>
      </c>
      <c r="J359" s="62" t="s">
        <v>5242</v>
      </c>
      <c r="K359" s="467" t="s">
        <v>34</v>
      </c>
      <c r="L359" s="493" t="s">
        <v>6521</v>
      </c>
      <c r="M359" s="36" t="s">
        <v>6522</v>
      </c>
      <c r="N359" s="398"/>
      <c r="P359" t="s">
        <v>6511</v>
      </c>
      <c r="R359" s="454" t="s">
        <v>6512</v>
      </c>
      <c r="S359" s="468" t="s">
        <v>6513</v>
      </c>
      <c r="T359" s="283" t="s">
        <v>5901</v>
      </c>
      <c r="U359" s="283" t="s">
        <v>6523</v>
      </c>
      <c r="AF359" s="471" t="s">
        <v>6453</v>
      </c>
      <c r="AG359" s="330" t="s">
        <v>141</v>
      </c>
      <c r="AH359" s="330" t="s">
        <v>141</v>
      </c>
      <c r="AJ359"/>
    </row>
    <row r="360" spans="1:36" ht="19.5" customHeight="1">
      <c r="A360" s="25">
        <v>359</v>
      </c>
      <c r="B360" s="401">
        <v>5727887</v>
      </c>
      <c r="C360" s="466" t="s">
        <v>6076</v>
      </c>
      <c r="D360" s="395"/>
      <c r="E360" s="395">
        <v>98664.42</v>
      </c>
      <c r="F360" s="290">
        <v>1293635</v>
      </c>
      <c r="G360" s="283" t="s">
        <v>6524</v>
      </c>
      <c r="H360" s="395"/>
      <c r="I360" s="395">
        <v>98664.42</v>
      </c>
      <c r="J360" s="62" t="s">
        <v>5242</v>
      </c>
      <c r="K360" s="467" t="s">
        <v>34</v>
      </c>
      <c r="M360" s="36" t="s">
        <v>6525</v>
      </c>
      <c r="N360" s="398"/>
      <c r="P360" t="s">
        <v>6526</v>
      </c>
      <c r="R360" s="478" t="s">
        <v>6158</v>
      </c>
      <c r="S360" s="468" t="s">
        <v>6170</v>
      </c>
      <c r="T360" s="466" t="s">
        <v>6527</v>
      </c>
      <c r="U360" s="283" t="s">
        <v>6170</v>
      </c>
      <c r="AF360" s="471" t="s">
        <v>6453</v>
      </c>
      <c r="AG360" s="490">
        <v>126000</v>
      </c>
      <c r="AH360" s="490">
        <v>100397.73</v>
      </c>
      <c r="AJ360"/>
    </row>
    <row r="361" spans="1:36" ht="19.5" customHeight="1">
      <c r="A361" s="25">
        <v>360</v>
      </c>
      <c r="B361" s="401">
        <v>5727931</v>
      </c>
      <c r="C361" s="466" t="s">
        <v>6528</v>
      </c>
      <c r="D361" s="395"/>
      <c r="E361" s="395">
        <v>11862.89</v>
      </c>
      <c r="F361" s="290">
        <v>1293735</v>
      </c>
      <c r="G361" s="283" t="s">
        <v>6524</v>
      </c>
      <c r="H361" s="395"/>
      <c r="I361" s="395">
        <v>11862.89</v>
      </c>
      <c r="J361" s="62" t="s">
        <v>5242</v>
      </c>
      <c r="K361" s="467" t="s">
        <v>34</v>
      </c>
      <c r="M361" s="36" t="s">
        <v>6529</v>
      </c>
      <c r="N361" s="398"/>
      <c r="P361" t="s">
        <v>6530</v>
      </c>
      <c r="R361" s="454" t="s">
        <v>6144</v>
      </c>
      <c r="S361" s="468" t="s">
        <v>6531</v>
      </c>
      <c r="T361" s="283" t="s">
        <v>6532</v>
      </c>
      <c r="U361" s="283" t="s">
        <v>6533</v>
      </c>
      <c r="AF361" s="471" t="s">
        <v>6453</v>
      </c>
      <c r="AG361" s="417">
        <v>46180</v>
      </c>
      <c r="AH361" s="490">
        <v>14114.34</v>
      </c>
      <c r="AJ361"/>
    </row>
    <row r="362" spans="1:36" ht="19.5" customHeight="1">
      <c r="A362" s="25">
        <v>361</v>
      </c>
      <c r="B362" s="401">
        <v>5729925</v>
      </c>
      <c r="C362" s="466" t="s">
        <v>6534</v>
      </c>
      <c r="D362" s="395"/>
      <c r="E362" s="395">
        <v>7966.74</v>
      </c>
      <c r="F362" s="290">
        <v>1294333</v>
      </c>
      <c r="G362" s="283" t="s">
        <v>6535</v>
      </c>
      <c r="H362" s="395"/>
      <c r="I362" s="395">
        <v>7966.74</v>
      </c>
      <c r="J362" s="62" t="s">
        <v>5242</v>
      </c>
      <c r="K362" s="467" t="s">
        <v>34</v>
      </c>
      <c r="M362" s="36" t="s">
        <v>6536</v>
      </c>
      <c r="N362" s="398"/>
      <c r="P362" t="s">
        <v>6537</v>
      </c>
      <c r="R362" s="454" t="s">
        <v>6018</v>
      </c>
      <c r="S362" s="468" t="s">
        <v>6538</v>
      </c>
      <c r="T362" s="41" t="s">
        <v>6018</v>
      </c>
      <c r="U362" s="283" t="s">
        <v>6538</v>
      </c>
      <c r="AF362" s="471" t="s">
        <v>6453</v>
      </c>
      <c r="AG362" s="490">
        <v>25545</v>
      </c>
      <c r="AH362" s="490">
        <v>7982.91</v>
      </c>
      <c r="AJ362"/>
    </row>
    <row r="363" spans="1:36" ht="19.5" customHeight="1">
      <c r="A363" s="25">
        <v>362</v>
      </c>
      <c r="B363" s="401">
        <v>5731735</v>
      </c>
      <c r="C363" s="466" t="s">
        <v>6079</v>
      </c>
      <c r="D363" s="395"/>
      <c r="E363" s="395">
        <v>232514.05</v>
      </c>
      <c r="F363" s="290">
        <v>1295057</v>
      </c>
      <c r="G363" s="283" t="s">
        <v>6539</v>
      </c>
      <c r="H363" s="395"/>
      <c r="I363" s="395">
        <v>232514.05</v>
      </c>
      <c r="J363" s="62" t="s">
        <v>5242</v>
      </c>
      <c r="K363" s="467" t="s">
        <v>34</v>
      </c>
      <c r="L363" s="486"/>
      <c r="M363" s="36" t="s">
        <v>5675</v>
      </c>
      <c r="N363" s="398"/>
      <c r="P363" s="487" t="s">
        <v>6540</v>
      </c>
      <c r="Q363" s="487"/>
      <c r="R363" s="478" t="s">
        <v>6541</v>
      </c>
      <c r="S363" s="468" t="s">
        <v>6542</v>
      </c>
      <c r="T363" s="283" t="s">
        <v>6541</v>
      </c>
      <c r="U363" s="283" t="s">
        <v>6542</v>
      </c>
      <c r="AF363" s="471" t="s">
        <v>6453</v>
      </c>
      <c r="AG363" s="490">
        <v>361500</v>
      </c>
      <c r="AH363" s="490">
        <v>288068.14</v>
      </c>
      <c r="AJ363"/>
    </row>
    <row r="364" spans="1:36" ht="19.5" customHeight="1">
      <c r="A364" s="25">
        <v>363</v>
      </c>
      <c r="B364" s="401">
        <v>5732396</v>
      </c>
      <c r="C364" s="466" t="s">
        <v>6543</v>
      </c>
      <c r="D364" s="395"/>
      <c r="E364" s="395">
        <v>8367.6299999999992</v>
      </c>
      <c r="F364" s="290">
        <v>1295058</v>
      </c>
      <c r="G364" s="283" t="s">
        <v>6093</v>
      </c>
      <c r="H364" s="395"/>
      <c r="I364" s="395">
        <v>8367.6299999999992</v>
      </c>
      <c r="J364" s="62" t="s">
        <v>5242</v>
      </c>
      <c r="K364" s="467" t="s">
        <v>34</v>
      </c>
      <c r="L364" s="486"/>
      <c r="M364" s="36" t="s">
        <v>6544</v>
      </c>
      <c r="N364" s="398"/>
      <c r="P364" s="487" t="s">
        <v>6545</v>
      </c>
      <c r="Q364" s="487"/>
      <c r="R364" s="478" t="s">
        <v>6479</v>
      </c>
      <c r="S364" s="468" t="s">
        <v>6466</v>
      </c>
      <c r="T364" s="283" t="s">
        <v>6476</v>
      </c>
      <c r="U364" s="283" t="s">
        <v>6523</v>
      </c>
      <c r="AF364" s="471" t="s">
        <v>6453</v>
      </c>
      <c r="AG364" s="490">
        <v>45350</v>
      </c>
      <c r="AH364" s="490">
        <v>8438.36</v>
      </c>
      <c r="AJ364"/>
    </row>
    <row r="365" spans="1:36" ht="19.5" customHeight="1">
      <c r="A365" s="25">
        <v>364</v>
      </c>
      <c r="B365" s="401">
        <v>5734132</v>
      </c>
      <c r="C365" s="466" t="s">
        <v>6089</v>
      </c>
      <c r="D365" s="395"/>
      <c r="E365" s="395">
        <v>4732</v>
      </c>
      <c r="F365" s="290">
        <v>1295410</v>
      </c>
      <c r="G365" s="466" t="s">
        <v>6546</v>
      </c>
      <c r="H365" s="395"/>
      <c r="I365" s="395">
        <v>4732</v>
      </c>
      <c r="J365" s="62" t="s">
        <v>5242</v>
      </c>
      <c r="K365" s="467" t="s">
        <v>5737</v>
      </c>
      <c r="M365" s="36" t="s">
        <v>6547</v>
      </c>
      <c r="N365" s="398"/>
      <c r="P365" s="487" t="s">
        <v>6540</v>
      </c>
      <c r="Q365" s="487"/>
      <c r="R365" s="454" t="s">
        <v>6541</v>
      </c>
      <c r="S365" s="468" t="s">
        <v>6542</v>
      </c>
      <c r="T365" s="283" t="s">
        <v>6541</v>
      </c>
      <c r="U365" s="283" t="s">
        <v>6542</v>
      </c>
      <c r="AF365" s="471" t="s">
        <v>6548</v>
      </c>
      <c r="AG365" s="330" t="s">
        <v>141</v>
      </c>
      <c r="AH365" s="330" t="s">
        <v>141</v>
      </c>
      <c r="AJ365"/>
    </row>
    <row r="366" spans="1:36" ht="19.5" customHeight="1">
      <c r="A366" s="25">
        <v>365</v>
      </c>
      <c r="B366" s="401">
        <v>5735627</v>
      </c>
      <c r="C366" s="466" t="s">
        <v>6539</v>
      </c>
      <c r="D366" s="395"/>
      <c r="E366" s="395">
        <v>11654.58</v>
      </c>
      <c r="F366" s="290">
        <v>1296575</v>
      </c>
      <c r="G366" s="283" t="s">
        <v>6546</v>
      </c>
      <c r="H366" s="395"/>
      <c r="I366" s="395">
        <v>11654.58</v>
      </c>
      <c r="J366" s="62" t="s">
        <v>5242</v>
      </c>
      <c r="K366" s="467" t="s">
        <v>34</v>
      </c>
      <c r="M366" s="36" t="s">
        <v>6549</v>
      </c>
      <c r="N366" s="398"/>
      <c r="P366" s="487" t="s">
        <v>6550</v>
      </c>
      <c r="Q366" s="487"/>
      <c r="R366" s="454" t="s">
        <v>6551</v>
      </c>
      <c r="S366" s="468" t="s">
        <v>5798</v>
      </c>
      <c r="T366" s="283" t="s">
        <v>6552</v>
      </c>
      <c r="U366" s="283" t="s">
        <v>5798</v>
      </c>
      <c r="AF366" s="471" t="s">
        <v>6453</v>
      </c>
      <c r="AG366" s="490">
        <v>19500</v>
      </c>
      <c r="AH366" s="490">
        <v>11753.1</v>
      </c>
      <c r="AJ366"/>
    </row>
    <row r="367" spans="1:36" ht="19.5" customHeight="1">
      <c r="A367" s="25">
        <v>366</v>
      </c>
      <c r="B367" s="401">
        <v>5735666</v>
      </c>
      <c r="C367" s="466" t="s">
        <v>6539</v>
      </c>
      <c r="D367" s="395"/>
      <c r="E367" s="395">
        <v>5120.8</v>
      </c>
      <c r="F367" s="290">
        <v>1301110</v>
      </c>
      <c r="G367" s="283" t="s">
        <v>6553</v>
      </c>
      <c r="H367" s="395"/>
      <c r="I367" s="395">
        <v>5120.8</v>
      </c>
      <c r="J367" s="62" t="s">
        <v>5242</v>
      </c>
      <c r="K367" s="467" t="s">
        <v>34</v>
      </c>
      <c r="M367" s="36" t="s">
        <v>6554</v>
      </c>
      <c r="N367" s="398"/>
      <c r="P367" s="487" t="s">
        <v>6555</v>
      </c>
      <c r="Q367" s="487"/>
      <c r="R367" s="454" t="s">
        <v>6527</v>
      </c>
      <c r="S367" s="468" t="s">
        <v>5700</v>
      </c>
      <c r="T367" s="283" t="s">
        <v>6527</v>
      </c>
      <c r="U367" s="283" t="s">
        <v>5700</v>
      </c>
      <c r="AF367" s="471" t="s">
        <v>6556</v>
      </c>
      <c r="AG367" s="490">
        <v>24733</v>
      </c>
      <c r="AH367" s="490">
        <v>6825.34</v>
      </c>
      <c r="AJ367"/>
    </row>
    <row r="368" spans="1:36" ht="19.5" customHeight="1">
      <c r="A368" s="25">
        <v>367</v>
      </c>
      <c r="B368" s="401">
        <v>5738575</v>
      </c>
      <c r="C368" s="466" t="s">
        <v>6557</v>
      </c>
      <c r="D368" s="395"/>
      <c r="E368" s="395">
        <v>105863.41</v>
      </c>
      <c r="F368" s="290">
        <v>1296842</v>
      </c>
      <c r="G368" s="283" t="s">
        <v>6546</v>
      </c>
      <c r="H368" s="395"/>
      <c r="I368" s="395">
        <v>105863.41</v>
      </c>
      <c r="J368" s="62" t="s">
        <v>5242</v>
      </c>
      <c r="K368" s="467" t="s">
        <v>34</v>
      </c>
      <c r="M368" s="36" t="s">
        <v>6558</v>
      </c>
      <c r="N368" s="398"/>
      <c r="P368" s="487" t="s">
        <v>6559</v>
      </c>
      <c r="Q368" s="487"/>
      <c r="R368" s="454" t="s">
        <v>6097</v>
      </c>
      <c r="S368" s="468" t="s">
        <v>6125</v>
      </c>
      <c r="T368" s="283" t="s">
        <v>6097</v>
      </c>
      <c r="U368" s="283" t="s">
        <v>6125</v>
      </c>
      <c r="AF368" s="471" t="s">
        <v>6453</v>
      </c>
      <c r="AG368" s="417">
        <v>148576</v>
      </c>
      <c r="AH368" s="417">
        <v>106016.04</v>
      </c>
      <c r="AJ368"/>
    </row>
    <row r="369" spans="1:36" ht="19.5" customHeight="1">
      <c r="A369" s="25">
        <v>368</v>
      </c>
      <c r="B369" s="401">
        <v>5738607</v>
      </c>
      <c r="C369" s="466" t="s">
        <v>6557</v>
      </c>
      <c r="D369" s="395"/>
      <c r="E369" s="395">
        <v>1014391.33</v>
      </c>
      <c r="F369" s="290">
        <v>1296797</v>
      </c>
      <c r="G369" s="283" t="s">
        <v>6546</v>
      </c>
      <c r="H369" s="395"/>
      <c r="I369" s="395">
        <v>1014391.33</v>
      </c>
      <c r="J369" s="62" t="s">
        <v>5242</v>
      </c>
      <c r="K369" s="467" t="s">
        <v>34</v>
      </c>
      <c r="L369" s="472"/>
      <c r="M369" s="36" t="s">
        <v>6560</v>
      </c>
      <c r="N369" s="398"/>
      <c r="P369" s="487" t="s">
        <v>6561</v>
      </c>
      <c r="Q369" s="487"/>
      <c r="R369" s="454" t="s">
        <v>6551</v>
      </c>
      <c r="S369" s="468" t="s">
        <v>6170</v>
      </c>
      <c r="T369" s="283" t="s">
        <v>6158</v>
      </c>
      <c r="U369" s="283" t="s">
        <v>6170</v>
      </c>
      <c r="AF369" s="471" t="s">
        <v>6453</v>
      </c>
      <c r="AG369" s="490">
        <v>1856420.3</v>
      </c>
      <c r="AH369" s="490">
        <v>1091097.96</v>
      </c>
      <c r="AJ369"/>
    </row>
    <row r="370" spans="1:36" ht="19.5" customHeight="1">
      <c r="A370" s="25">
        <v>369</v>
      </c>
      <c r="B370" s="401">
        <v>5738628</v>
      </c>
      <c r="C370" s="466" t="s">
        <v>6557</v>
      </c>
      <c r="D370" s="395"/>
      <c r="E370" s="395">
        <v>68113.149999999994</v>
      </c>
      <c r="F370" s="290">
        <v>1296816</v>
      </c>
      <c r="G370" s="283" t="s">
        <v>6546</v>
      </c>
      <c r="H370" s="395"/>
      <c r="I370" s="395">
        <v>68113.149999999994</v>
      </c>
      <c r="J370" s="62" t="s">
        <v>5242</v>
      </c>
      <c r="K370" s="467" t="s">
        <v>34</v>
      </c>
      <c r="M370" s="36" t="s">
        <v>6562</v>
      </c>
      <c r="N370" s="398"/>
      <c r="P370" s="487" t="s">
        <v>6563</v>
      </c>
      <c r="Q370" s="487"/>
      <c r="R370" s="454" t="s">
        <v>6551</v>
      </c>
      <c r="S370" s="468" t="s">
        <v>6170</v>
      </c>
      <c r="T370" s="283" t="s">
        <v>6564</v>
      </c>
      <c r="U370" s="283" t="s">
        <v>6170</v>
      </c>
      <c r="AF370" s="471" t="s">
        <v>6453</v>
      </c>
      <c r="AG370" s="490">
        <v>180289.7</v>
      </c>
      <c r="AH370" s="490">
        <v>68994.820000000007</v>
      </c>
      <c r="AJ370"/>
    </row>
    <row r="371" spans="1:36" ht="19.5" customHeight="1">
      <c r="A371" s="25">
        <v>370</v>
      </c>
      <c r="B371" s="401">
        <v>5738651</v>
      </c>
      <c r="C371" s="466" t="s">
        <v>6557</v>
      </c>
      <c r="D371" s="395"/>
      <c r="E371" s="395">
        <v>153819.37</v>
      </c>
      <c r="F371" s="290">
        <v>1296829</v>
      </c>
      <c r="G371" s="283" t="s">
        <v>6546</v>
      </c>
      <c r="H371" s="395"/>
      <c r="I371" s="395">
        <v>153819.37</v>
      </c>
      <c r="J371" s="62" t="s">
        <v>5242</v>
      </c>
      <c r="K371" s="467" t="s">
        <v>34</v>
      </c>
      <c r="M371" s="36" t="s">
        <v>6565</v>
      </c>
      <c r="N371" s="398"/>
      <c r="P371" s="487" t="s">
        <v>6566</v>
      </c>
      <c r="Q371" s="487"/>
      <c r="R371" s="454" t="s">
        <v>6567</v>
      </c>
      <c r="S371" s="468" t="s">
        <v>6568</v>
      </c>
      <c r="T371" s="283" t="s">
        <v>6318</v>
      </c>
      <c r="U371" s="283" t="s">
        <v>6569</v>
      </c>
      <c r="AF371" s="471" t="s">
        <v>6453</v>
      </c>
      <c r="AG371" s="490">
        <v>331288</v>
      </c>
      <c r="AH371" s="490">
        <v>155119.60999999999</v>
      </c>
      <c r="AJ371"/>
    </row>
    <row r="372" spans="1:36" ht="19.5" customHeight="1">
      <c r="A372" s="25">
        <v>371</v>
      </c>
      <c r="B372" s="401">
        <v>5738672</v>
      </c>
      <c r="C372" s="466" t="s">
        <v>6557</v>
      </c>
      <c r="D372" s="395"/>
      <c r="E372" s="395">
        <v>302981.77</v>
      </c>
      <c r="F372" s="290">
        <v>1296837</v>
      </c>
      <c r="G372" s="283" t="s">
        <v>6546</v>
      </c>
      <c r="H372" s="395"/>
      <c r="I372" s="395">
        <v>302981.77</v>
      </c>
      <c r="J372" s="62" t="s">
        <v>5242</v>
      </c>
      <c r="K372" s="467" t="s">
        <v>34</v>
      </c>
      <c r="M372" s="36" t="s">
        <v>6570</v>
      </c>
      <c r="N372" s="398"/>
      <c r="P372" s="487" t="s">
        <v>6571</v>
      </c>
      <c r="Q372" s="487"/>
      <c r="R372" s="454" t="s">
        <v>6158</v>
      </c>
      <c r="S372" s="468" t="s">
        <v>6170</v>
      </c>
      <c r="T372" s="283" t="s">
        <v>6572</v>
      </c>
      <c r="U372" s="283" t="s">
        <v>6170</v>
      </c>
      <c r="AF372" s="471" t="s">
        <v>6453</v>
      </c>
      <c r="AG372" s="490">
        <v>405800</v>
      </c>
      <c r="AH372" s="490">
        <v>303597</v>
      </c>
      <c r="AJ372"/>
    </row>
    <row r="373" spans="1:36" ht="19.5" customHeight="1">
      <c r="A373" s="25">
        <v>372</v>
      </c>
      <c r="B373" s="401">
        <v>5739180</v>
      </c>
      <c r="C373" s="466" t="s">
        <v>6573</v>
      </c>
      <c r="D373" s="395"/>
      <c r="E373" s="395">
        <v>3904.94</v>
      </c>
      <c r="F373" s="290">
        <v>1297271</v>
      </c>
      <c r="G373" s="283" t="s">
        <v>6097</v>
      </c>
      <c r="H373" s="395"/>
      <c r="I373" s="395">
        <v>3904.94</v>
      </c>
      <c r="J373" s="62" t="s">
        <v>5242</v>
      </c>
      <c r="K373" s="467" t="s">
        <v>34</v>
      </c>
      <c r="M373" s="36" t="s">
        <v>6574</v>
      </c>
      <c r="N373" s="398"/>
      <c r="P373" s="487" t="s">
        <v>6575</v>
      </c>
      <c r="Q373" s="487"/>
      <c r="R373" s="454" t="s">
        <v>6477</v>
      </c>
      <c r="S373" s="468" t="s">
        <v>6170</v>
      </c>
      <c r="T373" s="283" t="s">
        <v>6267</v>
      </c>
      <c r="U373" s="283" t="s">
        <v>6576</v>
      </c>
      <c r="AF373" s="471" t="s">
        <v>6453</v>
      </c>
      <c r="AG373" s="490">
        <v>51058</v>
      </c>
      <c r="AH373" s="490">
        <v>8472.8700000000008</v>
      </c>
      <c r="AJ373"/>
    </row>
    <row r="374" spans="1:36" ht="19.5" customHeight="1">
      <c r="A374" s="25">
        <v>373</v>
      </c>
      <c r="B374" s="401">
        <v>5739197</v>
      </c>
      <c r="C374" s="466" t="s">
        <v>6573</v>
      </c>
      <c r="D374" s="395"/>
      <c r="E374" s="395">
        <v>18410.57</v>
      </c>
      <c r="F374" s="290">
        <v>1297267</v>
      </c>
      <c r="G374" s="466" t="s">
        <v>6450</v>
      </c>
      <c r="H374" s="395"/>
      <c r="I374" s="395">
        <v>18410.57</v>
      </c>
      <c r="J374" s="62" t="s">
        <v>5242</v>
      </c>
      <c r="K374" s="467" t="s">
        <v>34</v>
      </c>
      <c r="L374" s="472"/>
      <c r="M374" s="36" t="s">
        <v>6577</v>
      </c>
      <c r="N374" s="398"/>
      <c r="P374" s="487" t="s">
        <v>6578</v>
      </c>
      <c r="Q374" s="487"/>
      <c r="R374" s="478" t="s">
        <v>6477</v>
      </c>
      <c r="S374" s="468" t="s">
        <v>6579</v>
      </c>
      <c r="T374" s="283" t="s">
        <v>6580</v>
      </c>
      <c r="U374" s="283" t="s">
        <v>6581</v>
      </c>
      <c r="AF374" s="471" t="s">
        <v>6453</v>
      </c>
      <c r="AG374" s="490">
        <v>36744</v>
      </c>
      <c r="AH374" s="490">
        <v>18566.189999999999</v>
      </c>
      <c r="AJ374"/>
    </row>
    <row r="375" spans="1:36" ht="19.5" customHeight="1">
      <c r="A375" s="25">
        <v>374</v>
      </c>
      <c r="B375" s="401">
        <v>5739241</v>
      </c>
      <c r="C375" s="466" t="s">
        <v>6573</v>
      </c>
      <c r="D375" s="395"/>
      <c r="E375" s="395">
        <v>92644.98</v>
      </c>
      <c r="F375" s="492">
        <v>1297736</v>
      </c>
      <c r="G375" s="473" t="s">
        <v>6450</v>
      </c>
      <c r="H375" s="395"/>
      <c r="I375" s="395">
        <v>92644.98</v>
      </c>
      <c r="J375" s="62" t="s">
        <v>5242</v>
      </c>
      <c r="K375" s="467" t="s">
        <v>34</v>
      </c>
      <c r="L375" s="472"/>
      <c r="M375" s="36" t="s">
        <v>6582</v>
      </c>
      <c r="N375" s="398"/>
      <c r="P375" s="487" t="s">
        <v>6583</v>
      </c>
      <c r="Q375" s="487"/>
      <c r="R375" s="454" t="s">
        <v>6584</v>
      </c>
      <c r="S375" s="468" t="s">
        <v>6585</v>
      </c>
      <c r="T375" s="283" t="s">
        <v>6586</v>
      </c>
      <c r="U375" s="283" t="s">
        <v>6587</v>
      </c>
      <c r="AF375" s="471" t="s">
        <v>6453</v>
      </c>
      <c r="AG375" s="490">
        <v>119800</v>
      </c>
      <c r="AH375" s="490">
        <v>93428</v>
      </c>
      <c r="AJ375"/>
    </row>
    <row r="376" spans="1:36" ht="19.5" customHeight="1">
      <c r="A376" s="25">
        <v>375</v>
      </c>
      <c r="B376" s="401">
        <v>5739258</v>
      </c>
      <c r="C376" s="466" t="s">
        <v>6573</v>
      </c>
      <c r="D376" s="395"/>
      <c r="E376" s="395">
        <v>32156.53</v>
      </c>
      <c r="F376" s="290">
        <v>1297870</v>
      </c>
      <c r="G376" s="283" t="s">
        <v>6450</v>
      </c>
      <c r="H376" s="395"/>
      <c r="I376" s="395">
        <v>32156.53</v>
      </c>
      <c r="J376" s="62" t="s">
        <v>5242</v>
      </c>
      <c r="K376" s="467" t="s">
        <v>34</v>
      </c>
      <c r="M376" s="36" t="s">
        <v>6588</v>
      </c>
      <c r="N376" s="398"/>
      <c r="P376" s="487" t="s">
        <v>6589</v>
      </c>
      <c r="Q376" s="487"/>
      <c r="R376" s="454" t="s">
        <v>6097</v>
      </c>
      <c r="S376" s="468" t="s">
        <v>6125</v>
      </c>
      <c r="T376" s="283" t="s">
        <v>6590</v>
      </c>
      <c r="U376" s="283" t="s">
        <v>6591</v>
      </c>
      <c r="AF376" s="471" t="s">
        <v>6453</v>
      </c>
      <c r="AG376" s="490">
        <v>226388</v>
      </c>
      <c r="AH376" s="490">
        <v>40023.35</v>
      </c>
      <c r="AJ376"/>
    </row>
    <row r="377" spans="1:36" ht="19.5" customHeight="1">
      <c r="A377" s="25">
        <v>376</v>
      </c>
      <c r="B377" s="401">
        <v>5739274</v>
      </c>
      <c r="C377" s="466" t="s">
        <v>6573</v>
      </c>
      <c r="D377" s="395"/>
      <c r="E377" s="395">
        <v>1226.71</v>
      </c>
      <c r="F377" s="290">
        <v>1297915</v>
      </c>
      <c r="G377" s="283" t="s">
        <v>6450</v>
      </c>
      <c r="H377" s="395"/>
      <c r="I377" s="395">
        <v>1226.71</v>
      </c>
      <c r="J377" s="62" t="s">
        <v>5242</v>
      </c>
      <c r="K377" s="467" t="s">
        <v>34</v>
      </c>
      <c r="M377" s="36" t="s">
        <v>6592</v>
      </c>
      <c r="N377" s="398"/>
      <c r="P377" s="487" t="s">
        <v>6593</v>
      </c>
      <c r="Q377" s="487"/>
      <c r="R377" s="454" t="s">
        <v>6158</v>
      </c>
      <c r="S377" s="468" t="s">
        <v>6170</v>
      </c>
      <c r="T377" s="283" t="s">
        <v>6520</v>
      </c>
      <c r="U377" s="283" t="s">
        <v>6170</v>
      </c>
      <c r="AF377" s="471" t="s">
        <v>6453</v>
      </c>
      <c r="AG377" s="490">
        <v>21688</v>
      </c>
      <c r="AH377" s="490">
        <v>1229.2</v>
      </c>
      <c r="AJ377"/>
    </row>
    <row r="378" spans="1:36" ht="19.5" customHeight="1">
      <c r="A378" s="25">
        <v>377</v>
      </c>
      <c r="B378" s="401">
        <v>5739278</v>
      </c>
      <c r="C378" s="466" t="s">
        <v>6573</v>
      </c>
      <c r="D378" s="395"/>
      <c r="E378" s="395">
        <v>64311.11</v>
      </c>
      <c r="F378" s="290">
        <v>1297866</v>
      </c>
      <c r="G378" s="283" t="s">
        <v>6450</v>
      </c>
      <c r="H378" s="395"/>
      <c r="I378" s="395">
        <v>64311.11</v>
      </c>
      <c r="J378" s="62" t="s">
        <v>5242</v>
      </c>
      <c r="K378" s="467" t="s">
        <v>34</v>
      </c>
      <c r="M378" s="36" t="s">
        <v>6594</v>
      </c>
      <c r="N378" s="398"/>
      <c r="P378" s="487" t="s">
        <v>6595</v>
      </c>
      <c r="Q378" s="487"/>
      <c r="R378" s="454" t="s">
        <v>6596</v>
      </c>
      <c r="S378" s="468" t="s">
        <v>6597</v>
      </c>
      <c r="T378" s="283" t="s">
        <v>6598</v>
      </c>
      <c r="U378" s="283" t="s">
        <v>6597</v>
      </c>
      <c r="AF378" s="471" t="s">
        <v>6453</v>
      </c>
      <c r="AG378" s="490">
        <v>176500</v>
      </c>
      <c r="AH378" s="490">
        <v>120354.47</v>
      </c>
      <c r="AJ378"/>
    </row>
    <row r="379" spans="1:36" ht="19.5" customHeight="1">
      <c r="A379" s="25">
        <v>378</v>
      </c>
      <c r="B379" s="401">
        <v>5739290</v>
      </c>
      <c r="C379" s="466" t="s">
        <v>6573</v>
      </c>
      <c r="D379" s="395"/>
      <c r="E379" s="395">
        <v>6114.33</v>
      </c>
      <c r="F379" s="290">
        <v>1297914</v>
      </c>
      <c r="G379" s="283" t="s">
        <v>6450</v>
      </c>
      <c r="H379" s="395"/>
      <c r="I379" s="395">
        <v>6114.33</v>
      </c>
      <c r="J379" s="62" t="s">
        <v>5242</v>
      </c>
      <c r="K379" s="467" t="s">
        <v>34</v>
      </c>
      <c r="L379" s="472"/>
      <c r="M379" s="36" t="s">
        <v>6599</v>
      </c>
      <c r="N379" s="398"/>
      <c r="P379" s="487" t="s">
        <v>6600</v>
      </c>
      <c r="Q379" s="487"/>
      <c r="R379" s="454" t="s">
        <v>6453</v>
      </c>
      <c r="S379" s="468" t="s">
        <v>6601</v>
      </c>
      <c r="T379" s="283" t="s">
        <v>6602</v>
      </c>
      <c r="U379" s="283" t="s">
        <v>6601</v>
      </c>
      <c r="AF379" s="471" t="s">
        <v>6453</v>
      </c>
      <c r="AG379" s="490">
        <v>31000</v>
      </c>
      <c r="AH379" s="490">
        <v>6061.07</v>
      </c>
      <c r="AJ379"/>
    </row>
    <row r="380" spans="1:36" ht="19.5" customHeight="1">
      <c r="A380" s="25">
        <v>379</v>
      </c>
      <c r="B380" s="401">
        <v>5739297</v>
      </c>
      <c r="C380" s="466" t="s">
        <v>6573</v>
      </c>
      <c r="D380" s="395"/>
      <c r="E380" s="395">
        <v>183749.86</v>
      </c>
      <c r="F380" s="290">
        <v>1297616</v>
      </c>
      <c r="G380" s="283" t="s">
        <v>6450</v>
      </c>
      <c r="H380" s="395"/>
      <c r="I380" s="395">
        <v>183749.86</v>
      </c>
      <c r="J380" s="62" t="s">
        <v>5242</v>
      </c>
      <c r="K380" s="467" t="s">
        <v>34</v>
      </c>
      <c r="M380" s="36" t="s">
        <v>6603</v>
      </c>
      <c r="N380" s="398"/>
      <c r="P380" s="487" t="s">
        <v>6604</v>
      </c>
      <c r="Q380" s="487"/>
      <c r="R380" s="454" t="s">
        <v>6089</v>
      </c>
      <c r="S380" s="468" t="s">
        <v>6605</v>
      </c>
      <c r="T380" s="283" t="s">
        <v>6606</v>
      </c>
      <c r="U380" s="283" t="s">
        <v>6607</v>
      </c>
      <c r="AF380" s="471" t="s">
        <v>6453</v>
      </c>
      <c r="AG380" s="490">
        <v>217590</v>
      </c>
      <c r="AH380" s="490">
        <v>183697.89</v>
      </c>
      <c r="AJ380"/>
    </row>
    <row r="381" spans="1:36" ht="19.5" customHeight="1">
      <c r="A381" s="25">
        <v>380</v>
      </c>
      <c r="B381" s="401">
        <v>5739849</v>
      </c>
      <c r="C381" s="466" t="s">
        <v>6546</v>
      </c>
      <c r="D381" s="395"/>
      <c r="E381" s="395">
        <v>1176.5</v>
      </c>
      <c r="F381" s="290">
        <v>1297918</v>
      </c>
      <c r="G381" s="283" t="s">
        <v>6450</v>
      </c>
      <c r="H381" s="395"/>
      <c r="I381" s="395">
        <v>1176.5</v>
      </c>
      <c r="J381" s="62" t="s">
        <v>5242</v>
      </c>
      <c r="K381" s="467" t="s">
        <v>34</v>
      </c>
      <c r="M381" s="36" t="s">
        <v>6608</v>
      </c>
      <c r="N381" s="398"/>
      <c r="P381" s="487" t="s">
        <v>6609</v>
      </c>
      <c r="Q381" s="487"/>
      <c r="R381" s="454" t="s">
        <v>6158</v>
      </c>
      <c r="S381" s="468" t="s">
        <v>6170</v>
      </c>
      <c r="T381" s="283" t="s">
        <v>6564</v>
      </c>
      <c r="U381" s="283" t="s">
        <v>6170</v>
      </c>
      <c r="AF381" s="471" t="s">
        <v>6453</v>
      </c>
      <c r="AG381" s="490">
        <v>12760</v>
      </c>
      <c r="AH381" s="490">
        <v>1178.8900000000001</v>
      </c>
      <c r="AJ381"/>
    </row>
    <row r="382" spans="1:36" ht="19.5" customHeight="1">
      <c r="A382" s="25">
        <v>381</v>
      </c>
      <c r="B382" s="401">
        <v>5739886</v>
      </c>
      <c r="C382" s="466" t="s">
        <v>6546</v>
      </c>
      <c r="D382" s="395"/>
      <c r="E382" s="395">
        <v>17084.14</v>
      </c>
      <c r="F382" s="290">
        <v>1297883</v>
      </c>
      <c r="G382" s="283" t="s">
        <v>6450</v>
      </c>
      <c r="H382" s="395"/>
      <c r="I382" s="395">
        <v>17084.14</v>
      </c>
      <c r="J382" s="62" t="s">
        <v>5242</v>
      </c>
      <c r="K382" s="467" t="s">
        <v>34</v>
      </c>
      <c r="M382" s="36" t="s">
        <v>6610</v>
      </c>
      <c r="N382" s="398"/>
      <c r="P382" s="487" t="s">
        <v>6611</v>
      </c>
      <c r="Q382" s="487"/>
      <c r="R382" s="478" t="s">
        <v>6097</v>
      </c>
      <c r="S382" s="468" t="s">
        <v>6125</v>
      </c>
      <c r="T382" s="466" t="s">
        <v>6476</v>
      </c>
      <c r="U382" s="283" t="s">
        <v>6612</v>
      </c>
      <c r="AF382" s="471" t="s">
        <v>6453</v>
      </c>
      <c r="AG382" s="490">
        <v>123280</v>
      </c>
      <c r="AH382" s="490">
        <v>22199.64</v>
      </c>
      <c r="AJ382"/>
    </row>
    <row r="383" spans="1:36" ht="19.5" customHeight="1">
      <c r="A383" s="25">
        <v>382</v>
      </c>
      <c r="B383" s="401">
        <v>5739945</v>
      </c>
      <c r="C383" s="466" t="s">
        <v>6546</v>
      </c>
      <c r="D383" s="395"/>
      <c r="E383" s="395">
        <v>39680.74</v>
      </c>
      <c r="F383" s="290">
        <v>1297849</v>
      </c>
      <c r="G383" s="283" t="s">
        <v>6450</v>
      </c>
      <c r="H383" s="395"/>
      <c r="I383" s="395">
        <v>39680.74</v>
      </c>
      <c r="J383" s="62" t="s">
        <v>5242</v>
      </c>
      <c r="K383" s="467" t="s">
        <v>34</v>
      </c>
      <c r="M383" s="36" t="s">
        <v>6613</v>
      </c>
      <c r="N383" s="398"/>
      <c r="P383" s="487" t="s">
        <v>6614</v>
      </c>
      <c r="Q383" s="487"/>
      <c r="R383" s="454" t="s">
        <v>6615</v>
      </c>
      <c r="S383" s="468" t="s">
        <v>6616</v>
      </c>
      <c r="T383" s="283" t="s">
        <v>5677</v>
      </c>
      <c r="U383" s="283" t="s">
        <v>6617</v>
      </c>
      <c r="AF383" s="471" t="s">
        <v>6453</v>
      </c>
      <c r="AG383" s="490">
        <v>76908</v>
      </c>
      <c r="AH383" s="490">
        <v>45352.61</v>
      </c>
      <c r="AJ383"/>
    </row>
    <row r="384" spans="1:36" ht="19.5" customHeight="1">
      <c r="A384" s="25">
        <v>383</v>
      </c>
      <c r="B384" s="401">
        <v>5740124</v>
      </c>
      <c r="C384" s="466" t="s">
        <v>6450</v>
      </c>
      <c r="D384" s="395"/>
      <c r="E384" s="395">
        <v>18985.43</v>
      </c>
      <c r="F384" s="290">
        <v>1297871</v>
      </c>
      <c r="G384" s="283" t="s">
        <v>6450</v>
      </c>
      <c r="H384" s="395"/>
      <c r="I384" s="395">
        <v>18985.43</v>
      </c>
      <c r="J384" s="62" t="s">
        <v>5242</v>
      </c>
      <c r="K384" s="467" t="s">
        <v>34</v>
      </c>
      <c r="M384" s="36" t="s">
        <v>6618</v>
      </c>
      <c r="N384" s="398"/>
      <c r="P384" s="487" t="s">
        <v>6619</v>
      </c>
      <c r="Q384" s="487"/>
      <c r="R384" s="454" t="s">
        <v>6380</v>
      </c>
      <c r="S384" s="468" t="s">
        <v>6381</v>
      </c>
      <c r="T384" s="283" t="s">
        <v>6546</v>
      </c>
      <c r="U384" s="283" t="s">
        <v>6620</v>
      </c>
      <c r="AF384" s="471" t="s">
        <v>6453</v>
      </c>
      <c r="AG384" s="490">
        <v>64730</v>
      </c>
      <c r="AH384" s="490">
        <v>19145.91</v>
      </c>
      <c r="AJ384"/>
    </row>
    <row r="385" spans="1:36" ht="19.5" customHeight="1">
      <c r="A385" s="25">
        <v>384</v>
      </c>
      <c r="B385" s="401">
        <v>5740232</v>
      </c>
      <c r="C385" s="466" t="s">
        <v>6450</v>
      </c>
      <c r="D385" s="395"/>
      <c r="E385" s="395">
        <v>30.98</v>
      </c>
      <c r="F385" s="290">
        <v>1298375</v>
      </c>
      <c r="G385" s="283" t="s">
        <v>6096</v>
      </c>
      <c r="H385" s="395"/>
      <c r="I385" s="395">
        <v>30.98</v>
      </c>
      <c r="J385" s="62" t="s">
        <v>5242</v>
      </c>
      <c r="K385" s="467" t="s">
        <v>34</v>
      </c>
      <c r="L385" s="486"/>
      <c r="M385" s="36" t="s">
        <v>6621</v>
      </c>
      <c r="N385" s="398"/>
      <c r="P385" s="488" t="s">
        <v>5244</v>
      </c>
      <c r="Q385" s="488"/>
      <c r="R385" s="478" t="s">
        <v>6097</v>
      </c>
      <c r="S385" s="468" t="s">
        <v>6125</v>
      </c>
      <c r="T385" s="283" t="s">
        <v>141</v>
      </c>
      <c r="U385" s="283" t="s">
        <v>141</v>
      </c>
      <c r="AF385" s="471" t="s">
        <v>6453</v>
      </c>
      <c r="AG385" s="330" t="s">
        <v>141</v>
      </c>
      <c r="AH385" s="330" t="s">
        <v>141</v>
      </c>
      <c r="AJ385"/>
    </row>
    <row r="386" spans="1:36" ht="19.5" customHeight="1">
      <c r="A386" s="25">
        <v>385</v>
      </c>
      <c r="C386" s="466" t="s">
        <v>6097</v>
      </c>
      <c r="D386" s="395"/>
      <c r="E386" s="395">
        <v>4160</v>
      </c>
      <c r="F386" s="290">
        <v>1298074</v>
      </c>
      <c r="G386" s="283" t="s">
        <v>6622</v>
      </c>
      <c r="H386" s="395"/>
      <c r="I386" s="395">
        <v>4160</v>
      </c>
      <c r="J386" s="62" t="s">
        <v>5242</v>
      </c>
      <c r="K386" s="467" t="s">
        <v>5859</v>
      </c>
      <c r="L386" s="486"/>
      <c r="M386" s="36" t="s">
        <v>6623</v>
      </c>
      <c r="N386" s="398"/>
      <c r="P386" s="488" t="s">
        <v>5257</v>
      </c>
      <c r="Q386" s="488"/>
      <c r="R386" s="478" t="s">
        <v>141</v>
      </c>
      <c r="S386" s="468" t="s">
        <v>141</v>
      </c>
      <c r="T386" s="283" t="s">
        <v>141</v>
      </c>
      <c r="U386" s="283" t="s">
        <v>141</v>
      </c>
      <c r="W386" s="41" t="s">
        <v>4660</v>
      </c>
      <c r="AF386" s="471" t="s">
        <v>6285</v>
      </c>
      <c r="AG386" s="330" t="s">
        <v>141</v>
      </c>
      <c r="AH386" s="330" t="s">
        <v>141</v>
      </c>
      <c r="AJ386"/>
    </row>
    <row r="387" spans="1:36" ht="19.5" customHeight="1">
      <c r="A387" s="25">
        <v>386</v>
      </c>
      <c r="B387" s="401">
        <v>5743774</v>
      </c>
      <c r="C387" s="466" t="s">
        <v>6624</v>
      </c>
      <c r="D387" s="395"/>
      <c r="E387" s="395">
        <v>30.95</v>
      </c>
      <c r="F387" s="290">
        <v>1301083</v>
      </c>
      <c r="G387" s="466" t="s">
        <v>6411</v>
      </c>
      <c r="H387" s="395"/>
      <c r="I387" s="395">
        <v>30.95</v>
      </c>
      <c r="J387" s="62" t="s">
        <v>5242</v>
      </c>
      <c r="K387" s="467" t="s">
        <v>34</v>
      </c>
      <c r="M387" s="36" t="s">
        <v>6095</v>
      </c>
      <c r="N387" s="398"/>
      <c r="P387" s="488" t="s">
        <v>5244</v>
      </c>
      <c r="Q387" s="488"/>
      <c r="R387" s="454" t="s">
        <v>141</v>
      </c>
      <c r="S387" s="468" t="s">
        <v>141</v>
      </c>
      <c r="T387" s="283" t="s">
        <v>141</v>
      </c>
      <c r="U387" s="283" t="s">
        <v>141</v>
      </c>
      <c r="AF387" s="471" t="s">
        <v>6556</v>
      </c>
      <c r="AG387" s="330" t="s">
        <v>141</v>
      </c>
      <c r="AH387" s="330" t="s">
        <v>141</v>
      </c>
      <c r="AJ387"/>
    </row>
    <row r="388" spans="1:36" ht="19.5" customHeight="1">
      <c r="A388" s="25">
        <v>387</v>
      </c>
      <c r="B388" s="401">
        <v>5743838</v>
      </c>
      <c r="C388" s="466" t="s">
        <v>6624</v>
      </c>
      <c r="D388" s="395"/>
      <c r="E388" s="395">
        <v>38215.96</v>
      </c>
      <c r="F388" s="290">
        <v>1305524</v>
      </c>
      <c r="G388" s="283" t="s">
        <v>6625</v>
      </c>
      <c r="H388" s="395"/>
      <c r="I388" s="395">
        <v>38215.96</v>
      </c>
      <c r="J388" s="62" t="s">
        <v>5242</v>
      </c>
      <c r="K388" s="467" t="s">
        <v>34</v>
      </c>
      <c r="M388" s="36" t="s">
        <v>6626</v>
      </c>
      <c r="N388" s="398"/>
      <c r="P388" s="487" t="s">
        <v>6627</v>
      </c>
      <c r="Q388" s="487"/>
      <c r="R388" s="454" t="s">
        <v>6628</v>
      </c>
      <c r="S388" s="468" t="s">
        <v>6629</v>
      </c>
      <c r="T388" s="283" t="s">
        <v>6630</v>
      </c>
      <c r="U388" s="283" t="s">
        <v>6631</v>
      </c>
      <c r="AF388" s="471" t="s">
        <v>6556</v>
      </c>
      <c r="AG388" s="490">
        <v>418741.2</v>
      </c>
      <c r="AH388" s="490">
        <v>317933.62</v>
      </c>
      <c r="AJ388"/>
    </row>
    <row r="389" spans="1:36" ht="19.5" customHeight="1">
      <c r="A389" s="25">
        <v>388</v>
      </c>
      <c r="B389" s="401">
        <v>5744546</v>
      </c>
      <c r="C389" s="466" t="s">
        <v>6632</v>
      </c>
      <c r="D389" s="395"/>
      <c r="E389" s="395">
        <v>5855</v>
      </c>
      <c r="F389" s="290">
        <v>1301449</v>
      </c>
      <c r="G389" s="283" t="s">
        <v>6633</v>
      </c>
      <c r="H389" s="395"/>
      <c r="I389" s="395">
        <v>5855</v>
      </c>
      <c r="J389" s="62" t="s">
        <v>5242</v>
      </c>
      <c r="K389" s="467" t="s">
        <v>5737</v>
      </c>
      <c r="M389" s="36" t="s">
        <v>6634</v>
      </c>
      <c r="N389" s="398"/>
      <c r="P389" s="487" t="s">
        <v>6589</v>
      </c>
      <c r="Q389" s="487"/>
      <c r="R389" s="454" t="s">
        <v>6097</v>
      </c>
      <c r="S389" s="468" t="s">
        <v>6125</v>
      </c>
      <c r="T389" s="283" t="s">
        <v>6097</v>
      </c>
      <c r="U389" s="283" t="s">
        <v>6125</v>
      </c>
      <c r="AF389" s="471" t="s">
        <v>6548</v>
      </c>
      <c r="AG389" s="490">
        <v>226388</v>
      </c>
      <c r="AH389" s="490">
        <v>40023.35</v>
      </c>
      <c r="AJ389"/>
    </row>
    <row r="390" spans="1:36" ht="19.5" customHeight="1">
      <c r="A390" s="25">
        <v>389</v>
      </c>
      <c r="C390" s="466" t="s">
        <v>6635</v>
      </c>
      <c r="D390" s="395"/>
      <c r="E390" s="395">
        <v>1770</v>
      </c>
      <c r="F390" s="290">
        <v>1302423</v>
      </c>
      <c r="G390" s="283" t="s">
        <v>6635</v>
      </c>
      <c r="H390" s="395"/>
      <c r="I390" s="395">
        <v>1770</v>
      </c>
      <c r="J390" s="62" t="s">
        <v>5242</v>
      </c>
      <c r="K390" s="467" t="s">
        <v>139</v>
      </c>
      <c r="M390" s="36" t="s">
        <v>6636</v>
      </c>
      <c r="N390" s="398"/>
      <c r="P390" s="488" t="s">
        <v>6637</v>
      </c>
      <c r="Q390" s="488"/>
      <c r="R390" s="454" t="s">
        <v>141</v>
      </c>
      <c r="S390" s="468" t="s">
        <v>141</v>
      </c>
      <c r="T390" s="283"/>
      <c r="U390" s="283"/>
      <c r="AF390" s="471" t="s">
        <v>6548</v>
      </c>
      <c r="AG390" s="417"/>
      <c r="AH390" s="417"/>
      <c r="AJ390"/>
    </row>
    <row r="391" spans="1:36" ht="19.5" customHeight="1">
      <c r="A391" s="25">
        <v>390</v>
      </c>
      <c r="B391" s="401">
        <v>5753140</v>
      </c>
      <c r="C391" s="466" t="s">
        <v>6638</v>
      </c>
      <c r="D391" s="395"/>
      <c r="E391" s="395">
        <v>10420</v>
      </c>
      <c r="F391" s="290">
        <v>1305031</v>
      </c>
      <c r="G391" s="283" t="s">
        <v>6639</v>
      </c>
      <c r="H391" s="395"/>
      <c r="I391" s="395">
        <v>10420</v>
      </c>
      <c r="J391" s="62" t="s">
        <v>5242</v>
      </c>
      <c r="K391" s="467" t="s">
        <v>4662</v>
      </c>
      <c r="L391" s="472"/>
      <c r="M391" s="36" t="s">
        <v>6640</v>
      </c>
      <c r="N391" s="398"/>
      <c r="P391" s="487" t="s">
        <v>6627</v>
      </c>
      <c r="Q391" s="487"/>
      <c r="R391" s="454" t="s">
        <v>141</v>
      </c>
      <c r="S391" s="468" t="s">
        <v>141</v>
      </c>
      <c r="T391" s="283"/>
      <c r="U391" s="283"/>
      <c r="AF391" s="471" t="s">
        <v>6641</v>
      </c>
      <c r="AG391" s="490"/>
      <c r="AH391" s="490"/>
      <c r="AJ391"/>
    </row>
    <row r="392" spans="1:36" ht="19.5" customHeight="1">
      <c r="A392" s="25">
        <v>391</v>
      </c>
      <c r="B392" s="401">
        <v>5761098</v>
      </c>
      <c r="C392" s="466" t="s">
        <v>6642</v>
      </c>
      <c r="D392" s="395"/>
      <c r="E392" s="395">
        <v>31.03</v>
      </c>
      <c r="F392" s="290">
        <v>1306937</v>
      </c>
      <c r="G392" s="283" t="s">
        <v>6643</v>
      </c>
      <c r="H392" s="395"/>
      <c r="I392" s="395">
        <v>31.03</v>
      </c>
      <c r="J392" s="62" t="s">
        <v>5242</v>
      </c>
      <c r="K392" s="467" t="s">
        <v>34</v>
      </c>
      <c r="M392" s="36" t="s">
        <v>6501</v>
      </c>
      <c r="N392" s="398"/>
      <c r="P392" s="488" t="s">
        <v>5244</v>
      </c>
      <c r="Q392" s="488"/>
      <c r="R392" s="454" t="s">
        <v>6642</v>
      </c>
      <c r="S392" s="468" t="s">
        <v>6644</v>
      </c>
      <c r="T392" s="283"/>
      <c r="U392" s="283"/>
      <c r="AF392" s="471" t="s">
        <v>6556</v>
      </c>
      <c r="AG392" s="490"/>
      <c r="AH392" s="490"/>
      <c r="AJ392"/>
    </row>
    <row r="393" spans="1:36" ht="19.5" customHeight="1">
      <c r="A393" s="25">
        <v>392</v>
      </c>
      <c r="B393" s="401">
        <v>5762757</v>
      </c>
      <c r="C393" s="466" t="s">
        <v>6245</v>
      </c>
      <c r="D393" s="395"/>
      <c r="E393" s="395">
        <v>17035.13</v>
      </c>
      <c r="F393" s="290">
        <v>1309561</v>
      </c>
      <c r="G393" s="283" t="s">
        <v>5677</v>
      </c>
      <c r="H393" s="395"/>
      <c r="I393" s="395">
        <v>17035.13</v>
      </c>
      <c r="J393" s="62" t="s">
        <v>5242</v>
      </c>
      <c r="K393" s="467" t="s">
        <v>34</v>
      </c>
      <c r="M393" s="36" t="s">
        <v>5657</v>
      </c>
      <c r="N393" s="398"/>
      <c r="P393" s="487" t="s">
        <v>6645</v>
      </c>
      <c r="Q393" s="487"/>
      <c r="R393" s="454" t="s">
        <v>6646</v>
      </c>
      <c r="S393" s="468" t="s">
        <v>6647</v>
      </c>
      <c r="T393" s="283" t="s">
        <v>6158</v>
      </c>
      <c r="U393" s="283" t="s">
        <v>6170</v>
      </c>
      <c r="AF393" s="471" t="s">
        <v>6556</v>
      </c>
      <c r="AG393" s="490">
        <v>284000</v>
      </c>
      <c r="AH393" s="490">
        <v>17042</v>
      </c>
      <c r="AJ393"/>
    </row>
    <row r="394" spans="1:36" ht="19.5" customHeight="1">
      <c r="A394" s="25">
        <v>393</v>
      </c>
      <c r="B394" s="401">
        <v>5764006</v>
      </c>
      <c r="C394" s="466" t="s">
        <v>6018</v>
      </c>
      <c r="D394" s="395"/>
      <c r="E394" s="395">
        <v>8320.3799999999992</v>
      </c>
      <c r="F394" s="290">
        <v>1309565</v>
      </c>
      <c r="G394" s="283" t="s">
        <v>5677</v>
      </c>
      <c r="H394" s="395"/>
      <c r="I394" s="395">
        <v>8320.3799999999992</v>
      </c>
      <c r="J394" s="62" t="s">
        <v>5242</v>
      </c>
      <c r="K394" s="467" t="s">
        <v>34</v>
      </c>
      <c r="M394" s="36" t="s">
        <v>6150</v>
      </c>
      <c r="N394" s="398"/>
      <c r="P394" s="487" t="s">
        <v>6648</v>
      </c>
      <c r="Q394" s="487"/>
      <c r="R394" s="454" t="s">
        <v>6158</v>
      </c>
      <c r="S394" s="468" t="s">
        <v>6170</v>
      </c>
      <c r="T394" s="283" t="s">
        <v>6649</v>
      </c>
      <c r="U394" s="283" t="s">
        <v>6650</v>
      </c>
      <c r="AF394" s="471" t="s">
        <v>6556</v>
      </c>
      <c r="AG394" s="490">
        <v>24700</v>
      </c>
      <c r="AH394" s="490">
        <v>8377.0499999999993</v>
      </c>
      <c r="AJ394"/>
    </row>
    <row r="395" spans="1:36" ht="19.5" customHeight="1" thickBot="1">
      <c r="A395" s="25">
        <v>394</v>
      </c>
      <c r="B395" s="479">
        <v>5767615</v>
      </c>
      <c r="C395" s="480" t="s">
        <v>5677</v>
      </c>
      <c r="D395" s="395"/>
      <c r="E395" s="395">
        <v>11765.05</v>
      </c>
      <c r="F395" s="481">
        <v>1310313</v>
      </c>
      <c r="G395" s="283" t="s">
        <v>6651</v>
      </c>
      <c r="H395" s="395"/>
      <c r="I395" s="395">
        <v>11765.05</v>
      </c>
      <c r="J395" s="482" t="s">
        <v>5242</v>
      </c>
      <c r="K395" s="483" t="s">
        <v>34</v>
      </c>
      <c r="L395" s="493" t="s">
        <v>6652</v>
      </c>
      <c r="M395" s="484" t="s">
        <v>6653</v>
      </c>
      <c r="N395" s="398"/>
      <c r="P395" s="487" t="s">
        <v>6654</v>
      </c>
      <c r="Q395" s="487"/>
      <c r="R395" s="454" t="s">
        <v>6655</v>
      </c>
      <c r="S395" s="468" t="s">
        <v>6656</v>
      </c>
      <c r="T395" s="283" t="s">
        <v>6655</v>
      </c>
      <c r="U395" s="283" t="s">
        <v>6170</v>
      </c>
      <c r="AF395" s="485" t="s">
        <v>6556</v>
      </c>
      <c r="AG395" s="490">
        <v>61808</v>
      </c>
      <c r="AH395" s="490">
        <v>24608.18</v>
      </c>
      <c r="AJ395"/>
    </row>
    <row r="396" spans="1:36" ht="19.5" customHeight="1" thickTop="1">
      <c r="A396" s="25">
        <v>395</v>
      </c>
      <c r="B396" s="401">
        <v>5771127</v>
      </c>
      <c r="C396" s="466" t="s">
        <v>6657</v>
      </c>
      <c r="D396" s="395"/>
      <c r="E396" s="395">
        <v>4024.49</v>
      </c>
      <c r="F396" s="290">
        <v>1312297</v>
      </c>
      <c r="G396" s="466" t="s">
        <v>6453</v>
      </c>
      <c r="H396" s="395"/>
      <c r="I396" s="395">
        <v>4024.49</v>
      </c>
      <c r="J396" s="62" t="s">
        <v>5242</v>
      </c>
      <c r="K396" s="467" t="s">
        <v>34</v>
      </c>
      <c r="L396" s="472"/>
      <c r="M396" s="36" t="s">
        <v>6658</v>
      </c>
      <c r="N396" s="398"/>
      <c r="P396" s="487" t="s">
        <v>6654</v>
      </c>
      <c r="Q396" s="487"/>
      <c r="R396" s="478" t="s">
        <v>6655</v>
      </c>
      <c r="S396" s="468" t="s">
        <v>6656</v>
      </c>
      <c r="T396" s="283" t="s">
        <v>6659</v>
      </c>
      <c r="U396" s="283" t="s">
        <v>6656</v>
      </c>
      <c r="AF396" s="471" t="s">
        <v>6660</v>
      </c>
      <c r="AG396" s="490"/>
      <c r="AH396" s="490"/>
      <c r="AJ396"/>
    </row>
    <row r="397" spans="1:36" ht="19.5" customHeight="1">
      <c r="A397" s="25">
        <v>396</v>
      </c>
      <c r="B397" s="401">
        <v>5771712</v>
      </c>
      <c r="C397" s="466" t="s">
        <v>6661</v>
      </c>
      <c r="D397" s="395"/>
      <c r="E397" s="395">
        <v>12931.42</v>
      </c>
      <c r="F397" s="492">
        <v>1312497</v>
      </c>
      <c r="G397" s="473" t="s">
        <v>6453</v>
      </c>
      <c r="H397" s="395"/>
      <c r="I397" s="395">
        <v>12931.42</v>
      </c>
      <c r="J397" s="62" t="s">
        <v>5242</v>
      </c>
      <c r="K397" s="467" t="s">
        <v>5737</v>
      </c>
      <c r="L397" s="472"/>
      <c r="M397" s="36" t="s">
        <v>6221</v>
      </c>
      <c r="N397" s="398"/>
      <c r="P397" s="487" t="s">
        <v>6662</v>
      </c>
      <c r="Q397" s="487"/>
      <c r="R397" s="454" t="s">
        <v>6158</v>
      </c>
      <c r="S397" s="468" t="s">
        <v>6170</v>
      </c>
      <c r="T397" s="283" t="s">
        <v>6551</v>
      </c>
      <c r="U397" s="283" t="s">
        <v>6170</v>
      </c>
      <c r="AF397" s="471" t="s">
        <v>6663</v>
      </c>
      <c r="AG397" s="490">
        <v>278421</v>
      </c>
      <c r="AH397" s="490">
        <v>117960.18</v>
      </c>
      <c r="AJ397"/>
    </row>
    <row r="398" spans="1:36" ht="19.5" customHeight="1">
      <c r="A398" s="25">
        <v>397</v>
      </c>
      <c r="B398" s="401">
        <v>5772341</v>
      </c>
      <c r="C398" s="466" t="s">
        <v>6664</v>
      </c>
      <c r="D398" s="395"/>
      <c r="E398" s="395">
        <v>74133.22</v>
      </c>
      <c r="F398" s="290">
        <v>1313996</v>
      </c>
      <c r="G398" s="283" t="s">
        <v>6665</v>
      </c>
      <c r="H398" s="395"/>
      <c r="I398" s="395">
        <v>74133.22</v>
      </c>
      <c r="J398" s="62" t="s">
        <v>5242</v>
      </c>
      <c r="K398" s="467" t="s">
        <v>34</v>
      </c>
      <c r="M398" s="36" t="s">
        <v>6666</v>
      </c>
      <c r="N398" s="398"/>
      <c r="P398" s="487" t="s">
        <v>6662</v>
      </c>
      <c r="Q398" s="487"/>
      <c r="R398" s="454" t="s">
        <v>6158</v>
      </c>
      <c r="S398" s="468" t="s">
        <v>6170</v>
      </c>
      <c r="T398" s="283" t="s">
        <v>6158</v>
      </c>
      <c r="U398" s="283" t="s">
        <v>6170</v>
      </c>
      <c r="AF398" s="471" t="s">
        <v>6660</v>
      </c>
      <c r="AG398" s="490">
        <v>278421</v>
      </c>
      <c r="AH398" s="490">
        <v>117867.24</v>
      </c>
      <c r="AJ398"/>
    </row>
    <row r="399" spans="1:36" ht="19.5" customHeight="1">
      <c r="A399" s="25">
        <v>398</v>
      </c>
      <c r="B399" s="401">
        <v>5772374</v>
      </c>
      <c r="C399" s="466" t="s">
        <v>6664</v>
      </c>
      <c r="D399" s="395"/>
      <c r="E399" s="395">
        <v>16729.810000000001</v>
      </c>
      <c r="F399" s="290">
        <v>1313311</v>
      </c>
      <c r="G399" s="283" t="s">
        <v>6667</v>
      </c>
      <c r="H399" s="395"/>
      <c r="I399" s="395">
        <v>16729.810000000001</v>
      </c>
      <c r="J399" s="62" t="s">
        <v>5242</v>
      </c>
      <c r="K399" s="467" t="s">
        <v>34</v>
      </c>
      <c r="M399" s="36" t="s">
        <v>6668</v>
      </c>
      <c r="N399" s="398"/>
      <c r="P399" s="487" t="s">
        <v>6669</v>
      </c>
      <c r="Q399" s="487"/>
      <c r="R399" s="454" t="s">
        <v>6158</v>
      </c>
      <c r="S399" s="468" t="s">
        <v>6170</v>
      </c>
      <c r="T399" s="283" t="s">
        <v>6224</v>
      </c>
      <c r="U399" s="283" t="s">
        <v>6670</v>
      </c>
      <c r="AF399" s="471" t="s">
        <v>6660</v>
      </c>
      <c r="AG399" s="490">
        <v>170000</v>
      </c>
      <c r="AH399" s="490">
        <v>82651.88</v>
      </c>
      <c r="AJ399"/>
    </row>
    <row r="400" spans="1:36" ht="19.5" customHeight="1">
      <c r="A400" s="25">
        <v>399</v>
      </c>
      <c r="B400" s="401">
        <v>5782010</v>
      </c>
      <c r="C400" s="466" t="s">
        <v>6671</v>
      </c>
      <c r="D400" s="395"/>
      <c r="E400" s="395">
        <v>1478.13</v>
      </c>
      <c r="F400" s="290">
        <v>1318469</v>
      </c>
      <c r="G400" s="283" t="s">
        <v>6672</v>
      </c>
      <c r="H400" s="395"/>
      <c r="I400" s="395">
        <v>1478.13</v>
      </c>
      <c r="J400" s="62" t="s">
        <v>5242</v>
      </c>
      <c r="K400" s="467" t="s">
        <v>34</v>
      </c>
      <c r="M400" s="36" t="s">
        <v>6673</v>
      </c>
      <c r="N400" s="398"/>
      <c r="P400" s="487" t="s">
        <v>6674</v>
      </c>
      <c r="Q400" s="487"/>
      <c r="R400" s="454" t="s">
        <v>6675</v>
      </c>
      <c r="S400" s="468" t="s">
        <v>6421</v>
      </c>
      <c r="T400" s="283" t="s">
        <v>6215</v>
      </c>
      <c r="U400" s="283" t="s">
        <v>6421</v>
      </c>
      <c r="AF400" s="471" t="s">
        <v>6660</v>
      </c>
      <c r="AG400" s="490">
        <v>31413</v>
      </c>
      <c r="AH400" s="490">
        <v>1479</v>
      </c>
      <c r="AJ400"/>
    </row>
    <row r="401" spans="1:36" ht="19.5" customHeight="1">
      <c r="A401" s="25">
        <v>400</v>
      </c>
      <c r="B401" s="401">
        <v>5785615</v>
      </c>
      <c r="C401" s="466" t="s">
        <v>6676</v>
      </c>
      <c r="D401" s="395"/>
      <c r="E401" s="395">
        <v>11658.52</v>
      </c>
      <c r="F401" s="290">
        <v>1319818</v>
      </c>
      <c r="G401" s="283" t="s">
        <v>6138</v>
      </c>
      <c r="H401" s="395"/>
      <c r="I401" s="395">
        <v>11658.52</v>
      </c>
      <c r="J401" s="62" t="s">
        <v>5242</v>
      </c>
      <c r="K401" s="467" t="s">
        <v>34</v>
      </c>
      <c r="L401" s="472"/>
      <c r="M401" s="36" t="s">
        <v>6677</v>
      </c>
      <c r="N401" s="398"/>
      <c r="P401" s="487" t="s">
        <v>6678</v>
      </c>
      <c r="Q401" s="487"/>
      <c r="R401" s="454" t="s">
        <v>6158</v>
      </c>
      <c r="S401" s="468" t="s">
        <v>6170</v>
      </c>
      <c r="T401" s="283" t="s">
        <v>6679</v>
      </c>
      <c r="U401" s="283" t="s">
        <v>6680</v>
      </c>
      <c r="AF401" s="471" t="s">
        <v>6660</v>
      </c>
      <c r="AG401" s="490">
        <v>30990</v>
      </c>
      <c r="AH401" s="490">
        <v>21955.7</v>
      </c>
      <c r="AJ401"/>
    </row>
    <row r="402" spans="1:36" ht="19.5" customHeight="1">
      <c r="A402" s="25">
        <v>401</v>
      </c>
      <c r="B402" s="401">
        <v>5786313</v>
      </c>
      <c r="C402" s="466" t="s">
        <v>6681</v>
      </c>
      <c r="D402" s="395"/>
      <c r="E402" s="395">
        <v>68380.070000000007</v>
      </c>
      <c r="F402" s="290">
        <v>1320540</v>
      </c>
      <c r="G402" s="283" t="s">
        <v>6682</v>
      </c>
      <c r="H402" s="395"/>
      <c r="I402" s="395">
        <v>68380.070000000007</v>
      </c>
      <c r="J402" s="62" t="s">
        <v>5242</v>
      </c>
      <c r="K402" s="467" t="s">
        <v>34</v>
      </c>
      <c r="M402" s="36" t="s">
        <v>6683</v>
      </c>
      <c r="N402" s="398"/>
      <c r="P402" s="487" t="s">
        <v>6684</v>
      </c>
      <c r="Q402" s="487"/>
      <c r="R402" s="478" t="s">
        <v>6564</v>
      </c>
      <c r="S402" s="468" t="s">
        <v>6685</v>
      </c>
      <c r="T402" s="283" t="s">
        <v>6564</v>
      </c>
      <c r="U402" s="283" t="s">
        <v>6685</v>
      </c>
      <c r="AF402" s="471" t="s">
        <v>6660</v>
      </c>
      <c r="AG402" s="490">
        <v>156899</v>
      </c>
      <c r="AH402" s="490">
        <v>89381.02</v>
      </c>
      <c r="AJ402"/>
    </row>
    <row r="403" spans="1:36" ht="19.5" customHeight="1">
      <c r="A403" s="25">
        <v>402</v>
      </c>
      <c r="B403" s="401">
        <v>5786321</v>
      </c>
      <c r="C403" s="466" t="s">
        <v>6681</v>
      </c>
      <c r="D403" s="395"/>
      <c r="E403" s="395">
        <v>5233.83</v>
      </c>
      <c r="F403" s="290">
        <v>1320040</v>
      </c>
      <c r="G403" s="283" t="s">
        <v>6138</v>
      </c>
      <c r="H403" s="395"/>
      <c r="I403" s="395">
        <v>5233.83</v>
      </c>
      <c r="J403" s="62" t="s">
        <v>5242</v>
      </c>
      <c r="K403" s="467" t="s">
        <v>34</v>
      </c>
      <c r="M403" s="36" t="s">
        <v>6288</v>
      </c>
      <c r="N403" s="398"/>
      <c r="P403" s="487" t="s">
        <v>6686</v>
      </c>
      <c r="Q403" s="487"/>
      <c r="R403" s="454" t="s">
        <v>6628</v>
      </c>
      <c r="S403" s="468" t="s">
        <v>6170</v>
      </c>
      <c r="T403" s="283" t="s">
        <v>6318</v>
      </c>
      <c r="U403" s="283" t="s">
        <v>6170</v>
      </c>
      <c r="AF403" s="471" t="s">
        <v>6660</v>
      </c>
      <c r="AG403" s="490">
        <v>44690</v>
      </c>
      <c r="AH403" s="490">
        <v>5098.88</v>
      </c>
      <c r="AJ403"/>
    </row>
    <row r="404" spans="1:36" ht="19.5" customHeight="1">
      <c r="A404" s="25">
        <v>403</v>
      </c>
      <c r="B404" s="401">
        <v>5787625</v>
      </c>
      <c r="C404" s="466" t="s">
        <v>6687</v>
      </c>
      <c r="D404" s="395"/>
      <c r="E404" s="395">
        <v>20749</v>
      </c>
      <c r="F404" s="290">
        <v>1320060</v>
      </c>
      <c r="G404" s="283" t="s">
        <v>6688</v>
      </c>
      <c r="H404" s="395"/>
      <c r="I404" s="395">
        <v>20749</v>
      </c>
      <c r="J404" s="62" t="s">
        <v>5242</v>
      </c>
      <c r="K404" s="467" t="s">
        <v>5737</v>
      </c>
      <c r="M404" s="36" t="s">
        <v>6689</v>
      </c>
      <c r="N404" s="398"/>
      <c r="P404" s="487" t="s">
        <v>6684</v>
      </c>
      <c r="Q404" s="487"/>
      <c r="R404" s="478" t="s">
        <v>6564</v>
      </c>
      <c r="S404" s="468" t="s">
        <v>6685</v>
      </c>
      <c r="T404" s="466" t="s">
        <v>6564</v>
      </c>
      <c r="U404" s="283" t="s">
        <v>6685</v>
      </c>
      <c r="AF404" s="471" t="s">
        <v>6663</v>
      </c>
      <c r="AG404" s="490" t="s">
        <v>141</v>
      </c>
      <c r="AH404" s="490" t="s">
        <v>141</v>
      </c>
      <c r="AJ404"/>
    </row>
    <row r="405" spans="1:36" ht="19.5" customHeight="1">
      <c r="A405" s="25">
        <v>404</v>
      </c>
      <c r="B405" s="401">
        <v>5788676</v>
      </c>
      <c r="C405" s="466" t="s">
        <v>6641</v>
      </c>
      <c r="D405" s="395"/>
      <c r="E405" s="395">
        <v>20558.740000000002</v>
      </c>
      <c r="F405" s="290">
        <v>1319795</v>
      </c>
      <c r="G405" s="283" t="s">
        <v>6690</v>
      </c>
      <c r="H405" s="395"/>
      <c r="I405" s="395">
        <v>20558.740000000002</v>
      </c>
      <c r="J405" s="62" t="s">
        <v>5242</v>
      </c>
      <c r="K405" s="467" t="s">
        <v>5359</v>
      </c>
      <c r="M405" s="36" t="s">
        <v>6691</v>
      </c>
      <c r="N405" s="398"/>
      <c r="P405" s="487" t="s">
        <v>6692</v>
      </c>
      <c r="Q405" s="487"/>
      <c r="R405" s="478" t="s">
        <v>6693</v>
      </c>
      <c r="S405" s="468" t="s">
        <v>6694</v>
      </c>
      <c r="T405" s="466" t="s">
        <v>6695</v>
      </c>
      <c r="U405" s="283" t="s">
        <v>6696</v>
      </c>
      <c r="AF405" s="471" t="s">
        <v>6697</v>
      </c>
      <c r="AG405" s="490">
        <v>24800</v>
      </c>
      <c r="AH405" s="490">
        <v>20724</v>
      </c>
      <c r="AJ405"/>
    </row>
    <row r="406" spans="1:36" ht="19.5" customHeight="1">
      <c r="A406" s="25">
        <v>405</v>
      </c>
      <c r="B406" s="401">
        <v>5800787</v>
      </c>
      <c r="C406" s="466" t="s">
        <v>6698</v>
      </c>
      <c r="D406" s="395"/>
      <c r="E406" s="395">
        <v>7867.44</v>
      </c>
      <c r="F406" s="290">
        <v>1326176</v>
      </c>
      <c r="G406" s="283" t="s">
        <v>6699</v>
      </c>
      <c r="H406" s="395"/>
      <c r="I406" s="395">
        <v>7867.44</v>
      </c>
      <c r="J406" s="62" t="s">
        <v>5242</v>
      </c>
      <c r="K406" s="467" t="s">
        <v>34</v>
      </c>
      <c r="L406" s="472" t="s">
        <v>6700</v>
      </c>
      <c r="M406" s="36" t="s">
        <v>6701</v>
      </c>
      <c r="N406" s="398"/>
      <c r="P406" s="487" t="s">
        <v>6702</v>
      </c>
      <c r="Q406" s="487"/>
      <c r="R406" s="454" t="s">
        <v>5798</v>
      </c>
      <c r="S406" s="468" t="s">
        <v>6703</v>
      </c>
      <c r="T406" s="283" t="s">
        <v>5798</v>
      </c>
      <c r="U406" s="283" t="s">
        <v>6703</v>
      </c>
      <c r="AF406" s="471" t="s">
        <v>6697</v>
      </c>
      <c r="AG406" s="490">
        <v>26906.58</v>
      </c>
      <c r="AH406" s="490">
        <v>7912.8</v>
      </c>
      <c r="AJ406"/>
    </row>
    <row r="407" spans="1:36" ht="19.5" customHeight="1">
      <c r="A407" s="25">
        <v>406</v>
      </c>
      <c r="C407" s="466" t="s">
        <v>6659</v>
      </c>
      <c r="D407" s="395"/>
      <c r="E407" s="395">
        <v>5040</v>
      </c>
      <c r="F407" s="290">
        <v>1328292</v>
      </c>
      <c r="G407" s="283" t="s">
        <v>6704</v>
      </c>
      <c r="H407" s="395"/>
      <c r="I407" s="395">
        <v>5040</v>
      </c>
      <c r="J407" s="62" t="s">
        <v>5242</v>
      </c>
      <c r="K407" s="467" t="s">
        <v>139</v>
      </c>
      <c r="L407" s="486"/>
      <c r="M407" s="36" t="s">
        <v>6705</v>
      </c>
      <c r="N407" s="398"/>
      <c r="P407" s="487" t="s">
        <v>6706</v>
      </c>
      <c r="Q407" s="487"/>
      <c r="R407" s="478" t="s">
        <v>141</v>
      </c>
      <c r="S407" s="468" t="s">
        <v>141</v>
      </c>
      <c r="T407" s="283" t="s">
        <v>141</v>
      </c>
      <c r="U407" s="283" t="s">
        <v>141</v>
      </c>
      <c r="AF407" s="471" t="s">
        <v>6707</v>
      </c>
      <c r="AG407" s="490" t="s">
        <v>6708</v>
      </c>
      <c r="AH407" s="490">
        <v>6680</v>
      </c>
      <c r="AJ407"/>
    </row>
    <row r="408" spans="1:36" ht="19.5" customHeight="1">
      <c r="A408" s="25">
        <v>407</v>
      </c>
      <c r="B408" s="401">
        <v>5815091</v>
      </c>
      <c r="C408" s="466" t="s">
        <v>6709</v>
      </c>
      <c r="D408" s="395"/>
      <c r="E408" s="395">
        <v>28986.959999999999</v>
      </c>
      <c r="F408" s="290">
        <v>1334424</v>
      </c>
      <c r="G408" s="283" t="s">
        <v>6710</v>
      </c>
      <c r="H408" s="395"/>
      <c r="I408" s="395">
        <v>28986.959999999999</v>
      </c>
      <c r="J408" s="62" t="s">
        <v>5242</v>
      </c>
      <c r="K408" s="467" t="s">
        <v>34</v>
      </c>
      <c r="L408" s="486"/>
      <c r="M408" s="36" t="s">
        <v>6711</v>
      </c>
      <c r="N408" s="398"/>
      <c r="P408" s="487" t="s">
        <v>6712</v>
      </c>
      <c r="Q408" s="487"/>
      <c r="R408" s="478" t="s">
        <v>6713</v>
      </c>
      <c r="S408" s="468" t="s">
        <v>6714</v>
      </c>
      <c r="T408" s="283" t="s">
        <v>6374</v>
      </c>
      <c r="U408" s="283" t="s">
        <v>6714</v>
      </c>
      <c r="AF408" s="471" t="s">
        <v>6715</v>
      </c>
      <c r="AG408" s="490">
        <v>245122</v>
      </c>
      <c r="AH408" s="490">
        <v>28887</v>
      </c>
      <c r="AJ408"/>
    </row>
    <row r="409" spans="1:36" ht="19.5" customHeight="1">
      <c r="A409" s="25">
        <v>408</v>
      </c>
      <c r="B409" s="401">
        <v>5816853</v>
      </c>
      <c r="C409" s="466" t="s">
        <v>6716</v>
      </c>
      <c r="D409" s="395"/>
      <c r="E409" s="395">
        <v>80942.16</v>
      </c>
      <c r="F409" s="290">
        <v>1335319</v>
      </c>
      <c r="G409" s="283" t="s">
        <v>6717</v>
      </c>
      <c r="H409" s="395"/>
      <c r="I409" s="395">
        <v>80942.16</v>
      </c>
      <c r="J409" s="62" t="s">
        <v>5242</v>
      </c>
      <c r="K409" s="467" t="s">
        <v>34</v>
      </c>
      <c r="L409" s="486"/>
      <c r="M409" s="36" t="s">
        <v>6718</v>
      </c>
      <c r="N409" s="398"/>
      <c r="P409" s="487" t="s">
        <v>6669</v>
      </c>
      <c r="Q409" s="487"/>
      <c r="R409" s="478" t="s">
        <v>6158</v>
      </c>
      <c r="S409" s="468" t="s">
        <v>6170</v>
      </c>
      <c r="W409" s="41" t="s">
        <v>4660</v>
      </c>
      <c r="AF409" s="471" t="s">
        <v>6719</v>
      </c>
      <c r="AG409" s="490" t="s">
        <v>141</v>
      </c>
      <c r="AH409" s="490" t="s">
        <v>141</v>
      </c>
      <c r="AJ409"/>
    </row>
    <row r="410" spans="1:36" ht="19.5" customHeight="1">
      <c r="A410" s="25">
        <v>409</v>
      </c>
      <c r="B410" s="401">
        <v>5819936</v>
      </c>
      <c r="C410" s="466" t="s">
        <v>6717</v>
      </c>
      <c r="D410" s="395"/>
      <c r="E410" s="395">
        <v>45031.27</v>
      </c>
      <c r="F410" s="290">
        <v>1338558</v>
      </c>
      <c r="G410" s="466" t="s">
        <v>6720</v>
      </c>
      <c r="H410" s="395"/>
      <c r="I410" s="395">
        <v>45031.27</v>
      </c>
      <c r="J410" s="62" t="s">
        <v>5242</v>
      </c>
      <c r="K410" s="467" t="s">
        <v>34</v>
      </c>
      <c r="M410" s="36" t="s">
        <v>6721</v>
      </c>
      <c r="N410" s="398"/>
      <c r="P410" s="487" t="s">
        <v>6722</v>
      </c>
      <c r="Q410" s="487"/>
      <c r="R410" s="454" t="s">
        <v>6723</v>
      </c>
      <c r="S410" s="468" t="s">
        <v>6724</v>
      </c>
      <c r="T410" s="283" t="s">
        <v>6725</v>
      </c>
      <c r="U410" s="283" t="s">
        <v>6726</v>
      </c>
      <c r="AF410" s="471" t="s">
        <v>6727</v>
      </c>
      <c r="AG410" s="490">
        <v>76383</v>
      </c>
      <c r="AH410" s="490">
        <v>66770.84</v>
      </c>
      <c r="AJ410"/>
    </row>
    <row r="411" spans="1:36" ht="19.5" customHeight="1">
      <c r="A411" s="25">
        <v>410</v>
      </c>
      <c r="B411" s="401">
        <v>5819960</v>
      </c>
      <c r="C411" s="466" t="s">
        <v>6717</v>
      </c>
      <c r="D411" s="395"/>
      <c r="E411" s="395">
        <v>3732.28</v>
      </c>
      <c r="F411" s="290">
        <v>1336097</v>
      </c>
      <c r="G411" s="283" t="s">
        <v>6728</v>
      </c>
      <c r="H411" s="395"/>
      <c r="I411" s="395">
        <v>3732.28</v>
      </c>
      <c r="J411" s="62" t="s">
        <v>5242</v>
      </c>
      <c r="K411" s="467" t="s">
        <v>34</v>
      </c>
      <c r="M411" s="36" t="s">
        <v>6729</v>
      </c>
      <c r="N411" s="398"/>
      <c r="P411" s="487" t="s">
        <v>6730</v>
      </c>
      <c r="Q411" s="487"/>
      <c r="R411" s="454" t="s">
        <v>6731</v>
      </c>
      <c r="S411" s="468" t="s">
        <v>6732</v>
      </c>
      <c r="T411" s="283" t="s">
        <v>6733</v>
      </c>
      <c r="U411" s="283" t="s">
        <v>6734</v>
      </c>
      <c r="AF411" s="471" t="s">
        <v>6715</v>
      </c>
      <c r="AG411" s="490">
        <v>17500</v>
      </c>
      <c r="AH411" s="490">
        <v>7403.85</v>
      </c>
      <c r="AJ411"/>
    </row>
    <row r="412" spans="1:36" ht="19.5" customHeight="1">
      <c r="A412" s="25">
        <v>411</v>
      </c>
      <c r="B412" s="401">
        <v>5820535</v>
      </c>
      <c r="C412" s="466" t="s">
        <v>6357</v>
      </c>
      <c r="D412" s="395"/>
      <c r="E412" s="395">
        <v>14379.31</v>
      </c>
      <c r="F412" s="290">
        <v>1336838</v>
      </c>
      <c r="G412" s="283" t="s">
        <v>6735</v>
      </c>
      <c r="H412" s="395"/>
      <c r="I412" s="395">
        <v>14379.31</v>
      </c>
      <c r="J412" s="62" t="s">
        <v>5242</v>
      </c>
      <c r="K412" s="467" t="s">
        <v>34</v>
      </c>
      <c r="M412" s="36" t="s">
        <v>6736</v>
      </c>
      <c r="N412" s="398"/>
      <c r="P412" s="487" t="s">
        <v>6722</v>
      </c>
      <c r="Q412" s="487"/>
      <c r="R412" s="454" t="s">
        <v>6723</v>
      </c>
      <c r="S412" s="468" t="s">
        <v>6724</v>
      </c>
      <c r="T412" s="283" t="s">
        <v>6737</v>
      </c>
      <c r="U412" s="283" t="s">
        <v>6738</v>
      </c>
      <c r="AF412" s="471" t="s">
        <v>6715</v>
      </c>
      <c r="AG412" s="490">
        <v>42127</v>
      </c>
      <c r="AH412" s="490">
        <v>15023.09</v>
      </c>
      <c r="AJ412"/>
    </row>
    <row r="413" spans="1:36" ht="19.5" customHeight="1">
      <c r="A413" s="25">
        <v>412</v>
      </c>
      <c r="C413" s="466" t="s">
        <v>6739</v>
      </c>
      <c r="D413" s="395"/>
      <c r="E413" s="395">
        <v>3670</v>
      </c>
      <c r="F413" s="290">
        <v>1335863</v>
      </c>
      <c r="G413" s="283" t="s">
        <v>6739</v>
      </c>
      <c r="H413" s="395"/>
      <c r="I413" s="395">
        <v>3670</v>
      </c>
      <c r="J413" s="62" t="s">
        <v>5242</v>
      </c>
      <c r="K413" s="467" t="s">
        <v>139</v>
      </c>
      <c r="M413" s="36" t="s">
        <v>6740</v>
      </c>
      <c r="N413" s="398"/>
      <c r="P413" s="487" t="s">
        <v>6730</v>
      </c>
      <c r="Q413" s="487"/>
      <c r="R413" s="454" t="s">
        <v>141</v>
      </c>
      <c r="S413" s="468" t="s">
        <v>141</v>
      </c>
      <c r="T413" s="283"/>
      <c r="U413" s="283"/>
      <c r="AF413" s="471" t="s">
        <v>6715</v>
      </c>
      <c r="AG413" s="417"/>
      <c r="AH413" s="417"/>
      <c r="AJ413"/>
    </row>
    <row r="414" spans="1:36" ht="19.5" customHeight="1">
      <c r="A414" s="25">
        <v>413</v>
      </c>
      <c r="B414" s="401">
        <v>5821998</v>
      </c>
      <c r="C414" s="466" t="s">
        <v>6731</v>
      </c>
      <c r="D414" s="395"/>
      <c r="E414" s="395">
        <v>3284.94</v>
      </c>
      <c r="F414" s="290">
        <v>1338668</v>
      </c>
      <c r="G414" s="283" t="s">
        <v>6741</v>
      </c>
      <c r="H414" s="395"/>
      <c r="I414" s="395">
        <v>3284.94</v>
      </c>
      <c r="J414" s="62" t="s">
        <v>5242</v>
      </c>
      <c r="K414" s="467" t="s">
        <v>34</v>
      </c>
      <c r="L414" s="472"/>
      <c r="M414" s="36" t="s">
        <v>6309</v>
      </c>
      <c r="N414" s="398"/>
      <c r="P414" s="487" t="s">
        <v>6742</v>
      </c>
      <c r="Q414" s="487"/>
      <c r="R414" s="454" t="s">
        <v>6743</v>
      </c>
      <c r="S414" s="468" t="s">
        <v>6744</v>
      </c>
      <c r="T414" s="283" t="s">
        <v>6731</v>
      </c>
      <c r="U414" s="283" t="s">
        <v>6732</v>
      </c>
      <c r="AF414" s="471" t="s">
        <v>6745</v>
      </c>
      <c r="AG414" s="490">
        <v>15158</v>
      </c>
      <c r="AH414" s="490">
        <v>3286.32</v>
      </c>
      <c r="AJ414"/>
    </row>
    <row r="415" spans="1:36" ht="19.5" customHeight="1">
      <c r="A415" s="25">
        <v>414</v>
      </c>
      <c r="B415" s="401">
        <v>5823206</v>
      </c>
      <c r="C415" s="466" t="s">
        <v>6746</v>
      </c>
      <c r="D415" s="395"/>
      <c r="E415" s="395">
        <v>7350</v>
      </c>
      <c r="F415" s="290">
        <v>1338486</v>
      </c>
      <c r="G415" s="283" t="s">
        <v>6427</v>
      </c>
      <c r="H415" s="395"/>
      <c r="I415" s="395">
        <v>7350</v>
      </c>
      <c r="J415" s="62" t="s">
        <v>5242</v>
      </c>
      <c r="K415" s="467" t="s">
        <v>6747</v>
      </c>
      <c r="M415" s="36" t="s">
        <v>6748</v>
      </c>
      <c r="N415" s="398"/>
      <c r="P415" s="487" t="s">
        <v>6749</v>
      </c>
      <c r="Q415" s="487"/>
      <c r="R415" s="454" t="s">
        <v>141</v>
      </c>
      <c r="S415" s="468" t="s">
        <v>141</v>
      </c>
      <c r="T415" s="283"/>
      <c r="U415" s="283"/>
      <c r="AF415" s="471" t="s">
        <v>6750</v>
      </c>
      <c r="AG415" s="490"/>
      <c r="AH415" s="490"/>
      <c r="AJ415"/>
    </row>
    <row r="416" spans="1:36" ht="19.5" customHeight="1">
      <c r="A416" s="25">
        <v>415</v>
      </c>
      <c r="B416" s="401">
        <v>5826107</v>
      </c>
      <c r="C416" s="466" t="s">
        <v>6741</v>
      </c>
      <c r="D416" s="395"/>
      <c r="E416" s="395">
        <v>14301.08</v>
      </c>
      <c r="F416" s="290">
        <v>1339526</v>
      </c>
      <c r="G416" s="283" t="s">
        <v>6751</v>
      </c>
      <c r="H416" s="395"/>
      <c r="I416" s="395">
        <v>14301.08</v>
      </c>
      <c r="J416" s="62" t="s">
        <v>5242</v>
      </c>
      <c r="K416" s="467" t="s">
        <v>34</v>
      </c>
      <c r="M416" s="36" t="s">
        <v>6752</v>
      </c>
      <c r="N416" s="398"/>
      <c r="P416" s="487" t="s">
        <v>6753</v>
      </c>
      <c r="Q416" s="487"/>
      <c r="R416" s="454" t="s">
        <v>6374</v>
      </c>
      <c r="S416" s="468" t="s">
        <v>6754</v>
      </c>
      <c r="T416" s="283" t="s">
        <v>6374</v>
      </c>
      <c r="U416" s="283" t="s">
        <v>6754</v>
      </c>
      <c r="AF416" s="471" t="s">
        <v>6715</v>
      </c>
      <c r="AG416" s="490">
        <v>54063</v>
      </c>
      <c r="AH416" s="490">
        <v>14215.97</v>
      </c>
      <c r="AJ416"/>
    </row>
    <row r="417" spans="1:36" ht="19.5" customHeight="1">
      <c r="A417" s="25">
        <v>416</v>
      </c>
      <c r="C417" s="466" t="s">
        <v>6330</v>
      </c>
      <c r="D417" s="395"/>
      <c r="E417" s="395">
        <v>1950</v>
      </c>
      <c r="F417" s="290">
        <v>1338982</v>
      </c>
      <c r="G417" s="283" t="s">
        <v>6330</v>
      </c>
      <c r="H417" s="395"/>
      <c r="I417" s="395">
        <v>1950</v>
      </c>
      <c r="J417" s="62" t="s">
        <v>5242</v>
      </c>
      <c r="K417" s="467" t="s">
        <v>193</v>
      </c>
      <c r="M417" s="36" t="s">
        <v>6755</v>
      </c>
      <c r="N417" s="398"/>
      <c r="P417" s="487" t="s">
        <v>6756</v>
      </c>
      <c r="Q417" s="487"/>
      <c r="R417" s="454" t="s">
        <v>141</v>
      </c>
      <c r="S417" s="468" t="s">
        <v>141</v>
      </c>
      <c r="T417" s="283"/>
      <c r="U417" s="283"/>
      <c r="AF417" s="471" t="s">
        <v>6757</v>
      </c>
      <c r="AG417" s="490"/>
      <c r="AH417" s="490"/>
      <c r="AJ417"/>
    </row>
    <row r="418" spans="1:36" ht="19.5" customHeight="1">
      <c r="A418" s="25">
        <v>417</v>
      </c>
      <c r="B418" s="401">
        <v>5827051</v>
      </c>
      <c r="C418" s="466" t="s">
        <v>6713</v>
      </c>
      <c r="D418" s="395"/>
      <c r="E418" s="395">
        <v>43188.18</v>
      </c>
      <c r="F418" s="290">
        <v>1344472</v>
      </c>
      <c r="G418" s="466" t="s">
        <v>6758</v>
      </c>
      <c r="H418" s="395"/>
      <c r="I418" s="395">
        <v>43188.18</v>
      </c>
      <c r="J418" s="62" t="s">
        <v>5242</v>
      </c>
      <c r="K418" s="467" t="s">
        <v>34</v>
      </c>
      <c r="L418" s="472"/>
      <c r="M418" s="36" t="s">
        <v>6759</v>
      </c>
      <c r="N418" s="398"/>
      <c r="P418" s="487" t="s">
        <v>6760</v>
      </c>
      <c r="Q418" s="487"/>
      <c r="R418" s="478" t="s">
        <v>6761</v>
      </c>
      <c r="S418" s="468" t="s">
        <v>6714</v>
      </c>
      <c r="T418" s="283" t="s">
        <v>6762</v>
      </c>
      <c r="U418" s="283" t="s">
        <v>6763</v>
      </c>
      <c r="AF418" s="471" t="s">
        <v>6764</v>
      </c>
      <c r="AG418" s="490">
        <v>153531</v>
      </c>
      <c r="AH418" s="490">
        <v>42412.11</v>
      </c>
      <c r="AJ418"/>
    </row>
    <row r="419" spans="1:36" ht="19.5" customHeight="1">
      <c r="A419" s="25">
        <v>418</v>
      </c>
      <c r="B419" s="401">
        <v>5827536</v>
      </c>
      <c r="C419" s="466" t="s">
        <v>6339</v>
      </c>
      <c r="D419" s="395"/>
      <c r="E419" s="395">
        <v>9707.08</v>
      </c>
      <c r="F419" s="290">
        <v>1341622</v>
      </c>
      <c r="G419" s="466" t="s">
        <v>6393</v>
      </c>
      <c r="H419" s="395"/>
      <c r="I419" s="395">
        <v>9707.08</v>
      </c>
      <c r="J419" s="62" t="s">
        <v>5242</v>
      </c>
      <c r="K419" s="467" t="s">
        <v>34</v>
      </c>
      <c r="L419" s="472"/>
      <c r="M419" s="36" t="s">
        <v>6765</v>
      </c>
      <c r="N419" s="398"/>
      <c r="P419" s="487" t="s">
        <v>6766</v>
      </c>
      <c r="Q419" s="487"/>
      <c r="R419" s="478" t="s">
        <v>6767</v>
      </c>
      <c r="S419" s="468" t="s">
        <v>6768</v>
      </c>
      <c r="T419" s="283" t="s">
        <v>6769</v>
      </c>
      <c r="U419" s="283" t="s">
        <v>6770</v>
      </c>
      <c r="AF419" s="471" t="s">
        <v>6771</v>
      </c>
      <c r="AG419" s="490">
        <v>28343</v>
      </c>
      <c r="AH419" s="490">
        <v>9707.7000000000007</v>
      </c>
      <c r="AJ419"/>
    </row>
    <row r="420" spans="1:36" ht="19.5" customHeight="1">
      <c r="A420" s="25">
        <v>419</v>
      </c>
      <c r="B420" s="401">
        <v>5827566</v>
      </c>
      <c r="C420" s="466" t="s">
        <v>6339</v>
      </c>
      <c r="D420" s="395"/>
      <c r="E420" s="395">
        <v>5148.8</v>
      </c>
      <c r="F420" s="492">
        <v>1342456</v>
      </c>
      <c r="G420" s="473" t="s">
        <v>6386</v>
      </c>
      <c r="H420" s="395"/>
      <c r="I420" s="395">
        <v>5148.8</v>
      </c>
      <c r="J420" s="62" t="s">
        <v>5242</v>
      </c>
      <c r="K420" s="467" t="s">
        <v>34</v>
      </c>
      <c r="L420" s="472"/>
      <c r="M420" s="36" t="s">
        <v>6772</v>
      </c>
      <c r="N420" s="398"/>
      <c r="P420" s="487" t="s">
        <v>6773</v>
      </c>
      <c r="Q420" s="487"/>
      <c r="R420" s="454" t="s">
        <v>6774</v>
      </c>
      <c r="S420" s="468" t="s">
        <v>6775</v>
      </c>
      <c r="T420" s="283" t="s">
        <v>6774</v>
      </c>
      <c r="U420" s="283" t="s">
        <v>6775</v>
      </c>
      <c r="AF420" s="471" t="s">
        <v>6771</v>
      </c>
      <c r="AG420" s="490">
        <v>11078</v>
      </c>
      <c r="AH420" s="490">
        <v>5116.33</v>
      </c>
      <c r="AJ420"/>
    </row>
    <row r="421" spans="1:36" ht="19.5" customHeight="1">
      <c r="A421" s="25">
        <v>420</v>
      </c>
      <c r="C421" s="466" t="s">
        <v>6751</v>
      </c>
      <c r="D421" s="395"/>
      <c r="E421" s="395">
        <v>7940</v>
      </c>
      <c r="F421" s="290">
        <v>1339852</v>
      </c>
      <c r="G421" s="283" t="s">
        <v>6751</v>
      </c>
      <c r="H421" s="395"/>
      <c r="I421" s="395">
        <v>7940</v>
      </c>
      <c r="J421" s="62" t="s">
        <v>5242</v>
      </c>
      <c r="K421" s="467" t="s">
        <v>5859</v>
      </c>
      <c r="M421" s="36" t="s">
        <v>6776</v>
      </c>
      <c r="N421" s="398"/>
      <c r="P421" s="488" t="s">
        <v>5257</v>
      </c>
      <c r="Q421" s="488"/>
      <c r="R421" s="454" t="s">
        <v>141</v>
      </c>
      <c r="S421" s="468" t="s">
        <v>141</v>
      </c>
      <c r="T421" s="283"/>
      <c r="U421" s="283"/>
      <c r="AF421" s="471" t="s">
        <v>6715</v>
      </c>
      <c r="AG421" s="490"/>
      <c r="AH421" s="490"/>
      <c r="AJ421"/>
    </row>
    <row r="422" spans="1:36" ht="19.5" customHeight="1">
      <c r="A422" s="25">
        <v>421</v>
      </c>
      <c r="B422" s="401">
        <v>5830957</v>
      </c>
      <c r="C422" s="466" t="s">
        <v>6389</v>
      </c>
      <c r="D422" s="395"/>
      <c r="E422" s="395">
        <v>4713.1499999999996</v>
      </c>
      <c r="F422" s="290">
        <v>1341447</v>
      </c>
      <c r="G422" s="283" t="s">
        <v>6389</v>
      </c>
      <c r="H422" s="395"/>
      <c r="I422" s="395">
        <v>4713.1499999999996</v>
      </c>
      <c r="J422" s="62" t="s">
        <v>5242</v>
      </c>
      <c r="K422" s="467" t="s">
        <v>34</v>
      </c>
      <c r="M422" s="36" t="s">
        <v>6777</v>
      </c>
      <c r="N422" s="398"/>
      <c r="P422" s="487" t="s">
        <v>6662</v>
      </c>
      <c r="Q422" s="487"/>
      <c r="R422" s="454" t="s">
        <v>6778</v>
      </c>
      <c r="S422" s="468" t="s">
        <v>6779</v>
      </c>
      <c r="T422" s="283" t="s">
        <v>6778</v>
      </c>
      <c r="U422" s="283" t="s">
        <v>6779</v>
      </c>
      <c r="AF422" s="471" t="s">
        <v>6771</v>
      </c>
      <c r="AG422" s="490" t="s">
        <v>141</v>
      </c>
      <c r="AH422" s="490" t="s">
        <v>141</v>
      </c>
      <c r="AJ422"/>
    </row>
    <row r="423" spans="1:36" ht="19.5" customHeight="1">
      <c r="A423" s="25">
        <v>422</v>
      </c>
      <c r="B423" s="401">
        <v>5831212</v>
      </c>
      <c r="C423" s="466" t="s">
        <v>6389</v>
      </c>
      <c r="D423" s="395"/>
      <c r="E423" s="395">
        <v>77133.27</v>
      </c>
      <c r="F423" s="290">
        <v>1343284</v>
      </c>
      <c r="G423" s="283" t="s">
        <v>6396</v>
      </c>
      <c r="H423" s="395"/>
      <c r="I423" s="395">
        <v>77133.27</v>
      </c>
      <c r="J423" s="62" t="s">
        <v>5242</v>
      </c>
      <c r="K423" s="467" t="s">
        <v>34</v>
      </c>
      <c r="M423" s="36" t="s">
        <v>6780</v>
      </c>
      <c r="N423" s="398"/>
      <c r="P423" s="487" t="s">
        <v>6781</v>
      </c>
      <c r="Q423" s="487"/>
      <c r="R423" s="454" t="s">
        <v>6551</v>
      </c>
      <c r="S423" s="468" t="s">
        <v>6170</v>
      </c>
      <c r="T423" s="283" t="s">
        <v>6782</v>
      </c>
      <c r="U423" s="283" t="s">
        <v>6783</v>
      </c>
      <c r="AF423" s="471" t="s">
        <v>6771</v>
      </c>
      <c r="AG423" s="490">
        <v>557502</v>
      </c>
      <c r="AH423" s="490">
        <v>168462.9</v>
      </c>
      <c r="AJ423"/>
    </row>
    <row r="424" spans="1:36" ht="19.5" customHeight="1">
      <c r="A424" s="25">
        <v>423</v>
      </c>
      <c r="B424" s="401">
        <v>5831308</v>
      </c>
      <c r="C424" s="466" t="s">
        <v>6389</v>
      </c>
      <c r="D424" s="395"/>
      <c r="E424" s="395">
        <v>13258.04</v>
      </c>
      <c r="F424" s="290">
        <v>1342906</v>
      </c>
      <c r="G424" s="283" t="s">
        <v>6784</v>
      </c>
      <c r="H424" s="395"/>
      <c r="I424" s="395">
        <v>13258.04</v>
      </c>
      <c r="J424" s="62" t="s">
        <v>5242</v>
      </c>
      <c r="K424" s="467" t="s">
        <v>34</v>
      </c>
      <c r="L424" s="472"/>
      <c r="M424" s="36" t="s">
        <v>6359</v>
      </c>
      <c r="N424" s="398"/>
      <c r="P424" s="487" t="s">
        <v>6785</v>
      </c>
      <c r="Q424" s="487"/>
      <c r="R424" s="454" t="s">
        <v>6786</v>
      </c>
      <c r="S424" s="468" t="s">
        <v>6787</v>
      </c>
      <c r="T424" s="283" t="s">
        <v>6717</v>
      </c>
      <c r="U424" s="283" t="s">
        <v>6788</v>
      </c>
      <c r="AF424" s="471" t="s">
        <v>6771</v>
      </c>
      <c r="AG424" s="490">
        <v>101500</v>
      </c>
      <c r="AH424" s="490">
        <v>53201.26</v>
      </c>
      <c r="AJ424"/>
    </row>
    <row r="425" spans="1:36" ht="19.5" customHeight="1">
      <c r="A425" s="25">
        <v>424</v>
      </c>
      <c r="B425" s="401">
        <v>5832395</v>
      </c>
      <c r="C425" s="466" t="s">
        <v>6767</v>
      </c>
      <c r="D425" s="395"/>
      <c r="E425" s="395">
        <v>2221.88</v>
      </c>
      <c r="F425" s="290">
        <v>1343530</v>
      </c>
      <c r="G425" s="283" t="s">
        <v>6374</v>
      </c>
      <c r="H425" s="395"/>
      <c r="I425" s="395">
        <v>2221.88</v>
      </c>
      <c r="J425" s="62" t="s">
        <v>5242</v>
      </c>
      <c r="K425" s="467" t="s">
        <v>34</v>
      </c>
      <c r="M425" s="36" t="s">
        <v>5944</v>
      </c>
      <c r="N425" s="398"/>
      <c r="P425" s="487" t="s">
        <v>6789</v>
      </c>
      <c r="Q425" s="487"/>
      <c r="R425" s="478" t="s">
        <v>6374</v>
      </c>
      <c r="S425" s="468" t="s">
        <v>6754</v>
      </c>
      <c r="T425" s="283" t="s">
        <v>6374</v>
      </c>
      <c r="U425" s="283" t="s">
        <v>6170</v>
      </c>
      <c r="AF425" s="471" t="s">
        <v>6771</v>
      </c>
      <c r="AG425" s="490">
        <v>47200</v>
      </c>
      <c r="AH425" s="490">
        <v>8069.96</v>
      </c>
      <c r="AJ425"/>
    </row>
    <row r="426" spans="1:36" ht="19.5" customHeight="1">
      <c r="A426" s="25">
        <v>425</v>
      </c>
      <c r="B426" s="401">
        <v>5833997</v>
      </c>
      <c r="C426" s="466" t="s">
        <v>6790</v>
      </c>
      <c r="D426" s="395"/>
      <c r="E426" s="395">
        <v>42052.28</v>
      </c>
      <c r="F426" s="290">
        <v>1344475</v>
      </c>
      <c r="G426" s="283" t="s">
        <v>6791</v>
      </c>
      <c r="H426" s="395"/>
      <c r="I426" s="395">
        <v>42052.28</v>
      </c>
      <c r="J426" s="62" t="s">
        <v>5242</v>
      </c>
      <c r="K426" s="467" t="s">
        <v>34</v>
      </c>
      <c r="M426" s="36" t="s">
        <v>6792</v>
      </c>
      <c r="N426" s="398"/>
      <c r="P426" s="487" t="s">
        <v>6793</v>
      </c>
      <c r="Q426" s="487"/>
      <c r="R426" s="454" t="s">
        <v>6794</v>
      </c>
      <c r="S426" s="468" t="s">
        <v>6795</v>
      </c>
      <c r="T426" s="283" t="s">
        <v>6796</v>
      </c>
      <c r="U426" s="283" t="s">
        <v>6797</v>
      </c>
      <c r="AF426" s="471" t="s">
        <v>6764</v>
      </c>
      <c r="AG426" s="490">
        <v>192429</v>
      </c>
      <c r="AH426" s="490">
        <v>115273.64</v>
      </c>
      <c r="AJ426"/>
    </row>
    <row r="427" spans="1:36" ht="19.5" customHeight="1">
      <c r="A427" s="25">
        <v>426</v>
      </c>
      <c r="B427" s="401">
        <v>5834007</v>
      </c>
      <c r="C427" s="466" t="s">
        <v>6790</v>
      </c>
      <c r="D427" s="395"/>
      <c r="E427" s="395">
        <v>12915.41</v>
      </c>
      <c r="F427" s="290">
        <v>1344140</v>
      </c>
      <c r="G427" s="283" t="s">
        <v>6396</v>
      </c>
      <c r="H427" s="395"/>
      <c r="I427" s="395">
        <v>12915.41</v>
      </c>
      <c r="J427" s="62" t="s">
        <v>5242</v>
      </c>
      <c r="K427" s="467" t="s">
        <v>34</v>
      </c>
      <c r="M427" s="36" t="s">
        <v>6798</v>
      </c>
      <c r="N427" s="398"/>
      <c r="P427" s="487" t="s">
        <v>6799</v>
      </c>
      <c r="Q427" s="487"/>
      <c r="R427" s="478" t="s">
        <v>6796</v>
      </c>
      <c r="S427" s="468" t="s">
        <v>6800</v>
      </c>
      <c r="T427" s="466" t="s">
        <v>6796</v>
      </c>
      <c r="U427" s="283" t="s">
        <v>6800</v>
      </c>
      <c r="AF427" s="471" t="s">
        <v>6771</v>
      </c>
      <c r="AG427" s="490">
        <v>98946</v>
      </c>
      <c r="AH427" s="490">
        <v>12834</v>
      </c>
      <c r="AJ427"/>
    </row>
    <row r="428" spans="1:36" ht="19.5" customHeight="1">
      <c r="A428" s="25">
        <v>427</v>
      </c>
      <c r="C428" s="466" t="s">
        <v>6374</v>
      </c>
      <c r="D428" s="395"/>
      <c r="E428" s="395">
        <v>5700</v>
      </c>
      <c r="F428" s="290">
        <v>1344104</v>
      </c>
      <c r="G428" s="283" t="s">
        <v>6374</v>
      </c>
      <c r="H428" s="395"/>
      <c r="I428" s="395">
        <v>5700</v>
      </c>
      <c r="J428" s="62" t="s">
        <v>5242</v>
      </c>
      <c r="K428" s="467" t="s">
        <v>139</v>
      </c>
      <c r="M428" s="36" t="s">
        <v>6801</v>
      </c>
      <c r="N428" s="398"/>
      <c r="P428" s="488" t="s">
        <v>5257</v>
      </c>
      <c r="Q428" s="488"/>
      <c r="R428" s="478" t="s">
        <v>141</v>
      </c>
      <c r="S428" s="468" t="s">
        <v>141</v>
      </c>
      <c r="T428" s="466"/>
      <c r="U428" s="283"/>
      <c r="AF428" s="471" t="s">
        <v>6802</v>
      </c>
      <c r="AG428" s="490"/>
      <c r="AH428" s="490"/>
      <c r="AJ428"/>
    </row>
    <row r="429" spans="1:36" ht="19.5" customHeight="1">
      <c r="A429" s="25">
        <v>428</v>
      </c>
      <c r="B429" s="401">
        <v>5837575</v>
      </c>
      <c r="C429" s="466" t="s">
        <v>6758</v>
      </c>
      <c r="D429" s="395"/>
      <c r="E429" s="395">
        <v>8541.67</v>
      </c>
      <c r="F429" s="290">
        <v>1346179</v>
      </c>
      <c r="G429" s="283" t="s">
        <v>6803</v>
      </c>
      <c r="H429" s="395"/>
      <c r="I429" s="395">
        <v>8541.67</v>
      </c>
      <c r="J429" s="62" t="s">
        <v>5242</v>
      </c>
      <c r="K429" s="467" t="s">
        <v>34</v>
      </c>
      <c r="L429" s="472" t="s">
        <v>6804</v>
      </c>
      <c r="M429" s="36" t="s">
        <v>6805</v>
      </c>
      <c r="N429" s="398"/>
      <c r="P429" s="487" t="s">
        <v>6806</v>
      </c>
      <c r="Q429" s="487"/>
      <c r="R429" s="454" t="s">
        <v>6807</v>
      </c>
      <c r="S429" s="468" t="s">
        <v>6808</v>
      </c>
      <c r="T429" s="283" t="s">
        <v>6807</v>
      </c>
      <c r="U429" s="283" t="s">
        <v>6808</v>
      </c>
      <c r="AF429" s="471" t="s">
        <v>6764</v>
      </c>
      <c r="AG429" s="490">
        <v>49574</v>
      </c>
      <c r="AH429" s="490">
        <v>8543</v>
      </c>
      <c r="AJ429"/>
    </row>
    <row r="430" spans="1:36" ht="19.5" customHeight="1">
      <c r="A430" s="25">
        <v>429</v>
      </c>
      <c r="B430" s="401">
        <v>5838604</v>
      </c>
      <c r="C430" s="466" t="s">
        <v>6809</v>
      </c>
      <c r="D430" s="395"/>
      <c r="E430" s="395">
        <v>16234.51</v>
      </c>
      <c r="F430" s="290">
        <v>1345513</v>
      </c>
      <c r="G430" s="283" t="s">
        <v>6809</v>
      </c>
      <c r="H430" s="395"/>
      <c r="I430" s="395">
        <v>16234.51</v>
      </c>
      <c r="J430" s="62" t="s">
        <v>5242</v>
      </c>
      <c r="K430" s="467" t="s">
        <v>34</v>
      </c>
      <c r="L430" s="486"/>
      <c r="M430" s="36" t="s">
        <v>6810</v>
      </c>
      <c r="N430" s="398"/>
      <c r="P430" s="487" t="s">
        <v>6811</v>
      </c>
      <c r="Q430" s="487"/>
      <c r="R430" s="478" t="s">
        <v>6807</v>
      </c>
      <c r="S430" s="468" t="s">
        <v>6808</v>
      </c>
      <c r="T430" s="283" t="s">
        <v>6812</v>
      </c>
      <c r="U430" s="283" t="s">
        <v>6813</v>
      </c>
      <c r="AF430" s="471" t="s">
        <v>6764</v>
      </c>
      <c r="AG430" s="490">
        <v>467903.56</v>
      </c>
      <c r="AH430" s="490">
        <v>161674.78</v>
      </c>
      <c r="AJ430"/>
    </row>
    <row r="431" spans="1:36" ht="19.5" customHeight="1">
      <c r="A431" s="25">
        <v>430</v>
      </c>
      <c r="B431" s="401">
        <v>5838644</v>
      </c>
      <c r="C431" s="466" t="s">
        <v>6809</v>
      </c>
      <c r="D431" s="395"/>
      <c r="E431" s="395">
        <v>3285.4</v>
      </c>
      <c r="F431" s="290">
        <v>1346737</v>
      </c>
      <c r="G431" s="283" t="s">
        <v>6814</v>
      </c>
      <c r="H431" s="395"/>
      <c r="I431" s="395">
        <v>3285.4</v>
      </c>
      <c r="J431" s="62" t="s">
        <v>5242</v>
      </c>
      <c r="K431" s="467" t="s">
        <v>34</v>
      </c>
      <c r="L431" s="486"/>
      <c r="M431" s="36" t="s">
        <v>6039</v>
      </c>
      <c r="N431" s="398"/>
      <c r="P431" s="487" t="s">
        <v>6815</v>
      </c>
      <c r="Q431" s="487"/>
      <c r="R431" s="478" t="s">
        <v>6344</v>
      </c>
      <c r="S431" s="468" t="s">
        <v>6816</v>
      </c>
      <c r="T431" s="283" t="s">
        <v>6817</v>
      </c>
      <c r="U431" s="283" t="s">
        <v>6818</v>
      </c>
      <c r="AF431" s="471" t="s">
        <v>6764</v>
      </c>
      <c r="AG431" s="490">
        <v>33193</v>
      </c>
      <c r="AH431" s="490">
        <v>3287</v>
      </c>
      <c r="AJ431"/>
    </row>
    <row r="432" spans="1:36" ht="19.5" customHeight="1">
      <c r="A432" s="25">
        <v>431</v>
      </c>
      <c r="B432" s="401">
        <v>5839846</v>
      </c>
      <c r="C432" s="466" t="s">
        <v>6819</v>
      </c>
      <c r="D432" s="395"/>
      <c r="E432" s="395">
        <v>3893</v>
      </c>
      <c r="F432" s="290">
        <v>1346864</v>
      </c>
      <c r="G432" s="283" t="s">
        <v>6814</v>
      </c>
      <c r="H432" s="395"/>
      <c r="I432" s="395">
        <v>3893</v>
      </c>
      <c r="J432" s="62" t="s">
        <v>5242</v>
      </c>
      <c r="K432" s="467" t="s">
        <v>6504</v>
      </c>
      <c r="L432" s="486"/>
      <c r="M432" s="36" t="s">
        <v>6505</v>
      </c>
      <c r="N432" s="398"/>
      <c r="P432" s="487" t="s">
        <v>6820</v>
      </c>
      <c r="Q432" s="487"/>
      <c r="R432" s="478" t="s">
        <v>6807</v>
      </c>
      <c r="S432" s="468" t="s">
        <v>6808</v>
      </c>
      <c r="T432" s="283" t="s">
        <v>6807</v>
      </c>
      <c r="U432" s="283" t="s">
        <v>6808</v>
      </c>
      <c r="W432" s="41" t="s">
        <v>4660</v>
      </c>
      <c r="AF432" s="471" t="s">
        <v>6802</v>
      </c>
      <c r="AG432" s="395">
        <v>467903.56</v>
      </c>
      <c r="AH432" s="395">
        <v>15247.78</v>
      </c>
      <c r="AJ432"/>
    </row>
    <row r="433" spans="1:36" ht="19.5" customHeight="1">
      <c r="A433" s="25">
        <v>432</v>
      </c>
      <c r="B433" s="401">
        <v>5840784</v>
      </c>
      <c r="C433" s="466" t="s">
        <v>6821</v>
      </c>
      <c r="D433" s="395"/>
      <c r="E433" s="395">
        <v>13301.08</v>
      </c>
      <c r="F433" s="290">
        <v>1347396</v>
      </c>
      <c r="G433" s="466" t="s">
        <v>6719</v>
      </c>
      <c r="H433" s="395"/>
      <c r="I433" s="395">
        <v>13301.08</v>
      </c>
      <c r="J433" s="62" t="s">
        <v>5242</v>
      </c>
      <c r="K433" s="467" t="s">
        <v>34</v>
      </c>
      <c r="M433" s="36" t="s">
        <v>6822</v>
      </c>
      <c r="N433" s="398"/>
      <c r="P433" s="487" t="s">
        <v>6823</v>
      </c>
      <c r="Q433" s="487"/>
      <c r="R433" s="454" t="s">
        <v>6824</v>
      </c>
      <c r="S433" s="468" t="s">
        <v>6825</v>
      </c>
      <c r="T433" s="283" t="s">
        <v>6824</v>
      </c>
      <c r="U433" s="283" t="s">
        <v>5586</v>
      </c>
      <c r="AF433" s="471" t="s">
        <v>6764</v>
      </c>
      <c r="AG433" s="490">
        <v>35275</v>
      </c>
      <c r="AH433" s="490">
        <v>22614.81</v>
      </c>
      <c r="AJ433"/>
    </row>
    <row r="434" spans="1:36" ht="19.5" customHeight="1">
      <c r="A434" s="25">
        <v>433</v>
      </c>
      <c r="B434" s="401">
        <v>5844509</v>
      </c>
      <c r="C434" s="466" t="s">
        <v>6826</v>
      </c>
      <c r="D434" s="395"/>
      <c r="E434" s="395">
        <v>3285.4</v>
      </c>
      <c r="F434" s="290">
        <v>1349765</v>
      </c>
      <c r="G434" s="283" t="s">
        <v>6827</v>
      </c>
      <c r="H434" s="395"/>
      <c r="I434" s="395">
        <v>3285.4</v>
      </c>
      <c r="J434" s="62" t="s">
        <v>5242</v>
      </c>
      <c r="K434" s="467" t="s">
        <v>34</v>
      </c>
      <c r="M434" s="36" t="s">
        <v>6828</v>
      </c>
      <c r="N434" s="398"/>
      <c r="P434" s="487" t="s">
        <v>6829</v>
      </c>
      <c r="Q434" s="487"/>
      <c r="R434" s="454" t="s">
        <v>6344</v>
      </c>
      <c r="S434" s="468" t="s">
        <v>6816</v>
      </c>
      <c r="T434" s="283" t="s">
        <v>6344</v>
      </c>
      <c r="U434" s="283" t="s">
        <v>6816</v>
      </c>
      <c r="AF434" s="471" t="s">
        <v>6764</v>
      </c>
      <c r="AG434" s="490">
        <v>32197</v>
      </c>
      <c r="AH434" s="490">
        <v>3286.32</v>
      </c>
      <c r="AJ434"/>
    </row>
    <row r="435" spans="1:36" ht="19.5" customHeight="1">
      <c r="A435" s="25">
        <v>434</v>
      </c>
      <c r="B435" s="401">
        <v>5844988</v>
      </c>
      <c r="C435" s="466" t="s">
        <v>6830</v>
      </c>
      <c r="D435" s="395"/>
      <c r="E435" s="395">
        <v>4824.04</v>
      </c>
      <c r="F435" s="290">
        <v>1349774</v>
      </c>
      <c r="G435" s="283" t="s">
        <v>6827</v>
      </c>
      <c r="H435" s="395"/>
      <c r="I435" s="395">
        <v>4824.04</v>
      </c>
      <c r="J435" s="62" t="s">
        <v>5242</v>
      </c>
      <c r="K435" s="467" t="s">
        <v>34</v>
      </c>
      <c r="M435" s="36" t="s">
        <v>6831</v>
      </c>
      <c r="N435" s="398"/>
      <c r="P435" s="487" t="s">
        <v>6832</v>
      </c>
      <c r="Q435" s="487"/>
      <c r="R435" s="454" t="s">
        <v>6403</v>
      </c>
      <c r="S435" s="468" t="s">
        <v>6833</v>
      </c>
      <c r="T435" s="283" t="s">
        <v>6381</v>
      </c>
      <c r="U435" s="283" t="s">
        <v>6834</v>
      </c>
      <c r="AF435" s="471" t="s">
        <v>6764</v>
      </c>
      <c r="AG435" s="490">
        <v>18576</v>
      </c>
      <c r="AH435" s="490">
        <v>4376.45</v>
      </c>
      <c r="AJ435"/>
    </row>
    <row r="436" spans="1:36" ht="19.5" customHeight="1">
      <c r="A436" s="25">
        <v>435</v>
      </c>
      <c r="C436" s="466" t="s">
        <v>6429</v>
      </c>
      <c r="D436" s="395"/>
      <c r="E436" s="395">
        <v>5700</v>
      </c>
      <c r="F436" s="290">
        <v>1349735</v>
      </c>
      <c r="G436" s="283" t="s">
        <v>6429</v>
      </c>
      <c r="H436" s="395"/>
      <c r="I436" s="395">
        <v>5700</v>
      </c>
      <c r="J436" s="62" t="s">
        <v>5242</v>
      </c>
      <c r="K436" s="467" t="s">
        <v>139</v>
      </c>
      <c r="M436" s="36" t="s">
        <v>6835</v>
      </c>
      <c r="N436" s="398"/>
      <c r="P436" s="487" t="s">
        <v>6836</v>
      </c>
      <c r="Q436" s="487"/>
      <c r="R436" s="454" t="s">
        <v>141</v>
      </c>
      <c r="S436" s="468" t="s">
        <v>141</v>
      </c>
      <c r="T436" s="283"/>
      <c r="U436" s="283"/>
      <c r="AF436" s="471" t="s">
        <v>6757</v>
      </c>
      <c r="AG436" s="417"/>
      <c r="AH436" s="417"/>
      <c r="AJ436"/>
    </row>
    <row r="437" spans="1:36" ht="19.5" customHeight="1">
      <c r="A437" s="25">
        <v>436</v>
      </c>
      <c r="C437" s="466" t="s">
        <v>6837</v>
      </c>
      <c r="D437" s="395"/>
      <c r="E437" s="395">
        <v>7010</v>
      </c>
      <c r="F437" s="290">
        <v>1351905</v>
      </c>
      <c r="G437" s="283" t="s">
        <v>6837</v>
      </c>
      <c r="H437" s="395"/>
      <c r="I437" s="395">
        <v>7010</v>
      </c>
      <c r="J437" s="62" t="s">
        <v>5242</v>
      </c>
      <c r="K437" s="467" t="s">
        <v>4655</v>
      </c>
      <c r="L437" s="472"/>
      <c r="M437" s="36" t="s">
        <v>6838</v>
      </c>
      <c r="N437" s="398"/>
      <c r="P437" s="487" t="s">
        <v>6839</v>
      </c>
      <c r="Q437" s="487"/>
      <c r="R437" s="454" t="s">
        <v>4292</v>
      </c>
      <c r="S437" s="468" t="s">
        <v>4292</v>
      </c>
      <c r="T437" s="283"/>
      <c r="U437" s="283"/>
      <c r="AF437" s="471" t="s">
        <v>6707</v>
      </c>
      <c r="AG437" s="490"/>
      <c r="AH437" s="490"/>
      <c r="AJ437"/>
    </row>
    <row r="438" spans="1:36" ht="19.5" customHeight="1">
      <c r="A438" s="25">
        <v>437</v>
      </c>
      <c r="B438" s="401">
        <v>5852745</v>
      </c>
      <c r="C438" s="466" t="s">
        <v>6840</v>
      </c>
      <c r="D438" s="395"/>
      <c r="E438" s="395">
        <v>7343.58</v>
      </c>
      <c r="F438" s="290">
        <v>1353299</v>
      </c>
      <c r="G438" s="283" t="s">
        <v>6841</v>
      </c>
      <c r="H438" s="395"/>
      <c r="I438" s="395">
        <v>7343.58</v>
      </c>
      <c r="J438" s="62" t="s">
        <v>5242</v>
      </c>
      <c r="K438" s="467" t="s">
        <v>5359</v>
      </c>
      <c r="M438" s="36" t="s">
        <v>6842</v>
      </c>
      <c r="N438" s="398"/>
      <c r="P438" s="487" t="s">
        <v>6843</v>
      </c>
      <c r="Q438" s="487"/>
      <c r="R438" s="454" t="s">
        <v>6844</v>
      </c>
      <c r="S438" s="468" t="s">
        <v>6845</v>
      </c>
      <c r="T438" s="283" t="s">
        <v>6846</v>
      </c>
      <c r="U438" s="283" t="s">
        <v>6847</v>
      </c>
      <c r="AF438" s="471" t="s">
        <v>6715</v>
      </c>
      <c r="AG438" s="490">
        <v>30190</v>
      </c>
      <c r="AH438" s="490">
        <v>7344.15</v>
      </c>
      <c r="AJ438"/>
    </row>
    <row r="439" spans="1:36" ht="19.5" customHeight="1">
      <c r="A439" s="25">
        <v>438</v>
      </c>
      <c r="B439" s="401">
        <v>5853154</v>
      </c>
      <c r="C439" s="466" t="s">
        <v>6848</v>
      </c>
      <c r="D439" s="395"/>
      <c r="E439" s="395">
        <v>154334.9</v>
      </c>
      <c r="F439" s="290">
        <v>1354109</v>
      </c>
      <c r="G439" s="283" t="s">
        <v>6849</v>
      </c>
      <c r="H439" s="395"/>
      <c r="I439" s="395">
        <v>154334.9</v>
      </c>
      <c r="J439" s="62" t="s">
        <v>5242</v>
      </c>
      <c r="K439" s="467" t="s">
        <v>6850</v>
      </c>
      <c r="M439" s="36" t="s">
        <v>6851</v>
      </c>
      <c r="N439" s="398"/>
      <c r="P439" s="487" t="s">
        <v>6852</v>
      </c>
      <c r="Q439" s="487"/>
      <c r="R439" s="454" t="s">
        <v>6853</v>
      </c>
      <c r="S439" s="468" t="s">
        <v>6854</v>
      </c>
      <c r="T439" s="283"/>
      <c r="U439" s="283"/>
      <c r="AF439" s="471" t="s">
        <v>6855</v>
      </c>
      <c r="AG439" s="490"/>
      <c r="AH439" s="490"/>
      <c r="AJ439"/>
    </row>
    <row r="440" spans="1:36" ht="19.5" customHeight="1">
      <c r="A440" s="25">
        <v>439</v>
      </c>
      <c r="B440" s="401">
        <v>5854340</v>
      </c>
      <c r="C440" s="466" t="s">
        <v>6856</v>
      </c>
      <c r="D440" s="395"/>
      <c r="E440" s="395">
        <v>2742.27</v>
      </c>
      <c r="F440" s="290">
        <v>1354420</v>
      </c>
      <c r="G440" s="283" t="s">
        <v>6857</v>
      </c>
      <c r="H440" s="395"/>
      <c r="I440" s="395">
        <v>2742.27</v>
      </c>
      <c r="J440" s="62" t="s">
        <v>5242</v>
      </c>
      <c r="K440" s="467" t="s">
        <v>5359</v>
      </c>
      <c r="M440" s="36" t="s">
        <v>6858</v>
      </c>
      <c r="N440" s="398"/>
      <c r="P440" s="487" t="s">
        <v>6859</v>
      </c>
      <c r="Q440" s="487"/>
      <c r="R440" s="454" t="s">
        <v>6860</v>
      </c>
      <c r="S440" s="468" t="s">
        <v>6861</v>
      </c>
      <c r="T440" s="283" t="s">
        <v>6860</v>
      </c>
      <c r="U440" s="283" t="s">
        <v>6861</v>
      </c>
      <c r="AF440" s="471" t="s">
        <v>6715</v>
      </c>
      <c r="AG440" s="490">
        <v>27207</v>
      </c>
      <c r="AH440" s="490">
        <v>2742.48</v>
      </c>
      <c r="AJ440"/>
    </row>
    <row r="441" spans="1:36" ht="19.5" customHeight="1">
      <c r="A441" s="25">
        <v>440</v>
      </c>
      <c r="B441" s="401">
        <v>5855503</v>
      </c>
      <c r="C441" s="466" t="s">
        <v>6862</v>
      </c>
      <c r="D441" s="395"/>
      <c r="E441" s="395">
        <v>64255.03</v>
      </c>
      <c r="F441" s="290">
        <v>1354634</v>
      </c>
      <c r="G441" s="466" t="s">
        <v>6857</v>
      </c>
      <c r="H441" s="395"/>
      <c r="I441" s="395">
        <v>64255.03</v>
      </c>
      <c r="J441" s="62" t="s">
        <v>5242</v>
      </c>
      <c r="K441" s="467" t="s">
        <v>5359</v>
      </c>
      <c r="L441" s="472"/>
      <c r="M441" s="36" t="s">
        <v>6863</v>
      </c>
      <c r="N441" s="398"/>
      <c r="P441" s="487" t="s">
        <v>6852</v>
      </c>
      <c r="Q441" s="487"/>
      <c r="R441" s="478" t="s">
        <v>6864</v>
      </c>
      <c r="S441" s="468" t="s">
        <v>6865</v>
      </c>
      <c r="T441" s="283"/>
      <c r="U441" s="283"/>
      <c r="AF441" s="471" t="s">
        <v>6715</v>
      </c>
      <c r="AG441" s="490"/>
      <c r="AH441" s="490"/>
      <c r="AJ441"/>
    </row>
    <row r="442" spans="1:36" ht="19.5" customHeight="1">
      <c r="A442" s="25">
        <v>441</v>
      </c>
      <c r="B442" s="401">
        <v>5857016</v>
      </c>
      <c r="C442" s="466" t="s">
        <v>6727</v>
      </c>
      <c r="D442" s="395"/>
      <c r="E442" s="395">
        <v>14825.71</v>
      </c>
      <c r="F442" s="290">
        <v>1355037</v>
      </c>
      <c r="G442" s="466" t="s">
        <v>6866</v>
      </c>
      <c r="H442" s="395"/>
      <c r="I442" s="395">
        <v>14825.71</v>
      </c>
      <c r="J442" s="62" t="s">
        <v>5242</v>
      </c>
      <c r="K442" s="467" t="s">
        <v>5359</v>
      </c>
      <c r="L442" s="472"/>
      <c r="M442" s="36" t="s">
        <v>6867</v>
      </c>
      <c r="N442" s="398"/>
      <c r="P442" s="487" t="s">
        <v>6868</v>
      </c>
      <c r="Q442" s="487"/>
      <c r="R442" s="478" t="s">
        <v>6869</v>
      </c>
      <c r="S442" s="468" t="s">
        <v>6870</v>
      </c>
      <c r="T442" s="283" t="s">
        <v>6869</v>
      </c>
      <c r="U442" s="283" t="s">
        <v>6870</v>
      </c>
      <c r="AF442" s="471" t="s">
        <v>6715</v>
      </c>
      <c r="AG442" s="490">
        <v>59519.8</v>
      </c>
      <c r="AH442" s="490">
        <v>25441.3</v>
      </c>
      <c r="AJ442"/>
    </row>
    <row r="443" spans="1:36" ht="19.5" customHeight="1">
      <c r="A443" s="25">
        <v>442</v>
      </c>
      <c r="B443" s="401">
        <v>5857810</v>
      </c>
      <c r="C443" s="466" t="s">
        <v>6871</v>
      </c>
      <c r="D443" s="395"/>
      <c r="E443" s="395">
        <v>0</v>
      </c>
      <c r="F443" s="492">
        <v>1357608</v>
      </c>
      <c r="G443" s="473" t="s">
        <v>6872</v>
      </c>
      <c r="H443" s="395"/>
      <c r="I443" s="395">
        <v>0</v>
      </c>
      <c r="J443" s="62" t="s">
        <v>5242</v>
      </c>
      <c r="K443" s="467" t="s">
        <v>6873</v>
      </c>
      <c r="L443" s="472"/>
      <c r="M443" s="36" t="s">
        <v>6874</v>
      </c>
      <c r="N443" s="398"/>
      <c r="P443" s="487"/>
      <c r="Q443" s="487"/>
      <c r="R443" s="454"/>
      <c r="S443" s="468"/>
      <c r="T443" s="283"/>
      <c r="U443" s="283"/>
      <c r="AF443" s="471" t="s">
        <v>6875</v>
      </c>
      <c r="AG443" s="490"/>
      <c r="AH443" s="490"/>
      <c r="AJ443"/>
    </row>
    <row r="444" spans="1:36" ht="19.5" customHeight="1">
      <c r="A444" s="25">
        <v>443</v>
      </c>
      <c r="B444" s="401">
        <v>5861173</v>
      </c>
      <c r="C444" s="466" t="s">
        <v>6876</v>
      </c>
      <c r="D444" s="395"/>
      <c r="E444" s="395">
        <v>6565.87</v>
      </c>
      <c r="F444" s="290">
        <v>1357693</v>
      </c>
      <c r="G444" s="283" t="s">
        <v>6877</v>
      </c>
      <c r="H444" s="395"/>
      <c r="I444" s="395">
        <v>6565.87</v>
      </c>
      <c r="J444" s="62" t="s">
        <v>5242</v>
      </c>
      <c r="K444" s="467" t="s">
        <v>5359</v>
      </c>
      <c r="M444" s="36" t="s">
        <v>6878</v>
      </c>
      <c r="N444" s="398"/>
      <c r="P444" s="487" t="s">
        <v>6879</v>
      </c>
      <c r="Q444" s="487"/>
      <c r="R444" s="454" t="s">
        <v>6880</v>
      </c>
      <c r="S444" s="468" t="s">
        <v>6881</v>
      </c>
      <c r="T444" s="283" t="s">
        <v>6882</v>
      </c>
      <c r="U444" s="283" t="s">
        <v>6881</v>
      </c>
      <c r="AF444" s="471" t="s">
        <v>6715</v>
      </c>
      <c r="AG444" s="490">
        <v>418741.2</v>
      </c>
      <c r="AH444" s="490">
        <v>319369.23</v>
      </c>
      <c r="AJ444"/>
    </row>
    <row r="445" spans="1:36" ht="19.5" customHeight="1">
      <c r="A445" s="25">
        <v>444</v>
      </c>
      <c r="C445" s="466" t="s">
        <v>6877</v>
      </c>
      <c r="D445" s="395"/>
      <c r="E445" s="395">
        <v>5910</v>
      </c>
      <c r="F445" s="290">
        <v>1357838</v>
      </c>
      <c r="G445" s="283" t="s">
        <v>6877</v>
      </c>
      <c r="H445" s="395"/>
      <c r="I445" s="395">
        <v>5910</v>
      </c>
      <c r="J445" s="62" t="s">
        <v>5242</v>
      </c>
      <c r="K445" s="467" t="s">
        <v>4662</v>
      </c>
      <c r="M445" s="36" t="s">
        <v>6883</v>
      </c>
      <c r="N445" s="398"/>
      <c r="P445" s="488" t="s">
        <v>6884</v>
      </c>
      <c r="Q445" s="488"/>
      <c r="R445" s="454" t="s">
        <v>4292</v>
      </c>
      <c r="S445" s="468" t="s">
        <v>4292</v>
      </c>
      <c r="T445" s="283"/>
      <c r="U445" s="283"/>
      <c r="AF445" s="471" t="s">
        <v>6885</v>
      </c>
      <c r="AG445" s="490"/>
      <c r="AH445" s="490"/>
      <c r="AJ445"/>
    </row>
    <row r="446" spans="1:36" ht="19.5" customHeight="1">
      <c r="A446" s="25">
        <v>445</v>
      </c>
      <c r="B446" s="401">
        <v>5869307</v>
      </c>
      <c r="C446" s="466" t="s">
        <v>6745</v>
      </c>
      <c r="D446" s="395"/>
      <c r="E446" s="395">
        <v>12245.87</v>
      </c>
      <c r="F446" s="290">
        <v>1360622</v>
      </c>
      <c r="G446" s="283" t="s">
        <v>6886</v>
      </c>
      <c r="H446" s="395"/>
      <c r="I446" s="395">
        <v>12245.87</v>
      </c>
      <c r="J446" s="62" t="s">
        <v>5242</v>
      </c>
      <c r="K446" s="467" t="s">
        <v>5359</v>
      </c>
      <c r="M446" s="36" t="s">
        <v>6887</v>
      </c>
      <c r="N446" s="398"/>
      <c r="P446" s="487" t="s">
        <v>6888</v>
      </c>
      <c r="Q446" s="487"/>
      <c r="R446" s="454" t="s">
        <v>6889</v>
      </c>
      <c r="S446" s="468" t="s">
        <v>6890</v>
      </c>
      <c r="T446" s="283" t="s">
        <v>6889</v>
      </c>
      <c r="U446" s="283" t="s">
        <v>6890</v>
      </c>
      <c r="AF446" s="471" t="s">
        <v>6891</v>
      </c>
      <c r="AG446" s="490">
        <v>73000</v>
      </c>
      <c r="AH446" s="490">
        <v>50893.4</v>
      </c>
      <c r="AJ446"/>
    </row>
    <row r="447" spans="1:36" ht="19.5" customHeight="1">
      <c r="A447" s="25">
        <v>446</v>
      </c>
      <c r="B447" s="401">
        <v>5871704</v>
      </c>
      <c r="C447" s="466" t="s">
        <v>6855</v>
      </c>
      <c r="D447" s="395"/>
      <c r="E447" s="395">
        <v>9300</v>
      </c>
      <c r="F447" s="290">
        <v>1361614</v>
      </c>
      <c r="G447" s="283" t="s">
        <v>6886</v>
      </c>
      <c r="H447" s="395"/>
      <c r="I447" s="395">
        <v>9300</v>
      </c>
      <c r="J447" s="62" t="s">
        <v>5242</v>
      </c>
      <c r="K447" s="467" t="s">
        <v>6892</v>
      </c>
      <c r="L447" s="472"/>
      <c r="M447" s="36" t="s">
        <v>6893</v>
      </c>
      <c r="N447" s="398"/>
      <c r="P447" s="487" t="s">
        <v>6888</v>
      </c>
      <c r="Q447" s="487"/>
      <c r="R447" s="454" t="s">
        <v>4292</v>
      </c>
      <c r="S447" s="468" t="s">
        <v>4292</v>
      </c>
      <c r="T447" s="283"/>
      <c r="U447" s="283"/>
      <c r="AF447" s="471" t="s">
        <v>6894</v>
      </c>
      <c r="AG447" s="490"/>
      <c r="AH447" s="490"/>
      <c r="AJ447"/>
    </row>
    <row r="448" spans="1:36" ht="19.5" customHeight="1">
      <c r="A448" s="25">
        <v>447</v>
      </c>
      <c r="B448" s="401">
        <v>5873753</v>
      </c>
      <c r="C448" s="466" t="s">
        <v>6886</v>
      </c>
      <c r="D448" s="395"/>
      <c r="E448" s="395">
        <v>3000</v>
      </c>
      <c r="F448" s="290">
        <v>1362824</v>
      </c>
      <c r="G448" s="283" t="s">
        <v>6895</v>
      </c>
      <c r="H448" s="395"/>
      <c r="I448" s="395">
        <v>3000</v>
      </c>
      <c r="J448" s="62" t="s">
        <v>5242</v>
      </c>
      <c r="K448" s="467" t="s">
        <v>6896</v>
      </c>
      <c r="L448" s="472" t="s">
        <v>6897</v>
      </c>
      <c r="M448" s="36" t="s">
        <v>6898</v>
      </c>
      <c r="N448" s="398"/>
      <c r="P448" s="487" t="s">
        <v>6899</v>
      </c>
      <c r="Q448" s="487"/>
      <c r="R448" s="478" t="s">
        <v>6900</v>
      </c>
      <c r="S448" s="468" t="s">
        <v>6901</v>
      </c>
      <c r="T448" s="283" t="s">
        <v>6900</v>
      </c>
      <c r="U448" s="283" t="s">
        <v>6901</v>
      </c>
      <c r="AF448" s="471" t="s">
        <v>6902</v>
      </c>
      <c r="AG448" s="490" t="s">
        <v>4292</v>
      </c>
      <c r="AH448" s="490" t="s">
        <v>4292</v>
      </c>
      <c r="AJ448"/>
    </row>
    <row r="449" spans="1:36" ht="19.5" customHeight="1">
      <c r="A449" s="25">
        <v>448</v>
      </c>
      <c r="B449" s="401">
        <v>5877882</v>
      </c>
      <c r="C449" s="466" t="s">
        <v>6903</v>
      </c>
      <c r="D449" s="395"/>
      <c r="E449" s="395">
        <v>335.03</v>
      </c>
      <c r="F449" s="290">
        <v>1365124</v>
      </c>
      <c r="G449" s="283" t="s">
        <v>6889</v>
      </c>
      <c r="H449" s="395"/>
      <c r="I449" s="395">
        <v>335.03</v>
      </c>
      <c r="J449" s="62" t="s">
        <v>5242</v>
      </c>
      <c r="K449" s="467" t="s">
        <v>5359</v>
      </c>
      <c r="M449" s="36" t="s">
        <v>6904</v>
      </c>
      <c r="N449" s="398"/>
      <c r="P449" s="487" t="s">
        <v>6905</v>
      </c>
      <c r="Q449" s="487"/>
      <c r="R449" s="454" t="s">
        <v>6860</v>
      </c>
      <c r="S449" s="468" t="s">
        <v>6861</v>
      </c>
      <c r="T449" s="283" t="s">
        <v>6906</v>
      </c>
      <c r="U449" s="283" t="s">
        <v>6861</v>
      </c>
      <c r="AF449" s="471" t="s">
        <v>6907</v>
      </c>
      <c r="AG449" s="490">
        <v>27905</v>
      </c>
      <c r="AH449" s="490">
        <v>3077.51</v>
      </c>
      <c r="AJ449"/>
    </row>
    <row r="450" spans="1:36" ht="19.5" customHeight="1">
      <c r="A450" s="25">
        <v>449</v>
      </c>
      <c r="B450" s="401">
        <v>5880722</v>
      </c>
      <c r="C450" s="466" t="s">
        <v>6908</v>
      </c>
      <c r="D450" s="395"/>
      <c r="E450" s="395">
        <v>6631.36</v>
      </c>
      <c r="F450" s="290">
        <v>1365793</v>
      </c>
      <c r="G450" s="283" t="s">
        <v>6909</v>
      </c>
      <c r="H450" s="395"/>
      <c r="I450" s="395">
        <v>6631.36</v>
      </c>
      <c r="J450" s="62" t="s">
        <v>5242</v>
      </c>
      <c r="K450" s="467" t="s">
        <v>5359</v>
      </c>
      <c r="M450" s="36" t="s">
        <v>6910</v>
      </c>
      <c r="N450" s="398"/>
      <c r="P450" s="487" t="s">
        <v>6911</v>
      </c>
      <c r="Q450" s="487"/>
      <c r="R450" s="478" t="s">
        <v>6912</v>
      </c>
      <c r="S450" s="468" t="s">
        <v>6913</v>
      </c>
      <c r="T450" s="466" t="s">
        <v>6914</v>
      </c>
      <c r="U450" s="283" t="s">
        <v>6915</v>
      </c>
      <c r="V450" s="43" t="s">
        <v>6916</v>
      </c>
      <c r="AF450" s="471" t="s">
        <v>6907</v>
      </c>
      <c r="AG450" s="490">
        <v>35600</v>
      </c>
      <c r="AH450" s="490">
        <v>8942.44</v>
      </c>
      <c r="AJ450"/>
    </row>
    <row r="451" spans="1:36" ht="19.5" customHeight="1">
      <c r="A451" s="25">
        <v>450</v>
      </c>
      <c r="B451" s="401">
        <v>5880844</v>
      </c>
      <c r="C451" s="466" t="s">
        <v>6908</v>
      </c>
      <c r="D451" s="395"/>
      <c r="E451" s="395">
        <v>16173.23</v>
      </c>
      <c r="F451" s="290">
        <v>1367061</v>
      </c>
      <c r="G451" s="283" t="s">
        <v>6917</v>
      </c>
      <c r="H451" s="395"/>
      <c r="I451" s="395">
        <v>16173.23</v>
      </c>
      <c r="J451" s="62" t="s">
        <v>5242</v>
      </c>
      <c r="K451" s="467" t="s">
        <v>5359</v>
      </c>
      <c r="M451" s="36" t="s">
        <v>6918</v>
      </c>
      <c r="N451" s="398"/>
      <c r="P451" s="487" t="s">
        <v>6919</v>
      </c>
      <c r="Q451" s="487"/>
      <c r="R451" s="478" t="s">
        <v>6920</v>
      </c>
      <c r="S451" s="468" t="s">
        <v>6921</v>
      </c>
      <c r="T451" s="466" t="s">
        <v>6922</v>
      </c>
      <c r="U451" s="283" t="s">
        <v>6923</v>
      </c>
      <c r="V451" s="43" t="s">
        <v>6916</v>
      </c>
      <c r="AF451" s="471" t="s">
        <v>6907</v>
      </c>
      <c r="AG451" s="490">
        <v>785127</v>
      </c>
      <c r="AH451" s="490">
        <v>21744</v>
      </c>
      <c r="AJ451"/>
    </row>
    <row r="452" spans="1:36" ht="19.5" customHeight="1">
      <c r="A452" s="25">
        <v>451</v>
      </c>
      <c r="C452" s="466" t="s">
        <v>6885</v>
      </c>
      <c r="D452" s="395"/>
      <c r="E452" s="395">
        <v>5770</v>
      </c>
      <c r="F452" s="290">
        <v>1366145</v>
      </c>
      <c r="G452" s="283" t="s">
        <v>6885</v>
      </c>
      <c r="H452" s="395"/>
      <c r="I452" s="395">
        <v>5770</v>
      </c>
      <c r="J452" s="62" t="s">
        <v>5242</v>
      </c>
      <c r="K452" s="467" t="s">
        <v>4655</v>
      </c>
      <c r="L452" s="472"/>
      <c r="M452" s="36" t="s">
        <v>6924</v>
      </c>
      <c r="N452" s="398"/>
      <c r="P452" s="487" t="s">
        <v>6919</v>
      </c>
      <c r="Q452" s="487"/>
      <c r="R452" s="454" t="s">
        <v>4292</v>
      </c>
      <c r="S452" s="474" t="s">
        <v>4292</v>
      </c>
      <c r="T452" s="283"/>
      <c r="U452" s="283"/>
      <c r="V452" s="43" t="s">
        <v>6916</v>
      </c>
      <c r="AF452" s="471" t="s">
        <v>6925</v>
      </c>
      <c r="AG452" s="490"/>
      <c r="AH452" s="490"/>
      <c r="AJ452"/>
    </row>
    <row r="453" spans="1:36" ht="19.5" customHeight="1">
      <c r="A453" s="25">
        <v>452</v>
      </c>
      <c r="B453" s="401">
        <v>5884674</v>
      </c>
      <c r="C453" s="466" t="s">
        <v>6926</v>
      </c>
      <c r="D453" s="395"/>
      <c r="E453" s="395">
        <v>5058.3</v>
      </c>
      <c r="F453" s="290">
        <v>1369306</v>
      </c>
      <c r="G453" s="283" t="s">
        <v>6927</v>
      </c>
      <c r="H453" s="395"/>
      <c r="I453" s="395">
        <v>5058.3</v>
      </c>
      <c r="J453" s="62" t="s">
        <v>5242</v>
      </c>
      <c r="K453" s="467" t="s">
        <v>5359</v>
      </c>
      <c r="L453" s="486"/>
      <c r="M453" s="36" t="s">
        <v>6928</v>
      </c>
      <c r="N453" s="398"/>
      <c r="P453" s="487" t="s">
        <v>6929</v>
      </c>
      <c r="Q453" s="487"/>
      <c r="R453" s="478" t="s">
        <v>6930</v>
      </c>
      <c r="S453" s="468" t="s">
        <v>6931</v>
      </c>
      <c r="T453" s="283" t="s">
        <v>6930</v>
      </c>
      <c r="U453" s="283" t="s">
        <v>6931</v>
      </c>
      <c r="V453" s="62" t="s">
        <v>6932</v>
      </c>
      <c r="AF453" s="471" t="s">
        <v>6860</v>
      </c>
      <c r="AG453" s="490">
        <v>16188</v>
      </c>
      <c r="AH453" s="490">
        <v>5058.62</v>
      </c>
      <c r="AJ453"/>
    </row>
    <row r="454" spans="1:36" ht="19.5" customHeight="1">
      <c r="A454" s="25">
        <v>453</v>
      </c>
      <c r="C454" s="466" t="s">
        <v>6927</v>
      </c>
      <c r="D454" s="395"/>
      <c r="E454" s="395">
        <v>730</v>
      </c>
      <c r="F454" s="290">
        <v>1369928</v>
      </c>
      <c r="G454" s="283" t="s">
        <v>6927</v>
      </c>
      <c r="H454" s="395"/>
      <c r="I454" s="395">
        <v>730</v>
      </c>
      <c r="J454" s="62" t="s">
        <v>5242</v>
      </c>
      <c r="K454" s="467" t="s">
        <v>4662</v>
      </c>
      <c r="L454" s="486"/>
      <c r="M454" s="36" t="s">
        <v>6933</v>
      </c>
      <c r="N454" s="398"/>
      <c r="P454" s="487" t="s">
        <v>6934</v>
      </c>
      <c r="Q454" s="487"/>
      <c r="R454" s="478" t="s">
        <v>4292</v>
      </c>
      <c r="S454" s="468" t="s">
        <v>4292</v>
      </c>
      <c r="T454" s="283"/>
      <c r="U454" s="283"/>
      <c r="V454" s="43" t="s">
        <v>6935</v>
      </c>
      <c r="AF454" s="471" t="s">
        <v>6757</v>
      </c>
      <c r="AG454" s="490"/>
      <c r="AH454" s="490"/>
      <c r="AJ454"/>
    </row>
    <row r="455" spans="1:36" ht="19.5" customHeight="1">
      <c r="A455" s="25">
        <v>454</v>
      </c>
      <c r="C455" s="466" t="s">
        <v>6936</v>
      </c>
      <c r="D455" s="395"/>
      <c r="E455" s="395">
        <v>3885.5</v>
      </c>
      <c r="F455" s="290">
        <v>1370217</v>
      </c>
      <c r="G455" s="283" t="s">
        <v>6936</v>
      </c>
      <c r="H455" s="395"/>
      <c r="I455" s="395">
        <v>3885.5</v>
      </c>
      <c r="J455" s="62" t="s">
        <v>5242</v>
      </c>
      <c r="K455" s="467" t="s">
        <v>6937</v>
      </c>
      <c r="L455" s="486"/>
      <c r="M455" s="36" t="s">
        <v>6938</v>
      </c>
      <c r="N455" s="398"/>
      <c r="P455" s="487" t="s">
        <v>6934</v>
      </c>
      <c r="Q455" s="487"/>
      <c r="R455" s="478" t="s">
        <v>4292</v>
      </c>
      <c r="S455" s="468" t="s">
        <v>4292</v>
      </c>
      <c r="V455" s="43" t="s">
        <v>6935</v>
      </c>
      <c r="W455" s="41" t="s">
        <v>4660</v>
      </c>
      <c r="AF455" s="471" t="s">
        <v>6939</v>
      </c>
      <c r="AG455" s="398"/>
      <c r="AH455" s="398"/>
      <c r="AJ455"/>
    </row>
    <row r="456" spans="1:36" ht="19.5" customHeight="1">
      <c r="A456" s="25">
        <v>455</v>
      </c>
      <c r="B456" s="401">
        <v>5902125</v>
      </c>
      <c r="C456" s="466" t="s">
        <v>6940</v>
      </c>
      <c r="D456" s="395"/>
      <c r="E456" s="395">
        <v>15678.49</v>
      </c>
      <c r="F456" s="290">
        <v>1378491</v>
      </c>
      <c r="G456" s="466" t="s">
        <v>6941</v>
      </c>
      <c r="H456" s="395"/>
      <c r="I456" s="395">
        <v>15678.49</v>
      </c>
      <c r="J456" s="62" t="s">
        <v>5242</v>
      </c>
      <c r="K456" s="467" t="s">
        <v>5359</v>
      </c>
      <c r="M456" s="36" t="s">
        <v>6942</v>
      </c>
      <c r="N456" s="398"/>
      <c r="P456" s="487" t="s">
        <v>6943</v>
      </c>
      <c r="Q456" s="487"/>
      <c r="R456" s="454" t="s">
        <v>6944</v>
      </c>
      <c r="S456" s="468" t="s">
        <v>6945</v>
      </c>
      <c r="T456" s="283" t="s">
        <v>6946</v>
      </c>
      <c r="U456" s="283" t="s">
        <v>6947</v>
      </c>
      <c r="V456" s="62" t="s">
        <v>6948</v>
      </c>
      <c r="AF456" s="471" t="s">
        <v>6949</v>
      </c>
      <c r="AG456" s="490">
        <v>180000</v>
      </c>
      <c r="AH456" s="490">
        <v>9621.75</v>
      </c>
      <c r="AJ456"/>
    </row>
    <row r="457" spans="1:36" ht="19.5" customHeight="1">
      <c r="A457" s="25">
        <v>456</v>
      </c>
      <c r="B457" s="401">
        <v>5902220</v>
      </c>
      <c r="C457" s="466" t="s">
        <v>6940</v>
      </c>
      <c r="D457" s="395"/>
      <c r="E457" s="395">
        <v>2286.42</v>
      </c>
      <c r="F457" s="290">
        <v>1378711</v>
      </c>
      <c r="G457" s="283" t="s">
        <v>6941</v>
      </c>
      <c r="H457" s="395"/>
      <c r="I457" s="395">
        <v>2286.42</v>
      </c>
      <c r="J457" s="62" t="s">
        <v>5242</v>
      </c>
      <c r="K457" s="467" t="s">
        <v>5359</v>
      </c>
      <c r="M457" s="36" t="s">
        <v>6918</v>
      </c>
      <c r="N457" s="398"/>
      <c r="P457" s="487" t="s">
        <v>6950</v>
      </c>
      <c r="Q457" s="487"/>
      <c r="R457" s="454" t="s">
        <v>6922</v>
      </c>
      <c r="S457" s="468" t="s">
        <v>6923</v>
      </c>
      <c r="T457" s="283" t="s">
        <v>6951</v>
      </c>
      <c r="U457" s="283" t="s">
        <v>6952</v>
      </c>
      <c r="V457" s="62" t="s">
        <v>6953</v>
      </c>
      <c r="AF457" s="471" t="s">
        <v>6949</v>
      </c>
      <c r="AG457" s="490">
        <v>226732</v>
      </c>
      <c r="AH457" s="490">
        <v>2298</v>
      </c>
      <c r="AJ457"/>
    </row>
    <row r="458" spans="1:36" ht="19.5" customHeight="1">
      <c r="A458" s="25">
        <v>457</v>
      </c>
      <c r="B458" s="401">
        <v>5904030</v>
      </c>
      <c r="C458" s="466" t="s">
        <v>6930</v>
      </c>
      <c r="D458" s="395"/>
      <c r="E458" s="395">
        <v>1996.17</v>
      </c>
      <c r="F458" s="290">
        <v>1379674</v>
      </c>
      <c r="G458" s="283" t="s">
        <v>6954</v>
      </c>
      <c r="H458" s="395"/>
      <c r="I458" s="395">
        <v>1996.17</v>
      </c>
      <c r="J458" s="62" t="s">
        <v>5242</v>
      </c>
      <c r="K458" s="467" t="s">
        <v>5359</v>
      </c>
      <c r="M458" s="36" t="s">
        <v>6955</v>
      </c>
      <c r="N458" s="398"/>
      <c r="P458" s="487" t="s">
        <v>6956</v>
      </c>
      <c r="Q458" s="487"/>
      <c r="R458" s="478" t="s">
        <v>6957</v>
      </c>
      <c r="S458" s="468" t="s">
        <v>6958</v>
      </c>
      <c r="T458" s="283" t="s">
        <v>6957</v>
      </c>
      <c r="U458" s="283" t="s">
        <v>6959</v>
      </c>
      <c r="V458" s="476" t="s">
        <v>6960</v>
      </c>
      <c r="AF458" s="471" t="s">
        <v>6961</v>
      </c>
      <c r="AG458" s="490">
        <v>160600</v>
      </c>
      <c r="AH458" s="490">
        <v>8726</v>
      </c>
      <c r="AJ458"/>
    </row>
    <row r="459" spans="1:36" ht="19.5" customHeight="1">
      <c r="A459" s="25">
        <v>458</v>
      </c>
      <c r="C459" s="466" t="s">
        <v>6962</v>
      </c>
      <c r="D459" s="395"/>
      <c r="E459" s="395">
        <v>4800</v>
      </c>
      <c r="F459" s="290">
        <v>1378347</v>
      </c>
      <c r="G459" s="283" t="s">
        <v>6962</v>
      </c>
      <c r="H459" s="395"/>
      <c r="I459" s="395">
        <v>4800</v>
      </c>
      <c r="J459" s="62" t="s">
        <v>5242</v>
      </c>
      <c r="K459" s="467" t="s">
        <v>6892</v>
      </c>
      <c r="M459" s="36" t="s">
        <v>6963</v>
      </c>
      <c r="N459" s="398"/>
      <c r="P459" s="487" t="s">
        <v>6956</v>
      </c>
      <c r="Q459" s="487"/>
      <c r="R459" s="454" t="s">
        <v>4292</v>
      </c>
      <c r="S459" s="468" t="s">
        <v>4292</v>
      </c>
      <c r="T459" s="283"/>
      <c r="U459" s="283"/>
      <c r="V459" s="43" t="s">
        <v>6960</v>
      </c>
      <c r="AF459" s="471" t="s">
        <v>6964</v>
      </c>
      <c r="AG459" s="417"/>
      <c r="AH459" s="417"/>
      <c r="AJ459"/>
    </row>
    <row r="460" spans="1:36" ht="19.5" customHeight="1" thickBot="1">
      <c r="A460" s="25">
        <v>459</v>
      </c>
      <c r="B460" s="479">
        <v>5905539</v>
      </c>
      <c r="C460" s="480" t="s">
        <v>6941</v>
      </c>
      <c r="D460" s="395"/>
      <c r="E460" s="395">
        <v>115963.67</v>
      </c>
      <c r="F460" s="481">
        <v>1380774</v>
      </c>
      <c r="G460" s="283" t="s">
        <v>6965</v>
      </c>
      <c r="H460" s="395"/>
      <c r="I460" s="395">
        <v>115963.67</v>
      </c>
      <c r="J460" s="482" t="s">
        <v>5242</v>
      </c>
      <c r="K460" s="483" t="s">
        <v>5359</v>
      </c>
      <c r="L460" s="472" t="s">
        <v>6966</v>
      </c>
      <c r="M460" s="484" t="s">
        <v>6967</v>
      </c>
      <c r="N460" s="398"/>
      <c r="P460" s="487" t="s">
        <v>6968</v>
      </c>
      <c r="Q460" s="487"/>
      <c r="R460" s="454" t="s">
        <v>6951</v>
      </c>
      <c r="S460" s="468" t="s">
        <v>6952</v>
      </c>
      <c r="T460" s="283" t="s">
        <v>6951</v>
      </c>
      <c r="U460" s="283" t="s">
        <v>6952</v>
      </c>
      <c r="V460" s="476" t="s">
        <v>6969</v>
      </c>
      <c r="AF460" s="485" t="s">
        <v>6961</v>
      </c>
      <c r="AG460" s="490">
        <v>304461</v>
      </c>
      <c r="AH460" s="490">
        <v>171013.94</v>
      </c>
      <c r="AJ460"/>
    </row>
    <row r="461" spans="1:36" ht="19.5" customHeight="1" thickTop="1">
      <c r="A461" s="25">
        <v>460</v>
      </c>
      <c r="B461" s="401">
        <v>5909145</v>
      </c>
      <c r="C461" s="98" t="s">
        <v>6970</v>
      </c>
      <c r="D461" s="395"/>
      <c r="E461" s="395">
        <v>12931.42</v>
      </c>
      <c r="F461" s="290">
        <v>1382553</v>
      </c>
      <c r="G461" s="98">
        <v>44938</v>
      </c>
      <c r="H461" s="395"/>
      <c r="I461" s="395">
        <v>12931.42</v>
      </c>
      <c r="J461" s="62" t="s">
        <v>6971</v>
      </c>
      <c r="K461" s="467" t="s">
        <v>5267</v>
      </c>
      <c r="M461" s="36" t="s">
        <v>6972</v>
      </c>
      <c r="N461" s="398"/>
      <c r="P461" s="487" t="s">
        <v>6968</v>
      </c>
      <c r="Q461" s="487"/>
      <c r="R461" s="50" t="s">
        <v>6951</v>
      </c>
      <c r="S461" s="47" t="s">
        <v>6952</v>
      </c>
      <c r="T461" s="98" t="s">
        <v>6973</v>
      </c>
      <c r="U461" s="98" t="s">
        <v>6974</v>
      </c>
      <c r="V461" s="476" t="s">
        <v>6969</v>
      </c>
      <c r="AF461" s="47">
        <v>45079</v>
      </c>
      <c r="AG461" s="490" t="s">
        <v>4292</v>
      </c>
      <c r="AH461" s="490" t="s">
        <v>4292</v>
      </c>
      <c r="AJ461"/>
    </row>
    <row r="462" spans="1:36" ht="19.5" customHeight="1">
      <c r="A462" s="25">
        <v>461</v>
      </c>
      <c r="B462" s="401">
        <v>5910108</v>
      </c>
      <c r="C462" s="98" t="s">
        <v>6965</v>
      </c>
      <c r="D462" s="395"/>
      <c r="E462" s="395">
        <v>51883.85</v>
      </c>
      <c r="F462" s="494" t="s">
        <v>6975</v>
      </c>
      <c r="G462" s="98">
        <v>44942</v>
      </c>
      <c r="H462" s="395"/>
      <c r="I462" s="395">
        <v>51883.85</v>
      </c>
      <c r="J462" s="62" t="s">
        <v>5242</v>
      </c>
      <c r="K462" s="467" t="s">
        <v>5359</v>
      </c>
      <c r="M462" s="36" t="s">
        <v>6976</v>
      </c>
      <c r="N462" s="398"/>
      <c r="P462" s="487" t="s">
        <v>6977</v>
      </c>
      <c r="Q462" s="487"/>
      <c r="R462" s="50" t="s">
        <v>6951</v>
      </c>
      <c r="S462" s="47" t="s">
        <v>6952</v>
      </c>
      <c r="T462" s="98" t="s">
        <v>6978</v>
      </c>
      <c r="U462" s="98" t="s">
        <v>6979</v>
      </c>
      <c r="V462" s="476" t="s">
        <v>6980</v>
      </c>
      <c r="AF462" s="47" t="s">
        <v>6981</v>
      </c>
      <c r="AG462" s="490">
        <v>100666</v>
      </c>
      <c r="AH462" s="490">
        <v>72227.149999999994</v>
      </c>
      <c r="AJ462"/>
    </row>
    <row r="463" spans="1:36" ht="19.5" customHeight="1">
      <c r="A463" s="25">
        <v>462</v>
      </c>
      <c r="B463" s="401">
        <v>5910122</v>
      </c>
      <c r="C463" s="98" t="s">
        <v>6965</v>
      </c>
      <c r="D463" s="395"/>
      <c r="E463" s="395">
        <v>36968.71</v>
      </c>
      <c r="F463" s="290">
        <v>1382072</v>
      </c>
      <c r="G463" s="98">
        <v>44938</v>
      </c>
      <c r="H463" s="395"/>
      <c r="I463" s="395">
        <v>36968.71</v>
      </c>
      <c r="J463" s="62" t="s">
        <v>5242</v>
      </c>
      <c r="K463" s="467" t="s">
        <v>5359</v>
      </c>
      <c r="M463" s="36" t="s">
        <v>6982</v>
      </c>
      <c r="N463" s="398"/>
      <c r="P463" s="487" t="s">
        <v>6983</v>
      </c>
      <c r="Q463" s="487"/>
      <c r="R463" s="50" t="s">
        <v>6951</v>
      </c>
      <c r="S463" s="47" t="s">
        <v>6984</v>
      </c>
      <c r="T463" s="98" t="s">
        <v>6965</v>
      </c>
      <c r="U463" s="98" t="s">
        <v>6984</v>
      </c>
      <c r="V463" s="62" t="s">
        <v>6932</v>
      </c>
      <c r="AF463" s="47">
        <v>44993</v>
      </c>
      <c r="AG463" s="490">
        <v>74903</v>
      </c>
      <c r="AH463" s="490">
        <v>37451.49</v>
      </c>
      <c r="AJ463"/>
    </row>
    <row r="464" spans="1:36" ht="19.5" customHeight="1">
      <c r="A464" s="25">
        <v>463</v>
      </c>
      <c r="B464" s="401">
        <v>5911834</v>
      </c>
      <c r="C464" s="98" t="s">
        <v>6985</v>
      </c>
      <c r="D464" s="395"/>
      <c r="E464" s="395">
        <v>1120.1600000000001</v>
      </c>
      <c r="F464" s="290">
        <v>1383212</v>
      </c>
      <c r="G464" s="98">
        <v>44943</v>
      </c>
      <c r="H464" s="395"/>
      <c r="I464" s="395">
        <v>1120.1600000000001</v>
      </c>
      <c r="J464" s="62" t="s">
        <v>5242</v>
      </c>
      <c r="K464" s="467" t="s">
        <v>5359</v>
      </c>
      <c r="L464" s="472"/>
      <c r="M464" s="36" t="s">
        <v>6986</v>
      </c>
      <c r="N464" s="398"/>
      <c r="P464" s="487" t="s">
        <v>6987</v>
      </c>
      <c r="Q464" s="487"/>
      <c r="R464" s="50" t="s">
        <v>6988</v>
      </c>
      <c r="S464" s="47" t="s">
        <v>6989</v>
      </c>
      <c r="T464" s="98"/>
      <c r="U464" s="98"/>
      <c r="AF464" s="47">
        <v>44965</v>
      </c>
      <c r="AG464" s="490"/>
      <c r="AH464" s="490"/>
      <c r="AJ464"/>
    </row>
    <row r="465" spans="1:36" ht="19.5" customHeight="1">
      <c r="A465" s="25">
        <v>464</v>
      </c>
      <c r="B465" s="401">
        <v>5912254</v>
      </c>
      <c r="C465" s="98" t="s">
        <v>6990</v>
      </c>
      <c r="D465" s="395"/>
      <c r="E465" s="395">
        <v>48155.75</v>
      </c>
      <c r="F465" s="290">
        <v>1383138</v>
      </c>
      <c r="G465" s="98">
        <v>44946</v>
      </c>
      <c r="H465" s="395"/>
      <c r="I465" s="395">
        <v>48155.75</v>
      </c>
      <c r="J465" s="62" t="s">
        <v>5242</v>
      </c>
      <c r="K465" s="467" t="s">
        <v>5359</v>
      </c>
      <c r="L465" s="472"/>
      <c r="M465" s="36" t="s">
        <v>6991</v>
      </c>
      <c r="N465" s="398"/>
      <c r="P465" s="488" t="s">
        <v>6992</v>
      </c>
      <c r="Q465" s="488"/>
      <c r="R465" s="50" t="s">
        <v>6989</v>
      </c>
      <c r="S465" s="47" t="s">
        <v>6984</v>
      </c>
      <c r="T465" s="98" t="s">
        <v>6993</v>
      </c>
      <c r="U465" s="98" t="s">
        <v>6952</v>
      </c>
      <c r="V465" s="62" t="s">
        <v>6994</v>
      </c>
      <c r="AF465" s="47">
        <v>45034</v>
      </c>
      <c r="AG465" s="490">
        <v>1622854</v>
      </c>
      <c r="AH465" s="490">
        <v>1234459.95</v>
      </c>
      <c r="AJ465"/>
    </row>
    <row r="466" spans="1:36" ht="19.5" customHeight="1">
      <c r="A466" s="25">
        <v>465</v>
      </c>
      <c r="B466" s="401">
        <v>5912289</v>
      </c>
      <c r="C466" s="98" t="s">
        <v>6990</v>
      </c>
      <c r="D466" s="395"/>
      <c r="E466" s="395">
        <v>35271.31</v>
      </c>
      <c r="F466" s="492">
        <v>1384707</v>
      </c>
      <c r="G466" s="98">
        <v>44952</v>
      </c>
      <c r="H466" s="395"/>
      <c r="I466" s="395">
        <v>35271.31</v>
      </c>
      <c r="J466" s="62" t="s">
        <v>5242</v>
      </c>
      <c r="K466" s="467" t="s">
        <v>5359</v>
      </c>
      <c r="L466" s="472"/>
      <c r="M466" s="36" t="s">
        <v>6995</v>
      </c>
      <c r="N466" s="398"/>
      <c r="P466" s="487" t="s">
        <v>6996</v>
      </c>
      <c r="Q466" s="487"/>
      <c r="R466" s="50" t="s">
        <v>6951</v>
      </c>
      <c r="S466" s="47" t="s">
        <v>6952</v>
      </c>
      <c r="T466" s="98" t="s">
        <v>6951</v>
      </c>
      <c r="U466" s="98" t="s">
        <v>6952</v>
      </c>
      <c r="V466" s="62" t="s">
        <v>6932</v>
      </c>
      <c r="AF466" s="47">
        <v>45027</v>
      </c>
      <c r="AG466" s="490">
        <v>1045036.84</v>
      </c>
      <c r="AH466" s="490">
        <v>368309.48</v>
      </c>
      <c r="AJ466"/>
    </row>
    <row r="467" spans="1:36" ht="19.5" customHeight="1">
      <c r="A467" s="25">
        <v>466</v>
      </c>
      <c r="B467" s="401">
        <v>5914838</v>
      </c>
      <c r="C467" s="98" t="s">
        <v>6997</v>
      </c>
      <c r="D467" s="395"/>
      <c r="E467" s="395">
        <v>14673.94</v>
      </c>
      <c r="F467" s="290">
        <v>1384690</v>
      </c>
      <c r="G467" s="98">
        <v>44946</v>
      </c>
      <c r="H467" s="395"/>
      <c r="I467" s="395">
        <v>14673.94</v>
      </c>
      <c r="J467" s="62" t="s">
        <v>5242</v>
      </c>
      <c r="K467" s="467" t="s">
        <v>5359</v>
      </c>
      <c r="M467" s="36" t="s">
        <v>6998</v>
      </c>
      <c r="N467" s="398"/>
      <c r="P467" s="488" t="s">
        <v>6992</v>
      </c>
      <c r="Q467" s="488"/>
      <c r="R467" s="50" t="s">
        <v>6951</v>
      </c>
      <c r="S467" s="47" t="s">
        <v>6915</v>
      </c>
      <c r="T467" s="98"/>
      <c r="U467" s="98"/>
      <c r="AF467" s="47">
        <v>45034</v>
      </c>
      <c r="AG467" s="490"/>
      <c r="AH467" s="490"/>
      <c r="AJ467"/>
    </row>
    <row r="468" spans="1:36" ht="19.5" customHeight="1">
      <c r="A468" s="25">
        <v>467</v>
      </c>
      <c r="B468" s="401">
        <v>5916833</v>
      </c>
      <c r="C468" s="98" t="s">
        <v>6999</v>
      </c>
      <c r="D468" s="395"/>
      <c r="E468" s="395">
        <v>11652</v>
      </c>
      <c r="F468" s="290">
        <v>1385627</v>
      </c>
      <c r="G468" s="98">
        <v>44958</v>
      </c>
      <c r="H468" s="395"/>
      <c r="I468" s="395">
        <v>11652</v>
      </c>
      <c r="J468" s="62" t="s">
        <v>5242</v>
      </c>
      <c r="K468" s="467" t="s">
        <v>7000</v>
      </c>
      <c r="M468" s="36" t="s">
        <v>7001</v>
      </c>
      <c r="N468" s="398"/>
      <c r="P468" s="487" t="s">
        <v>7002</v>
      </c>
      <c r="Q468" s="487"/>
      <c r="R468" s="50" t="s">
        <v>7003</v>
      </c>
      <c r="S468" s="47" t="s">
        <v>7004</v>
      </c>
      <c r="T468" s="98"/>
      <c r="U468" s="98"/>
      <c r="V468" s="62" t="s">
        <v>7005</v>
      </c>
      <c r="AF468" s="47">
        <v>44959</v>
      </c>
      <c r="AG468" s="490"/>
      <c r="AH468" s="490"/>
      <c r="AJ468"/>
    </row>
    <row r="469" spans="1:36" ht="19.5" customHeight="1">
      <c r="A469" s="25">
        <v>468</v>
      </c>
      <c r="C469" s="98" t="s">
        <v>6999</v>
      </c>
      <c r="D469" s="395"/>
      <c r="E469" s="395">
        <v>5150</v>
      </c>
      <c r="F469" s="290">
        <v>1385580</v>
      </c>
      <c r="G469" s="98">
        <v>44957</v>
      </c>
      <c r="H469" s="395"/>
      <c r="I469" s="395">
        <v>5150</v>
      </c>
      <c r="J469" s="62" t="s">
        <v>5242</v>
      </c>
      <c r="K469" s="467" t="s">
        <v>4662</v>
      </c>
      <c r="M469" s="36" t="s">
        <v>7006</v>
      </c>
      <c r="N469" s="398"/>
      <c r="P469" s="488" t="s">
        <v>6992</v>
      </c>
      <c r="Q469" s="488"/>
      <c r="R469" s="50"/>
      <c r="S469" s="47"/>
      <c r="T469" s="98"/>
      <c r="U469" s="98"/>
      <c r="AF469" s="47">
        <v>44999</v>
      </c>
      <c r="AG469" s="490"/>
      <c r="AH469" s="490"/>
      <c r="AJ469"/>
    </row>
    <row r="470" spans="1:36" ht="19.5" customHeight="1">
      <c r="A470" s="25">
        <v>469</v>
      </c>
      <c r="B470" s="401">
        <v>5916905</v>
      </c>
      <c r="C470" s="98" t="s">
        <v>6999</v>
      </c>
      <c r="D470" s="395"/>
      <c r="E470" s="395">
        <v>96687.31</v>
      </c>
      <c r="F470" s="290">
        <v>1387885</v>
      </c>
      <c r="G470" s="98">
        <v>44971</v>
      </c>
      <c r="H470" s="395"/>
      <c r="I470" s="395">
        <v>96687.31</v>
      </c>
      <c r="J470" s="62" t="s">
        <v>5242</v>
      </c>
      <c r="K470" s="467" t="s">
        <v>5359</v>
      </c>
      <c r="L470" s="495">
        <v>44927</v>
      </c>
      <c r="M470" s="36" t="s">
        <v>7007</v>
      </c>
      <c r="N470" s="398"/>
      <c r="P470" s="487" t="s">
        <v>7002</v>
      </c>
      <c r="Q470" s="487"/>
      <c r="R470" s="50" t="s">
        <v>7003</v>
      </c>
      <c r="S470" s="47" t="s">
        <v>7004</v>
      </c>
      <c r="T470" s="98" t="s">
        <v>6951</v>
      </c>
      <c r="U470" s="98" t="s">
        <v>6952</v>
      </c>
      <c r="V470" s="62" t="s">
        <v>7005</v>
      </c>
      <c r="AF470" s="47">
        <v>45059</v>
      </c>
      <c r="AG470" s="490" t="s">
        <v>4292</v>
      </c>
      <c r="AH470" s="490" t="s">
        <v>4292</v>
      </c>
      <c r="AJ470"/>
    </row>
    <row r="471" spans="1:36" ht="19.5" customHeight="1">
      <c r="A471" s="25">
        <v>470</v>
      </c>
      <c r="B471" s="401">
        <v>5917103</v>
      </c>
      <c r="C471" s="98" t="s">
        <v>7003</v>
      </c>
      <c r="D471" s="395"/>
      <c r="E471" s="395">
        <v>2248.83</v>
      </c>
      <c r="F471" s="290">
        <v>1390181</v>
      </c>
      <c r="G471" s="98">
        <v>44981</v>
      </c>
      <c r="H471" s="395"/>
      <c r="I471" s="395">
        <v>2248.83</v>
      </c>
      <c r="J471" s="62" t="s">
        <v>5242</v>
      </c>
      <c r="K471" s="467" t="s">
        <v>5359</v>
      </c>
      <c r="L471" s="472"/>
      <c r="M471" s="36" t="s">
        <v>7008</v>
      </c>
      <c r="N471" s="398"/>
      <c r="P471" s="487" t="s">
        <v>7009</v>
      </c>
      <c r="Q471" s="487"/>
      <c r="R471" s="50" t="s">
        <v>6913</v>
      </c>
      <c r="S471" s="47" t="s">
        <v>7010</v>
      </c>
      <c r="T471" s="98" t="s">
        <v>7011</v>
      </c>
      <c r="U471" s="98" t="s">
        <v>7012</v>
      </c>
      <c r="V471" s="476" t="s">
        <v>7013</v>
      </c>
      <c r="AF471" s="47">
        <v>45059</v>
      </c>
      <c r="AG471" s="490">
        <v>25500</v>
      </c>
      <c r="AH471" s="490">
        <v>2254.52</v>
      </c>
      <c r="AJ471"/>
    </row>
    <row r="472" spans="1:36" ht="19.5" customHeight="1">
      <c r="A472" s="25">
        <v>471</v>
      </c>
      <c r="B472" s="401">
        <v>5917691</v>
      </c>
      <c r="C472" s="98" t="s">
        <v>7014</v>
      </c>
      <c r="D472" s="395"/>
      <c r="E472" s="395">
        <v>22391.25</v>
      </c>
      <c r="F472" s="290">
        <v>1387636</v>
      </c>
      <c r="G472" s="98">
        <v>44967</v>
      </c>
      <c r="H472" s="395"/>
      <c r="I472" s="395">
        <v>22391.25</v>
      </c>
      <c r="J472" s="62" t="s">
        <v>5242</v>
      </c>
      <c r="K472" s="467" t="s">
        <v>5359</v>
      </c>
      <c r="M472" s="36" t="s">
        <v>7015</v>
      </c>
      <c r="N472" s="398"/>
      <c r="P472" s="488" t="s">
        <v>7016</v>
      </c>
      <c r="Q472" s="488"/>
      <c r="R472" s="50" t="s">
        <v>7017</v>
      </c>
      <c r="S472" s="47" t="s">
        <v>7018</v>
      </c>
      <c r="T472" s="98" t="s">
        <v>7019</v>
      </c>
      <c r="U472" s="98" t="s">
        <v>7020</v>
      </c>
      <c r="V472" s="476" t="s">
        <v>6969</v>
      </c>
      <c r="AF472" s="47">
        <v>45027</v>
      </c>
      <c r="AG472" s="490">
        <v>26040</v>
      </c>
      <c r="AH472" s="490">
        <v>22447.86</v>
      </c>
      <c r="AJ472"/>
    </row>
    <row r="473" spans="1:36" ht="19.5" customHeight="1">
      <c r="A473" s="25">
        <v>472</v>
      </c>
      <c r="B473" s="401">
        <v>5920184</v>
      </c>
      <c r="C473" s="98" t="s">
        <v>7021</v>
      </c>
      <c r="D473" s="395"/>
      <c r="E473" s="395">
        <v>30354.32</v>
      </c>
      <c r="F473" s="290">
        <v>1387643</v>
      </c>
      <c r="G473" s="98">
        <v>44972</v>
      </c>
      <c r="H473" s="395"/>
      <c r="I473" s="395">
        <v>30354.32</v>
      </c>
      <c r="J473" s="62" t="s">
        <v>6971</v>
      </c>
      <c r="K473" s="467" t="s">
        <v>5359</v>
      </c>
      <c r="M473" s="36" t="s">
        <v>7022</v>
      </c>
      <c r="N473" s="398"/>
      <c r="P473" s="487" t="s">
        <v>7002</v>
      </c>
      <c r="Q473" s="487"/>
      <c r="R473" s="50"/>
      <c r="S473" s="47"/>
      <c r="T473" s="98"/>
      <c r="U473" s="98"/>
      <c r="V473" s="43" t="s">
        <v>7005</v>
      </c>
      <c r="AF473" s="47">
        <v>45059</v>
      </c>
      <c r="AG473" s="490"/>
      <c r="AH473" s="490"/>
      <c r="AJ473"/>
    </row>
    <row r="474" spans="1:36" ht="19.5" customHeight="1">
      <c r="A474" s="25">
        <v>473</v>
      </c>
      <c r="B474" s="401">
        <v>5920566</v>
      </c>
      <c r="C474" s="98" t="s">
        <v>7023</v>
      </c>
      <c r="D474" s="395"/>
      <c r="E474" s="395">
        <v>10186.86</v>
      </c>
      <c r="F474" s="290">
        <v>1390182</v>
      </c>
      <c r="G474" s="98">
        <v>44984</v>
      </c>
      <c r="H474" s="395"/>
      <c r="I474" s="395">
        <v>10186.86</v>
      </c>
      <c r="J474" s="62" t="s">
        <v>5242</v>
      </c>
      <c r="K474" s="467" t="s">
        <v>5359</v>
      </c>
      <c r="M474" s="36" t="s">
        <v>7024</v>
      </c>
      <c r="N474" s="398"/>
      <c r="P474" s="487" t="s">
        <v>7025</v>
      </c>
      <c r="Q474" s="487"/>
      <c r="R474" s="50" t="s">
        <v>6951</v>
      </c>
      <c r="S474" s="47" t="s">
        <v>6952</v>
      </c>
      <c r="T474" s="98" t="s">
        <v>7026</v>
      </c>
      <c r="U474" s="98" t="s">
        <v>7027</v>
      </c>
      <c r="V474" s="43" t="s">
        <v>7028</v>
      </c>
      <c r="AF474" s="47">
        <v>45059</v>
      </c>
      <c r="AG474" s="490">
        <v>27500</v>
      </c>
      <c r="AH474" s="490">
        <v>10212.61</v>
      </c>
      <c r="AJ474"/>
    </row>
    <row r="475" spans="1:36" ht="19.5" customHeight="1">
      <c r="A475" s="25">
        <v>474</v>
      </c>
      <c r="B475" s="401">
        <v>5922054</v>
      </c>
      <c r="C475" s="98" t="s">
        <v>7029</v>
      </c>
      <c r="D475" s="395"/>
      <c r="E475" s="395">
        <v>20555.060000000001</v>
      </c>
      <c r="F475" s="290">
        <v>1389295</v>
      </c>
      <c r="G475" s="98">
        <v>44979</v>
      </c>
      <c r="H475" s="395"/>
      <c r="I475" s="395">
        <v>20555.060000000001</v>
      </c>
      <c r="J475" s="62" t="s">
        <v>5242</v>
      </c>
      <c r="K475" s="467" t="s">
        <v>5359</v>
      </c>
      <c r="L475" s="472"/>
      <c r="M475" s="36" t="s">
        <v>7030</v>
      </c>
      <c r="N475" s="398"/>
      <c r="P475" s="487" t="s">
        <v>7031</v>
      </c>
      <c r="Q475" s="487"/>
      <c r="R475" s="50" t="s">
        <v>6951</v>
      </c>
      <c r="S475" s="47" t="s">
        <v>7032</v>
      </c>
      <c r="T475" s="98" t="s">
        <v>7021</v>
      </c>
      <c r="U475" s="98" t="s">
        <v>7033</v>
      </c>
      <c r="V475" s="476" t="s">
        <v>7034</v>
      </c>
      <c r="AF475" s="47">
        <v>45059</v>
      </c>
      <c r="AG475" s="490">
        <v>50680</v>
      </c>
      <c r="AH475" s="490">
        <v>20607.04</v>
      </c>
      <c r="AJ475"/>
    </row>
    <row r="476" spans="1:36" ht="19.5" customHeight="1">
      <c r="A476" s="25">
        <v>475</v>
      </c>
      <c r="C476" s="98" t="s">
        <v>7029</v>
      </c>
      <c r="D476" s="395"/>
      <c r="E476" s="395">
        <v>5400</v>
      </c>
      <c r="F476" s="290">
        <v>1388345</v>
      </c>
      <c r="G476" s="98">
        <v>44972</v>
      </c>
      <c r="H476" s="395"/>
      <c r="I476" s="395">
        <v>5400</v>
      </c>
      <c r="J476" s="62" t="s">
        <v>5242</v>
      </c>
      <c r="K476" s="467" t="s">
        <v>6892</v>
      </c>
      <c r="L476" s="486"/>
      <c r="M476" s="36" t="s">
        <v>7035</v>
      </c>
      <c r="N476" s="398"/>
      <c r="P476" s="488" t="s">
        <v>6884</v>
      </c>
      <c r="Q476" s="488"/>
      <c r="R476" s="50" t="s">
        <v>4292</v>
      </c>
      <c r="S476" s="47" t="s">
        <v>4292</v>
      </c>
      <c r="T476" s="98"/>
      <c r="U476" s="98"/>
      <c r="AF476" s="47">
        <v>45079</v>
      </c>
      <c r="AG476" s="490"/>
      <c r="AH476" s="490"/>
      <c r="AJ476"/>
    </row>
    <row r="477" spans="1:36" ht="19.5" customHeight="1">
      <c r="A477" s="25">
        <v>476</v>
      </c>
      <c r="B477" s="401">
        <v>5926611</v>
      </c>
      <c r="C477" s="98" t="s">
        <v>7036</v>
      </c>
      <c r="D477" s="395"/>
      <c r="E477" s="395">
        <v>23664.42</v>
      </c>
      <c r="F477" s="290">
        <v>1391723</v>
      </c>
      <c r="G477" s="98">
        <v>44992</v>
      </c>
      <c r="H477" s="395"/>
      <c r="I477" s="395">
        <v>23664.42</v>
      </c>
      <c r="J477" s="62" t="s">
        <v>5242</v>
      </c>
      <c r="K477" s="467" t="s">
        <v>5359</v>
      </c>
      <c r="L477" s="495">
        <v>44958</v>
      </c>
      <c r="M477" s="36" t="s">
        <v>7037</v>
      </c>
      <c r="N477" s="398"/>
      <c r="P477" s="487" t="s">
        <v>7038</v>
      </c>
      <c r="Q477" s="487"/>
      <c r="R477" s="50" t="s">
        <v>7039</v>
      </c>
      <c r="S477" s="47" t="s">
        <v>7040</v>
      </c>
      <c r="T477" s="98" t="s">
        <v>7041</v>
      </c>
      <c r="U477" s="98" t="s">
        <v>7042</v>
      </c>
      <c r="AF477" s="47">
        <v>45059</v>
      </c>
      <c r="AG477" s="490">
        <v>500000</v>
      </c>
      <c r="AH477" s="490">
        <v>25192.61</v>
      </c>
      <c r="AJ477"/>
    </row>
    <row r="478" spans="1:36" ht="19.5" customHeight="1">
      <c r="A478" s="25">
        <v>477</v>
      </c>
      <c r="B478" s="401">
        <v>5933851</v>
      </c>
      <c r="C478" s="98" t="s">
        <v>7043</v>
      </c>
      <c r="D478" s="395"/>
      <c r="E478" s="395">
        <v>6704.28</v>
      </c>
      <c r="F478" s="290">
        <v>1395740</v>
      </c>
      <c r="G478" s="98">
        <v>45013</v>
      </c>
      <c r="H478" s="395"/>
      <c r="I478" s="395">
        <v>6704.28</v>
      </c>
      <c r="J478" s="62" t="s">
        <v>5242</v>
      </c>
      <c r="K478" s="467" t="s">
        <v>5359</v>
      </c>
      <c r="L478" s="486"/>
      <c r="M478" s="36" t="s">
        <v>7044</v>
      </c>
      <c r="N478" s="398"/>
      <c r="P478" s="487" t="s">
        <v>7045</v>
      </c>
      <c r="Q478" s="487"/>
      <c r="R478" s="50" t="s">
        <v>7046</v>
      </c>
      <c r="S478" s="47" t="s">
        <v>7047</v>
      </c>
      <c r="T478" s="98" t="s">
        <v>7043</v>
      </c>
      <c r="U478" s="98" t="s">
        <v>7048</v>
      </c>
      <c r="V478" s="476" t="s">
        <v>6916</v>
      </c>
      <c r="W478" s="41" t="s">
        <v>4660</v>
      </c>
      <c r="AF478" s="47">
        <v>45079</v>
      </c>
      <c r="AG478" s="395">
        <v>26256</v>
      </c>
      <c r="AH478" s="395">
        <v>6708</v>
      </c>
      <c r="AJ478"/>
    </row>
    <row r="479" spans="1:36" ht="19.5" customHeight="1">
      <c r="A479" s="25">
        <v>478</v>
      </c>
      <c r="B479" s="401">
        <v>5934095</v>
      </c>
      <c r="C479" s="98" t="s">
        <v>7049</v>
      </c>
      <c r="D479" s="395"/>
      <c r="E479" s="395">
        <v>10756.77</v>
      </c>
      <c r="F479" s="290">
        <v>1395537</v>
      </c>
      <c r="G479" s="98">
        <v>45012</v>
      </c>
      <c r="H479" s="395"/>
      <c r="I479" s="395">
        <v>10756.77</v>
      </c>
      <c r="J479" s="62" t="s">
        <v>5242</v>
      </c>
      <c r="K479" s="467" t="s">
        <v>5359</v>
      </c>
      <c r="L479" s="495">
        <v>44986</v>
      </c>
      <c r="M479" s="36" t="s">
        <v>7050</v>
      </c>
      <c r="N479" s="398"/>
      <c r="P479" s="488" t="s">
        <v>7051</v>
      </c>
      <c r="Q479" s="488"/>
      <c r="R479" s="50" t="s">
        <v>7052</v>
      </c>
      <c r="S479" s="47" t="s">
        <v>7053</v>
      </c>
      <c r="T479" s="98" t="s">
        <v>7054</v>
      </c>
      <c r="U479" s="98" t="s">
        <v>7055</v>
      </c>
      <c r="V479" s="62" t="s">
        <v>6980</v>
      </c>
      <c r="AF479" s="47">
        <v>45059</v>
      </c>
      <c r="AG479" s="490">
        <v>19927</v>
      </c>
      <c r="AH479" s="490">
        <v>10761.57</v>
      </c>
      <c r="AJ479"/>
    </row>
    <row r="480" spans="1:36" ht="19.5" customHeight="1">
      <c r="A480" s="25">
        <v>479</v>
      </c>
      <c r="B480" s="401">
        <v>5938679</v>
      </c>
      <c r="C480" s="98" t="s">
        <v>7056</v>
      </c>
      <c r="D480" s="395"/>
      <c r="E480" s="395">
        <v>48119.29</v>
      </c>
      <c r="F480" s="494" t="s">
        <v>7057</v>
      </c>
      <c r="G480" s="98">
        <v>45022</v>
      </c>
      <c r="H480" s="395"/>
      <c r="I480" s="395">
        <v>48119.29</v>
      </c>
      <c r="J480" s="62" t="s">
        <v>7058</v>
      </c>
      <c r="K480" s="467" t="s">
        <v>5359</v>
      </c>
      <c r="M480" s="36" t="s">
        <v>7059</v>
      </c>
      <c r="N480" s="398"/>
      <c r="P480" s="487" t="s">
        <v>7060</v>
      </c>
      <c r="Q480" s="487"/>
      <c r="R480" s="50" t="s">
        <v>7061</v>
      </c>
      <c r="S480" s="47" t="s">
        <v>7062</v>
      </c>
      <c r="T480" s="98" t="s">
        <v>7063</v>
      </c>
      <c r="U480" s="98" t="s">
        <v>6915</v>
      </c>
      <c r="V480" s="62" t="s">
        <v>7064</v>
      </c>
      <c r="AF480" s="47">
        <v>45079</v>
      </c>
      <c r="AG480" s="490">
        <v>127000</v>
      </c>
      <c r="AH480" s="490">
        <v>66121.13</v>
      </c>
      <c r="AJ480"/>
    </row>
    <row r="481" spans="1:36" ht="19.5" customHeight="1">
      <c r="A481" s="25">
        <v>480</v>
      </c>
      <c r="C481" s="98" t="s">
        <v>7065</v>
      </c>
      <c r="D481" s="395"/>
      <c r="E481" s="395">
        <v>5700</v>
      </c>
      <c r="F481" s="290">
        <v>1400003</v>
      </c>
      <c r="G481" s="98">
        <v>45037</v>
      </c>
      <c r="H481" s="395"/>
      <c r="I481" s="395">
        <v>5700</v>
      </c>
      <c r="J481" s="62" t="s">
        <v>7058</v>
      </c>
      <c r="K481" s="467" t="s">
        <v>4655</v>
      </c>
      <c r="M481" s="36" t="s">
        <v>7066</v>
      </c>
      <c r="N481" s="398"/>
      <c r="P481" s="488" t="s">
        <v>6884</v>
      </c>
      <c r="Q481" s="488"/>
      <c r="R481" s="50"/>
      <c r="S481" s="47"/>
      <c r="T481" s="98"/>
      <c r="U481" s="98"/>
      <c r="V481" s="476"/>
      <c r="AF481" s="47">
        <v>45159</v>
      </c>
      <c r="AG481" s="490"/>
      <c r="AH481" s="490"/>
      <c r="AJ481"/>
    </row>
    <row r="482" spans="1:36" ht="19.5" customHeight="1">
      <c r="A482" s="25">
        <v>481</v>
      </c>
      <c r="B482" s="401">
        <v>5945430</v>
      </c>
      <c r="C482" s="98" t="s">
        <v>7067</v>
      </c>
      <c r="D482" s="395"/>
      <c r="E482" s="395">
        <v>39556.99</v>
      </c>
      <c r="F482" s="290">
        <v>1402269</v>
      </c>
      <c r="G482" s="98">
        <v>45044</v>
      </c>
      <c r="H482" s="395"/>
      <c r="I482" s="395">
        <v>39556.99</v>
      </c>
      <c r="J482" s="62" t="s">
        <v>7058</v>
      </c>
      <c r="K482" s="467" t="s">
        <v>5359</v>
      </c>
      <c r="M482" s="36" t="s">
        <v>7068</v>
      </c>
      <c r="N482" s="398"/>
      <c r="P482" s="487" t="s">
        <v>7069</v>
      </c>
      <c r="Q482" s="487"/>
      <c r="R482" s="50" t="s">
        <v>7070</v>
      </c>
      <c r="S482" s="47" t="s">
        <v>7042</v>
      </c>
      <c r="T482" s="98" t="s">
        <v>7070</v>
      </c>
      <c r="U482" s="98" t="s">
        <v>7042</v>
      </c>
      <c r="V482" s="476" t="s">
        <v>7071</v>
      </c>
      <c r="AF482" s="47">
        <v>45082</v>
      </c>
      <c r="AG482" s="490">
        <v>305712</v>
      </c>
      <c r="AH482" s="490">
        <v>39558.5</v>
      </c>
      <c r="AJ482"/>
    </row>
    <row r="483" spans="1:36" ht="19.5" customHeight="1">
      <c r="A483" s="25">
        <v>482</v>
      </c>
      <c r="B483" s="401">
        <v>5948705</v>
      </c>
      <c r="C483" s="98" t="s">
        <v>7072</v>
      </c>
      <c r="D483" s="395"/>
      <c r="E483" s="395">
        <v>43186.53</v>
      </c>
      <c r="F483" s="290">
        <v>1405000</v>
      </c>
      <c r="G483" s="98">
        <v>45063</v>
      </c>
      <c r="H483" s="395"/>
      <c r="I483" s="395">
        <v>43186.53</v>
      </c>
      <c r="J483" s="62" t="s">
        <v>7058</v>
      </c>
      <c r="K483" s="467" t="s">
        <v>5359</v>
      </c>
      <c r="L483" s="472"/>
      <c r="M483" s="36" t="s">
        <v>7073</v>
      </c>
      <c r="N483" s="398"/>
      <c r="P483" s="487" t="s">
        <v>7074</v>
      </c>
      <c r="Q483" s="487"/>
      <c r="R483" s="50" t="s">
        <v>7070</v>
      </c>
      <c r="S483" s="47" t="s">
        <v>7075</v>
      </c>
      <c r="T483" s="98" t="s">
        <v>7076</v>
      </c>
      <c r="U483" s="98" t="s">
        <v>7077</v>
      </c>
      <c r="V483" s="476" t="s">
        <v>7071</v>
      </c>
      <c r="AF483" s="47">
        <v>45111</v>
      </c>
      <c r="AG483" s="490">
        <v>159452</v>
      </c>
      <c r="AH483" s="490">
        <v>43191</v>
      </c>
      <c r="AJ483"/>
    </row>
    <row r="484" spans="1:36" ht="19.5" customHeight="1">
      <c r="A484" s="25">
        <v>483</v>
      </c>
      <c r="B484" s="401">
        <v>5951027</v>
      </c>
      <c r="C484" s="98" t="s">
        <v>7078</v>
      </c>
      <c r="D484" s="395"/>
      <c r="E484" s="395">
        <v>34639.78</v>
      </c>
      <c r="F484" s="290">
        <v>1405012</v>
      </c>
      <c r="G484" s="98">
        <v>45064</v>
      </c>
      <c r="H484" s="395"/>
      <c r="I484" s="395">
        <v>34639.78</v>
      </c>
      <c r="J484" s="62" t="s">
        <v>7058</v>
      </c>
      <c r="K484" s="467" t="s">
        <v>5359</v>
      </c>
      <c r="M484" s="36" t="s">
        <v>7079</v>
      </c>
      <c r="N484" s="398"/>
      <c r="P484" s="487" t="s">
        <v>7080</v>
      </c>
      <c r="Q484" s="487"/>
      <c r="R484" s="50" t="s">
        <v>7014</v>
      </c>
      <c r="S484" s="47" t="s">
        <v>7081</v>
      </c>
      <c r="T484" s="98" t="s">
        <v>7082</v>
      </c>
      <c r="U484" s="98" t="s">
        <v>7081</v>
      </c>
      <c r="V484" s="476" t="s">
        <v>7013</v>
      </c>
      <c r="AF484" s="47">
        <v>45111</v>
      </c>
      <c r="AG484" s="490">
        <v>210000</v>
      </c>
      <c r="AH484" s="490">
        <v>46124.32</v>
      </c>
      <c r="AJ484"/>
    </row>
    <row r="485" spans="1:36" ht="19.5" customHeight="1">
      <c r="A485" s="25">
        <v>484</v>
      </c>
      <c r="B485" s="401">
        <v>5951940</v>
      </c>
      <c r="C485" s="98" t="s">
        <v>7078</v>
      </c>
      <c r="D485" s="395"/>
      <c r="E485" s="395">
        <v>4801.04</v>
      </c>
      <c r="F485" s="290">
        <v>1404774</v>
      </c>
      <c r="G485" s="98">
        <v>45063</v>
      </c>
      <c r="H485" s="395"/>
      <c r="I485" s="395">
        <v>4801.04</v>
      </c>
      <c r="J485" s="62" t="s">
        <v>7058</v>
      </c>
      <c r="K485" s="467" t="s">
        <v>5359</v>
      </c>
      <c r="M485" s="36" t="s">
        <v>7083</v>
      </c>
      <c r="N485" s="398"/>
      <c r="O485" t="s">
        <v>7084</v>
      </c>
      <c r="P485" s="487" t="s">
        <v>7085</v>
      </c>
      <c r="Q485" s="487"/>
      <c r="R485" s="50"/>
      <c r="S485" s="47"/>
      <c r="T485" s="98"/>
      <c r="U485" s="98"/>
      <c r="V485" s="476" t="s">
        <v>6969</v>
      </c>
      <c r="AF485" s="47">
        <v>45111</v>
      </c>
      <c r="AG485" s="490"/>
      <c r="AH485" s="490"/>
      <c r="AJ485"/>
    </row>
    <row r="486" spans="1:36" ht="19.5" customHeight="1">
      <c r="A486" s="25">
        <v>485</v>
      </c>
      <c r="B486" s="401">
        <v>5953096</v>
      </c>
      <c r="C486" s="98" t="s">
        <v>7086</v>
      </c>
      <c r="D486" s="395"/>
      <c r="E486" s="395">
        <v>18000</v>
      </c>
      <c r="F486" s="290">
        <v>1406948</v>
      </c>
      <c r="G486" s="98">
        <v>45076</v>
      </c>
      <c r="H486" s="395"/>
      <c r="I486" s="395">
        <v>18000</v>
      </c>
      <c r="J486" s="62" t="s">
        <v>7058</v>
      </c>
      <c r="K486" s="467" t="s">
        <v>4655</v>
      </c>
      <c r="M486" s="36" t="s">
        <v>7087</v>
      </c>
      <c r="N486" s="398"/>
      <c r="P486" s="487" t="s">
        <v>7060</v>
      </c>
      <c r="Q486" s="487"/>
      <c r="R486" s="50" t="s">
        <v>4292</v>
      </c>
      <c r="S486" s="47" t="s">
        <v>4292</v>
      </c>
      <c r="T486" s="98"/>
      <c r="U486" s="98"/>
      <c r="V486" s="62"/>
      <c r="AF486" s="47">
        <v>45198</v>
      </c>
      <c r="AG486" s="490"/>
      <c r="AH486" s="490"/>
      <c r="AJ486"/>
    </row>
    <row r="487" spans="1:36" ht="19.5" customHeight="1">
      <c r="A487" s="25">
        <v>486</v>
      </c>
      <c r="B487" s="401">
        <v>5955642</v>
      </c>
      <c r="C487" s="98" t="s">
        <v>7088</v>
      </c>
      <c r="D487" s="395"/>
      <c r="E487" s="395">
        <v>34685.769999999997</v>
      </c>
      <c r="F487" s="290">
        <v>1407596</v>
      </c>
      <c r="G487" s="98">
        <v>45076</v>
      </c>
      <c r="H487" s="395"/>
      <c r="I487" s="395">
        <v>34685.769999999997</v>
      </c>
      <c r="J487" s="62" t="s">
        <v>7058</v>
      </c>
      <c r="K487" s="467" t="s">
        <v>5359</v>
      </c>
      <c r="L487" s="472"/>
      <c r="M487" s="36" t="s">
        <v>7089</v>
      </c>
      <c r="N487" s="398"/>
      <c r="O487" t="s">
        <v>7090</v>
      </c>
      <c r="P487" s="487" t="s">
        <v>7091</v>
      </c>
      <c r="Q487" s="487"/>
      <c r="R487" s="50" t="s">
        <v>7036</v>
      </c>
      <c r="S487" s="47" t="s">
        <v>7092</v>
      </c>
      <c r="T487" s="98" t="s">
        <v>7082</v>
      </c>
      <c r="U487" s="98" t="s">
        <v>7092</v>
      </c>
      <c r="V487" s="476" t="s">
        <v>7013</v>
      </c>
      <c r="AF487" s="47">
        <v>45140</v>
      </c>
      <c r="AG487" s="490">
        <v>198468</v>
      </c>
      <c r="AH487" s="490">
        <v>35864.61</v>
      </c>
      <c r="AJ487"/>
    </row>
    <row r="488" spans="1:36" ht="19.5" customHeight="1">
      <c r="A488" s="25">
        <v>487</v>
      </c>
      <c r="B488" s="401">
        <v>5955936</v>
      </c>
      <c r="C488" s="98" t="s">
        <v>7063</v>
      </c>
      <c r="D488" s="395"/>
      <c r="E488" s="395">
        <v>21785.14</v>
      </c>
      <c r="F488" s="290">
        <v>1408223</v>
      </c>
      <c r="G488" s="98">
        <v>45079</v>
      </c>
      <c r="H488" s="395"/>
      <c r="I488" s="395">
        <v>21785.14</v>
      </c>
      <c r="J488" s="62" t="s">
        <v>7058</v>
      </c>
      <c r="K488" s="467" t="s">
        <v>5359</v>
      </c>
      <c r="L488" s="472"/>
      <c r="M488" s="36" t="s">
        <v>7093</v>
      </c>
      <c r="N488" s="398"/>
      <c r="O488" t="s">
        <v>7094</v>
      </c>
      <c r="P488" s="487" t="s">
        <v>7095</v>
      </c>
      <c r="Q488" s="487"/>
      <c r="R488" s="50" t="s">
        <v>7096</v>
      </c>
      <c r="S488" s="47" t="s">
        <v>7097</v>
      </c>
      <c r="T488" s="98" t="s">
        <v>7098</v>
      </c>
      <c r="U488" s="98" t="s">
        <v>7099</v>
      </c>
      <c r="V488" s="62" t="s">
        <v>7013</v>
      </c>
      <c r="AF488" s="47">
        <v>45111</v>
      </c>
      <c r="AG488" s="490">
        <v>158218</v>
      </c>
      <c r="AH488" s="490">
        <v>27642.36</v>
      </c>
      <c r="AJ488"/>
    </row>
    <row r="489" spans="1:36" ht="19.5" customHeight="1">
      <c r="A489" s="25">
        <v>488</v>
      </c>
      <c r="B489" s="401">
        <v>5955969</v>
      </c>
      <c r="C489" s="98" t="s">
        <v>7063</v>
      </c>
      <c r="D489" s="395"/>
      <c r="E489" s="395">
        <v>4520.2</v>
      </c>
      <c r="F489" s="492">
        <v>1408108</v>
      </c>
      <c r="G489" s="98">
        <v>45078</v>
      </c>
      <c r="H489" s="395"/>
      <c r="I489" s="395">
        <v>4520.2</v>
      </c>
      <c r="J489" s="62" t="s">
        <v>7058</v>
      </c>
      <c r="K489" s="467" t="s">
        <v>5359</v>
      </c>
      <c r="L489" s="472"/>
      <c r="M489" s="36" t="s">
        <v>7100</v>
      </c>
      <c r="N489" s="398"/>
      <c r="O489" t="s">
        <v>7101</v>
      </c>
      <c r="P489" s="487" t="s">
        <v>7102</v>
      </c>
      <c r="Q489" s="487"/>
      <c r="R489" s="50" t="s">
        <v>7103</v>
      </c>
      <c r="S489" s="47" t="s">
        <v>7104</v>
      </c>
      <c r="T489" s="98" t="s">
        <v>7105</v>
      </c>
      <c r="U489" s="98" t="s">
        <v>7106</v>
      </c>
      <c r="V489" s="62" t="s">
        <v>7107</v>
      </c>
      <c r="AF489" s="47">
        <v>45111</v>
      </c>
      <c r="AG489" s="490">
        <v>19133</v>
      </c>
      <c r="AH489" s="490">
        <v>4199.67</v>
      </c>
      <c r="AJ489"/>
    </row>
    <row r="490" spans="1:36" ht="19.5" customHeight="1">
      <c r="A490" s="25">
        <v>489</v>
      </c>
      <c r="B490" s="401">
        <v>5957804</v>
      </c>
      <c r="C490" s="98" t="s">
        <v>7108</v>
      </c>
      <c r="D490" s="395"/>
      <c r="E490" s="395">
        <v>5855</v>
      </c>
      <c r="F490" s="290">
        <v>1418615</v>
      </c>
      <c r="G490" s="98">
        <v>45084</v>
      </c>
      <c r="H490" s="395"/>
      <c r="I490" s="395">
        <v>5855</v>
      </c>
      <c r="J490" s="62" t="s">
        <v>7058</v>
      </c>
      <c r="K490" s="467" t="s">
        <v>5267</v>
      </c>
      <c r="M490" s="36" t="s">
        <v>7109</v>
      </c>
      <c r="N490" s="398"/>
      <c r="O490" t="s">
        <v>7094</v>
      </c>
      <c r="P490" s="487" t="s">
        <v>7095</v>
      </c>
      <c r="Q490" s="487"/>
      <c r="R490" s="50" t="s">
        <v>7096</v>
      </c>
      <c r="S490" s="47" t="s">
        <v>7097</v>
      </c>
      <c r="T490" s="98" t="s">
        <v>7096</v>
      </c>
      <c r="U490" s="98" t="s">
        <v>7097</v>
      </c>
      <c r="V490" s="62" t="s">
        <v>7013</v>
      </c>
      <c r="AF490" s="47">
        <v>45180</v>
      </c>
      <c r="AG490" s="490">
        <v>158218</v>
      </c>
      <c r="AH490" s="490">
        <v>27642.36</v>
      </c>
      <c r="AJ490"/>
    </row>
    <row r="491" spans="1:36" ht="19.5" customHeight="1">
      <c r="A491" s="25">
        <v>490</v>
      </c>
      <c r="B491" s="401">
        <v>5958238</v>
      </c>
      <c r="C491" s="98" t="s">
        <v>6964</v>
      </c>
      <c r="D491" s="395"/>
      <c r="E491" s="395">
        <v>15271.62</v>
      </c>
      <c r="F491" s="290">
        <v>1409176</v>
      </c>
      <c r="G491" s="98">
        <v>45090</v>
      </c>
      <c r="H491" s="395"/>
      <c r="I491" s="395">
        <v>15271.62</v>
      </c>
      <c r="J491" s="62" t="s">
        <v>7058</v>
      </c>
      <c r="K491" s="467" t="s">
        <v>6937</v>
      </c>
      <c r="M491" s="36" t="s">
        <v>7110</v>
      </c>
      <c r="N491" s="398"/>
      <c r="P491" s="487" t="s">
        <v>7111</v>
      </c>
      <c r="Q491" s="487"/>
      <c r="R491" s="50" t="s">
        <v>4292</v>
      </c>
      <c r="S491" s="47" t="s">
        <v>4292</v>
      </c>
      <c r="T491" s="98"/>
      <c r="U491" s="98"/>
      <c r="V491" s="62" t="s">
        <v>7112</v>
      </c>
      <c r="AF491" s="47">
        <v>45198</v>
      </c>
      <c r="AG491" s="490"/>
      <c r="AH491" s="490"/>
      <c r="AJ491"/>
    </row>
    <row r="492" spans="1:36" ht="19.5" customHeight="1">
      <c r="A492" s="25">
        <v>491</v>
      </c>
      <c r="B492" s="401">
        <v>5961872</v>
      </c>
      <c r="C492" s="98" t="s">
        <v>7113</v>
      </c>
      <c r="D492" s="395"/>
      <c r="E492" s="395">
        <v>4924.04</v>
      </c>
      <c r="F492" s="290">
        <v>1410576</v>
      </c>
      <c r="G492" s="98">
        <v>45093</v>
      </c>
      <c r="H492" s="395"/>
      <c r="I492" s="395">
        <v>4924.04</v>
      </c>
      <c r="J492" s="62" t="s">
        <v>7058</v>
      </c>
      <c r="K492" s="467" t="s">
        <v>5359</v>
      </c>
      <c r="M492" s="36" t="s">
        <v>7114</v>
      </c>
      <c r="N492" s="398"/>
      <c r="O492" t="s">
        <v>7115</v>
      </c>
      <c r="P492" s="487" t="s">
        <v>7116</v>
      </c>
      <c r="Q492" s="487"/>
      <c r="R492" s="50" t="s">
        <v>7117</v>
      </c>
      <c r="S492" s="47" t="s">
        <v>7118</v>
      </c>
      <c r="T492" s="98" t="s">
        <v>7117</v>
      </c>
      <c r="U492" s="98" t="s">
        <v>7119</v>
      </c>
      <c r="V492" s="62" t="s">
        <v>7064</v>
      </c>
      <c r="AF492" s="47">
        <v>45169</v>
      </c>
      <c r="AG492" s="490">
        <v>37460</v>
      </c>
      <c r="AH492" s="490">
        <v>26297</v>
      </c>
      <c r="AJ492"/>
    </row>
    <row r="493" spans="1:36" ht="19.5" customHeight="1">
      <c r="A493" s="25">
        <v>492</v>
      </c>
      <c r="B493" s="401">
        <v>5962893</v>
      </c>
      <c r="C493" s="98" t="s">
        <v>7032</v>
      </c>
      <c r="D493" s="395"/>
      <c r="E493" s="395">
        <v>15298.87</v>
      </c>
      <c r="F493" s="290">
        <v>1411302</v>
      </c>
      <c r="G493" s="98">
        <v>45100</v>
      </c>
      <c r="H493" s="395"/>
      <c r="I493" s="395">
        <v>15298.87</v>
      </c>
      <c r="J493" s="62" t="s">
        <v>7058</v>
      </c>
      <c r="K493" s="467" t="s">
        <v>5359</v>
      </c>
      <c r="L493" s="472"/>
      <c r="M493" s="36" t="s">
        <v>7120</v>
      </c>
      <c r="N493" s="398"/>
      <c r="O493" t="s">
        <v>7121</v>
      </c>
      <c r="P493" s="487" t="s">
        <v>7122</v>
      </c>
      <c r="Q493" s="487"/>
      <c r="R493" s="50" t="s">
        <v>7096</v>
      </c>
      <c r="S493" s="47" t="s">
        <v>7123</v>
      </c>
      <c r="T493" s="98" t="s">
        <v>7124</v>
      </c>
      <c r="U493" s="98" t="s">
        <v>7125</v>
      </c>
      <c r="V493" s="62" t="s">
        <v>7126</v>
      </c>
      <c r="AF493" s="47">
        <v>45169</v>
      </c>
      <c r="AG493" s="490">
        <v>133800</v>
      </c>
      <c r="AH493" s="490">
        <v>20305.91</v>
      </c>
      <c r="AJ493"/>
    </row>
    <row r="494" spans="1:36" ht="19.5" customHeight="1">
      <c r="A494" s="25">
        <v>493</v>
      </c>
      <c r="B494" s="401">
        <v>5966275</v>
      </c>
      <c r="C494" s="98" t="s">
        <v>7127</v>
      </c>
      <c r="D494" s="395"/>
      <c r="E494" s="395">
        <v>33166.75</v>
      </c>
      <c r="F494" s="290">
        <v>1413608</v>
      </c>
      <c r="G494" s="98">
        <v>45111</v>
      </c>
      <c r="H494" s="395"/>
      <c r="I494" s="395">
        <v>33166.75</v>
      </c>
      <c r="J494" s="62" t="s">
        <v>7058</v>
      </c>
      <c r="K494" s="467" t="s">
        <v>5359</v>
      </c>
      <c r="L494" s="472"/>
      <c r="M494" s="36" t="s">
        <v>7128</v>
      </c>
      <c r="N494" s="398"/>
      <c r="O494" t="s">
        <v>7129</v>
      </c>
      <c r="P494" s="487" t="s">
        <v>7130</v>
      </c>
      <c r="Q494" s="487"/>
      <c r="R494" s="50" t="s">
        <v>7032</v>
      </c>
      <c r="S494" s="47" t="s">
        <v>7131</v>
      </c>
      <c r="T494" s="98" t="s">
        <v>7132</v>
      </c>
      <c r="U494" s="98" t="s">
        <v>7133</v>
      </c>
      <c r="V494" s="476" t="s">
        <v>6969</v>
      </c>
      <c r="AF494" s="47">
        <v>45175</v>
      </c>
      <c r="AG494" s="490">
        <v>291860</v>
      </c>
      <c r="AH494" s="490">
        <v>233499.74</v>
      </c>
      <c r="AJ494"/>
    </row>
    <row r="495" spans="1:36" ht="19.5" customHeight="1">
      <c r="A495" s="25">
        <v>494</v>
      </c>
      <c r="B495" s="401">
        <v>5971986</v>
      </c>
      <c r="C495" s="98" t="s">
        <v>7134</v>
      </c>
      <c r="D495" s="395"/>
      <c r="E495" s="395">
        <v>5642.68</v>
      </c>
      <c r="F495" s="290">
        <v>1416590</v>
      </c>
      <c r="G495" s="98">
        <v>45127</v>
      </c>
      <c r="H495" s="395"/>
      <c r="I495" s="395">
        <v>5642.68</v>
      </c>
      <c r="J495" s="62" t="s">
        <v>7058</v>
      </c>
      <c r="K495" s="467" t="s">
        <v>5359</v>
      </c>
      <c r="M495" s="36" t="s">
        <v>7135</v>
      </c>
      <c r="N495" s="398"/>
      <c r="O495" t="s">
        <v>7136</v>
      </c>
      <c r="P495" s="487" t="s">
        <v>7137</v>
      </c>
      <c r="Q495" s="487"/>
      <c r="R495" s="50" t="s">
        <v>7127</v>
      </c>
      <c r="S495" s="47" t="s">
        <v>7138</v>
      </c>
      <c r="T495" s="98" t="s">
        <v>7127</v>
      </c>
      <c r="U495" s="98" t="s">
        <v>7138</v>
      </c>
      <c r="V495" s="62" t="s">
        <v>7139</v>
      </c>
      <c r="AF495" s="47">
        <v>45175</v>
      </c>
      <c r="AG495" s="490">
        <v>12683</v>
      </c>
      <c r="AH495" s="490">
        <v>5656.08</v>
      </c>
      <c r="AJ495"/>
    </row>
    <row r="496" spans="1:36" ht="19.5" customHeight="1">
      <c r="A496" s="25">
        <v>495</v>
      </c>
      <c r="B496" s="401">
        <v>5972443</v>
      </c>
      <c r="C496" s="98" t="s">
        <v>7140</v>
      </c>
      <c r="D496" s="395"/>
      <c r="E496" s="395">
        <v>120059.59</v>
      </c>
      <c r="F496" s="290">
        <v>1416879</v>
      </c>
      <c r="G496" s="98">
        <v>45128</v>
      </c>
      <c r="H496" s="395"/>
      <c r="I496" s="395">
        <v>120059.59</v>
      </c>
      <c r="J496" s="62" t="s">
        <v>7058</v>
      </c>
      <c r="K496" s="467" t="s">
        <v>5359</v>
      </c>
      <c r="L496" s="493" t="s">
        <v>7141</v>
      </c>
      <c r="M496" s="36" t="s">
        <v>7142</v>
      </c>
      <c r="N496" s="398"/>
      <c r="O496" t="s">
        <v>7129</v>
      </c>
      <c r="P496" s="487" t="s">
        <v>7130</v>
      </c>
      <c r="Q496" s="487"/>
      <c r="R496" s="50" t="s">
        <v>4292</v>
      </c>
      <c r="S496" s="47" t="s">
        <v>4292</v>
      </c>
      <c r="T496" s="98" t="s">
        <v>7143</v>
      </c>
      <c r="U496" s="98" t="s">
        <v>7144</v>
      </c>
      <c r="V496" s="62" t="s">
        <v>6969</v>
      </c>
      <c r="AF496" s="47">
        <v>45175</v>
      </c>
      <c r="AG496" s="490" t="s">
        <v>4292</v>
      </c>
      <c r="AH496" s="490" t="s">
        <v>4292</v>
      </c>
      <c r="AJ496"/>
    </row>
    <row r="497" spans="1:36" ht="19.5" customHeight="1">
      <c r="A497" s="25">
        <v>496</v>
      </c>
      <c r="B497" s="401">
        <v>5979666</v>
      </c>
      <c r="C497" s="98" t="s">
        <v>7145</v>
      </c>
      <c r="D497" s="395"/>
      <c r="E497" s="395">
        <v>6680.21</v>
      </c>
      <c r="F497" s="290">
        <v>1420219</v>
      </c>
      <c r="G497" s="98">
        <v>45142</v>
      </c>
      <c r="H497" s="395"/>
      <c r="I497" s="395">
        <v>6680.21</v>
      </c>
      <c r="J497" s="62" t="s">
        <v>7058</v>
      </c>
      <c r="K497" s="467" t="s">
        <v>5359</v>
      </c>
      <c r="M497" s="36" t="s">
        <v>7146</v>
      </c>
      <c r="N497" s="398"/>
      <c r="O497" t="s">
        <v>7147</v>
      </c>
      <c r="P497" s="487" t="s">
        <v>7148</v>
      </c>
      <c r="Q497" s="487"/>
      <c r="R497" s="50" t="s">
        <v>7149</v>
      </c>
      <c r="S497" s="47" t="s">
        <v>7150</v>
      </c>
      <c r="T497" s="98" t="s">
        <v>7149</v>
      </c>
      <c r="U497" s="98" t="s">
        <v>7150</v>
      </c>
      <c r="V497" s="62" t="s">
        <v>7071</v>
      </c>
      <c r="AF497" s="47">
        <v>45175</v>
      </c>
      <c r="AG497" s="490">
        <v>101114</v>
      </c>
      <c r="AH497" s="490">
        <v>6717.09</v>
      </c>
      <c r="AJ497"/>
    </row>
    <row r="498" spans="1:36" ht="19.5" customHeight="1">
      <c r="A498" s="25">
        <v>497</v>
      </c>
      <c r="B498" s="401">
        <v>5981134</v>
      </c>
      <c r="C498" s="98" t="s">
        <v>7151</v>
      </c>
      <c r="D498" s="395"/>
      <c r="E498" s="395">
        <v>39143.800000000003</v>
      </c>
      <c r="F498" s="290">
        <v>1421929</v>
      </c>
      <c r="G498" s="98">
        <v>45153</v>
      </c>
      <c r="H498" s="395"/>
      <c r="I498" s="395">
        <v>39143.800000000003</v>
      </c>
      <c r="J498" s="62" t="s">
        <v>7058</v>
      </c>
      <c r="K498" s="467" t="s">
        <v>6850</v>
      </c>
      <c r="L498" s="472"/>
      <c r="M498" s="36" t="s">
        <v>7152</v>
      </c>
      <c r="N498" s="398"/>
      <c r="O498" t="s">
        <v>7153</v>
      </c>
      <c r="P498" s="487" t="s">
        <v>7154</v>
      </c>
      <c r="Q498" s="487"/>
      <c r="R498" s="50" t="s">
        <v>7155</v>
      </c>
      <c r="S498" s="47" t="s">
        <v>7156</v>
      </c>
      <c r="T498" s="98" t="s">
        <v>7155</v>
      </c>
      <c r="U498" s="98" t="s">
        <v>7156</v>
      </c>
      <c r="V498" s="62" t="s">
        <v>7157</v>
      </c>
      <c r="AF498" s="47">
        <v>45167</v>
      </c>
      <c r="AG498" s="490">
        <v>154161.29999999999</v>
      </c>
      <c r="AH498" s="490">
        <v>55059.9</v>
      </c>
      <c r="AJ498"/>
    </row>
    <row r="499" spans="1:36" ht="19.5" customHeight="1">
      <c r="A499" s="25">
        <v>498</v>
      </c>
      <c r="C499" s="98" t="s">
        <v>7158</v>
      </c>
      <c r="D499" s="395"/>
      <c r="E499" s="395">
        <v>5579.44</v>
      </c>
      <c r="F499" s="290">
        <v>1421568</v>
      </c>
      <c r="G499" s="98">
        <v>45153</v>
      </c>
      <c r="H499" s="395"/>
      <c r="I499" s="395">
        <v>5579.44</v>
      </c>
      <c r="J499" s="62" t="s">
        <v>7058</v>
      </c>
      <c r="K499" s="467" t="s">
        <v>5359</v>
      </c>
      <c r="L499" s="486" t="s">
        <v>7159</v>
      </c>
      <c r="M499" s="36" t="s">
        <v>7160</v>
      </c>
      <c r="N499" s="398"/>
      <c r="O499" t="s">
        <v>7161</v>
      </c>
      <c r="P499" s="487" t="s">
        <v>7162</v>
      </c>
      <c r="Q499" s="487"/>
      <c r="R499" s="50" t="s">
        <v>6993</v>
      </c>
      <c r="S499" s="47" t="s">
        <v>6952</v>
      </c>
      <c r="T499" s="98" t="s">
        <v>7163</v>
      </c>
      <c r="U499" s="98" t="s">
        <v>7164</v>
      </c>
      <c r="V499" s="62" t="s">
        <v>7157</v>
      </c>
      <c r="AF499" s="47">
        <v>45204</v>
      </c>
      <c r="AG499" s="490">
        <v>233952</v>
      </c>
      <c r="AH499" s="490">
        <v>97735.22</v>
      </c>
      <c r="AJ499"/>
    </row>
    <row r="500" spans="1:36" ht="19.5" customHeight="1">
      <c r="A500" s="25">
        <v>499</v>
      </c>
      <c r="C500" s="98" t="s">
        <v>7165</v>
      </c>
      <c r="D500" s="395"/>
      <c r="E500" s="395">
        <v>2820</v>
      </c>
      <c r="F500" s="290">
        <v>1420882</v>
      </c>
      <c r="G500" s="98">
        <v>45146</v>
      </c>
      <c r="H500" s="395"/>
      <c r="I500" s="395">
        <v>2820</v>
      </c>
      <c r="J500" s="62" t="s">
        <v>7058</v>
      </c>
      <c r="K500" s="467" t="s">
        <v>4655</v>
      </c>
      <c r="L500" s="486" t="s">
        <v>7159</v>
      </c>
      <c r="M500" s="36" t="s">
        <v>7166</v>
      </c>
      <c r="N500" s="398"/>
      <c r="O500" t="s">
        <v>7161</v>
      </c>
      <c r="P500" s="487" t="s">
        <v>7162</v>
      </c>
      <c r="Q500" s="487"/>
      <c r="R500" s="50" t="s">
        <v>4292</v>
      </c>
      <c r="S500" s="47" t="s">
        <v>4292</v>
      </c>
      <c r="T500" s="98"/>
      <c r="U500" s="98"/>
      <c r="V500" s="62" t="s">
        <v>7167</v>
      </c>
      <c r="AF500" s="47">
        <v>45261</v>
      </c>
      <c r="AG500" s="490"/>
      <c r="AH500" s="490"/>
      <c r="AJ500"/>
    </row>
    <row r="501" spans="1:36" ht="19.5" customHeight="1">
      <c r="A501" s="25">
        <v>500</v>
      </c>
      <c r="C501" s="98" t="s">
        <v>7168</v>
      </c>
      <c r="D501" s="395"/>
      <c r="E501" s="395">
        <v>2300</v>
      </c>
      <c r="F501" s="290">
        <v>1424116</v>
      </c>
      <c r="G501" s="98">
        <v>45162</v>
      </c>
      <c r="H501" s="395"/>
      <c r="I501" s="395">
        <v>2300</v>
      </c>
      <c r="J501" s="62" t="s">
        <v>7058</v>
      </c>
      <c r="K501" s="467" t="s">
        <v>7169</v>
      </c>
      <c r="L501" s="472" t="s">
        <v>7170</v>
      </c>
      <c r="M501" s="36" t="s">
        <v>7066</v>
      </c>
      <c r="N501" s="398"/>
      <c r="P501" s="488" t="s">
        <v>6884</v>
      </c>
      <c r="Q501" s="488"/>
      <c r="R501" s="50" t="s">
        <v>4292</v>
      </c>
      <c r="S501" s="47" t="s">
        <v>4292</v>
      </c>
      <c r="T501" s="44"/>
      <c r="U501" s="44"/>
      <c r="W501" s="41" t="s">
        <v>4660</v>
      </c>
      <c r="AF501" s="47">
        <v>45504</v>
      </c>
      <c r="AG501" s="398"/>
      <c r="AH501" s="398"/>
      <c r="AJ501"/>
    </row>
    <row r="502" spans="1:36" ht="19.5" customHeight="1">
      <c r="A502" s="25">
        <v>501</v>
      </c>
      <c r="C502" s="98" t="s">
        <v>7171</v>
      </c>
      <c r="D502" s="395"/>
      <c r="E502" s="395">
        <v>3740</v>
      </c>
      <c r="F502" s="290">
        <v>1433095</v>
      </c>
      <c r="G502" s="98">
        <v>45210</v>
      </c>
      <c r="H502" s="395"/>
      <c r="I502" s="395">
        <v>3740</v>
      </c>
      <c r="J502" s="62" t="s">
        <v>7058</v>
      </c>
      <c r="K502" s="467" t="s">
        <v>139</v>
      </c>
      <c r="L502" s="495" t="s">
        <v>7159</v>
      </c>
      <c r="M502" s="36" t="s">
        <v>7172</v>
      </c>
      <c r="N502" s="398"/>
      <c r="O502" t="s">
        <v>7173</v>
      </c>
      <c r="P502" s="488" t="s">
        <v>7174</v>
      </c>
      <c r="Q502" s="488"/>
      <c r="R502" s="50" t="s">
        <v>141</v>
      </c>
      <c r="S502" s="47" t="s">
        <v>141</v>
      </c>
      <c r="T502" s="98"/>
      <c r="U502" s="98"/>
      <c r="V502" s="62" t="s">
        <v>7175</v>
      </c>
      <c r="AF502" s="47">
        <v>45323</v>
      </c>
      <c r="AG502" s="490"/>
      <c r="AH502" s="490"/>
      <c r="AJ502"/>
    </row>
    <row r="503" spans="1:36" ht="19.5" customHeight="1">
      <c r="A503" s="25">
        <v>502</v>
      </c>
      <c r="B503" s="401">
        <v>6006064</v>
      </c>
      <c r="C503" s="98" t="s">
        <v>7176</v>
      </c>
      <c r="D503" s="395"/>
      <c r="E503" s="395">
        <v>30258.53</v>
      </c>
      <c r="F503" s="290">
        <v>1435137</v>
      </c>
      <c r="G503" s="98">
        <v>45223</v>
      </c>
      <c r="H503" s="395"/>
      <c r="I503" s="395">
        <v>30258.53</v>
      </c>
      <c r="J503" s="62" t="s">
        <v>7058</v>
      </c>
      <c r="K503" s="467" t="s">
        <v>34</v>
      </c>
      <c r="L503" s="493" t="s">
        <v>7159</v>
      </c>
      <c r="M503" s="36" t="s">
        <v>7177</v>
      </c>
      <c r="N503" s="398"/>
      <c r="O503" t="s">
        <v>7173</v>
      </c>
      <c r="P503" s="487" t="s">
        <v>7174</v>
      </c>
      <c r="Q503" s="487"/>
      <c r="R503" s="50" t="s">
        <v>7178</v>
      </c>
      <c r="S503" s="47" t="s">
        <v>7179</v>
      </c>
      <c r="T503" s="98" t="s">
        <v>7180</v>
      </c>
      <c r="U503" s="98" t="s">
        <v>7181</v>
      </c>
      <c r="V503" s="62" t="s">
        <v>7175</v>
      </c>
      <c r="AF503" s="47">
        <v>45261</v>
      </c>
      <c r="AG503" s="490">
        <v>331575</v>
      </c>
      <c r="AH503" s="490">
        <v>258797.96</v>
      </c>
      <c r="AJ503"/>
    </row>
    <row r="504" spans="1:36" ht="19.5" customHeight="1">
      <c r="A504" s="25">
        <v>503</v>
      </c>
      <c r="B504" s="401">
        <v>6010006</v>
      </c>
      <c r="C504" s="98" t="s">
        <v>7182</v>
      </c>
      <c r="D504" s="395"/>
      <c r="E504" s="395">
        <v>3093.13</v>
      </c>
      <c r="F504" s="290">
        <v>1436247</v>
      </c>
      <c r="G504" s="98">
        <v>45226</v>
      </c>
      <c r="H504" s="395"/>
      <c r="I504" s="395">
        <v>3093.13</v>
      </c>
      <c r="J504" s="62" t="s">
        <v>7058</v>
      </c>
      <c r="K504" s="467" t="s">
        <v>34</v>
      </c>
      <c r="L504" s="25" t="s">
        <v>7159</v>
      </c>
      <c r="M504" s="36" t="s">
        <v>7183</v>
      </c>
      <c r="N504" s="398"/>
      <c r="O504" t="s">
        <v>7184</v>
      </c>
      <c r="P504" s="488" t="s">
        <v>7185</v>
      </c>
      <c r="Q504" s="488"/>
      <c r="R504" s="50"/>
      <c r="S504" s="47"/>
      <c r="T504" s="98"/>
      <c r="U504" s="98"/>
      <c r="V504" s="62" t="s">
        <v>7175</v>
      </c>
      <c r="AF504" s="47">
        <v>45261</v>
      </c>
      <c r="AG504" s="490"/>
      <c r="AH504" s="490"/>
      <c r="AJ504"/>
    </row>
    <row r="505" spans="1:36" ht="19.5" customHeight="1">
      <c r="A505" s="25">
        <v>504</v>
      </c>
      <c r="C505" s="98" t="s">
        <v>7186</v>
      </c>
      <c r="D505" s="395"/>
      <c r="E505" s="395">
        <v>370</v>
      </c>
      <c r="F505" s="290">
        <v>1436255</v>
      </c>
      <c r="G505" s="98">
        <v>45229</v>
      </c>
      <c r="H505" s="395"/>
      <c r="I505" s="395">
        <v>370</v>
      </c>
      <c r="J505" s="62" t="s">
        <v>7058</v>
      </c>
      <c r="K505" s="467" t="s">
        <v>139</v>
      </c>
      <c r="L505" s="25" t="s">
        <v>7159</v>
      </c>
      <c r="M505" s="36" t="s">
        <v>7187</v>
      </c>
      <c r="N505" s="398"/>
      <c r="O505" t="s">
        <v>7184</v>
      </c>
      <c r="P505" s="487" t="s">
        <v>7185</v>
      </c>
      <c r="Q505" s="487"/>
      <c r="R505" s="50" t="s">
        <v>141</v>
      </c>
      <c r="S505" s="47" t="s">
        <v>141</v>
      </c>
      <c r="T505" s="98"/>
      <c r="U505" s="98"/>
      <c r="V505" s="62" t="s">
        <v>7175</v>
      </c>
      <c r="AF505" s="39">
        <v>45391</v>
      </c>
      <c r="AG505" s="490"/>
      <c r="AH505" s="490"/>
      <c r="AJ505"/>
    </row>
    <row r="506" spans="1:36" ht="19.5" customHeight="1">
      <c r="A506" s="25">
        <v>505</v>
      </c>
      <c r="B506" s="401">
        <v>6011979</v>
      </c>
      <c r="C506" s="98" t="s">
        <v>7188</v>
      </c>
      <c r="D506" s="395"/>
      <c r="E506" s="395">
        <v>223525.26</v>
      </c>
      <c r="F506" s="290">
        <v>1436683</v>
      </c>
      <c r="G506" s="98">
        <v>45231</v>
      </c>
      <c r="H506" s="395"/>
      <c r="I506" s="395">
        <v>223525.26</v>
      </c>
      <c r="J506" s="62" t="s">
        <v>7058</v>
      </c>
      <c r="K506" s="467" t="s">
        <v>34</v>
      </c>
      <c r="L506" s="472" t="s">
        <v>7189</v>
      </c>
      <c r="M506" s="36" t="s">
        <v>7190</v>
      </c>
      <c r="N506" s="398"/>
      <c r="O506" t="s">
        <v>7184</v>
      </c>
      <c r="P506" s="487" t="s">
        <v>7174</v>
      </c>
      <c r="Q506" s="487"/>
      <c r="R506" s="50" t="s">
        <v>141</v>
      </c>
      <c r="S506" s="47" t="s">
        <v>141</v>
      </c>
      <c r="T506" s="98"/>
      <c r="U506" s="98"/>
      <c r="V506" s="62" t="s">
        <v>7175</v>
      </c>
      <c r="AF506" s="47">
        <v>45260</v>
      </c>
      <c r="AG506" s="490"/>
      <c r="AH506" s="490"/>
      <c r="AJ506"/>
    </row>
    <row r="507" spans="1:36" ht="19.5" customHeight="1">
      <c r="A507" s="25">
        <v>506</v>
      </c>
      <c r="B507" s="401">
        <v>6014156</v>
      </c>
      <c r="C507" s="98" t="s">
        <v>7191</v>
      </c>
      <c r="D507" s="395"/>
      <c r="E507" s="395">
        <v>5966.86</v>
      </c>
      <c r="F507" s="290">
        <v>1439489</v>
      </c>
      <c r="G507" s="98">
        <v>45245</v>
      </c>
      <c r="H507" s="395"/>
      <c r="I507" s="395">
        <v>5966.86</v>
      </c>
      <c r="J507" s="62" t="s">
        <v>7058</v>
      </c>
      <c r="K507" s="467" t="s">
        <v>34</v>
      </c>
      <c r="M507" s="36" t="s">
        <v>7192</v>
      </c>
      <c r="N507" s="398"/>
      <c r="O507" s="456" t="s">
        <v>7193</v>
      </c>
      <c r="P507" s="487" t="s">
        <v>7194</v>
      </c>
      <c r="Q507" s="487"/>
      <c r="R507" s="50"/>
      <c r="S507" s="47"/>
      <c r="T507" s="98">
        <v>45276</v>
      </c>
      <c r="U507" s="98">
        <v>45666</v>
      </c>
      <c r="V507" s="62" t="s">
        <v>7195</v>
      </c>
      <c r="AF507" s="47">
        <v>45279</v>
      </c>
      <c r="AG507" s="490">
        <v>45610</v>
      </c>
      <c r="AH507" s="490">
        <v>16604.79</v>
      </c>
      <c r="AJ507"/>
    </row>
    <row r="508" spans="1:36" ht="19.5" customHeight="1">
      <c r="A508" s="25">
        <v>507</v>
      </c>
      <c r="B508" s="401">
        <v>6014278</v>
      </c>
      <c r="C508" s="98" t="s">
        <v>7191</v>
      </c>
      <c r="D508" s="395"/>
      <c r="E508" s="395">
        <v>10578.07</v>
      </c>
      <c r="F508" s="290">
        <v>1438858</v>
      </c>
      <c r="G508" s="98">
        <v>45244</v>
      </c>
      <c r="H508" s="395"/>
      <c r="I508" s="395">
        <v>10578.07</v>
      </c>
      <c r="J508" s="62" t="s">
        <v>7058</v>
      </c>
      <c r="K508" s="467" t="s">
        <v>34</v>
      </c>
      <c r="M508" s="36" t="s">
        <v>7196</v>
      </c>
      <c r="N508" s="398"/>
      <c r="O508" s="456" t="s">
        <v>7193</v>
      </c>
      <c r="P508" s="487" t="s">
        <v>7194</v>
      </c>
      <c r="Q508" s="487"/>
      <c r="R508" s="50"/>
      <c r="S508" s="47"/>
      <c r="T508" s="98"/>
      <c r="U508" s="98"/>
      <c r="V508" s="62" t="s">
        <v>7195</v>
      </c>
      <c r="AF508" s="47">
        <v>45281</v>
      </c>
      <c r="AG508" s="490"/>
      <c r="AH508" s="490"/>
      <c r="AJ508"/>
    </row>
    <row r="509" spans="1:36" ht="19.5" customHeight="1">
      <c r="A509" s="25">
        <v>508</v>
      </c>
      <c r="C509" s="98" t="s">
        <v>7197</v>
      </c>
      <c r="D509" s="395"/>
      <c r="E509" s="395">
        <v>300</v>
      </c>
      <c r="F509" s="290">
        <v>1440194</v>
      </c>
      <c r="G509" s="98">
        <v>45250</v>
      </c>
      <c r="H509" s="395"/>
      <c r="I509" s="395">
        <v>300</v>
      </c>
      <c r="J509" s="62" t="s">
        <v>7058</v>
      </c>
      <c r="K509" s="450" t="s">
        <v>193</v>
      </c>
      <c r="M509" s="36" t="s">
        <v>7198</v>
      </c>
      <c r="N509" s="398"/>
      <c r="O509" t="s">
        <v>7199</v>
      </c>
      <c r="P509" s="487" t="s">
        <v>7200</v>
      </c>
      <c r="Q509" s="487"/>
      <c r="R509" s="50">
        <v>45292</v>
      </c>
      <c r="S509" s="47">
        <v>45657</v>
      </c>
      <c r="T509" s="98">
        <v>45292</v>
      </c>
      <c r="U509" s="98">
        <v>45657</v>
      </c>
      <c r="V509" s="62" t="s">
        <v>7201</v>
      </c>
      <c r="AF509" s="47">
        <v>45303</v>
      </c>
      <c r="AG509" s="490">
        <v>25000</v>
      </c>
      <c r="AH509" s="490">
        <v>1725</v>
      </c>
      <c r="AJ509"/>
    </row>
    <row r="510" spans="1:36" ht="19.5" customHeight="1">
      <c r="A510" s="25">
        <v>509</v>
      </c>
      <c r="B510" s="401">
        <v>6019833</v>
      </c>
      <c r="C510" s="98" t="s">
        <v>7202</v>
      </c>
      <c r="D510" s="395"/>
      <c r="E510" s="395">
        <v>39218</v>
      </c>
      <c r="F510" s="290">
        <v>1441289</v>
      </c>
      <c r="G510" s="98">
        <v>45253</v>
      </c>
      <c r="H510" s="395"/>
      <c r="I510" s="395">
        <v>39218</v>
      </c>
      <c r="J510" s="62" t="s">
        <v>7058</v>
      </c>
      <c r="K510" s="467" t="s">
        <v>6850</v>
      </c>
      <c r="L510" s="472" t="s">
        <v>7203</v>
      </c>
      <c r="M510" s="36" t="s">
        <v>7204</v>
      </c>
      <c r="N510" s="398"/>
      <c r="O510" t="s">
        <v>7205</v>
      </c>
      <c r="P510" s="487" t="s">
        <v>7206</v>
      </c>
      <c r="Q510" s="487"/>
      <c r="R510" s="50">
        <v>45227</v>
      </c>
      <c r="S510" s="47">
        <v>45318</v>
      </c>
      <c r="T510" s="98">
        <v>45227</v>
      </c>
      <c r="U510" s="98">
        <v>45318</v>
      </c>
      <c r="V510" s="62" t="s">
        <v>7207</v>
      </c>
      <c r="AF510" s="47">
        <v>45258</v>
      </c>
      <c r="AG510" s="490">
        <v>56796.27</v>
      </c>
      <c r="AH510" s="490">
        <v>39359.9</v>
      </c>
      <c r="AJ510"/>
    </row>
    <row r="511" spans="1:36" ht="19.5" customHeight="1">
      <c r="A511" s="25">
        <v>510</v>
      </c>
      <c r="B511" s="401">
        <v>6023883</v>
      </c>
      <c r="C511" s="98" t="s">
        <v>7208</v>
      </c>
      <c r="D511" s="395"/>
      <c r="E511" s="395">
        <v>15736.84</v>
      </c>
      <c r="F511" s="290">
        <v>1444292</v>
      </c>
      <c r="G511" s="98">
        <v>45268</v>
      </c>
      <c r="H511" s="395"/>
      <c r="I511" s="395">
        <v>15736.84</v>
      </c>
      <c r="J511" s="62" t="s">
        <v>7058</v>
      </c>
      <c r="K511" s="467" t="s">
        <v>34</v>
      </c>
      <c r="L511" s="472" t="s">
        <v>7159</v>
      </c>
      <c r="M511" s="36" t="s">
        <v>5657</v>
      </c>
      <c r="N511" s="398"/>
      <c r="O511" t="s">
        <v>7209</v>
      </c>
      <c r="P511" s="487" t="s">
        <v>7210</v>
      </c>
      <c r="Q511" s="487"/>
      <c r="R511" s="50">
        <v>45277</v>
      </c>
      <c r="S511" s="47">
        <v>45642</v>
      </c>
      <c r="T511" s="98">
        <v>45265</v>
      </c>
      <c r="U511" s="98">
        <v>45642</v>
      </c>
      <c r="V511" s="62" t="s">
        <v>7211</v>
      </c>
      <c r="AF511" s="47">
        <v>45322</v>
      </c>
      <c r="AG511" s="490">
        <v>239323</v>
      </c>
      <c r="AH511" s="490">
        <v>16618</v>
      </c>
      <c r="AJ511"/>
    </row>
    <row r="512" spans="1:36" ht="19.5" customHeight="1">
      <c r="A512" s="25">
        <v>511</v>
      </c>
      <c r="B512" s="401">
        <v>6024389</v>
      </c>
      <c r="C512" s="98" t="s">
        <v>7212</v>
      </c>
      <c r="D512" s="289"/>
      <c r="E512" s="289">
        <v>113377.63</v>
      </c>
      <c r="F512" s="492">
        <v>1444839</v>
      </c>
      <c r="G512" s="98">
        <v>45273</v>
      </c>
      <c r="H512" s="289"/>
      <c r="I512" s="289">
        <v>113377.63</v>
      </c>
      <c r="J512" s="62" t="s">
        <v>7058</v>
      </c>
      <c r="K512" s="450" t="s">
        <v>34</v>
      </c>
      <c r="L512" s="493" t="s">
        <v>7159</v>
      </c>
      <c r="M512" s="36" t="s">
        <v>7213</v>
      </c>
      <c r="N512" s="418"/>
      <c r="O512" t="s">
        <v>7214</v>
      </c>
      <c r="P512" t="s">
        <v>7215</v>
      </c>
      <c r="R512" s="50" t="s">
        <v>141</v>
      </c>
      <c r="S512" s="47" t="s">
        <v>141</v>
      </c>
      <c r="T512" s="98">
        <v>45292</v>
      </c>
      <c r="U512" s="98">
        <v>45657</v>
      </c>
      <c r="V512" s="43" t="s">
        <v>7216</v>
      </c>
      <c r="AF512" s="47">
        <v>45317</v>
      </c>
      <c r="AG512" s="496"/>
      <c r="AH512" s="496"/>
      <c r="AJ512"/>
    </row>
    <row r="513" spans="1:36" ht="19.5" customHeight="1">
      <c r="A513" s="25">
        <v>512</v>
      </c>
      <c r="B513" s="401">
        <v>6024443</v>
      </c>
      <c r="C513" s="98" t="s">
        <v>7212</v>
      </c>
      <c r="D513" s="289"/>
      <c r="E513" s="289">
        <v>1119.6500000000001</v>
      </c>
      <c r="F513" s="290">
        <v>1444581</v>
      </c>
      <c r="G513" s="98">
        <v>45271</v>
      </c>
      <c r="H513" s="289"/>
      <c r="I513" s="289">
        <v>1119.6500000000001</v>
      </c>
      <c r="J513" s="62" t="s">
        <v>7058</v>
      </c>
      <c r="K513" s="450" t="s">
        <v>34</v>
      </c>
      <c r="L513" s="25" t="s">
        <v>7159</v>
      </c>
      <c r="M513" s="36" t="s">
        <v>7217</v>
      </c>
      <c r="N513" s="418"/>
      <c r="O513" t="s">
        <v>7214</v>
      </c>
      <c r="P513" t="s">
        <v>7215</v>
      </c>
      <c r="R513" s="50" t="s">
        <v>141</v>
      </c>
      <c r="S513" s="47" t="s">
        <v>141</v>
      </c>
      <c r="T513" s="497"/>
      <c r="U513" s="497"/>
      <c r="V513" s="43" t="s">
        <v>7216</v>
      </c>
      <c r="AF513" s="47">
        <v>45322</v>
      </c>
      <c r="AG513" s="496"/>
      <c r="AH513" s="496"/>
      <c r="AJ513"/>
    </row>
    <row r="514" spans="1:36" ht="19.5" customHeight="1">
      <c r="A514">
        <v>513</v>
      </c>
      <c r="C514" s="98" t="s">
        <v>7218</v>
      </c>
      <c r="D514" s="289"/>
      <c r="E514" s="289">
        <v>2370</v>
      </c>
      <c r="F514" s="290">
        <v>1444718</v>
      </c>
      <c r="G514" s="98">
        <v>45272</v>
      </c>
      <c r="H514" s="289"/>
      <c r="I514" s="289">
        <v>2370</v>
      </c>
      <c r="J514" s="62" t="s">
        <v>7058</v>
      </c>
      <c r="K514" s="467" t="s">
        <v>139</v>
      </c>
      <c r="L514" s="493" t="s">
        <v>7219</v>
      </c>
      <c r="M514" s="36" t="s">
        <v>7220</v>
      </c>
      <c r="N514" s="418"/>
      <c r="O514" t="s">
        <v>7214</v>
      </c>
      <c r="P514" s="487" t="s">
        <v>7221</v>
      </c>
      <c r="Q514" s="487"/>
      <c r="R514" s="50" t="s">
        <v>141</v>
      </c>
      <c r="S514" s="47" t="s">
        <v>7222</v>
      </c>
      <c r="T514" s="98"/>
      <c r="U514" s="98"/>
      <c r="V514" s="62" t="s">
        <v>7216</v>
      </c>
      <c r="AF514" s="39">
        <v>45391</v>
      </c>
      <c r="AG514" s="498"/>
      <c r="AH514" s="498"/>
      <c r="AJ514"/>
    </row>
    <row r="515" spans="1:36" ht="19.5" customHeight="1" thickBot="1">
      <c r="A515">
        <v>514</v>
      </c>
      <c r="B515" s="479">
        <v>6026640</v>
      </c>
      <c r="C515" s="499">
        <v>45273</v>
      </c>
      <c r="D515" s="395"/>
      <c r="E515" s="395">
        <v>24693.93</v>
      </c>
      <c r="F515" s="481">
        <v>1445525</v>
      </c>
      <c r="G515" s="98">
        <v>45275</v>
      </c>
      <c r="H515" s="395"/>
      <c r="I515" s="395">
        <v>24693.93</v>
      </c>
      <c r="J515" s="482" t="s">
        <v>7058</v>
      </c>
      <c r="K515" s="483" t="s">
        <v>34</v>
      </c>
      <c r="L515" s="25" t="s">
        <v>7159</v>
      </c>
      <c r="M515" s="484" t="s">
        <v>7223</v>
      </c>
      <c r="N515" s="398"/>
      <c r="O515" t="s">
        <v>7214</v>
      </c>
      <c r="P515" s="487" t="s">
        <v>7224</v>
      </c>
      <c r="Q515" s="487"/>
      <c r="R515" s="50" t="s">
        <v>4660</v>
      </c>
      <c r="S515" s="47" t="s">
        <v>4660</v>
      </c>
      <c r="T515" s="98" t="s">
        <v>4660</v>
      </c>
      <c r="U515" s="98" t="s">
        <v>4660</v>
      </c>
      <c r="V515" s="62" t="s">
        <v>7216</v>
      </c>
      <c r="W515" s="41" t="s">
        <v>39</v>
      </c>
      <c r="AF515" s="500">
        <v>45422</v>
      </c>
      <c r="AG515" s="490" t="s">
        <v>4660</v>
      </c>
      <c r="AH515" s="490" t="s">
        <v>4660</v>
      </c>
      <c r="AJ515"/>
    </row>
    <row r="516" spans="1:36" ht="19.5" customHeight="1" thickTop="1">
      <c r="A516" s="25">
        <v>515</v>
      </c>
      <c r="B516" s="401">
        <v>6031304</v>
      </c>
      <c r="C516" s="98">
        <v>45293</v>
      </c>
      <c r="D516" s="395"/>
      <c r="E516" s="395">
        <v>59429.14</v>
      </c>
      <c r="F516" s="290">
        <v>1449846</v>
      </c>
      <c r="G516" s="449">
        <v>45302</v>
      </c>
      <c r="H516" s="395"/>
      <c r="I516" s="395">
        <v>59429.14</v>
      </c>
      <c r="J516" s="62" t="s">
        <v>7058</v>
      </c>
      <c r="K516" s="467" t="s">
        <v>34</v>
      </c>
      <c r="L516" s="493" t="s">
        <v>7159</v>
      </c>
      <c r="M516" s="36" t="s">
        <v>7225</v>
      </c>
      <c r="N516" s="398"/>
      <c r="O516" t="s">
        <v>7226</v>
      </c>
      <c r="P516" s="487" t="s">
        <v>7227</v>
      </c>
      <c r="Q516" s="487"/>
      <c r="R516" s="38">
        <v>45292</v>
      </c>
      <c r="S516" s="39">
        <v>45657</v>
      </c>
      <c r="T516" s="449">
        <v>45292</v>
      </c>
      <c r="U516" s="449">
        <v>45657</v>
      </c>
      <c r="V516" s="62" t="s">
        <v>7228</v>
      </c>
      <c r="W516" s="41" t="s">
        <v>114</v>
      </c>
      <c r="AF516" s="39">
        <v>45327</v>
      </c>
      <c r="AG516" s="395">
        <v>785009.25</v>
      </c>
      <c r="AH516" s="395">
        <v>184002.03</v>
      </c>
      <c r="AJ516"/>
    </row>
    <row r="517" spans="1:36" ht="19.5" customHeight="1">
      <c r="A517" s="25">
        <v>516</v>
      </c>
      <c r="B517" s="401">
        <v>6031723</v>
      </c>
      <c r="C517" s="98">
        <v>45293</v>
      </c>
      <c r="D517" s="395"/>
      <c r="E517" s="395">
        <v>6142.72</v>
      </c>
      <c r="F517" s="290">
        <v>1449801</v>
      </c>
      <c r="G517" s="449">
        <v>45301</v>
      </c>
      <c r="H517" s="395"/>
      <c r="I517" s="395">
        <v>6142.72</v>
      </c>
      <c r="J517" s="62" t="s">
        <v>7058</v>
      </c>
      <c r="K517" s="467" t="s">
        <v>5737</v>
      </c>
      <c r="L517" s="472" t="s">
        <v>7159</v>
      </c>
      <c r="M517" s="36" t="s">
        <v>7229</v>
      </c>
      <c r="N517" s="398"/>
      <c r="O517" t="s">
        <v>7230</v>
      </c>
      <c r="P517" s="487" t="s">
        <v>7231</v>
      </c>
      <c r="Q517" s="487"/>
      <c r="R517" s="38">
        <v>45231</v>
      </c>
      <c r="S517" s="39">
        <v>45596</v>
      </c>
      <c r="T517" s="449">
        <v>45231</v>
      </c>
      <c r="U517" s="449">
        <v>45596</v>
      </c>
      <c r="V517" s="62" t="s">
        <v>7232</v>
      </c>
      <c r="W517" s="41" t="s">
        <v>39</v>
      </c>
      <c r="AF517" s="39">
        <v>45350</v>
      </c>
      <c r="AG517" s="395">
        <v>206000</v>
      </c>
      <c r="AH517" s="395">
        <v>27961.39</v>
      </c>
      <c r="AJ517"/>
    </row>
    <row r="518" spans="1:36" ht="19.5" customHeight="1">
      <c r="A518" s="25">
        <v>517</v>
      </c>
      <c r="C518" s="449">
        <v>45293</v>
      </c>
      <c r="D518" s="395"/>
      <c r="E518" s="395">
        <v>7700</v>
      </c>
      <c r="F518" s="290">
        <v>1448610</v>
      </c>
      <c r="G518" s="449">
        <v>45293</v>
      </c>
      <c r="H518" s="395"/>
      <c r="I518" s="395">
        <v>7700</v>
      </c>
      <c r="J518" s="62" t="s">
        <v>7058</v>
      </c>
      <c r="K518" s="467" t="s">
        <v>139</v>
      </c>
      <c r="L518" s="486"/>
      <c r="M518" s="36" t="s">
        <v>7233</v>
      </c>
      <c r="N518" s="398"/>
      <c r="P518" s="501" t="s">
        <v>7234</v>
      </c>
      <c r="Q518" s="501"/>
      <c r="R518" s="38"/>
      <c r="S518" s="39"/>
      <c r="T518" s="449"/>
      <c r="U518" s="449"/>
      <c r="V518" s="476" t="s">
        <v>7235</v>
      </c>
      <c r="W518" s="41" t="s">
        <v>39</v>
      </c>
      <c r="AF518" s="39">
        <v>45783</v>
      </c>
      <c r="AG518" s="395"/>
      <c r="AH518" s="395"/>
      <c r="AJ518"/>
    </row>
    <row r="519" spans="1:36" ht="19.5" customHeight="1">
      <c r="A519" s="25">
        <v>518</v>
      </c>
      <c r="B519" s="401">
        <v>6031979</v>
      </c>
      <c r="C519" s="98">
        <v>45294</v>
      </c>
      <c r="D519" s="395"/>
      <c r="E519" s="395">
        <v>21676.9</v>
      </c>
      <c r="F519" s="290">
        <v>1450759</v>
      </c>
      <c r="G519" s="449">
        <v>45306</v>
      </c>
      <c r="H519" s="395"/>
      <c r="I519" s="395">
        <v>21676.9</v>
      </c>
      <c r="J519" s="62" t="s">
        <v>7058</v>
      </c>
      <c r="K519" s="467" t="s">
        <v>34</v>
      </c>
      <c r="L519" s="25" t="s">
        <v>7159</v>
      </c>
      <c r="M519" s="36" t="s">
        <v>7236</v>
      </c>
      <c r="N519" s="398"/>
      <c r="O519" t="s">
        <v>7230</v>
      </c>
      <c r="P519" s="487" t="s">
        <v>7231</v>
      </c>
      <c r="Q519" s="487"/>
      <c r="R519" s="50">
        <v>45231</v>
      </c>
      <c r="S519" s="47">
        <v>45596</v>
      </c>
      <c r="T519" s="449">
        <v>45424</v>
      </c>
      <c r="U519" s="449">
        <v>45788</v>
      </c>
      <c r="V519" s="62" t="s">
        <v>7232</v>
      </c>
      <c r="W519" s="41" t="s">
        <v>114</v>
      </c>
      <c r="AF519" s="47">
        <v>45327</v>
      </c>
      <c r="AG519" s="395">
        <v>206000</v>
      </c>
      <c r="AH519" s="395">
        <v>27961.39</v>
      </c>
      <c r="AJ519"/>
    </row>
    <row r="520" spans="1:36" ht="19.5" customHeight="1">
      <c r="A520" s="25">
        <v>519</v>
      </c>
      <c r="B520" s="401">
        <v>6032006</v>
      </c>
      <c r="C520" s="98">
        <v>45294</v>
      </c>
      <c r="D520" s="68"/>
      <c r="E520" s="68">
        <v>15257.07</v>
      </c>
      <c r="F520" s="290">
        <v>1449869</v>
      </c>
      <c r="G520" s="98">
        <v>45301</v>
      </c>
      <c r="H520" s="68"/>
      <c r="I520" s="68">
        <v>15257.07</v>
      </c>
      <c r="J520" s="62" t="s">
        <v>7058</v>
      </c>
      <c r="K520" s="450" t="s">
        <v>34</v>
      </c>
      <c r="L520" s="25" t="s">
        <v>7159</v>
      </c>
      <c r="M520" s="36" t="s">
        <v>7237</v>
      </c>
      <c r="N520" s="398"/>
      <c r="O520" t="s">
        <v>7238</v>
      </c>
      <c r="P520" t="s">
        <v>7239</v>
      </c>
      <c r="R520" s="38">
        <v>45231</v>
      </c>
      <c r="S520" s="39">
        <v>45596</v>
      </c>
      <c r="T520" s="449">
        <v>45421</v>
      </c>
      <c r="U520" s="449">
        <v>45785</v>
      </c>
      <c r="V520" s="43" t="s">
        <v>7240</v>
      </c>
      <c r="W520" s="41" t="s">
        <v>114</v>
      </c>
      <c r="AF520" s="47">
        <v>45327</v>
      </c>
      <c r="AG520" s="398">
        <v>140500</v>
      </c>
      <c r="AH520" s="398">
        <v>20305.91</v>
      </c>
      <c r="AJ520"/>
    </row>
    <row r="521" spans="1:36" ht="19.5" customHeight="1">
      <c r="A521" s="25">
        <v>520</v>
      </c>
      <c r="B521" s="401">
        <v>6032107</v>
      </c>
      <c r="C521" s="449">
        <v>45294</v>
      </c>
      <c r="D521" s="68"/>
      <c r="E521" s="68">
        <v>7836.36</v>
      </c>
      <c r="F521" s="290">
        <v>1449946</v>
      </c>
      <c r="G521" s="449">
        <v>45301</v>
      </c>
      <c r="H521" s="68"/>
      <c r="I521" s="68">
        <v>7836.36</v>
      </c>
      <c r="J521" s="62" t="s">
        <v>7058</v>
      </c>
      <c r="K521" s="467" t="s">
        <v>34</v>
      </c>
      <c r="L521" s="493"/>
      <c r="M521" s="36" t="s">
        <v>7241</v>
      </c>
      <c r="N521" s="398"/>
      <c r="O521" t="s">
        <v>7242</v>
      </c>
      <c r="P521" s="487" t="s">
        <v>7243</v>
      </c>
      <c r="Q521" s="487"/>
      <c r="R521" s="38">
        <v>45170</v>
      </c>
      <c r="S521" s="39">
        <v>45535</v>
      </c>
      <c r="T521" s="449">
        <v>45242</v>
      </c>
      <c r="U521" s="449">
        <v>45607</v>
      </c>
      <c r="V521" s="62" t="s">
        <v>302</v>
      </c>
      <c r="W521" s="41" t="s">
        <v>39</v>
      </c>
      <c r="AF521" s="39">
        <v>45327</v>
      </c>
      <c r="AG521" s="395">
        <v>66724</v>
      </c>
      <c r="AH521" s="395">
        <v>7876.29</v>
      </c>
      <c r="AJ521"/>
    </row>
    <row r="522" spans="1:36" ht="19.5" customHeight="1">
      <c r="A522" s="25">
        <v>521</v>
      </c>
      <c r="C522" s="449">
        <v>45299</v>
      </c>
      <c r="D522" s="68"/>
      <c r="E522" s="68">
        <v>5700</v>
      </c>
      <c r="F522" s="290">
        <v>1449434</v>
      </c>
      <c r="G522" s="449">
        <v>45299</v>
      </c>
      <c r="H522" s="68"/>
      <c r="I522" s="68">
        <v>5700</v>
      </c>
      <c r="J522" s="62" t="s">
        <v>7058</v>
      </c>
      <c r="K522" s="467" t="s">
        <v>139</v>
      </c>
      <c r="L522" s="486" t="s">
        <v>7159</v>
      </c>
      <c r="M522" s="36" t="s">
        <v>7244</v>
      </c>
      <c r="N522" s="398"/>
      <c r="O522" t="s">
        <v>7245</v>
      </c>
      <c r="P522" s="487" t="s">
        <v>7246</v>
      </c>
      <c r="Q522" s="487"/>
      <c r="R522" s="50" t="s">
        <v>141</v>
      </c>
      <c r="S522" s="47" t="s">
        <v>141</v>
      </c>
      <c r="T522" s="449"/>
      <c r="U522" s="449"/>
      <c r="V522" s="62" t="s">
        <v>7207</v>
      </c>
      <c r="W522" s="41" t="s">
        <v>39</v>
      </c>
      <c r="AF522" s="39">
        <v>45783</v>
      </c>
      <c r="AG522" s="395"/>
      <c r="AH522" s="395"/>
      <c r="AJ522"/>
    </row>
    <row r="523" spans="1:36" ht="19.5" customHeight="1">
      <c r="A523" s="25">
        <v>522</v>
      </c>
      <c r="B523" s="401">
        <v>6036626</v>
      </c>
      <c r="C523" s="449">
        <v>45308</v>
      </c>
      <c r="D523" s="68"/>
      <c r="E523" s="68">
        <v>34696.269999999997</v>
      </c>
      <c r="F523" s="290">
        <v>1454034</v>
      </c>
      <c r="G523" s="449">
        <v>45320</v>
      </c>
      <c r="H523" s="68"/>
      <c r="I523" s="68">
        <v>34696.269999999997</v>
      </c>
      <c r="J523" s="62" t="s">
        <v>7058</v>
      </c>
      <c r="K523" s="467" t="s">
        <v>34</v>
      </c>
      <c r="L523" s="486"/>
      <c r="M523" s="36" t="s">
        <v>7247</v>
      </c>
      <c r="N523" s="398"/>
      <c r="O523" t="s">
        <v>7248</v>
      </c>
      <c r="P523" s="487" t="s">
        <v>7249</v>
      </c>
      <c r="Q523" s="487"/>
      <c r="R523" s="38">
        <v>45214</v>
      </c>
      <c r="S523" s="39">
        <v>45579</v>
      </c>
      <c r="T523" s="449">
        <v>45308</v>
      </c>
      <c r="U523" s="449">
        <v>45673</v>
      </c>
      <c r="V523" s="62" t="s">
        <v>7250</v>
      </c>
      <c r="W523" s="41" t="s">
        <v>114</v>
      </c>
      <c r="AF523" s="39">
        <v>45356</v>
      </c>
      <c r="AG523" s="395">
        <v>634047</v>
      </c>
      <c r="AH523" s="395">
        <v>50915.02</v>
      </c>
      <c r="AJ523"/>
    </row>
    <row r="524" spans="1:36" ht="19.5" customHeight="1">
      <c r="A524" s="25">
        <v>523</v>
      </c>
      <c r="B524" s="401">
        <v>6037972</v>
      </c>
      <c r="C524" s="449">
        <v>45313</v>
      </c>
      <c r="D524" s="68"/>
      <c r="E524" s="68">
        <v>10707</v>
      </c>
      <c r="F524" s="290">
        <v>1454432</v>
      </c>
      <c r="G524" s="449">
        <v>45322</v>
      </c>
      <c r="H524" s="68"/>
      <c r="I524" s="68">
        <v>10707</v>
      </c>
      <c r="J524" s="62" t="s">
        <v>7058</v>
      </c>
      <c r="K524" s="450" t="s">
        <v>34</v>
      </c>
      <c r="L524" s="25" t="s">
        <v>7159</v>
      </c>
      <c r="M524" s="36" t="s">
        <v>7251</v>
      </c>
      <c r="N524" s="398"/>
      <c r="O524" t="s">
        <v>7252</v>
      </c>
      <c r="P524" t="s">
        <v>7253</v>
      </c>
      <c r="R524" s="38">
        <v>45311</v>
      </c>
      <c r="S524" s="39">
        <v>45676</v>
      </c>
      <c r="T524" s="449">
        <v>45366</v>
      </c>
      <c r="U524" s="449">
        <v>45730</v>
      </c>
      <c r="V524" s="62" t="s">
        <v>7254</v>
      </c>
      <c r="W524" s="41" t="s">
        <v>114</v>
      </c>
      <c r="AF524" s="39">
        <v>45352</v>
      </c>
      <c r="AG524" s="398">
        <v>20985</v>
      </c>
      <c r="AH524" s="398">
        <v>10761.65</v>
      </c>
      <c r="AJ524"/>
    </row>
    <row r="525" spans="1:36" ht="19.5" customHeight="1">
      <c r="A525" s="25">
        <v>524</v>
      </c>
      <c r="B525" s="401">
        <v>6038035</v>
      </c>
      <c r="C525" s="98">
        <v>45314</v>
      </c>
      <c r="D525" s="68"/>
      <c r="E525" s="68">
        <v>4892</v>
      </c>
      <c r="F525" s="290">
        <v>1454055</v>
      </c>
      <c r="G525" s="98">
        <v>45320</v>
      </c>
      <c r="H525" s="68"/>
      <c r="I525" s="68">
        <v>4892</v>
      </c>
      <c r="J525" s="62" t="s">
        <v>7058</v>
      </c>
      <c r="K525" s="450" t="s">
        <v>7255</v>
      </c>
      <c r="L525" s="486" t="s">
        <v>7159</v>
      </c>
      <c r="M525" s="36" t="s">
        <v>7256</v>
      </c>
      <c r="N525" s="398"/>
      <c r="O525" t="s">
        <v>7257</v>
      </c>
      <c r="P525" s="487" t="s">
        <v>7258</v>
      </c>
      <c r="Q525" s="487"/>
      <c r="R525" s="38" t="s">
        <v>7259</v>
      </c>
      <c r="S525" s="39">
        <v>45292</v>
      </c>
      <c r="T525" s="98" t="s">
        <v>7260</v>
      </c>
      <c r="U525" s="98" t="s">
        <v>6629</v>
      </c>
      <c r="V525" s="62" t="s">
        <v>7261</v>
      </c>
      <c r="W525" s="41" t="s">
        <v>39</v>
      </c>
      <c r="AF525" s="39">
        <v>45364</v>
      </c>
      <c r="AG525" s="398">
        <v>187459</v>
      </c>
      <c r="AH525" s="398">
        <v>121872.31</v>
      </c>
      <c r="AJ525"/>
    </row>
    <row r="526" spans="1:36" ht="19.5" customHeight="1">
      <c r="A526" s="25">
        <v>525</v>
      </c>
      <c r="B526" s="401">
        <v>6038348</v>
      </c>
      <c r="C526" s="449">
        <v>45314</v>
      </c>
      <c r="D526" s="395"/>
      <c r="E526" s="395">
        <v>6278.93</v>
      </c>
      <c r="F526" s="290">
        <v>1454017</v>
      </c>
      <c r="G526" s="449">
        <v>45320</v>
      </c>
      <c r="H526" s="395"/>
      <c r="I526" s="395">
        <v>6278.93</v>
      </c>
      <c r="J526" s="62" t="s">
        <v>7058</v>
      </c>
      <c r="K526" s="467" t="s">
        <v>34</v>
      </c>
      <c r="L526" s="486" t="s">
        <v>7159</v>
      </c>
      <c r="M526" s="36" t="s">
        <v>7262</v>
      </c>
      <c r="N526" s="398"/>
      <c r="O526" t="s">
        <v>7257</v>
      </c>
      <c r="P526" s="487" t="s">
        <v>7258</v>
      </c>
      <c r="Q526" s="487"/>
      <c r="R526" s="38" t="s">
        <v>7263</v>
      </c>
      <c r="S526" s="39">
        <v>45658</v>
      </c>
      <c r="T526" s="449" t="s">
        <v>7263</v>
      </c>
      <c r="U526" s="449">
        <v>45658</v>
      </c>
      <c r="V526" s="62" t="s">
        <v>7261</v>
      </c>
      <c r="W526" s="41" t="s">
        <v>114</v>
      </c>
      <c r="AF526" s="39">
        <v>45327</v>
      </c>
      <c r="AG526" s="398">
        <v>187459</v>
      </c>
      <c r="AH526" s="398">
        <v>121872.31</v>
      </c>
      <c r="AJ526"/>
    </row>
    <row r="527" spans="1:36" ht="19.5" customHeight="1">
      <c r="A527" s="25">
        <v>526</v>
      </c>
      <c r="B527" s="401">
        <v>6038407</v>
      </c>
      <c r="C527" s="449">
        <v>45315</v>
      </c>
      <c r="D527" s="68"/>
      <c r="E527" s="68">
        <v>96440.35</v>
      </c>
      <c r="F527" s="290">
        <v>1453487</v>
      </c>
      <c r="G527" s="449">
        <v>45316</v>
      </c>
      <c r="H527" s="68"/>
      <c r="I527" s="68">
        <v>96440.35</v>
      </c>
      <c r="J527" s="62" t="s">
        <v>7058</v>
      </c>
      <c r="K527" s="467" t="s">
        <v>34</v>
      </c>
      <c r="L527" s="25" t="s">
        <v>7159</v>
      </c>
      <c r="M527" s="36" t="s">
        <v>7264</v>
      </c>
      <c r="N527" s="398"/>
      <c r="O527" t="s">
        <v>7257</v>
      </c>
      <c r="P527" s="487" t="s">
        <v>7258</v>
      </c>
      <c r="Q527" s="487"/>
      <c r="R527" s="38" t="s">
        <v>7263</v>
      </c>
      <c r="S527" s="39">
        <v>45658</v>
      </c>
      <c r="T527" s="449">
        <v>45363</v>
      </c>
      <c r="U527" s="449">
        <v>45727</v>
      </c>
      <c r="V527" s="62" t="s">
        <v>7261</v>
      </c>
      <c r="W527" s="41" t="s">
        <v>114</v>
      </c>
      <c r="AF527" s="39">
        <v>45385</v>
      </c>
      <c r="AG527" s="398">
        <v>187459</v>
      </c>
      <c r="AH527" s="398">
        <v>121872.31</v>
      </c>
      <c r="AJ527"/>
    </row>
    <row r="528" spans="1:36" ht="19.5" customHeight="1">
      <c r="A528" s="25">
        <v>527</v>
      </c>
      <c r="B528" s="401">
        <v>6038592</v>
      </c>
      <c r="C528" s="449">
        <v>45315</v>
      </c>
      <c r="D528" s="68"/>
      <c r="E528" s="68">
        <v>10160.84</v>
      </c>
      <c r="F528" s="290">
        <v>1454051</v>
      </c>
      <c r="G528" s="449">
        <v>45320</v>
      </c>
      <c r="H528" s="68"/>
      <c r="I528" s="68">
        <v>10160.84</v>
      </c>
      <c r="J528" s="62" t="s">
        <v>7058</v>
      </c>
      <c r="K528" s="450" t="s">
        <v>34</v>
      </c>
      <c r="M528" s="36" t="s">
        <v>835</v>
      </c>
      <c r="N528" s="398"/>
      <c r="O528" t="s">
        <v>7265</v>
      </c>
      <c r="P528" t="s">
        <v>7266</v>
      </c>
      <c r="R528" s="38">
        <v>45292</v>
      </c>
      <c r="S528" s="39">
        <v>45657</v>
      </c>
      <c r="T528" s="449">
        <v>45349</v>
      </c>
      <c r="U528" s="449">
        <v>45714</v>
      </c>
      <c r="V528" s="62" t="s">
        <v>7267</v>
      </c>
      <c r="W528" s="41" t="s">
        <v>114</v>
      </c>
      <c r="AF528" s="39">
        <v>45327</v>
      </c>
      <c r="AG528" s="398">
        <v>29150</v>
      </c>
      <c r="AH528" s="398">
        <v>10212.61</v>
      </c>
      <c r="AJ528"/>
    </row>
    <row r="529" spans="1:36" ht="19.5" customHeight="1">
      <c r="A529" s="25">
        <v>528</v>
      </c>
      <c r="B529" s="401">
        <v>6039323</v>
      </c>
      <c r="C529" s="449">
        <v>45317</v>
      </c>
      <c r="D529" s="68"/>
      <c r="E529" s="68">
        <v>12910.91</v>
      </c>
      <c r="F529" s="290">
        <v>1455344</v>
      </c>
      <c r="G529" s="449">
        <v>45329</v>
      </c>
      <c r="H529" s="68"/>
      <c r="I529" s="68">
        <v>12910.91</v>
      </c>
      <c r="J529" s="62" t="s">
        <v>7058</v>
      </c>
      <c r="K529" s="467" t="s">
        <v>5737</v>
      </c>
      <c r="L529" s="493" t="s">
        <v>7268</v>
      </c>
      <c r="M529" s="36" t="s">
        <v>7269</v>
      </c>
      <c r="N529" s="398"/>
      <c r="O529" t="s">
        <v>7214</v>
      </c>
      <c r="P529" s="487" t="s">
        <v>7221</v>
      </c>
      <c r="Q529" s="487"/>
      <c r="R529" s="38">
        <v>45292</v>
      </c>
      <c r="S529" s="47" t="s">
        <v>7270</v>
      </c>
      <c r="T529" s="449">
        <v>45566</v>
      </c>
      <c r="U529" s="449">
        <v>45901</v>
      </c>
      <c r="V529" s="62" t="s">
        <v>7216</v>
      </c>
      <c r="W529" s="41" t="s">
        <v>39</v>
      </c>
      <c r="AF529" s="39">
        <v>45370</v>
      </c>
      <c r="AG529" s="395">
        <v>321302</v>
      </c>
      <c r="AH529" s="395">
        <v>177236.6</v>
      </c>
      <c r="AJ529"/>
    </row>
    <row r="530" spans="1:36" ht="19.5" customHeight="1">
      <c r="A530" s="25">
        <v>529</v>
      </c>
      <c r="B530" s="401">
        <v>6041597</v>
      </c>
      <c r="C530" s="449">
        <v>45324</v>
      </c>
      <c r="D530" s="68"/>
      <c r="E530" s="68">
        <v>3395.61</v>
      </c>
      <c r="F530" s="290">
        <v>1455565</v>
      </c>
      <c r="G530" s="449">
        <v>45328</v>
      </c>
      <c r="H530" s="68"/>
      <c r="I530" s="68">
        <v>3395.61</v>
      </c>
      <c r="J530" s="43" t="s">
        <v>7271</v>
      </c>
      <c r="K530" s="450" t="s">
        <v>34</v>
      </c>
      <c r="L530" s="25" t="s">
        <v>7159</v>
      </c>
      <c r="M530" s="36" t="s">
        <v>7272</v>
      </c>
      <c r="N530" s="398"/>
      <c r="O530" t="s">
        <v>7273</v>
      </c>
      <c r="P530" t="s">
        <v>7274</v>
      </c>
      <c r="R530" s="38">
        <v>45177</v>
      </c>
      <c r="S530" s="39">
        <v>45542</v>
      </c>
      <c r="T530" s="449">
        <v>45349</v>
      </c>
      <c r="U530" s="449">
        <v>45714</v>
      </c>
      <c r="V530" s="43" t="s">
        <v>7232</v>
      </c>
      <c r="W530" s="41" t="s">
        <v>39</v>
      </c>
      <c r="AF530" s="39">
        <v>45356</v>
      </c>
      <c r="AG530" s="395">
        <v>25500</v>
      </c>
      <c r="AH530" s="395">
        <v>3410.9</v>
      </c>
      <c r="AJ530"/>
    </row>
    <row r="531" spans="1:36" ht="19.5" customHeight="1">
      <c r="A531" s="25">
        <v>530</v>
      </c>
      <c r="B531" s="401">
        <v>6042056</v>
      </c>
      <c r="C531" s="449">
        <v>45327</v>
      </c>
      <c r="D531" s="502"/>
      <c r="E531" s="502">
        <v>34840</v>
      </c>
      <c r="F531" s="290">
        <v>1455935</v>
      </c>
      <c r="G531" s="449">
        <v>45341</v>
      </c>
      <c r="H531" s="502"/>
      <c r="I531" s="502">
        <v>34840</v>
      </c>
      <c r="J531" s="43" t="s">
        <v>7271</v>
      </c>
      <c r="K531" s="450" t="s">
        <v>139</v>
      </c>
      <c r="L531" s="25" t="s">
        <v>7159</v>
      </c>
      <c r="M531" s="36" t="s">
        <v>7275</v>
      </c>
      <c r="N531" s="398"/>
      <c r="O531" t="s">
        <v>7276</v>
      </c>
      <c r="P531" s="487" t="s">
        <v>7277</v>
      </c>
      <c r="Q531" s="487"/>
      <c r="R531" s="38">
        <v>45261</v>
      </c>
      <c r="S531" s="39">
        <v>45626</v>
      </c>
      <c r="T531" s="98" t="s">
        <v>141</v>
      </c>
      <c r="U531" s="98" t="s">
        <v>141</v>
      </c>
      <c r="V531" s="62" t="s">
        <v>7278</v>
      </c>
      <c r="W531" s="41" t="s">
        <v>114</v>
      </c>
      <c r="AF531" s="47">
        <v>45504</v>
      </c>
      <c r="AG531" s="395">
        <v>163790</v>
      </c>
      <c r="AH531" s="395">
        <v>130941.67</v>
      </c>
      <c r="AJ531"/>
    </row>
    <row r="532" spans="1:36" ht="19.5" customHeight="1">
      <c r="A532" s="25">
        <v>531</v>
      </c>
      <c r="B532" s="401">
        <v>6042068</v>
      </c>
      <c r="C532" s="449">
        <v>45327</v>
      </c>
      <c r="D532" s="68"/>
      <c r="E532" s="68">
        <v>19787.7</v>
      </c>
      <c r="F532" s="290">
        <v>1456933</v>
      </c>
      <c r="G532" s="449">
        <v>45338</v>
      </c>
      <c r="H532" s="68"/>
      <c r="I532" s="68">
        <v>19787.7</v>
      </c>
      <c r="J532" s="43" t="s">
        <v>7271</v>
      </c>
      <c r="K532" s="450" t="s">
        <v>34</v>
      </c>
      <c r="L532" s="493" t="s">
        <v>7279</v>
      </c>
      <c r="M532" s="36" t="s">
        <v>7280</v>
      </c>
      <c r="N532" s="398"/>
      <c r="O532" t="s">
        <v>7276</v>
      </c>
      <c r="P532" t="s">
        <v>7277</v>
      </c>
      <c r="R532" s="38">
        <v>45261</v>
      </c>
      <c r="S532" s="39">
        <v>45626</v>
      </c>
      <c r="T532" s="449">
        <v>45261</v>
      </c>
      <c r="U532" s="449">
        <v>45688</v>
      </c>
      <c r="V532" s="43" t="s">
        <v>544</v>
      </c>
      <c r="W532" s="41" t="s">
        <v>39</v>
      </c>
      <c r="AF532" s="39">
        <v>45390</v>
      </c>
      <c r="AG532" s="395">
        <v>163790</v>
      </c>
      <c r="AH532" s="395">
        <v>130941.67</v>
      </c>
      <c r="AJ532"/>
    </row>
    <row r="533" spans="1:36" ht="19.5" customHeight="1">
      <c r="A533" s="25">
        <v>532</v>
      </c>
      <c r="B533" s="401">
        <v>6052686</v>
      </c>
      <c r="C533" s="449">
        <v>45364</v>
      </c>
      <c r="D533" s="68"/>
      <c r="E533" s="68">
        <v>44404.09</v>
      </c>
      <c r="F533" s="290">
        <v>1461880</v>
      </c>
      <c r="G533" s="449">
        <v>45366</v>
      </c>
      <c r="H533" s="68"/>
      <c r="I533" s="68">
        <v>44404.09</v>
      </c>
      <c r="J533" s="43" t="s">
        <v>7271</v>
      </c>
      <c r="K533" s="450" t="s">
        <v>34</v>
      </c>
      <c r="L533" s="503" t="s">
        <v>7281</v>
      </c>
      <c r="M533" s="36" t="s">
        <v>7282</v>
      </c>
      <c r="N533" s="398"/>
      <c r="O533" t="s">
        <v>7283</v>
      </c>
      <c r="P533" s="487" t="s">
        <v>7284</v>
      </c>
      <c r="Q533" s="487"/>
      <c r="R533" s="38">
        <v>45383</v>
      </c>
      <c r="S533" s="39">
        <v>45747</v>
      </c>
      <c r="T533" s="449">
        <v>45383</v>
      </c>
      <c r="U533" s="449">
        <v>45747</v>
      </c>
      <c r="V533" s="62" t="s">
        <v>7285</v>
      </c>
      <c r="W533" s="41" t="s">
        <v>114</v>
      </c>
      <c r="AF533" s="39">
        <v>45390</v>
      </c>
      <c r="AG533" s="395">
        <v>338937</v>
      </c>
      <c r="AH533" s="395">
        <v>44554</v>
      </c>
      <c r="AJ533"/>
    </row>
    <row r="534" spans="1:36" ht="19.5" customHeight="1">
      <c r="A534" s="504">
        <v>533</v>
      </c>
      <c r="B534" s="505">
        <v>6069254</v>
      </c>
      <c r="C534" s="506">
        <v>45420</v>
      </c>
      <c r="D534" s="68"/>
      <c r="E534" s="68">
        <v>219626</v>
      </c>
      <c r="F534" s="290">
        <v>1472312</v>
      </c>
      <c r="G534" s="98">
        <v>45425</v>
      </c>
      <c r="H534" s="68"/>
      <c r="I534" s="68">
        <v>219626</v>
      </c>
      <c r="J534" s="507" t="s">
        <v>7271</v>
      </c>
      <c r="K534" s="508" t="s">
        <v>34</v>
      </c>
      <c r="L534" s="493" t="s">
        <v>7286</v>
      </c>
      <c r="M534" s="509" t="s">
        <v>7287</v>
      </c>
      <c r="N534" s="398"/>
      <c r="O534" t="s">
        <v>7288</v>
      </c>
      <c r="P534" t="s">
        <v>7289</v>
      </c>
      <c r="R534" s="38">
        <v>45413</v>
      </c>
      <c r="S534" s="39">
        <v>45808</v>
      </c>
      <c r="T534" s="449">
        <v>45457</v>
      </c>
      <c r="U534" s="449">
        <v>45821</v>
      </c>
      <c r="V534" s="43" t="s">
        <v>7290</v>
      </c>
      <c r="W534" s="41" t="s">
        <v>39</v>
      </c>
      <c r="AF534" s="39">
        <v>45471</v>
      </c>
      <c r="AG534" s="395">
        <v>435000</v>
      </c>
      <c r="AH534" s="395">
        <v>264208</v>
      </c>
      <c r="AJ534"/>
    </row>
    <row r="535" spans="1:36" ht="19.5" customHeight="1">
      <c r="A535" s="504"/>
      <c r="B535" s="505"/>
      <c r="C535" s="506">
        <v>45420</v>
      </c>
      <c r="D535" s="68"/>
      <c r="E535" s="68">
        <v>43937.35</v>
      </c>
      <c r="F535" s="290">
        <v>1475056</v>
      </c>
      <c r="G535" s="98"/>
      <c r="H535" s="68"/>
      <c r="I535" s="68">
        <v>43937.35</v>
      </c>
      <c r="J535" s="507" t="s">
        <v>7271</v>
      </c>
      <c r="K535" s="508"/>
      <c r="M535" s="509"/>
      <c r="N535" s="398"/>
      <c r="R535" s="38"/>
      <c r="S535" s="39"/>
      <c r="T535" s="449"/>
      <c r="U535" s="449"/>
      <c r="W535" s="41" t="s">
        <v>39</v>
      </c>
      <c r="AF535" s="39">
        <v>45475</v>
      </c>
      <c r="AG535" s="395"/>
      <c r="AH535" s="395"/>
      <c r="AJ535"/>
    </row>
    <row r="536" spans="1:36" ht="19.5" customHeight="1">
      <c r="A536" s="25">
        <v>534</v>
      </c>
      <c r="B536" s="401">
        <v>6069523</v>
      </c>
      <c r="C536" s="449">
        <v>45420</v>
      </c>
      <c r="D536" s="68"/>
      <c r="E536" s="68">
        <v>58241.73</v>
      </c>
      <c r="F536" s="290">
        <v>1475054</v>
      </c>
      <c r="G536" s="449">
        <v>45441</v>
      </c>
      <c r="H536" s="68"/>
      <c r="I536" s="68">
        <v>58241.73</v>
      </c>
      <c r="J536" s="43" t="s">
        <v>7271</v>
      </c>
      <c r="K536" s="450" t="s">
        <v>34</v>
      </c>
      <c r="M536" s="36" t="s">
        <v>7291</v>
      </c>
      <c r="N536" s="398"/>
      <c r="O536" t="s">
        <v>7292</v>
      </c>
      <c r="P536" t="s">
        <v>7293</v>
      </c>
      <c r="R536" s="38">
        <v>45415</v>
      </c>
      <c r="S536" s="39">
        <v>45779</v>
      </c>
      <c r="T536" s="449">
        <v>45420</v>
      </c>
      <c r="U536" s="449">
        <v>45784</v>
      </c>
      <c r="V536" s="43" t="s">
        <v>7294</v>
      </c>
      <c r="W536" s="41" t="s">
        <v>39</v>
      </c>
      <c r="AF536" s="39">
        <v>45476</v>
      </c>
      <c r="AG536" s="395">
        <v>162030</v>
      </c>
      <c r="AH536" s="395">
        <v>63540.1</v>
      </c>
      <c r="AJ536"/>
    </row>
    <row r="537" spans="1:36" ht="19.5" customHeight="1">
      <c r="A537" s="25">
        <v>535</v>
      </c>
      <c r="C537" s="449">
        <v>45421</v>
      </c>
      <c r="D537" s="68"/>
      <c r="E537" s="68">
        <v>4210</v>
      </c>
      <c r="F537" s="290">
        <v>1471955</v>
      </c>
      <c r="G537" s="449">
        <v>45421</v>
      </c>
      <c r="H537" s="68"/>
      <c r="I537" s="68">
        <v>4210</v>
      </c>
      <c r="J537" s="43" t="s">
        <v>7271</v>
      </c>
      <c r="K537" s="450" t="s">
        <v>139</v>
      </c>
      <c r="M537" s="36" t="s">
        <v>7295</v>
      </c>
      <c r="N537" s="398"/>
      <c r="O537" t="s">
        <v>7296</v>
      </c>
      <c r="P537" t="s">
        <v>7297</v>
      </c>
      <c r="R537" s="50" t="s">
        <v>141</v>
      </c>
      <c r="S537" s="47" t="s">
        <v>141</v>
      </c>
      <c r="T537" s="449"/>
      <c r="U537" s="449"/>
      <c r="V537" s="43" t="s">
        <v>72</v>
      </c>
      <c r="W537" s="41" t="s">
        <v>39</v>
      </c>
      <c r="AF537" s="39">
        <v>45523</v>
      </c>
      <c r="AG537" s="395"/>
      <c r="AH537" s="395"/>
      <c r="AJ537"/>
    </row>
    <row r="538" spans="1:36" ht="19.5" customHeight="1">
      <c r="A538" s="25">
        <v>536</v>
      </c>
      <c r="B538" s="505">
        <v>6070054</v>
      </c>
      <c r="C538" s="449">
        <v>45422</v>
      </c>
      <c r="D538" s="68"/>
      <c r="E538" s="68">
        <f>26919.63-1671.09</f>
        <v>25248.54</v>
      </c>
      <c r="F538" s="510">
        <v>1472822</v>
      </c>
      <c r="G538" s="449">
        <v>45429</v>
      </c>
      <c r="H538" s="68"/>
      <c r="I538" s="68">
        <f>26919.63-1671.09</f>
        <v>25248.54</v>
      </c>
      <c r="J538" s="507" t="s">
        <v>7271</v>
      </c>
      <c r="K538" s="450" t="s">
        <v>34</v>
      </c>
      <c r="M538" s="36" t="s">
        <v>7298</v>
      </c>
      <c r="N538" s="398"/>
      <c r="O538" t="s">
        <v>7296</v>
      </c>
      <c r="P538" t="s">
        <v>7297</v>
      </c>
      <c r="R538" s="38">
        <v>45325</v>
      </c>
      <c r="S538" s="39">
        <v>45690</v>
      </c>
      <c r="T538" s="449">
        <v>45425</v>
      </c>
      <c r="U538" s="449">
        <v>45789</v>
      </c>
      <c r="V538" s="43" t="s">
        <v>72</v>
      </c>
      <c r="W538" s="41" t="s">
        <v>39</v>
      </c>
      <c r="AF538" s="39">
        <v>45476</v>
      </c>
      <c r="AG538" s="395">
        <v>127000</v>
      </c>
      <c r="AH538" s="395">
        <v>66124.13</v>
      </c>
      <c r="AJ538"/>
    </row>
    <row r="539" spans="1:36" ht="19.5" customHeight="1">
      <c r="B539" s="505"/>
      <c r="C539" s="449">
        <v>45422</v>
      </c>
      <c r="D539" s="68"/>
      <c r="E539" s="68">
        <f>26919.63-25248.54</f>
        <v>1671.0900000000001</v>
      </c>
      <c r="F539" s="510">
        <v>1475059</v>
      </c>
      <c r="G539" s="449">
        <v>45429</v>
      </c>
      <c r="H539" s="68"/>
      <c r="I539" s="68">
        <f>26919.63-25248.54</f>
        <v>1671.0900000000001</v>
      </c>
      <c r="J539" s="507" t="s">
        <v>7271</v>
      </c>
      <c r="K539" s="450" t="s">
        <v>34</v>
      </c>
      <c r="M539" s="36" t="s">
        <v>7298</v>
      </c>
      <c r="N539" s="398"/>
      <c r="O539" t="s">
        <v>7296</v>
      </c>
      <c r="P539" t="s">
        <v>7297</v>
      </c>
      <c r="R539" s="38">
        <v>45325</v>
      </c>
      <c r="S539" s="39">
        <v>45690</v>
      </c>
      <c r="T539" s="449">
        <v>45425</v>
      </c>
      <c r="U539" s="449">
        <v>45789</v>
      </c>
      <c r="V539" s="43" t="s">
        <v>72</v>
      </c>
      <c r="W539" s="41" t="s">
        <v>39</v>
      </c>
      <c r="AF539" s="39">
        <v>45476</v>
      </c>
      <c r="AG539" s="395">
        <v>127000</v>
      </c>
      <c r="AH539" s="395">
        <v>66124.13</v>
      </c>
      <c r="AJ539"/>
    </row>
    <row r="540" spans="1:36" ht="19.5" customHeight="1">
      <c r="A540" s="25">
        <v>537</v>
      </c>
      <c r="B540" s="401">
        <v>6074579</v>
      </c>
      <c r="C540" s="449">
        <v>45436</v>
      </c>
      <c r="D540" s="502"/>
      <c r="E540" s="502">
        <v>4300</v>
      </c>
      <c r="F540" s="290">
        <v>1477433</v>
      </c>
      <c r="G540" s="98">
        <v>45461</v>
      </c>
      <c r="H540" s="502"/>
      <c r="I540" s="502">
        <v>4300</v>
      </c>
      <c r="J540" s="43" t="s">
        <v>7299</v>
      </c>
      <c r="K540" s="453" t="s">
        <v>193</v>
      </c>
      <c r="M540" s="36" t="s">
        <v>7300</v>
      </c>
      <c r="N540" s="398"/>
      <c r="O540" t="s">
        <v>7301</v>
      </c>
      <c r="P540" t="s">
        <v>7302</v>
      </c>
      <c r="R540" s="50" t="s">
        <v>141</v>
      </c>
      <c r="S540" s="47" t="s">
        <v>141</v>
      </c>
      <c r="T540" s="98"/>
      <c r="U540" s="98"/>
      <c r="V540" s="43" t="s">
        <v>276</v>
      </c>
      <c r="W540" s="41" t="s">
        <v>39</v>
      </c>
      <c r="AF540" s="39">
        <v>45512</v>
      </c>
      <c r="AG540" s="490"/>
      <c r="AH540" s="490"/>
      <c r="AJ540"/>
    </row>
    <row r="541" spans="1:36" ht="19.5" customHeight="1">
      <c r="A541" s="25">
        <v>538</v>
      </c>
      <c r="C541" s="449">
        <v>45436</v>
      </c>
      <c r="D541" s="68"/>
      <c r="E541" s="68">
        <v>6500</v>
      </c>
      <c r="F541" s="290">
        <v>1474447</v>
      </c>
      <c r="G541" s="466" t="s">
        <v>7303</v>
      </c>
      <c r="H541" s="68"/>
      <c r="I541" s="68">
        <v>6500</v>
      </c>
      <c r="J541" s="43" t="s">
        <v>7271</v>
      </c>
      <c r="K541" s="450" t="s">
        <v>5859</v>
      </c>
      <c r="L541" s="493" t="s">
        <v>7304</v>
      </c>
      <c r="M541" s="36" t="s">
        <v>7305</v>
      </c>
      <c r="N541" s="398"/>
      <c r="P541" s="67" t="s">
        <v>141</v>
      </c>
      <c r="Q541" s="67"/>
      <c r="R541" s="50"/>
      <c r="S541" s="47"/>
      <c r="T541" s="98"/>
      <c r="U541" s="98"/>
      <c r="W541" s="41" t="s">
        <v>39</v>
      </c>
      <c r="AF541" s="39">
        <v>45504</v>
      </c>
      <c r="AG541" s="490"/>
      <c r="AH541" s="490"/>
      <c r="AJ541"/>
    </row>
    <row r="542" spans="1:36" ht="19.5" customHeight="1">
      <c r="A542" s="25">
        <v>539</v>
      </c>
      <c r="B542" s="401">
        <v>6078115</v>
      </c>
      <c r="C542" s="449">
        <v>45448</v>
      </c>
      <c r="D542" s="68"/>
      <c r="E542" s="68">
        <v>32898.21</v>
      </c>
      <c r="F542" s="290">
        <v>1477216</v>
      </c>
      <c r="G542" s="449">
        <v>45454</v>
      </c>
      <c r="H542" s="68"/>
      <c r="I542" s="68">
        <v>32898.21</v>
      </c>
      <c r="J542" s="43" t="s">
        <v>7271</v>
      </c>
      <c r="K542" s="450" t="s">
        <v>34</v>
      </c>
      <c r="M542" s="36" t="s">
        <v>7306</v>
      </c>
      <c r="N542" s="398"/>
      <c r="O542" t="s">
        <v>7307</v>
      </c>
      <c r="P542" t="s">
        <v>7308</v>
      </c>
      <c r="R542" s="38">
        <v>45488</v>
      </c>
      <c r="S542" s="47">
        <v>45822</v>
      </c>
      <c r="T542" s="98">
        <v>45469</v>
      </c>
      <c r="U542" s="98">
        <v>45833</v>
      </c>
      <c r="V542" s="43" t="s">
        <v>80</v>
      </c>
      <c r="W542" s="41" t="s">
        <v>39</v>
      </c>
      <c r="AF542" s="39">
        <v>45482</v>
      </c>
      <c r="AG542" s="490">
        <v>297697</v>
      </c>
      <c r="AH542" s="490">
        <v>146064.32000000001</v>
      </c>
      <c r="AJ542"/>
    </row>
    <row r="543" spans="1:36" ht="19.5" customHeight="1">
      <c r="A543" s="25">
        <v>540</v>
      </c>
      <c r="B543" s="401">
        <v>6078155</v>
      </c>
      <c r="C543" s="449">
        <v>45448</v>
      </c>
      <c r="D543" s="68"/>
      <c r="E543" s="68">
        <v>112449.75</v>
      </c>
      <c r="F543" s="290">
        <v>1476750</v>
      </c>
      <c r="G543" s="449">
        <v>45454</v>
      </c>
      <c r="H543" s="68"/>
      <c r="I543" s="68">
        <v>112449.75</v>
      </c>
      <c r="J543" s="43" t="s">
        <v>7271</v>
      </c>
      <c r="K543" s="450" t="s">
        <v>34</v>
      </c>
      <c r="M543" s="36" t="s">
        <v>7309</v>
      </c>
      <c r="N543" s="398"/>
      <c r="O543" t="s">
        <v>7307</v>
      </c>
      <c r="P543" t="s">
        <v>7308</v>
      </c>
      <c r="R543" s="38">
        <v>45488</v>
      </c>
      <c r="S543" s="47">
        <v>45822</v>
      </c>
      <c r="T543" s="98">
        <v>45469</v>
      </c>
      <c r="U543" s="98">
        <v>45833</v>
      </c>
      <c r="V543" s="43" t="s">
        <v>80</v>
      </c>
      <c r="W543" s="41" t="s">
        <v>39</v>
      </c>
      <c r="AF543" s="39">
        <v>45498</v>
      </c>
      <c r="AG543" s="490">
        <v>297697</v>
      </c>
      <c r="AH543" s="490">
        <v>146064.32000000001</v>
      </c>
      <c r="AJ543"/>
    </row>
    <row r="544" spans="1:36" ht="19.5" customHeight="1">
      <c r="A544" s="25">
        <v>541</v>
      </c>
      <c r="B544" s="401">
        <v>6079984</v>
      </c>
      <c r="C544" s="449">
        <v>45455</v>
      </c>
      <c r="D544" s="68"/>
      <c r="E544" s="68">
        <v>6478.55</v>
      </c>
      <c r="F544" s="290">
        <v>1478163</v>
      </c>
      <c r="G544" s="98">
        <v>45460</v>
      </c>
      <c r="H544" s="68"/>
      <c r="I544" s="68">
        <v>6478.55</v>
      </c>
      <c r="J544" s="43" t="s">
        <v>7271</v>
      </c>
      <c r="K544" s="450" t="s">
        <v>34</v>
      </c>
      <c r="L544" s="493" t="s">
        <v>7310</v>
      </c>
      <c r="M544" s="36" t="s">
        <v>7311</v>
      </c>
      <c r="N544" s="398"/>
      <c r="O544" t="s">
        <v>7312</v>
      </c>
      <c r="P544" t="s">
        <v>7313</v>
      </c>
      <c r="R544" s="50">
        <v>45469</v>
      </c>
      <c r="S544" s="47">
        <v>45833</v>
      </c>
      <c r="T544" s="98">
        <v>45469</v>
      </c>
      <c r="U544" s="98">
        <v>45833</v>
      </c>
      <c r="V544" s="43" t="s">
        <v>80</v>
      </c>
      <c r="W544" s="41" t="s">
        <v>39</v>
      </c>
      <c r="AF544" s="39">
        <v>45482</v>
      </c>
      <c r="AG544" s="490">
        <v>14600</v>
      </c>
      <c r="AH544" s="490">
        <v>6510.48</v>
      </c>
      <c r="AJ544"/>
    </row>
    <row r="545" spans="1:36" ht="19.5" customHeight="1">
      <c r="A545" s="25">
        <v>542</v>
      </c>
      <c r="B545" s="401">
        <v>6087370</v>
      </c>
      <c r="C545" s="449">
        <v>45478</v>
      </c>
      <c r="D545" s="68"/>
      <c r="E545" s="68">
        <v>928784.96</v>
      </c>
      <c r="F545" s="290">
        <v>1482541</v>
      </c>
      <c r="G545" s="98">
        <v>45481</v>
      </c>
      <c r="H545" s="68"/>
      <c r="I545" s="68">
        <v>928784.96</v>
      </c>
      <c r="J545" s="43" t="s">
        <v>7271</v>
      </c>
      <c r="K545" s="450" t="s">
        <v>34</v>
      </c>
      <c r="M545" s="36" t="s">
        <v>7314</v>
      </c>
      <c r="N545" s="398"/>
      <c r="O545" t="s">
        <v>7315</v>
      </c>
      <c r="P545" t="s">
        <v>7316</v>
      </c>
      <c r="R545" s="50">
        <v>45484</v>
      </c>
      <c r="S545" s="47">
        <v>46578</v>
      </c>
      <c r="T545" s="98" t="s">
        <v>141</v>
      </c>
      <c r="U545" s="98" t="s">
        <v>141</v>
      </c>
      <c r="V545" s="43" t="s">
        <v>128</v>
      </c>
      <c r="W545" s="41" t="s">
        <v>39</v>
      </c>
      <c r="AF545" s="39">
        <v>45540</v>
      </c>
      <c r="AG545" s="490">
        <v>969408</v>
      </c>
      <c r="AH545" s="490">
        <v>933936.48</v>
      </c>
      <c r="AJ545"/>
    </row>
    <row r="546" spans="1:36" ht="19.5" customHeight="1">
      <c r="A546" s="25">
        <v>543</v>
      </c>
      <c r="B546" s="401">
        <v>6093811</v>
      </c>
      <c r="C546" s="449">
        <v>45497</v>
      </c>
      <c r="D546" s="68"/>
      <c r="E546" s="68">
        <v>4176.51</v>
      </c>
      <c r="F546" s="290">
        <v>1487006</v>
      </c>
      <c r="G546" s="98">
        <v>45503</v>
      </c>
      <c r="H546" s="68"/>
      <c r="I546" s="68">
        <v>4176.51</v>
      </c>
      <c r="J546" s="43" t="s">
        <v>7299</v>
      </c>
      <c r="K546" s="450" t="s">
        <v>34</v>
      </c>
      <c r="L546" s="493" t="s">
        <v>7317</v>
      </c>
      <c r="M546" s="36" t="s">
        <v>7318</v>
      </c>
      <c r="N546" s="398"/>
      <c r="O546" t="s">
        <v>7319</v>
      </c>
      <c r="P546" t="s">
        <v>7320</v>
      </c>
      <c r="R546" s="50">
        <v>45468</v>
      </c>
      <c r="S546" s="47">
        <v>45832</v>
      </c>
      <c r="T546" s="98">
        <v>45494</v>
      </c>
      <c r="U546" s="98">
        <v>45858</v>
      </c>
      <c r="V546" s="43" t="s">
        <v>85</v>
      </c>
      <c r="W546" s="41" t="s">
        <v>39</v>
      </c>
      <c r="AF546" s="47">
        <v>45513</v>
      </c>
      <c r="AG546" s="490">
        <v>20090</v>
      </c>
      <c r="AH546" s="490">
        <v>4199.67</v>
      </c>
      <c r="AJ546"/>
    </row>
    <row r="547" spans="1:36" ht="19.5" customHeight="1">
      <c r="A547" s="25">
        <v>544</v>
      </c>
      <c r="C547" s="449">
        <v>45538</v>
      </c>
      <c r="D547" s="68"/>
      <c r="E547" s="68">
        <v>370</v>
      </c>
      <c r="F547" s="290">
        <v>1492492</v>
      </c>
      <c r="G547" s="98">
        <v>45538</v>
      </c>
      <c r="H547" s="68"/>
      <c r="I547" s="68">
        <v>370</v>
      </c>
      <c r="J547" s="43" t="s">
        <v>7271</v>
      </c>
      <c r="K547" s="450" t="s">
        <v>139</v>
      </c>
      <c r="M547" s="36" t="s">
        <v>7321</v>
      </c>
      <c r="N547" s="398"/>
      <c r="P547" t="s">
        <v>7322</v>
      </c>
      <c r="R547" s="50" t="s">
        <v>141</v>
      </c>
      <c r="S547" s="47" t="s">
        <v>141</v>
      </c>
      <c r="T547" s="98"/>
      <c r="U547" s="98"/>
      <c r="W547" s="41" t="s">
        <v>39</v>
      </c>
      <c r="AF547" s="39">
        <v>45593</v>
      </c>
      <c r="AG547" s="490"/>
      <c r="AH547" s="490"/>
      <c r="AJ547"/>
    </row>
    <row r="548" spans="1:36" ht="19.5" customHeight="1">
      <c r="A548" s="25">
        <v>545</v>
      </c>
      <c r="B548" s="401">
        <v>6110124</v>
      </c>
      <c r="C548" s="449">
        <v>45548</v>
      </c>
      <c r="D548" s="68"/>
      <c r="E548" s="68">
        <v>89013.26</v>
      </c>
      <c r="F548" s="290">
        <v>1495157</v>
      </c>
      <c r="G548" s="449">
        <v>45555</v>
      </c>
      <c r="H548" s="68"/>
      <c r="I548" s="68">
        <v>89013.26</v>
      </c>
      <c r="J548" s="43" t="s">
        <v>7271</v>
      </c>
      <c r="K548" s="450" t="s">
        <v>34</v>
      </c>
      <c r="M548" s="36" t="s">
        <v>7323</v>
      </c>
      <c r="N548" s="398"/>
      <c r="O548" t="s">
        <v>7324</v>
      </c>
      <c r="P548" t="s">
        <v>7325</v>
      </c>
      <c r="R548" s="50">
        <v>45505</v>
      </c>
      <c r="S548" s="47">
        <v>46053</v>
      </c>
      <c r="T548" s="98">
        <v>45536</v>
      </c>
      <c r="U548" s="98">
        <v>46053</v>
      </c>
      <c r="V548" s="43" t="s">
        <v>7326</v>
      </c>
      <c r="W548" s="41" t="s">
        <v>114</v>
      </c>
      <c r="AF548" s="39">
        <v>45575</v>
      </c>
      <c r="AG548" s="490">
        <v>185392</v>
      </c>
      <c r="AH548" s="490">
        <v>89595.35</v>
      </c>
      <c r="AJ548"/>
    </row>
    <row r="549" spans="1:36" ht="19.5" customHeight="1">
      <c r="A549" s="25">
        <v>546</v>
      </c>
      <c r="C549" s="449">
        <v>45561</v>
      </c>
      <c r="D549" s="68"/>
      <c r="E549" s="68">
        <v>1540</v>
      </c>
      <c r="F549" s="290">
        <v>1496785</v>
      </c>
      <c r="G549" s="449">
        <v>45561</v>
      </c>
      <c r="H549" s="68"/>
      <c r="I549" s="68">
        <v>1540</v>
      </c>
      <c r="J549" s="43" t="s">
        <v>7299</v>
      </c>
      <c r="K549" s="450" t="s">
        <v>139</v>
      </c>
      <c r="L549" s="493" t="s">
        <v>7327</v>
      </c>
      <c r="M549" s="36" t="s">
        <v>7328</v>
      </c>
      <c r="N549" s="398"/>
      <c r="O549" t="s">
        <v>7329</v>
      </c>
      <c r="P549" t="s">
        <v>7330</v>
      </c>
      <c r="R549" s="50" t="s">
        <v>141</v>
      </c>
      <c r="S549" s="47" t="s">
        <v>141</v>
      </c>
      <c r="T549" s="98"/>
      <c r="U549" s="98"/>
      <c r="V549" s="43" t="s">
        <v>7331</v>
      </c>
      <c r="W549" s="41" t="s">
        <v>39</v>
      </c>
      <c r="AF549" s="39">
        <v>45594</v>
      </c>
      <c r="AG549" s="490"/>
      <c r="AH549" s="490"/>
      <c r="AJ549"/>
    </row>
    <row r="550" spans="1:36" ht="19.5" customHeight="1">
      <c r="A550" s="25">
        <v>547</v>
      </c>
      <c r="B550" s="401">
        <v>6121229</v>
      </c>
      <c r="C550" s="449">
        <v>45581</v>
      </c>
      <c r="D550" s="68">
        <f>3482.43</f>
        <v>3482.43</v>
      </c>
      <c r="E550" s="68">
        <v>27105.84</v>
      </c>
      <c r="F550" s="290">
        <v>1500458</v>
      </c>
      <c r="G550" s="449">
        <v>45582</v>
      </c>
      <c r="H550" s="68">
        <f>3482.43</f>
        <v>3482.43</v>
      </c>
      <c r="I550" s="68">
        <v>27105.84</v>
      </c>
      <c r="J550" s="43" t="s">
        <v>7299</v>
      </c>
      <c r="K550" s="450" t="s">
        <v>34</v>
      </c>
      <c r="M550" s="36" t="s">
        <v>7332</v>
      </c>
      <c r="N550" s="398"/>
      <c r="O550" t="s">
        <v>7333</v>
      </c>
      <c r="P550" t="s">
        <v>7334</v>
      </c>
      <c r="R550" s="38">
        <v>45580</v>
      </c>
      <c r="S550" s="39">
        <v>45944</v>
      </c>
      <c r="T550" s="449">
        <v>45674</v>
      </c>
      <c r="U550" s="449">
        <v>46038</v>
      </c>
      <c r="V550" s="43" t="s">
        <v>51</v>
      </c>
      <c r="W550" s="41" t="s">
        <v>39</v>
      </c>
      <c r="AF550" s="39">
        <v>45600</v>
      </c>
      <c r="AG550" s="395">
        <v>253149</v>
      </c>
      <c r="AH550" s="395">
        <v>27337.08</v>
      </c>
      <c r="AJ550"/>
    </row>
    <row r="551" spans="1:36" ht="19.5" customHeight="1">
      <c r="A551" s="25">
        <v>548</v>
      </c>
      <c r="B551" s="401">
        <v>6122398</v>
      </c>
      <c r="C551" s="449">
        <v>45586</v>
      </c>
      <c r="D551" s="68">
        <v>3920.59</v>
      </c>
      <c r="E551" s="68">
        <v>30516.3</v>
      </c>
      <c r="F551" s="290">
        <v>1500832</v>
      </c>
      <c r="G551" s="98">
        <v>45588</v>
      </c>
      <c r="H551" s="68">
        <v>3920.59</v>
      </c>
      <c r="I551" s="68">
        <v>30516.3</v>
      </c>
      <c r="J551" s="43" t="s">
        <v>33</v>
      </c>
      <c r="K551" s="450" t="s">
        <v>34</v>
      </c>
      <c r="M551" s="36" t="s">
        <v>7335</v>
      </c>
      <c r="N551" s="398"/>
      <c r="O551" t="s">
        <v>7336</v>
      </c>
      <c r="P551" t="s">
        <v>7337</v>
      </c>
      <c r="R551" s="50">
        <v>45583</v>
      </c>
      <c r="S551" s="47">
        <v>45947</v>
      </c>
      <c r="T551" s="98">
        <v>45584</v>
      </c>
      <c r="U551" s="98">
        <v>45948</v>
      </c>
      <c r="V551" s="43" t="s">
        <v>7338</v>
      </c>
      <c r="W551" s="41" t="s">
        <v>114</v>
      </c>
      <c r="AF551" s="39">
        <v>45600</v>
      </c>
      <c r="AG551" s="490">
        <v>349000</v>
      </c>
      <c r="AH551" s="490">
        <v>257722.19</v>
      </c>
      <c r="AJ551"/>
    </row>
    <row r="552" spans="1:36" ht="19.5" customHeight="1">
      <c r="A552" s="25">
        <v>549</v>
      </c>
      <c r="B552" s="401">
        <v>6122517</v>
      </c>
      <c r="C552" s="449">
        <v>45586</v>
      </c>
      <c r="D552" s="68">
        <v>28581.599999999999</v>
      </c>
      <c r="E552" s="68">
        <v>222467.74</v>
      </c>
      <c r="F552" s="290">
        <v>1501077</v>
      </c>
      <c r="G552" s="98">
        <v>45587</v>
      </c>
      <c r="H552" s="68">
        <v>28581.599999999999</v>
      </c>
      <c r="I552" s="68">
        <v>222467.74</v>
      </c>
      <c r="J552" s="43" t="s">
        <v>33</v>
      </c>
      <c r="K552" s="450" t="s">
        <v>34</v>
      </c>
      <c r="M552" s="36" t="s">
        <v>7339</v>
      </c>
      <c r="N552" s="398"/>
      <c r="O552" t="s">
        <v>7336</v>
      </c>
      <c r="P552" t="s">
        <v>7337</v>
      </c>
      <c r="R552" s="50">
        <v>45583</v>
      </c>
      <c r="S552" s="47">
        <v>45947</v>
      </c>
      <c r="T552" s="98">
        <v>45598</v>
      </c>
      <c r="U552" s="98">
        <v>45962</v>
      </c>
      <c r="V552" s="43" t="s">
        <v>7338</v>
      </c>
      <c r="W552" s="41" t="s">
        <v>114</v>
      </c>
      <c r="AF552" s="39">
        <v>45601</v>
      </c>
      <c r="AG552" s="490">
        <v>349000</v>
      </c>
      <c r="AH552" s="490">
        <v>257722.19</v>
      </c>
      <c r="AJ552"/>
    </row>
    <row r="553" spans="1:36" ht="19.5" customHeight="1">
      <c r="A553" s="25">
        <v>550</v>
      </c>
      <c r="C553" s="449">
        <v>45588</v>
      </c>
      <c r="D553" s="68"/>
      <c r="E553" s="68">
        <v>2580</v>
      </c>
      <c r="F553" s="290">
        <v>1501350</v>
      </c>
      <c r="G553" s="98">
        <v>45588</v>
      </c>
      <c r="H553" s="68"/>
      <c r="I553" s="68">
        <v>2580</v>
      </c>
      <c r="J553" s="43" t="s">
        <v>33</v>
      </c>
      <c r="K553" s="450" t="s">
        <v>139</v>
      </c>
      <c r="M553" s="36" t="s">
        <v>7340</v>
      </c>
      <c r="N553" s="398"/>
      <c r="O553" t="s">
        <v>7336</v>
      </c>
      <c r="P553" t="s">
        <v>7337</v>
      </c>
      <c r="R553" s="50">
        <v>45583</v>
      </c>
      <c r="S553" s="47">
        <v>45947</v>
      </c>
      <c r="T553" s="98" t="s">
        <v>141</v>
      </c>
      <c r="U553" s="98" t="s">
        <v>141</v>
      </c>
      <c r="V553" s="43" t="s">
        <v>7341</v>
      </c>
      <c r="W553" s="41" t="s">
        <v>39</v>
      </c>
      <c r="AA553" s="469">
        <v>90006502</v>
      </c>
      <c r="AB553" s="511">
        <v>45618</v>
      </c>
      <c r="AF553" s="39">
        <v>45623</v>
      </c>
      <c r="AG553" s="490">
        <v>349000</v>
      </c>
      <c r="AH553" s="490">
        <v>257722.19</v>
      </c>
      <c r="AJ553"/>
    </row>
    <row r="554" spans="1:36" ht="19.5" customHeight="1">
      <c r="A554" s="25">
        <v>551</v>
      </c>
      <c r="B554" s="401">
        <v>6128380</v>
      </c>
      <c r="C554" s="449">
        <v>45603</v>
      </c>
      <c r="D554" s="68"/>
      <c r="E554" s="502">
        <v>9360</v>
      </c>
      <c r="F554" s="290">
        <v>1505138</v>
      </c>
      <c r="G554" s="98">
        <v>45610</v>
      </c>
      <c r="H554" s="68"/>
      <c r="I554" s="502">
        <v>9360</v>
      </c>
      <c r="J554" s="43" t="s">
        <v>33</v>
      </c>
      <c r="K554" s="450" t="s">
        <v>139</v>
      </c>
      <c r="M554" s="36" t="s">
        <v>7342</v>
      </c>
      <c r="N554" s="398"/>
      <c r="O554" t="s">
        <v>7343</v>
      </c>
      <c r="P554" t="s">
        <v>7344</v>
      </c>
      <c r="R554" s="38">
        <v>45566</v>
      </c>
      <c r="S554" s="39">
        <v>45930</v>
      </c>
      <c r="T554" s="98" t="s">
        <v>141</v>
      </c>
      <c r="U554" s="98" t="s">
        <v>141</v>
      </c>
      <c r="V554" s="43" t="s">
        <v>306</v>
      </c>
      <c r="W554" s="41" t="s">
        <v>39</v>
      </c>
      <c r="AA554" s="469">
        <v>90006597</v>
      </c>
      <c r="AB554" s="511">
        <v>45666</v>
      </c>
      <c r="AF554" s="39">
        <v>45692</v>
      </c>
      <c r="AG554" s="395">
        <v>46022</v>
      </c>
      <c r="AH554" s="395">
        <v>12960</v>
      </c>
      <c r="AJ554"/>
    </row>
    <row r="555" spans="1:36" ht="19.5" customHeight="1">
      <c r="A555" s="25">
        <v>552</v>
      </c>
      <c r="B555" s="401">
        <v>6133776</v>
      </c>
      <c r="C555" s="449">
        <v>45622</v>
      </c>
      <c r="D555" s="68">
        <v>907.2</v>
      </c>
      <c r="E555" s="68">
        <v>7049.3</v>
      </c>
      <c r="F555" s="290">
        <v>1508202</v>
      </c>
      <c r="G555" s="98">
        <v>45623</v>
      </c>
      <c r="H555" s="68">
        <v>907.2</v>
      </c>
      <c r="I555" s="68">
        <v>7049.3</v>
      </c>
      <c r="J555" s="43" t="s">
        <v>33</v>
      </c>
      <c r="K555" s="450" t="s">
        <v>34</v>
      </c>
      <c r="M555" s="36" t="s">
        <v>7345</v>
      </c>
      <c r="N555" s="398"/>
      <c r="O555" t="s">
        <v>7346</v>
      </c>
      <c r="P555" t="s">
        <v>7347</v>
      </c>
      <c r="R555" s="50">
        <v>45614</v>
      </c>
      <c r="S555" s="47">
        <v>45978</v>
      </c>
      <c r="T555" s="98" t="s">
        <v>141</v>
      </c>
      <c r="U555" s="98" t="s">
        <v>141</v>
      </c>
      <c r="V555" s="43" t="s">
        <v>7348</v>
      </c>
      <c r="W555" s="41" t="s">
        <v>39</v>
      </c>
      <c r="AF555" s="39">
        <v>45623</v>
      </c>
      <c r="AG555" s="490">
        <v>62500</v>
      </c>
      <c r="AH555" s="490">
        <v>21197.67</v>
      </c>
      <c r="AJ555"/>
    </row>
    <row r="556" spans="1:36" ht="19.5" customHeight="1">
      <c r="A556" s="25">
        <v>553</v>
      </c>
      <c r="B556" s="401">
        <v>6136493</v>
      </c>
      <c r="C556" s="449">
        <v>45630</v>
      </c>
      <c r="D556" s="68">
        <v>1965.39</v>
      </c>
      <c r="E556" s="68">
        <v>15294.66</v>
      </c>
      <c r="F556" s="290">
        <v>1509727</v>
      </c>
      <c r="G556" s="98">
        <v>45636</v>
      </c>
      <c r="H556" s="68">
        <v>1965.39</v>
      </c>
      <c r="I556" s="68">
        <v>15294.66</v>
      </c>
      <c r="J556" s="43" t="s">
        <v>33</v>
      </c>
      <c r="K556" s="450" t="s">
        <v>34</v>
      </c>
      <c r="M556" s="36" t="s">
        <v>7349</v>
      </c>
      <c r="N556" s="398"/>
      <c r="O556" t="s">
        <v>7350</v>
      </c>
      <c r="P556" t="s">
        <v>7351</v>
      </c>
      <c r="R556" s="50">
        <v>45643</v>
      </c>
      <c r="S556" s="47">
        <v>46007</v>
      </c>
      <c r="T556" s="98">
        <v>45643</v>
      </c>
      <c r="U556" s="98">
        <v>46007</v>
      </c>
      <c r="V556" s="43" t="s">
        <v>51</v>
      </c>
      <c r="W556" s="41" t="s">
        <v>39</v>
      </c>
      <c r="AF556" s="39">
        <v>45649</v>
      </c>
      <c r="AG556" s="490">
        <v>95604</v>
      </c>
      <c r="AH556" s="490">
        <v>15428.31</v>
      </c>
      <c r="AJ556"/>
    </row>
    <row r="557" spans="1:36" ht="19.5" customHeight="1">
      <c r="A557" s="25">
        <v>554</v>
      </c>
      <c r="C557" s="449">
        <v>45636</v>
      </c>
      <c r="D557" s="68"/>
      <c r="E557" s="68">
        <v>3500</v>
      </c>
      <c r="F557" s="290">
        <v>1510636</v>
      </c>
      <c r="G557" s="98">
        <v>45636</v>
      </c>
      <c r="H557" s="68"/>
      <c r="I557" s="68">
        <v>3500</v>
      </c>
      <c r="J557" s="43" t="s">
        <v>33</v>
      </c>
      <c r="K557" s="450" t="s">
        <v>5859</v>
      </c>
      <c r="M557" s="36" t="s">
        <v>7305</v>
      </c>
      <c r="N557" s="398"/>
      <c r="P557" t="s">
        <v>7352</v>
      </c>
      <c r="R557" s="50" t="s">
        <v>141</v>
      </c>
      <c r="S557" s="47" t="s">
        <v>141</v>
      </c>
      <c r="T557" s="98"/>
      <c r="U557" s="98"/>
      <c r="W557" s="41" t="s">
        <v>39</v>
      </c>
      <c r="AA557" s="469" t="s">
        <v>7353</v>
      </c>
      <c r="AB557" s="511">
        <v>45665</v>
      </c>
      <c r="AF557" s="39">
        <v>45692</v>
      </c>
      <c r="AG557" s="490"/>
      <c r="AH557" s="490"/>
      <c r="AJ557"/>
    </row>
    <row r="558" spans="1:36" ht="19.5" customHeight="1">
      <c r="A558" s="25">
        <v>555</v>
      </c>
      <c r="B558" s="401">
        <v>6140253</v>
      </c>
      <c r="C558" s="449">
        <v>45643</v>
      </c>
      <c r="D558" s="68">
        <v>1415.3</v>
      </c>
      <c r="E558" s="68">
        <v>11013.86</v>
      </c>
      <c r="F558" s="290">
        <v>1512809</v>
      </c>
      <c r="G558" s="449">
        <v>45646</v>
      </c>
      <c r="H558" s="68">
        <v>1415.3</v>
      </c>
      <c r="I558" s="68">
        <v>11013.86</v>
      </c>
      <c r="J558" s="43" t="s">
        <v>33</v>
      </c>
      <c r="K558" s="450" t="s">
        <v>34</v>
      </c>
      <c r="M558" s="36" t="s">
        <v>7354</v>
      </c>
      <c r="N558" s="398"/>
      <c r="O558" t="s">
        <v>7346</v>
      </c>
      <c r="P558" t="s">
        <v>7347</v>
      </c>
      <c r="R558" s="50">
        <v>45614</v>
      </c>
      <c r="S558" s="47">
        <v>45978</v>
      </c>
      <c r="T558" s="98">
        <v>45614</v>
      </c>
      <c r="U558" s="98">
        <v>45978</v>
      </c>
      <c r="V558" s="43" t="s">
        <v>7348</v>
      </c>
      <c r="W558" s="41" t="s">
        <v>39</v>
      </c>
      <c r="AF558" s="39">
        <v>45656</v>
      </c>
      <c r="AG558" s="490">
        <v>62500</v>
      </c>
      <c r="AH558" s="490">
        <v>18237.91</v>
      </c>
      <c r="AJ558"/>
    </row>
    <row r="559" spans="1:36" ht="19.5" customHeight="1">
      <c r="A559" s="25">
        <v>556</v>
      </c>
      <c r="B559" s="401">
        <v>6140320</v>
      </c>
      <c r="C559" s="449">
        <v>45640</v>
      </c>
      <c r="D559" s="68">
        <v>944.05</v>
      </c>
      <c r="E559" s="68">
        <v>7346.6</v>
      </c>
      <c r="F559" s="290">
        <v>1511995</v>
      </c>
      <c r="G559" s="449">
        <v>45645</v>
      </c>
      <c r="H559" s="68">
        <v>944.05</v>
      </c>
      <c r="I559" s="68">
        <v>7346.6</v>
      </c>
      <c r="J559" s="43" t="s">
        <v>33</v>
      </c>
      <c r="K559" s="450" t="s">
        <v>34</v>
      </c>
      <c r="M559" s="36" t="s">
        <v>7355</v>
      </c>
      <c r="N559" s="398"/>
      <c r="O559" t="s">
        <v>7356</v>
      </c>
      <c r="P559" s="67" t="s">
        <v>7357</v>
      </c>
      <c r="Q559" s="67"/>
      <c r="R559" s="50">
        <v>45536</v>
      </c>
      <c r="S559" s="47">
        <v>45900</v>
      </c>
      <c r="T559" s="98">
        <v>45608</v>
      </c>
      <c r="U559" s="98">
        <v>45972</v>
      </c>
      <c r="V559" s="43" t="s">
        <v>302</v>
      </c>
      <c r="W559" s="41" t="s">
        <v>39</v>
      </c>
      <c r="AF559" s="39">
        <v>45656</v>
      </c>
      <c r="AG559" s="490">
        <v>400000</v>
      </c>
      <c r="AH559" s="490">
        <v>185028.26</v>
      </c>
      <c r="AJ559"/>
    </row>
    <row r="560" spans="1:36" ht="19.5" customHeight="1">
      <c r="A560" s="25">
        <v>557</v>
      </c>
      <c r="B560" s="401">
        <v>6142263</v>
      </c>
      <c r="C560" s="449" t="s">
        <v>7358</v>
      </c>
      <c r="D560" s="68">
        <v>3866.99</v>
      </c>
      <c r="E560" s="68">
        <v>30092.92</v>
      </c>
      <c r="F560" s="290">
        <v>1513548</v>
      </c>
      <c r="G560" s="98">
        <v>45656</v>
      </c>
      <c r="H560" s="68">
        <v>3866.99</v>
      </c>
      <c r="I560" s="68">
        <v>30092.92</v>
      </c>
      <c r="J560" s="43" t="s">
        <v>33</v>
      </c>
      <c r="K560" s="450" t="s">
        <v>34</v>
      </c>
      <c r="M560" s="36" t="s">
        <v>7359</v>
      </c>
      <c r="N560" s="398"/>
      <c r="O560" t="s">
        <v>7360</v>
      </c>
      <c r="P560" t="s">
        <v>7361</v>
      </c>
      <c r="R560" s="50">
        <v>45658</v>
      </c>
      <c r="S560" s="47" t="s">
        <v>567</v>
      </c>
      <c r="T560" s="98">
        <v>45658</v>
      </c>
      <c r="U560" s="98" t="s">
        <v>567</v>
      </c>
      <c r="V560" s="43" t="s">
        <v>1576</v>
      </c>
      <c r="W560" s="41" t="s">
        <v>39</v>
      </c>
      <c r="AF560" s="39">
        <v>45679</v>
      </c>
      <c r="AG560" s="490">
        <v>781500</v>
      </c>
      <c r="AH560" s="490">
        <v>34375.870000000003</v>
      </c>
      <c r="AJ560"/>
    </row>
    <row r="561" spans="1:36" ht="19.5" customHeight="1">
      <c r="A561" s="25">
        <v>558</v>
      </c>
      <c r="C561" s="449">
        <v>45649</v>
      </c>
      <c r="D561" s="68"/>
      <c r="E561" s="68">
        <v>4020</v>
      </c>
      <c r="F561" s="290">
        <v>1513528</v>
      </c>
      <c r="G561" s="98">
        <v>45650</v>
      </c>
      <c r="H561" s="68"/>
      <c r="I561" s="68">
        <v>4020</v>
      </c>
      <c r="J561" s="43" t="s">
        <v>33</v>
      </c>
      <c r="K561" s="450" t="s">
        <v>139</v>
      </c>
      <c r="M561" s="36" t="s">
        <v>7362</v>
      </c>
      <c r="N561" s="398"/>
      <c r="O561" t="s">
        <v>7360</v>
      </c>
      <c r="P561" t="s">
        <v>7361</v>
      </c>
      <c r="R561" s="50"/>
      <c r="S561" s="47"/>
      <c r="T561" s="98"/>
      <c r="U561" s="98"/>
      <c r="V561" s="43" t="s">
        <v>1576</v>
      </c>
      <c r="W561" s="41" t="s">
        <v>114</v>
      </c>
      <c r="AA561" s="469" t="s">
        <v>151</v>
      </c>
      <c r="AB561" s="511">
        <v>45699</v>
      </c>
      <c r="AF561" s="39">
        <v>45719</v>
      </c>
      <c r="AG561" s="490"/>
      <c r="AH561" s="490"/>
      <c r="AJ561"/>
    </row>
    <row r="562" spans="1:36" ht="19.5" customHeight="1" thickBot="1">
      <c r="A562" s="25">
        <v>559</v>
      </c>
      <c r="B562" s="401">
        <v>6142872</v>
      </c>
      <c r="C562" s="449">
        <v>45653</v>
      </c>
      <c r="D562" s="68">
        <v>2243.06</v>
      </c>
      <c r="E562" s="68">
        <v>17455.490000000002</v>
      </c>
      <c r="F562" s="290">
        <v>1513886</v>
      </c>
      <c r="G562" s="98">
        <v>45659</v>
      </c>
      <c r="H562" s="68">
        <v>2243.06</v>
      </c>
      <c r="I562" s="68">
        <v>17455.490000000002</v>
      </c>
      <c r="J562" s="43" t="s">
        <v>33</v>
      </c>
      <c r="K562" s="450" t="s">
        <v>34</v>
      </c>
      <c r="M562" s="36" t="s">
        <v>7363</v>
      </c>
      <c r="N562" s="398"/>
      <c r="O562" t="s">
        <v>7364</v>
      </c>
      <c r="P562" t="s">
        <v>7365</v>
      </c>
      <c r="R562" s="50">
        <v>45658</v>
      </c>
      <c r="S562" s="47" t="s">
        <v>567</v>
      </c>
      <c r="T562" s="98">
        <v>45715</v>
      </c>
      <c r="U562" s="98">
        <v>46079</v>
      </c>
      <c r="V562" s="43" t="s">
        <v>128</v>
      </c>
      <c r="W562" s="41" t="s">
        <v>114</v>
      </c>
      <c r="AF562" s="39">
        <v>45680</v>
      </c>
      <c r="AG562" s="490">
        <v>32000</v>
      </c>
      <c r="AH562" s="490">
        <v>10212.61</v>
      </c>
      <c r="AJ562"/>
    </row>
    <row r="563" spans="1:36" ht="19.5" customHeight="1">
      <c r="A563" s="25">
        <v>1</v>
      </c>
      <c r="B563" s="135">
        <v>6144751</v>
      </c>
      <c r="C563" s="512">
        <v>45660</v>
      </c>
      <c r="D563" s="176">
        <v>17364.509999999998</v>
      </c>
      <c r="E563" s="176">
        <f>134845.84-9930.24</f>
        <v>124915.59999999999</v>
      </c>
      <c r="F563" s="513">
        <v>1515228</v>
      </c>
      <c r="G563" s="514">
        <v>45666</v>
      </c>
      <c r="H563" s="176">
        <v>17364.509999999998</v>
      </c>
      <c r="I563" s="176">
        <f>134845.84-9930.24</f>
        <v>124915.59999999999</v>
      </c>
      <c r="J563" s="422" t="s">
        <v>33</v>
      </c>
      <c r="K563" s="515" t="s">
        <v>34</v>
      </c>
      <c r="M563" s="143" t="s">
        <v>7366</v>
      </c>
      <c r="N563" s="398"/>
      <c r="O563" t="s">
        <v>7367</v>
      </c>
      <c r="P563" t="s">
        <v>7368</v>
      </c>
      <c r="R563" s="50">
        <v>45592</v>
      </c>
      <c r="S563" s="47">
        <v>46686</v>
      </c>
      <c r="T563" s="98">
        <v>45658</v>
      </c>
      <c r="U563" s="98">
        <v>46752</v>
      </c>
      <c r="V563" s="43" t="s">
        <v>7369</v>
      </c>
      <c r="W563" s="41" t="s">
        <v>114</v>
      </c>
      <c r="AF563" s="39">
        <v>45680</v>
      </c>
      <c r="AG563" s="490">
        <v>177205</v>
      </c>
      <c r="AH563" s="490">
        <v>136311.4</v>
      </c>
      <c r="AJ563"/>
    </row>
    <row r="564" spans="1:36" ht="19.5" customHeight="1" thickBot="1">
      <c r="A564" s="25">
        <f>A563+1</f>
        <v>2</v>
      </c>
      <c r="B564" s="155">
        <v>6144751</v>
      </c>
      <c r="C564" s="516">
        <v>45660</v>
      </c>
      <c r="D564" s="157">
        <v>17364.509999999998</v>
      </c>
      <c r="E564" s="157">
        <f>134845.84-124915.6</f>
        <v>9930.2399999999907</v>
      </c>
      <c r="F564" s="517">
        <v>1515151</v>
      </c>
      <c r="G564" s="518">
        <v>45666</v>
      </c>
      <c r="H564" s="157">
        <v>17364.509999999998</v>
      </c>
      <c r="I564" s="157">
        <f>134845.84-124915.6</f>
        <v>9930.2399999999907</v>
      </c>
      <c r="J564" s="427" t="s">
        <v>33</v>
      </c>
      <c r="K564" s="477" t="s">
        <v>977</v>
      </c>
      <c r="M564" s="163" t="s">
        <v>7370</v>
      </c>
      <c r="N564" s="398"/>
      <c r="O564" t="s">
        <v>7367</v>
      </c>
      <c r="P564" t="s">
        <v>7368</v>
      </c>
      <c r="R564" s="50">
        <v>45592</v>
      </c>
      <c r="S564" s="47">
        <v>46686</v>
      </c>
      <c r="T564" s="98">
        <v>45658</v>
      </c>
      <c r="U564" s="98">
        <v>46752</v>
      </c>
      <c r="V564" s="43" t="s">
        <v>7369</v>
      </c>
      <c r="W564" s="41" t="s">
        <v>114</v>
      </c>
      <c r="AA564" s="469" t="s">
        <v>7371</v>
      </c>
      <c r="AB564" s="511">
        <v>45713</v>
      </c>
      <c r="AF564" s="39">
        <v>45715</v>
      </c>
      <c r="AG564" s="490">
        <v>177205</v>
      </c>
      <c r="AH564" s="490">
        <v>136311.4</v>
      </c>
      <c r="AJ564"/>
    </row>
    <row r="565" spans="1:36" ht="19.5" customHeight="1">
      <c r="A565" s="25">
        <f t="shared" ref="A565:A628" si="0">A564+1</f>
        <v>3</v>
      </c>
      <c r="B565" s="401">
        <v>6146299</v>
      </c>
      <c r="C565" s="449">
        <v>45665</v>
      </c>
      <c r="D565" s="68">
        <v>2536.5100000000002</v>
      </c>
      <c r="E565" s="68">
        <v>19697.52</v>
      </c>
      <c r="F565" s="290">
        <v>1515949</v>
      </c>
      <c r="G565" s="449">
        <v>45667</v>
      </c>
      <c r="H565" s="68">
        <v>2536.5100000000002</v>
      </c>
      <c r="I565" s="68">
        <v>19697.52</v>
      </c>
      <c r="J565" s="43" t="s">
        <v>33</v>
      </c>
      <c r="K565" s="450" t="s">
        <v>34</v>
      </c>
      <c r="M565" s="36" t="s">
        <v>7372</v>
      </c>
      <c r="N565" s="398"/>
      <c r="O565" t="s">
        <v>7373</v>
      </c>
      <c r="P565" t="s">
        <v>7374</v>
      </c>
      <c r="R565" s="38">
        <v>45659</v>
      </c>
      <c r="S565" s="39">
        <v>46091</v>
      </c>
      <c r="T565" s="449">
        <v>45768</v>
      </c>
      <c r="U565" s="449">
        <v>46132</v>
      </c>
      <c r="V565" s="43" t="s">
        <v>128</v>
      </c>
      <c r="W565" s="41" t="s">
        <v>39</v>
      </c>
      <c r="AF565" s="39">
        <v>45708</v>
      </c>
      <c r="AG565" s="395">
        <v>196489</v>
      </c>
      <c r="AH565" s="395">
        <v>122963.53</v>
      </c>
      <c r="AJ565"/>
    </row>
    <row r="566" spans="1:36" ht="19.5" customHeight="1">
      <c r="A566" s="25">
        <f t="shared" si="0"/>
        <v>4</v>
      </c>
      <c r="B566" s="401">
        <v>6146360</v>
      </c>
      <c r="C566" s="449">
        <v>45665</v>
      </c>
      <c r="D566" s="68">
        <v>12348</v>
      </c>
      <c r="E566" s="68">
        <v>95889.63</v>
      </c>
      <c r="F566" s="290">
        <v>1516032</v>
      </c>
      <c r="G566" s="98">
        <v>45671</v>
      </c>
      <c r="H566" s="68">
        <v>12348</v>
      </c>
      <c r="I566" s="68">
        <v>95889.63</v>
      </c>
      <c r="J566" s="43" t="s">
        <v>33</v>
      </c>
      <c r="K566" s="450" t="s">
        <v>34</v>
      </c>
      <c r="M566" s="36" t="s">
        <v>7375</v>
      </c>
      <c r="N566" s="398"/>
      <c r="O566" t="s">
        <v>7373</v>
      </c>
      <c r="P566" t="s">
        <v>7374</v>
      </c>
      <c r="R566" s="38">
        <v>45659</v>
      </c>
      <c r="S566" s="39">
        <v>46091</v>
      </c>
      <c r="T566" s="98" t="s">
        <v>141</v>
      </c>
      <c r="U566" s="98" t="s">
        <v>141</v>
      </c>
      <c r="V566" s="43" t="s">
        <v>128</v>
      </c>
      <c r="W566" s="41" t="s">
        <v>39</v>
      </c>
      <c r="AF566" s="39">
        <v>45715</v>
      </c>
      <c r="AG566" s="395">
        <v>196489</v>
      </c>
      <c r="AH566" s="395">
        <v>122963.53</v>
      </c>
      <c r="AJ566"/>
    </row>
    <row r="567" spans="1:36" ht="19.5" customHeight="1">
      <c r="A567" s="25">
        <f t="shared" si="0"/>
        <v>5</v>
      </c>
      <c r="B567" s="401">
        <v>6146402</v>
      </c>
      <c r="C567" s="449">
        <v>45665</v>
      </c>
      <c r="D567" s="68"/>
      <c r="E567" s="68">
        <v>5510</v>
      </c>
      <c r="F567" s="290">
        <v>1516354</v>
      </c>
      <c r="G567" s="98">
        <v>45671</v>
      </c>
      <c r="H567" s="68"/>
      <c r="I567" s="68">
        <v>5510</v>
      </c>
      <c r="J567" s="43" t="s">
        <v>1337</v>
      </c>
      <c r="K567" s="450" t="s">
        <v>7255</v>
      </c>
      <c r="M567" s="36" t="s">
        <v>7376</v>
      </c>
      <c r="N567" s="398"/>
      <c r="O567" t="s">
        <v>7373</v>
      </c>
      <c r="P567" t="s">
        <v>7374</v>
      </c>
      <c r="R567" s="38">
        <v>45659</v>
      </c>
      <c r="S567" s="39">
        <v>46091</v>
      </c>
      <c r="T567" s="449">
        <v>45689</v>
      </c>
      <c r="U567" s="449">
        <v>46053</v>
      </c>
      <c r="V567" s="43" t="s">
        <v>128</v>
      </c>
      <c r="W567" s="41" t="s">
        <v>39</v>
      </c>
      <c r="AA567" s="469" t="s">
        <v>7377</v>
      </c>
      <c r="AB567" s="511">
        <v>45705</v>
      </c>
      <c r="AF567" s="39">
        <v>45740</v>
      </c>
      <c r="AG567" s="395">
        <v>196489</v>
      </c>
      <c r="AH567" s="395">
        <v>122963.53</v>
      </c>
      <c r="AJ567"/>
    </row>
    <row r="568" spans="1:36" ht="19.5" customHeight="1">
      <c r="A568" s="25">
        <f t="shared" si="0"/>
        <v>6</v>
      </c>
      <c r="B568" s="401">
        <v>6148912</v>
      </c>
      <c r="C568" s="449">
        <v>45673</v>
      </c>
      <c r="D568" s="68">
        <v>15090.76</v>
      </c>
      <c r="E568" s="68">
        <v>117188.81</v>
      </c>
      <c r="F568" s="290">
        <v>1517384</v>
      </c>
      <c r="G568" s="449">
        <v>45680</v>
      </c>
      <c r="H568" s="68">
        <v>15090.76</v>
      </c>
      <c r="I568" s="68">
        <v>117188.81</v>
      </c>
      <c r="J568" s="43" t="s">
        <v>33</v>
      </c>
      <c r="K568" s="450" t="s">
        <v>34</v>
      </c>
      <c r="M568" s="36" t="s">
        <v>7378</v>
      </c>
      <c r="N568" s="398"/>
      <c r="O568" t="s">
        <v>7379</v>
      </c>
      <c r="P568" t="s">
        <v>7380</v>
      </c>
      <c r="R568" s="38">
        <v>45658</v>
      </c>
      <c r="S568" s="39">
        <v>46022</v>
      </c>
      <c r="T568" s="449">
        <v>45658</v>
      </c>
      <c r="U568" s="449">
        <v>46752</v>
      </c>
      <c r="V568" s="43" t="s">
        <v>735</v>
      </c>
      <c r="W568" s="41" t="s">
        <v>39</v>
      </c>
      <c r="AF568" s="39">
        <v>45708</v>
      </c>
      <c r="AG568" s="395">
        <v>671119</v>
      </c>
      <c r="AH568" s="395">
        <v>362805.99</v>
      </c>
      <c r="AJ568"/>
    </row>
    <row r="569" spans="1:36" ht="19.5" customHeight="1">
      <c r="A569" s="25">
        <f t="shared" si="0"/>
        <v>7</v>
      </c>
      <c r="B569" s="401">
        <v>6149010</v>
      </c>
      <c r="C569" s="449">
        <v>45674</v>
      </c>
      <c r="D569" s="68">
        <v>8921.91</v>
      </c>
      <c r="E569" s="68">
        <v>69292.990000000005</v>
      </c>
      <c r="F569" s="290">
        <v>1517359</v>
      </c>
      <c r="G569" s="449">
        <v>45678</v>
      </c>
      <c r="H569" s="68">
        <v>8921.91</v>
      </c>
      <c r="I569" s="68">
        <v>69292.990000000005</v>
      </c>
      <c r="J569" s="43" t="s">
        <v>384</v>
      </c>
      <c r="K569" s="450" t="s">
        <v>34</v>
      </c>
      <c r="M569" s="36" t="s">
        <v>7381</v>
      </c>
      <c r="N569" s="398"/>
      <c r="O569" t="s">
        <v>7379</v>
      </c>
      <c r="P569" t="s">
        <v>7380</v>
      </c>
      <c r="R569" s="50">
        <v>45658</v>
      </c>
      <c r="S569" s="47">
        <v>46022</v>
      </c>
      <c r="T569" s="98">
        <v>45632</v>
      </c>
      <c r="U569" s="98">
        <v>46752</v>
      </c>
      <c r="V569" s="43" t="s">
        <v>735</v>
      </c>
      <c r="W569" s="41" t="s">
        <v>39</v>
      </c>
      <c r="AF569" s="39">
        <v>45708</v>
      </c>
      <c r="AG569" s="490">
        <v>671119</v>
      </c>
      <c r="AH569" s="490">
        <v>362805.99</v>
      </c>
      <c r="AJ569"/>
    </row>
    <row r="570" spans="1:36" ht="19.5" customHeight="1">
      <c r="A570" s="25">
        <f t="shared" si="0"/>
        <v>8</v>
      </c>
      <c r="B570" s="401">
        <v>6149487</v>
      </c>
      <c r="C570" s="449">
        <v>45674</v>
      </c>
      <c r="D570" s="68">
        <v>18678.919999999998</v>
      </c>
      <c r="E570" s="68">
        <v>145053.01999999999</v>
      </c>
      <c r="F570" s="290">
        <v>1517385</v>
      </c>
      <c r="G570" s="449">
        <v>45680</v>
      </c>
      <c r="H570" s="68">
        <v>18678.919999999998</v>
      </c>
      <c r="I570" s="68">
        <v>145053.01999999999</v>
      </c>
      <c r="J570" s="43" t="s">
        <v>33</v>
      </c>
      <c r="K570" s="450" t="s">
        <v>34</v>
      </c>
      <c r="M570" s="36" t="s">
        <v>7382</v>
      </c>
      <c r="N570" s="398"/>
      <c r="O570" t="s">
        <v>7379</v>
      </c>
      <c r="P570" t="s">
        <v>7380</v>
      </c>
      <c r="R570" s="50">
        <v>45658</v>
      </c>
      <c r="S570" s="47">
        <v>46022</v>
      </c>
      <c r="T570" s="98">
        <v>45658</v>
      </c>
      <c r="U570" s="98">
        <v>46752</v>
      </c>
      <c r="V570" s="43" t="s">
        <v>735</v>
      </c>
      <c r="W570" s="41" t="s">
        <v>39</v>
      </c>
      <c r="AF570" s="39">
        <v>45708</v>
      </c>
      <c r="AG570" s="490">
        <v>671119</v>
      </c>
      <c r="AH570" s="490" t="s">
        <v>7383</v>
      </c>
      <c r="AJ570"/>
    </row>
    <row r="571" spans="1:36" ht="19.5" customHeight="1">
      <c r="A571" s="25">
        <f t="shared" si="0"/>
        <v>9</v>
      </c>
      <c r="B571" s="401">
        <v>6151541</v>
      </c>
      <c r="C571" s="449">
        <v>45681</v>
      </c>
      <c r="D571" s="68">
        <v>65714.52</v>
      </c>
      <c r="E571" s="68">
        <v>510312.68</v>
      </c>
      <c r="F571" s="290">
        <v>1518938</v>
      </c>
      <c r="G571" s="98">
        <v>45685</v>
      </c>
      <c r="H571" s="68">
        <v>65714.52</v>
      </c>
      <c r="I571" s="68">
        <v>510312.68</v>
      </c>
      <c r="J571" s="43" t="s">
        <v>33</v>
      </c>
      <c r="K571" s="450" t="s">
        <v>34</v>
      </c>
      <c r="M571" s="36" t="s">
        <v>7384</v>
      </c>
      <c r="N571" s="398"/>
      <c r="O571" t="s">
        <v>7385</v>
      </c>
      <c r="P571" t="s">
        <v>7386</v>
      </c>
      <c r="R571" s="38">
        <v>45658</v>
      </c>
      <c r="S571" s="39">
        <v>46752</v>
      </c>
      <c r="T571" s="449">
        <v>45765</v>
      </c>
      <c r="U571" s="449">
        <v>46752</v>
      </c>
      <c r="V571" s="43" t="s">
        <v>3191</v>
      </c>
      <c r="W571" s="41" t="s">
        <v>39</v>
      </c>
      <c r="AF571" s="39">
        <v>45716</v>
      </c>
      <c r="AG571" s="395">
        <v>603828</v>
      </c>
      <c r="AH571" s="395">
        <v>517740.86</v>
      </c>
      <c r="AJ571"/>
    </row>
    <row r="572" spans="1:36" ht="19.5" customHeight="1" thickBot="1">
      <c r="A572" s="25">
        <f t="shared" si="0"/>
        <v>10</v>
      </c>
      <c r="B572" s="401">
        <v>6152794</v>
      </c>
      <c r="C572" s="449">
        <v>45691</v>
      </c>
      <c r="D572" s="68">
        <v>1974.06</v>
      </c>
      <c r="E572" s="68">
        <v>15375.16</v>
      </c>
      <c r="F572" s="290">
        <v>1519460</v>
      </c>
      <c r="G572" s="98">
        <v>45695</v>
      </c>
      <c r="H572" s="68">
        <v>1974.06</v>
      </c>
      <c r="I572" s="68">
        <v>15375.16</v>
      </c>
      <c r="J572" s="43" t="s">
        <v>33</v>
      </c>
      <c r="K572" s="450" t="s">
        <v>34</v>
      </c>
      <c r="M572" s="36" t="s">
        <v>7387</v>
      </c>
      <c r="N572" s="398"/>
      <c r="O572" t="s">
        <v>7388</v>
      </c>
      <c r="P572" t="s">
        <v>7389</v>
      </c>
      <c r="R572" s="50">
        <v>45597</v>
      </c>
      <c r="S572" s="47">
        <v>45961</v>
      </c>
      <c r="T572" s="98">
        <v>45786</v>
      </c>
      <c r="U572" s="98">
        <v>46150</v>
      </c>
      <c r="V572" s="43" t="s">
        <v>60</v>
      </c>
      <c r="W572" s="41" t="s">
        <v>39</v>
      </c>
      <c r="AF572" s="39">
        <v>45719</v>
      </c>
      <c r="AG572" s="490">
        <v>137700</v>
      </c>
      <c r="AH572" s="490">
        <v>15496.37</v>
      </c>
      <c r="AJ572"/>
    </row>
    <row r="573" spans="1:36" ht="19.5" customHeight="1">
      <c r="A573" s="143">
        <f t="shared" si="0"/>
        <v>11</v>
      </c>
      <c r="B573" s="135">
        <v>6153563</v>
      </c>
      <c r="C573" s="512">
        <v>45693</v>
      </c>
      <c r="D573" s="176">
        <f>12139.41-8550.84</f>
        <v>3588.5699999999997</v>
      </c>
      <c r="E573" s="176">
        <v>27949.94</v>
      </c>
      <c r="F573" s="513">
        <v>1519741</v>
      </c>
      <c r="G573" s="514">
        <v>45694</v>
      </c>
      <c r="H573" s="176">
        <f>12139.41-8550.84</f>
        <v>3588.5699999999997</v>
      </c>
      <c r="I573" s="176">
        <v>27949.94</v>
      </c>
      <c r="J573" s="422" t="s">
        <v>33</v>
      </c>
      <c r="K573" s="515" t="s">
        <v>34</v>
      </c>
      <c r="M573" s="143" t="s">
        <v>7390</v>
      </c>
      <c r="N573" s="398"/>
      <c r="O573" t="s">
        <v>7391</v>
      </c>
      <c r="P573" t="s">
        <v>7392</v>
      </c>
      <c r="R573" s="50">
        <v>45597</v>
      </c>
      <c r="S573" s="47">
        <v>45961</v>
      </c>
      <c r="T573" s="98">
        <v>45789</v>
      </c>
      <c r="U573" s="98">
        <v>46153</v>
      </c>
      <c r="V573" s="43" t="s">
        <v>60</v>
      </c>
      <c r="W573" s="41" t="s">
        <v>39</v>
      </c>
      <c r="AF573" s="39">
        <v>45719</v>
      </c>
      <c r="AG573" s="490">
        <v>254070</v>
      </c>
      <c r="AH573" s="490">
        <v>95808.69</v>
      </c>
      <c r="AJ573"/>
    </row>
    <row r="574" spans="1:36" ht="19.5" customHeight="1" thickBot="1">
      <c r="A574" s="163">
        <v>11</v>
      </c>
      <c r="B574" s="155">
        <v>6153563</v>
      </c>
      <c r="C574" s="516">
        <v>45693</v>
      </c>
      <c r="D574" s="157">
        <f>12139.41-3588.57</f>
        <v>8550.84</v>
      </c>
      <c r="E574" s="157">
        <v>66599.070000000007</v>
      </c>
      <c r="F574" s="517">
        <v>1519742</v>
      </c>
      <c r="G574" s="518">
        <v>45694</v>
      </c>
      <c r="H574" s="157">
        <f>12139.41-3588.57</f>
        <v>8550.84</v>
      </c>
      <c r="I574" s="157">
        <v>66599.070000000007</v>
      </c>
      <c r="J574" s="427" t="s">
        <v>33</v>
      </c>
      <c r="K574" s="477" t="s">
        <v>34</v>
      </c>
      <c r="M574" s="163" t="s">
        <v>7390</v>
      </c>
      <c r="N574" s="398"/>
      <c r="O574" t="s">
        <v>7391</v>
      </c>
      <c r="P574" t="s">
        <v>7392</v>
      </c>
      <c r="R574" s="50">
        <v>45597</v>
      </c>
      <c r="S574" s="47">
        <v>45961</v>
      </c>
      <c r="T574" s="98">
        <v>45789</v>
      </c>
      <c r="U574" s="98">
        <v>46153</v>
      </c>
      <c r="V574" s="43" t="s">
        <v>60</v>
      </c>
      <c r="W574" s="41" t="s">
        <v>39</v>
      </c>
      <c r="AF574" s="39">
        <v>45719</v>
      </c>
      <c r="AG574" s="490">
        <v>254070</v>
      </c>
      <c r="AH574" s="490">
        <v>95808.69</v>
      </c>
      <c r="AJ574"/>
    </row>
    <row r="575" spans="1:36" ht="19.5" customHeight="1">
      <c r="A575" s="25">
        <f t="shared" si="0"/>
        <v>12</v>
      </c>
      <c r="B575" s="401">
        <v>6154251</v>
      </c>
      <c r="C575" s="449">
        <v>45695</v>
      </c>
      <c r="D575" s="68">
        <v>87231.83</v>
      </c>
      <c r="E575" s="68">
        <v>679413.83</v>
      </c>
      <c r="F575" s="290">
        <v>1520493</v>
      </c>
      <c r="G575" s="98">
        <v>45701</v>
      </c>
      <c r="H575" s="68">
        <v>87231.83</v>
      </c>
      <c r="I575" s="68">
        <v>679413.83</v>
      </c>
      <c r="J575" s="43" t="s">
        <v>33</v>
      </c>
      <c r="K575" s="450" t="s">
        <v>34</v>
      </c>
      <c r="M575" s="36" t="s">
        <v>7393</v>
      </c>
      <c r="N575" s="398"/>
      <c r="O575" t="s">
        <v>334</v>
      </c>
      <c r="P575" t="s">
        <v>6627</v>
      </c>
      <c r="R575" s="50">
        <v>45689</v>
      </c>
      <c r="S575" s="47">
        <v>46783</v>
      </c>
      <c r="T575" s="98">
        <v>45689</v>
      </c>
      <c r="U575" s="98">
        <v>46783</v>
      </c>
      <c r="V575" s="43" t="s">
        <v>150</v>
      </c>
      <c r="W575" s="41" t="s">
        <v>39</v>
      </c>
      <c r="AF575" s="39">
        <v>45719</v>
      </c>
      <c r="AG575" s="490">
        <v>1379174</v>
      </c>
      <c r="AH575" s="490">
        <v>1081656.21</v>
      </c>
      <c r="AJ575"/>
    </row>
    <row r="576" spans="1:36" ht="19.5" customHeight="1">
      <c r="A576" s="25">
        <f t="shared" si="0"/>
        <v>13</v>
      </c>
      <c r="B576" s="401">
        <v>6159363</v>
      </c>
      <c r="C576" s="449">
        <v>45713</v>
      </c>
      <c r="D576" s="68">
        <v>6529.44</v>
      </c>
      <c r="E576" s="68">
        <v>50855.199999999997</v>
      </c>
      <c r="F576" s="290">
        <v>1522757</v>
      </c>
      <c r="G576" s="449">
        <v>45714</v>
      </c>
      <c r="H576" s="68">
        <v>6529.44</v>
      </c>
      <c r="I576" s="68">
        <v>50855.199999999997</v>
      </c>
      <c r="J576" s="43" t="s">
        <v>33</v>
      </c>
      <c r="K576" s="450" t="s">
        <v>34</v>
      </c>
      <c r="M576" s="36" t="s">
        <v>7394</v>
      </c>
      <c r="N576" s="398"/>
      <c r="O576" t="s">
        <v>7395</v>
      </c>
      <c r="P576" t="s">
        <v>7396</v>
      </c>
      <c r="R576" s="38">
        <v>45691</v>
      </c>
      <c r="S576" s="39">
        <v>46055</v>
      </c>
      <c r="T576" s="449">
        <v>45777</v>
      </c>
      <c r="U576" s="449">
        <v>46141</v>
      </c>
      <c r="V576" s="43" t="s">
        <v>80</v>
      </c>
      <c r="W576" s="41" t="s">
        <v>39</v>
      </c>
      <c r="AF576" s="39">
        <v>45741</v>
      </c>
      <c r="AG576" s="395">
        <v>149190</v>
      </c>
      <c r="AH576" s="395">
        <v>51256.1</v>
      </c>
      <c r="AJ576"/>
    </row>
    <row r="577" spans="1:36" ht="19.5" customHeight="1">
      <c r="A577" s="25">
        <f t="shared" si="0"/>
        <v>14</v>
      </c>
      <c r="B577" s="401">
        <v>6165352</v>
      </c>
      <c r="C577" s="449">
        <v>45730</v>
      </c>
      <c r="D577" s="68">
        <v>208800.36</v>
      </c>
      <c r="E577" s="68">
        <v>1623067.84</v>
      </c>
      <c r="F577" s="290">
        <v>1526152</v>
      </c>
      <c r="G577" s="449">
        <v>45733</v>
      </c>
      <c r="H577" s="68">
        <v>208800.36</v>
      </c>
      <c r="I577" s="68">
        <v>1623067.84</v>
      </c>
      <c r="J577" s="43" t="s">
        <v>33</v>
      </c>
      <c r="K577" s="450" t="s">
        <v>34</v>
      </c>
      <c r="L577" s="25">
        <v>79226213</v>
      </c>
      <c r="M577" s="36" t="s">
        <v>7397</v>
      </c>
      <c r="N577" s="398"/>
      <c r="O577" t="s">
        <v>7398</v>
      </c>
      <c r="P577" t="s">
        <v>7399</v>
      </c>
      <c r="R577" s="50" t="s">
        <v>7400</v>
      </c>
      <c r="S577" s="39">
        <v>46095</v>
      </c>
      <c r="T577" s="98" t="s">
        <v>7400</v>
      </c>
      <c r="U577" s="449">
        <v>46095</v>
      </c>
      <c r="V577" s="62" t="s">
        <v>80</v>
      </c>
      <c r="W577" s="41" t="s">
        <v>114</v>
      </c>
      <c r="Z577" t="s">
        <v>81</v>
      </c>
      <c r="AF577" s="39">
        <v>45771</v>
      </c>
      <c r="AG577" s="398">
        <v>1932100</v>
      </c>
      <c r="AH577" s="398">
        <v>1820681.59</v>
      </c>
      <c r="AJ577"/>
    </row>
    <row r="578" spans="1:36" ht="19.5" customHeight="1">
      <c r="A578" s="25">
        <f t="shared" si="0"/>
        <v>15</v>
      </c>
      <c r="C578" s="449">
        <v>45734</v>
      </c>
      <c r="D578" s="68"/>
      <c r="E578" s="68">
        <v>5450</v>
      </c>
      <c r="F578" s="290">
        <v>1526563</v>
      </c>
      <c r="G578" s="449">
        <v>45734</v>
      </c>
      <c r="H578" s="68"/>
      <c r="I578" s="68">
        <v>5450</v>
      </c>
      <c r="J578" s="43" t="s">
        <v>33</v>
      </c>
      <c r="K578" s="450" t="s">
        <v>139</v>
      </c>
      <c r="M578" s="36" t="s">
        <v>7401</v>
      </c>
      <c r="N578" s="398"/>
      <c r="O578" t="s">
        <v>334</v>
      </c>
      <c r="P578" t="s">
        <v>6627</v>
      </c>
      <c r="R578" s="38">
        <v>45689</v>
      </c>
      <c r="S578" s="39">
        <v>46783</v>
      </c>
      <c r="T578" s="98" t="s">
        <v>141</v>
      </c>
      <c r="U578" s="98" t="s">
        <v>141</v>
      </c>
      <c r="V578" s="43" t="s">
        <v>150</v>
      </c>
      <c r="W578" s="41" t="s">
        <v>39</v>
      </c>
      <c r="AA578" s="469">
        <v>90006786</v>
      </c>
      <c r="AB578" s="511">
        <v>45771</v>
      </c>
      <c r="AC578" s="470">
        <v>60016066</v>
      </c>
      <c r="AF578" s="47">
        <v>45838</v>
      </c>
      <c r="AG578" s="395">
        <v>1379174</v>
      </c>
      <c r="AH578" s="395">
        <v>1081656.21</v>
      </c>
      <c r="AJ578"/>
    </row>
    <row r="579" spans="1:36" ht="19.5" customHeight="1">
      <c r="A579" s="25">
        <f t="shared" si="0"/>
        <v>16</v>
      </c>
      <c r="B579" s="401">
        <v>6171346</v>
      </c>
      <c r="C579" s="449">
        <v>45754</v>
      </c>
      <c r="D579" s="68">
        <v>3602.25</v>
      </c>
      <c r="E579" s="68">
        <v>28008.93</v>
      </c>
      <c r="F579" s="290">
        <v>1529660</v>
      </c>
      <c r="G579" s="449">
        <v>45757</v>
      </c>
      <c r="H579" s="68">
        <v>3602.25</v>
      </c>
      <c r="I579" s="68">
        <v>28008.93</v>
      </c>
      <c r="J579" s="43" t="s">
        <v>33</v>
      </c>
      <c r="K579" s="450" t="s">
        <v>34</v>
      </c>
      <c r="L579" s="25">
        <v>411911991</v>
      </c>
      <c r="M579" s="36" t="s">
        <v>7402</v>
      </c>
      <c r="N579" s="398"/>
      <c r="O579" t="s">
        <v>7403</v>
      </c>
      <c r="P579" t="s">
        <v>7404</v>
      </c>
      <c r="R579" s="38">
        <v>45748</v>
      </c>
      <c r="S579" s="39">
        <v>46752</v>
      </c>
      <c r="T579" s="449">
        <v>45748</v>
      </c>
      <c r="U579" s="449">
        <v>46752</v>
      </c>
      <c r="V579" s="62" t="s">
        <v>7405</v>
      </c>
      <c r="W579" s="41" t="s">
        <v>114</v>
      </c>
      <c r="Z579" t="s">
        <v>40</v>
      </c>
      <c r="AF579" s="47">
        <v>45818</v>
      </c>
      <c r="AG579" s="398">
        <v>33905</v>
      </c>
      <c r="AH579" s="398">
        <v>28277.66</v>
      </c>
      <c r="AJ579"/>
    </row>
    <row r="580" spans="1:36" ht="19.5" customHeight="1">
      <c r="A580" s="25">
        <f t="shared" si="0"/>
        <v>17</v>
      </c>
      <c r="B580" s="401">
        <v>6172520</v>
      </c>
      <c r="C580" s="449">
        <v>45757</v>
      </c>
      <c r="D580" s="68">
        <v>534.99</v>
      </c>
      <c r="E580" s="68">
        <v>4159.76</v>
      </c>
      <c r="F580" s="290">
        <v>1530740</v>
      </c>
      <c r="G580" s="449">
        <v>45762</v>
      </c>
      <c r="H580" s="68">
        <v>534.99</v>
      </c>
      <c r="I580" s="68">
        <v>4159.76</v>
      </c>
      <c r="J580" s="43" t="s">
        <v>33</v>
      </c>
      <c r="K580" s="450" t="s">
        <v>34</v>
      </c>
      <c r="L580" s="25">
        <v>292221589</v>
      </c>
      <c r="M580" s="36" t="s">
        <v>7406</v>
      </c>
      <c r="N580" s="398"/>
      <c r="O580" t="s">
        <v>7407</v>
      </c>
      <c r="P580" t="s">
        <v>7408</v>
      </c>
      <c r="R580" s="50">
        <v>45833</v>
      </c>
      <c r="S580" s="47">
        <v>46197</v>
      </c>
      <c r="T580" s="98">
        <v>45859</v>
      </c>
      <c r="U580" s="98">
        <v>46223</v>
      </c>
      <c r="V580" s="43" t="s">
        <v>38</v>
      </c>
      <c r="W580" s="41" t="s">
        <v>39</v>
      </c>
      <c r="Z580" t="s">
        <v>40</v>
      </c>
      <c r="AF580" s="47">
        <v>45818</v>
      </c>
      <c r="AG580" s="490">
        <v>21094</v>
      </c>
      <c r="AH580" s="490">
        <v>4199.67</v>
      </c>
      <c r="AJ580"/>
    </row>
    <row r="581" spans="1:36" ht="19.5" customHeight="1">
      <c r="A581" s="25">
        <f t="shared" si="0"/>
        <v>18</v>
      </c>
      <c r="B581" s="401">
        <v>6173648</v>
      </c>
      <c r="C581" s="449">
        <v>45761</v>
      </c>
      <c r="D581" s="68">
        <v>23847.84</v>
      </c>
      <c r="E581" s="68">
        <v>185426.5</v>
      </c>
      <c r="F581" s="290">
        <v>1530735</v>
      </c>
      <c r="G581" s="449">
        <v>45762</v>
      </c>
      <c r="H581" s="68">
        <v>23847.84</v>
      </c>
      <c r="I581" s="68">
        <v>185426.5</v>
      </c>
      <c r="J581" s="43" t="s">
        <v>33</v>
      </c>
      <c r="K581" s="450" t="s">
        <v>34</v>
      </c>
      <c r="L581" s="25">
        <v>98896049</v>
      </c>
      <c r="N581" s="398"/>
      <c r="O581" t="s">
        <v>7409</v>
      </c>
      <c r="P581" t="s">
        <v>7410</v>
      </c>
      <c r="R581" s="50">
        <v>45767</v>
      </c>
      <c r="S581" s="47">
        <v>46862</v>
      </c>
      <c r="T581" s="98">
        <v>45767</v>
      </c>
      <c r="U581" s="98">
        <v>46862</v>
      </c>
      <c r="V581" s="62" t="s">
        <v>7411</v>
      </c>
      <c r="W581" s="41" t="s">
        <v>39</v>
      </c>
      <c r="Z581" t="s">
        <v>81</v>
      </c>
      <c r="AF581" s="47">
        <v>45792</v>
      </c>
      <c r="AG581" s="490">
        <v>187205.54</v>
      </c>
      <c r="AH581" s="490" t="s">
        <v>141</v>
      </c>
      <c r="AJ581"/>
    </row>
    <row r="582" spans="1:36" ht="19.5" customHeight="1">
      <c r="A582" s="25">
        <f t="shared" si="0"/>
        <v>19</v>
      </c>
      <c r="C582" s="449">
        <v>45770</v>
      </c>
      <c r="D582" s="68">
        <v>0</v>
      </c>
      <c r="E582" s="68">
        <v>270</v>
      </c>
      <c r="F582" s="290">
        <v>1531803</v>
      </c>
      <c r="G582" s="98">
        <v>45770</v>
      </c>
      <c r="H582" s="68">
        <v>0</v>
      </c>
      <c r="I582" s="68">
        <v>270</v>
      </c>
      <c r="J582" s="43" t="s">
        <v>33</v>
      </c>
      <c r="K582" s="450" t="s">
        <v>139</v>
      </c>
      <c r="L582" s="25">
        <v>80005071</v>
      </c>
      <c r="M582" s="36" t="s">
        <v>7412</v>
      </c>
      <c r="N582" s="398"/>
      <c r="O582" t="s">
        <v>7413</v>
      </c>
      <c r="P582" t="s">
        <v>7414</v>
      </c>
      <c r="R582" s="50" t="s">
        <v>141</v>
      </c>
      <c r="S582" s="47" t="s">
        <v>141</v>
      </c>
      <c r="T582" s="98" t="s">
        <v>141</v>
      </c>
      <c r="U582" s="98" t="s">
        <v>141</v>
      </c>
      <c r="V582" s="43" t="s">
        <v>38</v>
      </c>
      <c r="W582" s="41" t="s">
        <v>114</v>
      </c>
      <c r="AA582" s="469">
        <v>90006849</v>
      </c>
      <c r="AB582" s="511">
        <v>45797</v>
      </c>
      <c r="AC582" s="470">
        <v>60016169</v>
      </c>
      <c r="AF582" s="47">
        <v>45838</v>
      </c>
      <c r="AG582" s="490" t="s">
        <v>141</v>
      </c>
      <c r="AH582" s="490" t="s">
        <v>141</v>
      </c>
      <c r="AJ582"/>
    </row>
    <row r="583" spans="1:36" ht="19.5" customHeight="1">
      <c r="A583" s="25">
        <f t="shared" si="0"/>
        <v>20</v>
      </c>
      <c r="C583" s="449">
        <v>45770</v>
      </c>
      <c r="D583" s="68">
        <v>0</v>
      </c>
      <c r="E583" s="68">
        <v>500</v>
      </c>
      <c r="F583" s="290">
        <v>1531805</v>
      </c>
      <c r="G583" s="98">
        <v>45770</v>
      </c>
      <c r="H583" s="68">
        <v>0</v>
      </c>
      <c r="I583" s="68">
        <v>500</v>
      </c>
      <c r="J583" s="43" t="s">
        <v>33</v>
      </c>
      <c r="K583" s="450" t="s">
        <v>139</v>
      </c>
      <c r="M583" s="36" t="s">
        <v>7415</v>
      </c>
      <c r="N583" s="398"/>
      <c r="O583" t="s">
        <v>141</v>
      </c>
      <c r="P583" s="67" t="s">
        <v>5257</v>
      </c>
      <c r="Q583" s="67"/>
      <c r="R583" s="50" t="s">
        <v>141</v>
      </c>
      <c r="S583" s="47" t="s">
        <v>141</v>
      </c>
      <c r="T583" s="98" t="s">
        <v>141</v>
      </c>
      <c r="U583" s="98" t="s">
        <v>141</v>
      </c>
      <c r="V583" s="62" t="s">
        <v>7416</v>
      </c>
      <c r="W583" s="41" t="s">
        <v>114</v>
      </c>
      <c r="AA583" s="469">
        <v>90006849</v>
      </c>
      <c r="AB583" s="511">
        <v>45797</v>
      </c>
      <c r="AC583" s="470">
        <v>60016170</v>
      </c>
      <c r="AD583" s="511">
        <v>45797</v>
      </c>
      <c r="AE583">
        <v>3184126</v>
      </c>
      <c r="AF583" s="47">
        <v>45995</v>
      </c>
      <c r="AG583" s="490" t="s">
        <v>141</v>
      </c>
      <c r="AH583" s="490" t="s">
        <v>141</v>
      </c>
    </row>
    <row r="584" spans="1:36" ht="19.5" customHeight="1">
      <c r="A584" s="25">
        <f t="shared" si="0"/>
        <v>21</v>
      </c>
      <c r="B584" s="401">
        <v>6176226</v>
      </c>
      <c r="C584" s="449">
        <v>45771</v>
      </c>
      <c r="D584" s="68">
        <v>7575.06</v>
      </c>
      <c r="E584" s="68">
        <v>58899.12</v>
      </c>
      <c r="F584" s="290">
        <v>1532292</v>
      </c>
      <c r="G584" s="98">
        <v>45775</v>
      </c>
      <c r="H584" s="68">
        <v>7575.06</v>
      </c>
      <c r="I584" s="68">
        <v>58899.12</v>
      </c>
      <c r="J584" s="43" t="s">
        <v>33</v>
      </c>
      <c r="K584" s="450" t="s">
        <v>34</v>
      </c>
      <c r="L584" s="25">
        <v>292225020</v>
      </c>
      <c r="M584" s="36" t="s">
        <v>5320</v>
      </c>
      <c r="N584" s="398"/>
      <c r="O584" t="s">
        <v>7417</v>
      </c>
      <c r="P584" t="s">
        <v>7418</v>
      </c>
      <c r="R584" s="38">
        <v>45748</v>
      </c>
      <c r="S584" s="39">
        <v>46843</v>
      </c>
      <c r="T584" s="449">
        <v>45748</v>
      </c>
      <c r="U584" s="449">
        <v>46843</v>
      </c>
      <c r="V584" s="43" t="s">
        <v>827</v>
      </c>
      <c r="W584" s="41" t="s">
        <v>39</v>
      </c>
      <c r="Z584" t="s">
        <v>40</v>
      </c>
      <c r="AF584" s="47">
        <v>45818</v>
      </c>
      <c r="AG584" s="395">
        <v>79998</v>
      </c>
      <c r="AH584" s="395">
        <v>59464.22</v>
      </c>
      <c r="AJ584"/>
    </row>
    <row r="585" spans="1:36" ht="19.5" customHeight="1">
      <c r="A585" s="25">
        <f t="shared" si="0"/>
        <v>22</v>
      </c>
      <c r="C585" s="449">
        <v>45784</v>
      </c>
      <c r="D585" s="68">
        <v>0</v>
      </c>
      <c r="E585" s="68">
        <v>220</v>
      </c>
      <c r="F585" s="290" t="s">
        <v>7419</v>
      </c>
      <c r="G585" s="98">
        <v>45784</v>
      </c>
      <c r="H585" s="68" t="s">
        <v>141</v>
      </c>
      <c r="I585" s="68">
        <v>220</v>
      </c>
      <c r="J585" s="43" t="s">
        <v>7416</v>
      </c>
      <c r="K585" s="450" t="s">
        <v>139</v>
      </c>
      <c r="M585" s="36" t="s">
        <v>7420</v>
      </c>
      <c r="N585" s="398"/>
      <c r="R585" s="50" t="s">
        <v>141</v>
      </c>
      <c r="S585" s="47" t="s">
        <v>141</v>
      </c>
      <c r="T585" s="98"/>
      <c r="U585" s="98"/>
      <c r="W585" s="41" t="s">
        <v>39</v>
      </c>
      <c r="AA585" s="469">
        <v>90006836</v>
      </c>
      <c r="AB585" s="511">
        <v>45789</v>
      </c>
      <c r="AC585" s="470">
        <v>60016129</v>
      </c>
      <c r="AD585" s="511">
        <v>45786</v>
      </c>
      <c r="AE585">
        <v>3184699</v>
      </c>
      <c r="AF585" s="39">
        <v>46001</v>
      </c>
      <c r="AG585" s="490"/>
      <c r="AH585" s="490"/>
    </row>
    <row r="586" spans="1:36" ht="19.5" customHeight="1">
      <c r="A586" s="25">
        <f t="shared" si="0"/>
        <v>23</v>
      </c>
      <c r="B586" s="401">
        <v>6181060</v>
      </c>
      <c r="C586" s="449">
        <v>45792</v>
      </c>
      <c r="D586" s="68">
        <v>1017.22</v>
      </c>
      <c r="E586" s="68">
        <v>7891.19</v>
      </c>
      <c r="F586" s="290">
        <v>1535240</v>
      </c>
      <c r="G586" s="98">
        <v>45796</v>
      </c>
      <c r="H586" s="68">
        <v>1017.22</v>
      </c>
      <c r="I586" s="68">
        <v>7891.19</v>
      </c>
      <c r="J586" s="43" t="s">
        <v>33</v>
      </c>
      <c r="K586" s="450" t="s">
        <v>34</v>
      </c>
      <c r="L586" s="25">
        <v>382113012</v>
      </c>
      <c r="M586" s="36" t="s">
        <v>7421</v>
      </c>
      <c r="N586" s="398"/>
      <c r="O586" t="s">
        <v>7422</v>
      </c>
      <c r="P586" t="s">
        <v>7423</v>
      </c>
      <c r="R586" s="38">
        <v>45734</v>
      </c>
      <c r="S586" s="39">
        <v>46098</v>
      </c>
      <c r="T586" s="449">
        <v>45734</v>
      </c>
      <c r="U586" s="449">
        <v>46098</v>
      </c>
      <c r="V586" s="43" t="s">
        <v>60</v>
      </c>
      <c r="W586" s="41" t="s">
        <v>39</v>
      </c>
      <c r="Z586" t="s">
        <v>81</v>
      </c>
      <c r="AF586" s="47">
        <v>45853</v>
      </c>
      <c r="AG586" s="395">
        <v>68000</v>
      </c>
      <c r="AH586" s="395">
        <v>7423.35</v>
      </c>
      <c r="AJ586"/>
    </row>
    <row r="587" spans="1:36" s="95" customFormat="1" ht="19.5" customHeight="1">
      <c r="A587" s="193">
        <f t="shared" si="0"/>
        <v>24</v>
      </c>
      <c r="B587" s="519">
        <v>6182671</v>
      </c>
      <c r="C587" s="520">
        <v>45797</v>
      </c>
      <c r="D587" s="521"/>
      <c r="E587" s="521"/>
      <c r="F587" s="99">
        <v>1536105</v>
      </c>
      <c r="G587" s="522">
        <v>45804</v>
      </c>
      <c r="H587" s="521"/>
      <c r="I587" s="521"/>
      <c r="J587" s="523" t="s">
        <v>33</v>
      </c>
      <c r="K587" s="524" t="s">
        <v>34</v>
      </c>
      <c r="L587" s="193">
        <v>232237777</v>
      </c>
      <c r="M587" s="96" t="s">
        <v>7424</v>
      </c>
      <c r="N587" s="525"/>
      <c r="O587" s="95" t="s">
        <v>994</v>
      </c>
      <c r="P587" s="95" t="s">
        <v>7425</v>
      </c>
      <c r="R587" s="218">
        <v>45778</v>
      </c>
      <c r="S587" s="199">
        <v>46142</v>
      </c>
      <c r="T587" s="522">
        <v>45739</v>
      </c>
      <c r="U587" s="522">
        <v>46142</v>
      </c>
      <c r="V587" s="523" t="s">
        <v>38</v>
      </c>
      <c r="W587" s="202" t="s">
        <v>39</v>
      </c>
      <c r="AA587" s="526"/>
      <c r="AB587" s="527"/>
      <c r="AC587" s="528"/>
      <c r="AD587" s="527"/>
      <c r="AF587" s="199" t="s">
        <v>7426</v>
      </c>
      <c r="AG587" s="529">
        <v>5924668.9000000004</v>
      </c>
      <c r="AH587" s="529">
        <v>4970894.16</v>
      </c>
    </row>
    <row r="588" spans="1:36" ht="19.5" customHeight="1">
      <c r="A588" s="25">
        <f t="shared" si="0"/>
        <v>25</v>
      </c>
      <c r="B588" s="401">
        <v>6182688</v>
      </c>
      <c r="C588" s="449">
        <v>45797</v>
      </c>
      <c r="D588" s="68">
        <v>6447.72</v>
      </c>
      <c r="E588" s="68">
        <v>50018.83</v>
      </c>
      <c r="F588" s="290">
        <v>1535949</v>
      </c>
      <c r="G588" s="449">
        <v>45799</v>
      </c>
      <c r="H588" s="68">
        <v>6447.72</v>
      </c>
      <c r="I588" s="68">
        <v>50018.83</v>
      </c>
      <c r="J588" s="43" t="s">
        <v>33</v>
      </c>
      <c r="K588" s="450" t="s">
        <v>34</v>
      </c>
      <c r="L588" s="25">
        <v>99248530</v>
      </c>
      <c r="M588" s="36" t="s">
        <v>7427</v>
      </c>
      <c r="N588" s="398"/>
      <c r="O588" t="s">
        <v>994</v>
      </c>
      <c r="P588" t="s">
        <v>7425</v>
      </c>
      <c r="R588" s="50">
        <v>45778</v>
      </c>
      <c r="S588" s="47">
        <v>46142</v>
      </c>
      <c r="T588" s="98" t="s">
        <v>141</v>
      </c>
      <c r="U588" s="98" t="s">
        <v>141</v>
      </c>
      <c r="V588" s="43" t="s">
        <v>7428</v>
      </c>
      <c r="W588" s="41" t="s">
        <v>39</v>
      </c>
      <c r="AF588" s="47">
        <v>45868</v>
      </c>
      <c r="AG588" s="490">
        <v>5924668.9000000004</v>
      </c>
      <c r="AH588" s="490">
        <v>4970894.16</v>
      </c>
      <c r="AJ588"/>
    </row>
    <row r="589" spans="1:36" ht="19.5" customHeight="1">
      <c r="A589" s="25">
        <f t="shared" si="0"/>
        <v>26</v>
      </c>
      <c r="B589" s="401">
        <v>6185008</v>
      </c>
      <c r="C589" s="449">
        <v>45805</v>
      </c>
      <c r="D589" s="68">
        <v>1495.32</v>
      </c>
      <c r="E589" s="68">
        <v>11600.09</v>
      </c>
      <c r="F589" s="290">
        <v>1537321</v>
      </c>
      <c r="G589" s="98">
        <v>45811</v>
      </c>
      <c r="H589" s="68">
        <v>1495.32</v>
      </c>
      <c r="I589" s="68">
        <v>11600.09</v>
      </c>
      <c r="J589" s="43" t="s">
        <v>33</v>
      </c>
      <c r="K589" s="450" t="s">
        <v>34</v>
      </c>
      <c r="L589" s="25">
        <v>272229323</v>
      </c>
      <c r="M589" s="36" t="s">
        <v>7429</v>
      </c>
      <c r="N589" s="398"/>
      <c r="O589" t="s">
        <v>7430</v>
      </c>
      <c r="P589" t="s">
        <v>7431</v>
      </c>
      <c r="R589" s="50">
        <v>45791</v>
      </c>
      <c r="S589" s="47">
        <v>46155</v>
      </c>
      <c r="T589" s="98">
        <v>45791</v>
      </c>
      <c r="U589" s="98">
        <v>46155</v>
      </c>
      <c r="V589" s="43" t="s">
        <v>80</v>
      </c>
      <c r="W589" s="41" t="s">
        <v>39</v>
      </c>
      <c r="Z589" t="s">
        <v>81</v>
      </c>
      <c r="AF589" s="47">
        <v>45853</v>
      </c>
      <c r="AG589" s="490">
        <v>108787</v>
      </c>
      <c r="AH589" s="490">
        <v>54392.959999999999</v>
      </c>
      <c r="AJ589"/>
    </row>
    <row r="590" spans="1:36" ht="19.5" customHeight="1">
      <c r="A590" s="25">
        <f t="shared" si="0"/>
        <v>27</v>
      </c>
      <c r="B590" s="401">
        <v>6185431</v>
      </c>
      <c r="C590" s="449">
        <v>45806</v>
      </c>
      <c r="D590" s="502">
        <v>3652.94</v>
      </c>
      <c r="E590" s="502">
        <v>28346.81</v>
      </c>
      <c r="F590" s="290">
        <v>1537421</v>
      </c>
      <c r="G590" s="98">
        <v>45806</v>
      </c>
      <c r="H590" s="502">
        <v>3652.94</v>
      </c>
      <c r="I590" s="502">
        <v>28346.81</v>
      </c>
      <c r="J590" s="43" t="s">
        <v>33</v>
      </c>
      <c r="K590" s="450" t="s">
        <v>34</v>
      </c>
      <c r="L590" s="530" t="s">
        <v>7432</v>
      </c>
      <c r="M590" s="36" t="s">
        <v>7433</v>
      </c>
      <c r="N590" s="319"/>
      <c r="O590" t="s">
        <v>994</v>
      </c>
      <c r="P590" t="s">
        <v>7434</v>
      </c>
      <c r="R590" s="38">
        <v>45778</v>
      </c>
      <c r="S590" s="39">
        <v>46142</v>
      </c>
      <c r="T590" s="449">
        <v>45809</v>
      </c>
      <c r="U590" s="449">
        <v>46142</v>
      </c>
      <c r="V590" s="43" t="s">
        <v>38</v>
      </c>
      <c r="W590" s="41" t="s">
        <v>39</v>
      </c>
      <c r="X590" t="s">
        <v>7435</v>
      </c>
      <c r="AF590" s="47">
        <v>45853</v>
      </c>
      <c r="AG590" s="395">
        <v>5924668.9000000004</v>
      </c>
      <c r="AH590" s="395">
        <v>4970894.16</v>
      </c>
      <c r="AJ590"/>
    </row>
    <row r="591" spans="1:36" ht="19.5" customHeight="1">
      <c r="A591" s="25">
        <f t="shared" si="0"/>
        <v>28</v>
      </c>
      <c r="B591" s="401">
        <v>6186860</v>
      </c>
      <c r="C591" s="449">
        <v>45812</v>
      </c>
      <c r="D591" s="68">
        <v>6023.76</v>
      </c>
      <c r="E591" s="68">
        <v>47202.18</v>
      </c>
      <c r="F591" s="290">
        <v>1538226</v>
      </c>
      <c r="G591" s="98">
        <v>45813</v>
      </c>
      <c r="H591" s="68">
        <v>6023.76</v>
      </c>
      <c r="I591" s="68">
        <v>47202.18</v>
      </c>
      <c r="J591" s="43" t="s">
        <v>33</v>
      </c>
      <c r="K591" s="450" t="s">
        <v>34</v>
      </c>
      <c r="L591" s="25">
        <v>461918716</v>
      </c>
      <c r="M591" s="36" t="s">
        <v>7436</v>
      </c>
      <c r="N591" s="398"/>
      <c r="O591" t="s">
        <v>1034</v>
      </c>
      <c r="P591" t="s">
        <v>1035</v>
      </c>
      <c r="R591" s="50">
        <v>45809</v>
      </c>
      <c r="S591" s="47">
        <v>46203</v>
      </c>
      <c r="T591" s="98">
        <v>45822</v>
      </c>
      <c r="U591" s="98">
        <v>46203</v>
      </c>
      <c r="V591" s="43" t="s">
        <v>51</v>
      </c>
      <c r="W591" s="41" t="s">
        <v>39</v>
      </c>
      <c r="Z591" t="s">
        <v>40</v>
      </c>
      <c r="AF591" s="47">
        <v>45853</v>
      </c>
      <c r="AG591" s="490">
        <v>500000</v>
      </c>
      <c r="AH591" s="490">
        <v>305752.48</v>
      </c>
      <c r="AJ591"/>
    </row>
    <row r="592" spans="1:36" ht="19.5" customHeight="1">
      <c r="A592" s="25">
        <f t="shared" si="0"/>
        <v>29</v>
      </c>
      <c r="B592" s="401">
        <v>6186870</v>
      </c>
      <c r="C592" s="449">
        <v>45812</v>
      </c>
      <c r="D592" s="502">
        <v>4279.9399999999996</v>
      </c>
      <c r="E592" s="502">
        <v>33537.61</v>
      </c>
      <c r="F592" s="290">
        <v>1539226</v>
      </c>
      <c r="G592" s="98">
        <v>45820</v>
      </c>
      <c r="H592" s="502">
        <v>4279.9399999999996</v>
      </c>
      <c r="I592" s="502">
        <v>33537.61</v>
      </c>
      <c r="J592" s="43" t="s">
        <v>384</v>
      </c>
      <c r="K592" s="450" t="s">
        <v>34</v>
      </c>
      <c r="L592" s="25">
        <v>99333045</v>
      </c>
      <c r="M592" s="36" t="s">
        <v>7437</v>
      </c>
      <c r="N592" s="398" t="s">
        <v>1168</v>
      </c>
      <c r="O592" t="s">
        <v>1034</v>
      </c>
      <c r="P592" t="s">
        <v>1035</v>
      </c>
      <c r="R592" s="50">
        <v>45809</v>
      </c>
      <c r="S592" s="47">
        <v>46203</v>
      </c>
      <c r="T592" s="98">
        <v>45839</v>
      </c>
      <c r="U592" s="98">
        <v>46203</v>
      </c>
      <c r="V592" s="43" t="s">
        <v>51</v>
      </c>
      <c r="W592" s="41" t="s">
        <v>39</v>
      </c>
      <c r="X592" t="s">
        <v>7438</v>
      </c>
      <c r="Z592" t="s">
        <v>40</v>
      </c>
      <c r="AF592" s="47">
        <v>45868</v>
      </c>
      <c r="AG592" s="490">
        <v>500000</v>
      </c>
      <c r="AH592" s="490">
        <v>305752.48</v>
      </c>
      <c r="AJ592"/>
    </row>
    <row r="593" spans="1:36" ht="19.5" customHeight="1">
      <c r="A593" s="25">
        <f t="shared" si="0"/>
        <v>30</v>
      </c>
      <c r="B593" s="401">
        <v>6190370</v>
      </c>
      <c r="C593" s="449">
        <v>45825</v>
      </c>
      <c r="D593" s="68">
        <v>57511.08</v>
      </c>
      <c r="E593" s="68">
        <v>450656.82</v>
      </c>
      <c r="F593" s="290">
        <v>1540512</v>
      </c>
      <c r="G593" s="98">
        <v>45835</v>
      </c>
      <c r="H593" s="68">
        <v>57511.08</v>
      </c>
      <c r="I593" s="68">
        <v>450656.82</v>
      </c>
      <c r="J593" s="43" t="s">
        <v>33</v>
      </c>
      <c r="K593" s="450" t="s">
        <v>34</v>
      </c>
      <c r="L593" s="493">
        <v>99410902</v>
      </c>
      <c r="M593" s="36" t="s">
        <v>7439</v>
      </c>
      <c r="N593" s="398"/>
      <c r="O593" t="s">
        <v>7440</v>
      </c>
      <c r="P593" t="s">
        <v>7441</v>
      </c>
      <c r="R593" s="38">
        <v>45823</v>
      </c>
      <c r="S593" s="39">
        <v>46918</v>
      </c>
      <c r="T593" s="449">
        <v>45836</v>
      </c>
      <c r="U593" s="449">
        <v>46919</v>
      </c>
      <c r="V593" s="43" t="s">
        <v>60</v>
      </c>
      <c r="W593" s="41" t="s">
        <v>39</v>
      </c>
      <c r="Z593" t="s">
        <v>81</v>
      </c>
      <c r="AF593" s="47">
        <v>45868</v>
      </c>
      <c r="AG593" s="395">
        <v>746487</v>
      </c>
      <c r="AH593" s="395">
        <v>568000.38</v>
      </c>
      <c r="AJ593"/>
    </row>
    <row r="594" spans="1:36" ht="19.5" customHeight="1">
      <c r="A594" s="25">
        <f t="shared" si="0"/>
        <v>31</v>
      </c>
      <c r="B594" s="401">
        <v>6190563</v>
      </c>
      <c r="C594" s="449">
        <v>45825</v>
      </c>
      <c r="D594" s="68">
        <v>12590.22</v>
      </c>
      <c r="E594" s="68">
        <v>98656.960000000006</v>
      </c>
      <c r="F594" s="290">
        <v>1540546</v>
      </c>
      <c r="G594" s="98">
        <v>45828</v>
      </c>
      <c r="H594" s="68">
        <v>12590.22</v>
      </c>
      <c r="I594" s="68">
        <v>98656.960000000006</v>
      </c>
      <c r="J594" s="43" t="s">
        <v>33</v>
      </c>
      <c r="K594" s="450" t="s">
        <v>34</v>
      </c>
      <c r="M594" s="36" t="s">
        <v>7442</v>
      </c>
      <c r="N594" s="398"/>
      <c r="O594" t="s">
        <v>7440</v>
      </c>
      <c r="P594" t="s">
        <v>7441</v>
      </c>
      <c r="R594" s="50">
        <v>45823</v>
      </c>
      <c r="S594" s="47">
        <v>46918</v>
      </c>
      <c r="T594" s="98">
        <v>45823</v>
      </c>
      <c r="U594" s="98">
        <v>46918</v>
      </c>
      <c r="V594" s="43" t="s">
        <v>60</v>
      </c>
      <c r="W594" s="41" t="s">
        <v>39</v>
      </c>
      <c r="Z594" t="s">
        <v>81</v>
      </c>
      <c r="AF594" s="47">
        <v>45868</v>
      </c>
      <c r="AG594" s="490">
        <v>746487</v>
      </c>
      <c r="AH594" s="490">
        <v>568000.38</v>
      </c>
      <c r="AJ594"/>
    </row>
    <row r="595" spans="1:36" ht="19.5" customHeight="1" thickBot="1">
      <c r="A595" s="25">
        <f t="shared" si="0"/>
        <v>32</v>
      </c>
      <c r="B595" s="401">
        <v>6191156</v>
      </c>
      <c r="C595" s="449">
        <v>45827</v>
      </c>
      <c r="D595" s="68">
        <v>0</v>
      </c>
      <c r="E595" s="502">
        <v>6480</v>
      </c>
      <c r="F595" s="290">
        <v>1541210</v>
      </c>
      <c r="G595" s="449">
        <v>45846</v>
      </c>
      <c r="H595" s="68">
        <v>0</v>
      </c>
      <c r="I595" s="502">
        <v>6480</v>
      </c>
      <c r="J595" s="43" t="s">
        <v>103</v>
      </c>
      <c r="K595" s="453" t="s">
        <v>7443</v>
      </c>
      <c r="L595" s="493" t="s">
        <v>7444</v>
      </c>
      <c r="M595" s="36" t="s">
        <v>7445</v>
      </c>
      <c r="N595" s="398"/>
      <c r="O595" t="s">
        <v>7446</v>
      </c>
      <c r="P595" t="s">
        <v>7447</v>
      </c>
      <c r="R595" s="50">
        <v>45823</v>
      </c>
      <c r="S595" s="47">
        <v>46918</v>
      </c>
      <c r="T595" s="98" t="s">
        <v>141</v>
      </c>
      <c r="U595" s="98" t="s">
        <v>141</v>
      </c>
      <c r="V595" s="43" t="s">
        <v>60</v>
      </c>
      <c r="W595" s="41" t="s">
        <v>39</v>
      </c>
      <c r="Z595" t="s">
        <v>81</v>
      </c>
      <c r="AE595">
        <v>3171015</v>
      </c>
      <c r="AF595" s="39">
        <v>45891</v>
      </c>
      <c r="AG595" s="490">
        <v>738498</v>
      </c>
      <c r="AH595" s="490">
        <v>666592.87</v>
      </c>
      <c r="AJ595"/>
    </row>
    <row r="596" spans="1:36" ht="19.5" customHeight="1">
      <c r="A596">
        <f t="shared" si="0"/>
        <v>33</v>
      </c>
      <c r="B596" s="135">
        <v>6196681</v>
      </c>
      <c r="C596" s="512">
        <v>45847</v>
      </c>
      <c r="D596" s="176">
        <f>5994-306.15</f>
        <v>5687.85</v>
      </c>
      <c r="E596" s="176">
        <f>5687.85*7.85</f>
        <v>44649.622499999998</v>
      </c>
      <c r="F596" s="513">
        <v>1543995</v>
      </c>
      <c r="G596" s="514">
        <v>45849</v>
      </c>
      <c r="H596" s="176">
        <f>5994-306.15</f>
        <v>5687.85</v>
      </c>
      <c r="I596" s="176">
        <f>5687.85*7.85</f>
        <v>44649.622499999998</v>
      </c>
      <c r="J596" s="422" t="s">
        <v>384</v>
      </c>
      <c r="K596" s="515" t="s">
        <v>34</v>
      </c>
      <c r="L596" s="531">
        <v>99534841</v>
      </c>
      <c r="M596" s="143" t="s">
        <v>7448</v>
      </c>
      <c r="N596" s="178"/>
      <c r="O596" s="141" t="s">
        <v>7449</v>
      </c>
      <c r="P596" s="141" t="s">
        <v>7450</v>
      </c>
      <c r="Q596" s="141"/>
      <c r="R596" s="180">
        <v>45834</v>
      </c>
      <c r="S596" s="154">
        <v>46235</v>
      </c>
      <c r="T596" s="514" t="s">
        <v>141</v>
      </c>
      <c r="U596" s="514" t="s">
        <v>141</v>
      </c>
      <c r="V596" s="422" t="s">
        <v>80</v>
      </c>
      <c r="W596" s="148" t="s">
        <v>39</v>
      </c>
      <c r="X596" s="141"/>
      <c r="Y596" s="141"/>
      <c r="Z596" s="141" t="s">
        <v>81</v>
      </c>
      <c r="AA596" s="532"/>
      <c r="AB596" s="533"/>
      <c r="AC596" s="534" t="s">
        <v>7451</v>
      </c>
      <c r="AD596" s="535">
        <v>45890</v>
      </c>
      <c r="AE596" s="141">
        <v>3176104</v>
      </c>
      <c r="AF596" s="146">
        <v>45939</v>
      </c>
      <c r="AG596" s="490">
        <v>77360</v>
      </c>
      <c r="AH596" s="490">
        <v>47052.9</v>
      </c>
      <c r="AJ596" s="536">
        <v>45939</v>
      </c>
    </row>
    <row r="597" spans="1:36" ht="19.5" customHeight="1" thickBot="1">
      <c r="A597">
        <v>33</v>
      </c>
      <c r="B597" s="155">
        <v>6196681</v>
      </c>
      <c r="C597" s="516">
        <v>45847</v>
      </c>
      <c r="D597" s="157">
        <f>5994-5687.85</f>
        <v>306.14999999999964</v>
      </c>
      <c r="E597" s="157">
        <f>D597*7.85</f>
        <v>2403.277499999997</v>
      </c>
      <c r="F597" s="517">
        <v>1543995</v>
      </c>
      <c r="G597" s="516">
        <v>45849</v>
      </c>
      <c r="H597" s="157">
        <f>5994-5687.85</f>
        <v>306.14999999999964</v>
      </c>
      <c r="I597" s="157">
        <f>H597*7.85</f>
        <v>2403.277499999997</v>
      </c>
      <c r="J597" s="427" t="s">
        <v>384</v>
      </c>
      <c r="K597" s="477" t="s">
        <v>34</v>
      </c>
      <c r="L597" s="537">
        <v>99534841</v>
      </c>
      <c r="M597" s="163" t="s">
        <v>7448</v>
      </c>
      <c r="N597" s="184"/>
      <c r="O597" s="161" t="s">
        <v>7449</v>
      </c>
      <c r="P597" s="161" t="s">
        <v>7450</v>
      </c>
      <c r="Q597" s="161" t="s">
        <v>7452</v>
      </c>
      <c r="R597" s="165">
        <v>45834</v>
      </c>
      <c r="S597" s="166">
        <v>46235</v>
      </c>
      <c r="T597" s="518" t="s">
        <v>141</v>
      </c>
      <c r="U597" s="518" t="s">
        <v>141</v>
      </c>
      <c r="V597" s="427" t="s">
        <v>80</v>
      </c>
      <c r="W597" s="168" t="s">
        <v>39</v>
      </c>
      <c r="X597" s="161"/>
      <c r="Y597" s="161"/>
      <c r="Z597" s="161" t="s">
        <v>81</v>
      </c>
      <c r="AA597" s="538"/>
      <c r="AB597" s="539"/>
      <c r="AC597" s="540" t="s">
        <v>7453</v>
      </c>
      <c r="AD597" s="541">
        <v>46224</v>
      </c>
      <c r="AE597" s="161"/>
      <c r="AF597" s="174"/>
      <c r="AG597" s="395">
        <v>77360</v>
      </c>
      <c r="AH597" s="395">
        <v>47052.9</v>
      </c>
    </row>
    <row r="598" spans="1:36" ht="19.5" customHeight="1">
      <c r="A598" s="25">
        <f t="shared" si="0"/>
        <v>34</v>
      </c>
      <c r="B598" s="401">
        <v>6198119</v>
      </c>
      <c r="C598" s="449">
        <v>45853</v>
      </c>
      <c r="D598" s="68">
        <v>3800.76</v>
      </c>
      <c r="E598" s="68">
        <v>29835.21</v>
      </c>
      <c r="F598" s="290">
        <v>1544941</v>
      </c>
      <c r="G598" s="98">
        <v>45854</v>
      </c>
      <c r="H598" s="68">
        <v>3800.76</v>
      </c>
      <c r="I598" s="68">
        <v>29835.21</v>
      </c>
      <c r="J598" s="43" t="s">
        <v>33</v>
      </c>
      <c r="K598" s="450" t="s">
        <v>34</v>
      </c>
      <c r="L598" s="25">
        <v>352147808</v>
      </c>
      <c r="M598" s="36" t="s">
        <v>7454</v>
      </c>
      <c r="N598" s="398"/>
      <c r="O598" t="s">
        <v>7455</v>
      </c>
      <c r="P598" t="s">
        <v>7456</v>
      </c>
      <c r="R598" s="50">
        <v>45880</v>
      </c>
      <c r="S598" s="47">
        <v>46244</v>
      </c>
      <c r="T598" s="98">
        <v>45791</v>
      </c>
      <c r="U598" s="98">
        <v>46244</v>
      </c>
      <c r="V598" s="43" t="s">
        <v>51</v>
      </c>
      <c r="W598" s="41" t="s">
        <v>39</v>
      </c>
      <c r="Z598" t="s">
        <v>40</v>
      </c>
      <c r="AE598">
        <v>3175694</v>
      </c>
      <c r="AF598" s="47">
        <v>45945</v>
      </c>
      <c r="AG598" s="490">
        <v>346552.5</v>
      </c>
      <c r="AH598" s="490">
        <v>232664.27</v>
      </c>
      <c r="AJ598" s="325" t="s">
        <v>7457</v>
      </c>
    </row>
    <row r="599" spans="1:36" ht="19.5" customHeight="1">
      <c r="A599" s="25">
        <f t="shared" si="0"/>
        <v>35</v>
      </c>
      <c r="B599" s="401">
        <v>6198136</v>
      </c>
      <c r="C599" s="449">
        <v>45853</v>
      </c>
      <c r="D599" s="68">
        <v>25838.04</v>
      </c>
      <c r="E599" s="68">
        <v>202823.45</v>
      </c>
      <c r="F599" s="290">
        <v>1544967</v>
      </c>
      <c r="G599" s="98">
        <v>45868</v>
      </c>
      <c r="H599" s="68">
        <v>25838.04</v>
      </c>
      <c r="I599" s="68">
        <v>202823.45</v>
      </c>
      <c r="J599" s="43" t="s">
        <v>384</v>
      </c>
      <c r="K599" s="450" t="s">
        <v>34</v>
      </c>
      <c r="L599" s="25">
        <v>99532997</v>
      </c>
      <c r="M599" s="36" t="s">
        <v>7458</v>
      </c>
      <c r="N599" s="398" t="s">
        <v>1169</v>
      </c>
      <c r="O599" t="s">
        <v>7455</v>
      </c>
      <c r="P599" t="s">
        <v>7456</v>
      </c>
      <c r="R599" s="50">
        <v>45880</v>
      </c>
      <c r="S599" s="47">
        <v>46244</v>
      </c>
      <c r="T599" s="98">
        <v>45880</v>
      </c>
      <c r="U599" s="98">
        <v>46244</v>
      </c>
      <c r="V599" s="43" t="s">
        <v>51</v>
      </c>
      <c r="W599" s="41" t="s">
        <v>39</v>
      </c>
      <c r="Z599" t="s">
        <v>40</v>
      </c>
      <c r="AE599">
        <v>3175693</v>
      </c>
      <c r="AF599" s="47">
        <v>45945</v>
      </c>
      <c r="AG599" s="490">
        <v>346552.5</v>
      </c>
      <c r="AH599" s="490">
        <v>232664.27</v>
      </c>
      <c r="AJ599" s="536">
        <v>45936</v>
      </c>
    </row>
    <row r="600" spans="1:36" ht="19.5" customHeight="1">
      <c r="A600" s="25">
        <f t="shared" si="0"/>
        <v>36</v>
      </c>
      <c r="B600" s="401">
        <v>6200151</v>
      </c>
      <c r="C600" s="449">
        <v>45859</v>
      </c>
      <c r="D600" s="68">
        <v>5433.72</v>
      </c>
      <c r="E600" s="68">
        <v>42654.701999999997</v>
      </c>
      <c r="F600" s="290">
        <v>1546165</v>
      </c>
      <c r="G600" s="449">
        <v>45860</v>
      </c>
      <c r="H600" s="68">
        <v>5433.72</v>
      </c>
      <c r="I600" s="68">
        <v>42654.701999999997</v>
      </c>
      <c r="J600" s="43" t="s">
        <v>33</v>
      </c>
      <c r="K600" s="450" t="s">
        <v>34</v>
      </c>
      <c r="L600" s="451">
        <v>262228961</v>
      </c>
      <c r="M600" s="36" t="s">
        <v>7459</v>
      </c>
      <c r="N600" s="398"/>
      <c r="O600" t="s">
        <v>7430</v>
      </c>
      <c r="P600" t="s">
        <v>7460</v>
      </c>
      <c r="R600" s="38">
        <v>45791</v>
      </c>
      <c r="S600" s="39">
        <v>46155</v>
      </c>
      <c r="T600" s="449">
        <v>45753</v>
      </c>
      <c r="U600" s="449">
        <v>46155</v>
      </c>
      <c r="V600" s="62" t="s">
        <v>80</v>
      </c>
      <c r="W600" s="41" t="s">
        <v>114</v>
      </c>
      <c r="Z600" t="s">
        <v>701</v>
      </c>
      <c r="AC600" s="470" t="s">
        <v>7461</v>
      </c>
      <c r="AD600" s="511">
        <v>45861</v>
      </c>
      <c r="AE600">
        <v>3175692</v>
      </c>
      <c r="AF600" s="39">
        <v>45936</v>
      </c>
      <c r="AG600" s="398">
        <v>108787</v>
      </c>
      <c r="AH600" s="398">
        <v>54392.959999999999</v>
      </c>
      <c r="AJ600" s="536">
        <v>45936</v>
      </c>
    </row>
    <row r="601" spans="1:36" ht="19.5" customHeight="1">
      <c r="A601" s="25">
        <f t="shared" si="0"/>
        <v>37</v>
      </c>
      <c r="B601" s="401" t="s">
        <v>141</v>
      </c>
      <c r="C601" s="449">
        <v>45890</v>
      </c>
      <c r="D601" s="68">
        <v>760</v>
      </c>
      <c r="E601" s="68">
        <v>5965.85</v>
      </c>
      <c r="F601" s="290">
        <v>1551139</v>
      </c>
      <c r="G601" s="98">
        <v>45890</v>
      </c>
      <c r="H601" s="68">
        <v>760</v>
      </c>
      <c r="I601" s="68">
        <v>5965.85</v>
      </c>
      <c r="J601" s="43" t="s">
        <v>33</v>
      </c>
      <c r="K601" s="450" t="s">
        <v>733</v>
      </c>
      <c r="M601" s="36" t="s">
        <v>7462</v>
      </c>
      <c r="N601" s="398"/>
      <c r="P601" t="s">
        <v>7463</v>
      </c>
      <c r="R601" s="50"/>
      <c r="S601" s="47"/>
      <c r="T601" s="98"/>
      <c r="U601" s="98"/>
      <c r="W601" s="41" t="s">
        <v>39</v>
      </c>
      <c r="AA601" s="469" t="s">
        <v>7464</v>
      </c>
      <c r="AB601" s="511">
        <v>45912</v>
      </c>
      <c r="AC601" s="470" t="s">
        <v>7465</v>
      </c>
      <c r="AD601" s="511">
        <v>45912</v>
      </c>
      <c r="AF601" s="47"/>
      <c r="AG601" s="490"/>
      <c r="AH601" s="490"/>
    </row>
    <row r="602" spans="1:36" ht="19.5" customHeight="1">
      <c r="A602" s="25">
        <f t="shared" si="0"/>
        <v>38</v>
      </c>
      <c r="B602" s="401" t="s">
        <v>141</v>
      </c>
      <c r="C602" s="449">
        <v>45905</v>
      </c>
      <c r="D602" s="68" t="s">
        <v>141</v>
      </c>
      <c r="E602" s="68">
        <v>1575</v>
      </c>
      <c r="F602" s="290">
        <v>1553421</v>
      </c>
      <c r="G602" s="98">
        <v>45905</v>
      </c>
      <c r="H602" s="68" t="s">
        <v>141</v>
      </c>
      <c r="I602" s="68">
        <v>1575</v>
      </c>
      <c r="J602" s="43" t="s">
        <v>33</v>
      </c>
      <c r="K602" s="467" t="s">
        <v>193</v>
      </c>
      <c r="M602" s="36" t="s">
        <v>7466</v>
      </c>
      <c r="N602" s="398"/>
      <c r="R602" s="50"/>
      <c r="S602" s="47"/>
      <c r="T602" s="98"/>
      <c r="U602" s="98"/>
      <c r="W602" s="41" t="s">
        <v>39</v>
      </c>
      <c r="AA602" s="469" t="s">
        <v>7467</v>
      </c>
      <c r="AB602" s="511">
        <v>45925</v>
      </c>
      <c r="AC602" s="470" t="s">
        <v>7468</v>
      </c>
      <c r="AF602" s="47"/>
      <c r="AG602" s="490"/>
      <c r="AH602" s="490"/>
    </row>
    <row r="603" spans="1:36" ht="19.5" customHeight="1" thickBot="1">
      <c r="A603" s="25">
        <f t="shared" si="0"/>
        <v>39</v>
      </c>
      <c r="B603" s="401">
        <v>6214674</v>
      </c>
      <c r="C603" s="449">
        <v>45909</v>
      </c>
      <c r="D603" s="68">
        <v>629.24</v>
      </c>
      <c r="E603" s="68">
        <v>4908.2</v>
      </c>
      <c r="F603" s="290">
        <v>1554295</v>
      </c>
      <c r="G603" s="98">
        <v>45910</v>
      </c>
      <c r="H603" s="68">
        <v>629.24</v>
      </c>
      <c r="I603" s="68">
        <v>4908.2</v>
      </c>
      <c r="J603" s="43" t="s">
        <v>99</v>
      </c>
      <c r="K603" s="450" t="s">
        <v>34</v>
      </c>
      <c r="L603" s="25">
        <v>322158552</v>
      </c>
      <c r="M603" s="36" t="s">
        <v>7469</v>
      </c>
      <c r="N603" s="398" t="s">
        <v>1346</v>
      </c>
      <c r="O603" t="s">
        <v>7470</v>
      </c>
      <c r="P603" t="s">
        <v>7471</v>
      </c>
      <c r="R603" s="50">
        <v>45895</v>
      </c>
      <c r="S603" s="47">
        <v>46263</v>
      </c>
      <c r="T603" s="449">
        <v>45896</v>
      </c>
      <c r="U603" s="449">
        <v>46260</v>
      </c>
      <c r="V603" s="43" t="s">
        <v>60</v>
      </c>
      <c r="W603" s="41" t="s">
        <v>39</v>
      </c>
      <c r="Z603" t="s">
        <v>81</v>
      </c>
      <c r="AC603" s="470" t="s">
        <v>7472</v>
      </c>
      <c r="AD603" s="511">
        <v>45914</v>
      </c>
      <c r="AE603">
        <v>3176443</v>
      </c>
      <c r="AF603" s="47">
        <v>45940</v>
      </c>
      <c r="AG603" s="490">
        <v>67836</v>
      </c>
      <c r="AH603" s="490">
        <v>38635.54</v>
      </c>
      <c r="AJ603" s="325" t="s">
        <v>7473</v>
      </c>
    </row>
    <row r="604" spans="1:36" ht="19.5" customHeight="1">
      <c r="A604" s="25">
        <f t="shared" si="0"/>
        <v>40</v>
      </c>
      <c r="B604" s="135">
        <v>6214817</v>
      </c>
      <c r="C604" s="512">
        <v>45909</v>
      </c>
      <c r="D604" s="176">
        <f>3110.4*94.8926%</f>
        <v>2951.5394304000001</v>
      </c>
      <c r="E604" s="176">
        <f>24261.74*94.8926%</f>
        <v>23022.595891240002</v>
      </c>
      <c r="F604" s="513">
        <v>1554114</v>
      </c>
      <c r="G604" s="514">
        <v>45910</v>
      </c>
      <c r="H604" s="176">
        <f>3110.4*94.8926%</f>
        <v>2951.5394304000001</v>
      </c>
      <c r="I604" s="176">
        <f>24261.74*94.8926%</f>
        <v>23022.595891240002</v>
      </c>
      <c r="J604" s="422" t="s">
        <v>384</v>
      </c>
      <c r="K604" s="515" t="s">
        <v>34</v>
      </c>
      <c r="L604" s="25">
        <v>99908182</v>
      </c>
      <c r="M604" s="143" t="s">
        <v>7474</v>
      </c>
      <c r="N604" s="398" t="s">
        <v>1540</v>
      </c>
      <c r="O604" t="s">
        <v>7470</v>
      </c>
      <c r="P604" t="s">
        <v>7471</v>
      </c>
      <c r="R604" s="50">
        <v>45895</v>
      </c>
      <c r="S604" s="47">
        <v>46263</v>
      </c>
      <c r="T604" s="98" t="s">
        <v>141</v>
      </c>
      <c r="U604" s="98" t="s">
        <v>141</v>
      </c>
      <c r="V604" s="43" t="s">
        <v>60</v>
      </c>
      <c r="W604" s="148" t="s">
        <v>39</v>
      </c>
      <c r="Z604" t="s">
        <v>81</v>
      </c>
      <c r="AC604" s="470" t="s">
        <v>7475</v>
      </c>
      <c r="AD604" s="511">
        <v>45921</v>
      </c>
      <c r="AE604">
        <v>3176571</v>
      </c>
      <c r="AF604" s="146">
        <v>45943</v>
      </c>
      <c r="AG604" s="490">
        <v>67836</v>
      </c>
      <c r="AH604" s="490">
        <v>38635.54</v>
      </c>
      <c r="AJ604" s="536">
        <v>45943</v>
      </c>
    </row>
    <row r="605" spans="1:36" ht="19.5" customHeight="1" thickBot="1">
      <c r="A605" s="25">
        <v>40</v>
      </c>
      <c r="B605" s="542">
        <v>6214817</v>
      </c>
      <c r="C605" s="543">
        <v>45909</v>
      </c>
      <c r="D605" s="544">
        <f>3110.4*(100-94.8926)%</f>
        <v>158.86056959999993</v>
      </c>
      <c r="E605" s="544">
        <f>24261.74*(100-94.8926)%</f>
        <v>1239.1441087599997</v>
      </c>
      <c r="F605" s="545">
        <v>1554114</v>
      </c>
      <c r="G605" s="546">
        <v>45910</v>
      </c>
      <c r="H605" s="544">
        <f>3110.4*(100-94.8926)%</f>
        <v>158.86056959999993</v>
      </c>
      <c r="I605" s="544">
        <f>24261.74*(100-94.8926)%</f>
        <v>1239.1441087599997</v>
      </c>
      <c r="J605" s="445" t="s">
        <v>384</v>
      </c>
      <c r="K605" s="547" t="s">
        <v>34</v>
      </c>
      <c r="L605" s="548">
        <v>99908182</v>
      </c>
      <c r="M605" s="549" t="s">
        <v>7474</v>
      </c>
      <c r="N605" s="435" t="s">
        <v>1540</v>
      </c>
      <c r="O605" s="66" t="s">
        <v>7470</v>
      </c>
      <c r="P605" s="66" t="s">
        <v>7471</v>
      </c>
      <c r="Q605" s="66" t="s">
        <v>7476</v>
      </c>
      <c r="R605" s="550">
        <v>45895</v>
      </c>
      <c r="S605" s="551">
        <v>46263</v>
      </c>
      <c r="T605" s="552" t="s">
        <v>141</v>
      </c>
      <c r="U605" s="552" t="s">
        <v>141</v>
      </c>
      <c r="V605" s="553" t="s">
        <v>60</v>
      </c>
      <c r="W605" s="554" t="s">
        <v>39</v>
      </c>
      <c r="X605" s="66"/>
      <c r="Y605" s="66"/>
      <c r="Z605" s="66" t="s">
        <v>81</v>
      </c>
      <c r="AA605" s="555"/>
      <c r="AB605" s="556"/>
      <c r="AC605" s="557" t="s">
        <v>7477</v>
      </c>
      <c r="AD605" s="558">
        <v>46254</v>
      </c>
      <c r="AF605" s="551"/>
      <c r="AG605" s="559">
        <v>67836</v>
      </c>
      <c r="AH605" s="559">
        <v>38635.54</v>
      </c>
      <c r="AI605" s="66"/>
      <c r="AJ605"/>
    </row>
    <row r="606" spans="1:36" ht="19.5" customHeight="1">
      <c r="A606" s="25">
        <f t="shared" si="0"/>
        <v>41</v>
      </c>
      <c r="B606" s="135">
        <v>6214835</v>
      </c>
      <c r="C606" s="512">
        <v>45909</v>
      </c>
      <c r="D606" s="176">
        <f>777.6*97.581%</f>
        <v>758.7898560000001</v>
      </c>
      <c r="E606" s="176">
        <f>6065.44*97.581%</f>
        <v>5918.7170064000002</v>
      </c>
      <c r="F606" s="513">
        <v>1554127</v>
      </c>
      <c r="G606" s="514">
        <v>45910</v>
      </c>
      <c r="H606" s="176">
        <f>777.6*97.581%</f>
        <v>758.7898560000001</v>
      </c>
      <c r="I606" s="176">
        <f>6065.44*97.581%</f>
        <v>5918.7170064000002</v>
      </c>
      <c r="J606" s="422" t="s">
        <v>384</v>
      </c>
      <c r="K606" s="560" t="s">
        <v>34</v>
      </c>
      <c r="L606" s="531">
        <v>99908183</v>
      </c>
      <c r="M606" s="143" t="s">
        <v>7474</v>
      </c>
      <c r="N606" s="398" t="s">
        <v>1377</v>
      </c>
      <c r="O606" t="s">
        <v>7470</v>
      </c>
      <c r="P606" t="s">
        <v>7471</v>
      </c>
      <c r="R606" s="38">
        <v>45895</v>
      </c>
      <c r="S606" s="39">
        <v>46263</v>
      </c>
      <c r="T606" s="98" t="s">
        <v>141</v>
      </c>
      <c r="U606" s="98" t="s">
        <v>141</v>
      </c>
      <c r="V606" s="43" t="s">
        <v>7478</v>
      </c>
      <c r="W606" s="148" t="s">
        <v>39</v>
      </c>
      <c r="Z606" t="s">
        <v>81</v>
      </c>
      <c r="AC606" s="470" t="s">
        <v>7479</v>
      </c>
      <c r="AD606" s="511">
        <v>45921</v>
      </c>
      <c r="AE606">
        <v>3176509</v>
      </c>
      <c r="AF606" s="154">
        <v>45943</v>
      </c>
      <c r="AG606" s="395">
        <v>67836</v>
      </c>
      <c r="AH606" s="395">
        <v>38635.54</v>
      </c>
      <c r="AJ606" s="536">
        <v>45943</v>
      </c>
    </row>
    <row r="607" spans="1:36" ht="19.5" customHeight="1" thickBot="1">
      <c r="A607" s="25">
        <f t="shared" si="0"/>
        <v>42</v>
      </c>
      <c r="B607" s="155">
        <v>6214835</v>
      </c>
      <c r="C607" s="516">
        <v>45909</v>
      </c>
      <c r="D607" s="157">
        <f>777.6*(100-97.581)%</f>
        <v>18.810143999999976</v>
      </c>
      <c r="E607" s="157">
        <f>6065.44*(100-97.581)%</f>
        <v>146.7229935999998</v>
      </c>
      <c r="F607" s="517">
        <v>1554127</v>
      </c>
      <c r="G607" s="518">
        <v>45910</v>
      </c>
      <c r="H607" s="157">
        <f>777.6*(100-97.581)%</f>
        <v>18.810143999999976</v>
      </c>
      <c r="I607" s="157">
        <f>6065.44*(100-97.581)%</f>
        <v>146.7229935999998</v>
      </c>
      <c r="J607" s="427" t="s">
        <v>384</v>
      </c>
      <c r="K607" s="561" t="s">
        <v>34</v>
      </c>
      <c r="L607" s="537">
        <v>99908183</v>
      </c>
      <c r="M607" s="163" t="s">
        <v>7474</v>
      </c>
      <c r="N607" s="398" t="s">
        <v>1377</v>
      </c>
      <c r="O607" t="s">
        <v>7470</v>
      </c>
      <c r="P607" t="s">
        <v>7471</v>
      </c>
      <c r="Q607" t="s">
        <v>7476</v>
      </c>
      <c r="R607" s="38">
        <v>45895</v>
      </c>
      <c r="S607" s="39">
        <v>46263</v>
      </c>
      <c r="T607" s="98" t="s">
        <v>141</v>
      </c>
      <c r="U607" s="98" t="s">
        <v>141</v>
      </c>
      <c r="V607" s="43" t="s">
        <v>7478</v>
      </c>
      <c r="W607" s="168" t="s">
        <v>39</v>
      </c>
      <c r="Z607" t="s">
        <v>81</v>
      </c>
      <c r="AC607" s="557" t="s">
        <v>7477</v>
      </c>
      <c r="AD607" s="558">
        <v>46263</v>
      </c>
      <c r="AF607" s="551"/>
      <c r="AG607" s="395">
        <v>67836</v>
      </c>
      <c r="AH607" s="395">
        <v>38635.54</v>
      </c>
      <c r="AJ607" s="78">
        <v>45943</v>
      </c>
    </row>
    <row r="608" spans="1:36" ht="19.5" customHeight="1" thickBot="1">
      <c r="A608" s="25">
        <f t="shared" si="0"/>
        <v>43</v>
      </c>
      <c r="B608" s="401">
        <v>6214861</v>
      </c>
      <c r="C608" s="449">
        <v>45909</v>
      </c>
      <c r="D608" s="68">
        <v>38.880000000000003</v>
      </c>
      <c r="E608" s="68">
        <v>303.27</v>
      </c>
      <c r="F608" s="290">
        <v>1554117</v>
      </c>
      <c r="G608" s="98">
        <v>45910</v>
      </c>
      <c r="H608" s="68">
        <v>38.880000000000003</v>
      </c>
      <c r="I608" s="68">
        <v>303.27</v>
      </c>
      <c r="J608" s="43" t="s">
        <v>384</v>
      </c>
      <c r="K608" s="450" t="s">
        <v>34</v>
      </c>
      <c r="L608" s="25">
        <v>99908853</v>
      </c>
      <c r="M608" s="36" t="s">
        <v>7474</v>
      </c>
      <c r="N608" s="398" t="s">
        <v>2000</v>
      </c>
      <c r="O608" t="s">
        <v>7470</v>
      </c>
      <c r="P608" t="s">
        <v>7471</v>
      </c>
      <c r="R608" s="38">
        <v>45895</v>
      </c>
      <c r="S608" s="39">
        <v>46263</v>
      </c>
      <c r="T608" s="98" t="s">
        <v>141</v>
      </c>
      <c r="U608" s="98" t="s">
        <v>141</v>
      </c>
      <c r="V608" s="43" t="s">
        <v>7478</v>
      </c>
      <c r="W608" s="41" t="s">
        <v>39</v>
      </c>
      <c r="Z608" t="s">
        <v>81</v>
      </c>
      <c r="AC608" s="470" t="s">
        <v>7480</v>
      </c>
      <c r="AD608" s="511">
        <v>45921</v>
      </c>
      <c r="AE608">
        <v>3176474</v>
      </c>
      <c r="AF608" s="47">
        <v>45941</v>
      </c>
      <c r="AG608" s="395">
        <v>67836</v>
      </c>
      <c r="AH608" s="395">
        <v>38635.54</v>
      </c>
      <c r="AJ608" s="536">
        <v>45941</v>
      </c>
    </row>
    <row r="609" spans="1:36" s="572" customFormat="1" ht="19.5" customHeight="1">
      <c r="A609" s="562">
        <f t="shared" si="0"/>
        <v>44</v>
      </c>
      <c r="B609" s="563">
        <v>6215817</v>
      </c>
      <c r="C609" s="564">
        <v>45912</v>
      </c>
      <c r="D609" s="565" t="s">
        <v>141</v>
      </c>
      <c r="E609" s="565">
        <f>6300-2050</f>
        <v>4250</v>
      </c>
      <c r="F609" s="513">
        <v>1554893</v>
      </c>
      <c r="G609" s="566">
        <v>45915</v>
      </c>
      <c r="H609" s="176" t="s">
        <v>141</v>
      </c>
      <c r="I609" s="565">
        <f>6300-2050</f>
        <v>4250</v>
      </c>
      <c r="J609" s="567" t="s">
        <v>33</v>
      </c>
      <c r="K609" s="568" t="s">
        <v>139</v>
      </c>
      <c r="L609" s="569">
        <v>80005171</v>
      </c>
      <c r="M609" s="570" t="s">
        <v>7481</v>
      </c>
      <c r="N609" s="571" t="s">
        <v>1383</v>
      </c>
      <c r="O609" s="572" t="s">
        <v>7482</v>
      </c>
      <c r="P609" s="572" t="s">
        <v>7483</v>
      </c>
      <c r="Q609" s="572" t="s">
        <v>7484</v>
      </c>
      <c r="R609" s="573">
        <v>45931</v>
      </c>
      <c r="S609" s="574">
        <v>46295</v>
      </c>
      <c r="T609" s="575" t="s">
        <v>141</v>
      </c>
      <c r="U609" s="575" t="s">
        <v>141</v>
      </c>
      <c r="V609" s="576" t="s">
        <v>1654</v>
      </c>
      <c r="W609" s="577" t="s">
        <v>114</v>
      </c>
      <c r="AA609" s="578" t="s">
        <v>7485</v>
      </c>
      <c r="AB609" s="579">
        <v>45961</v>
      </c>
      <c r="AC609" s="580" t="s">
        <v>7486</v>
      </c>
      <c r="AD609" s="579">
        <v>45961</v>
      </c>
      <c r="AF609" s="47"/>
      <c r="AG609" s="571">
        <v>41147</v>
      </c>
      <c r="AH609" s="571">
        <v>6300</v>
      </c>
    </row>
    <row r="610" spans="1:36" ht="19.5" customHeight="1" thickBot="1">
      <c r="A610" s="25">
        <v>44</v>
      </c>
      <c r="B610" s="155">
        <v>6215817</v>
      </c>
      <c r="C610" s="516">
        <v>45912</v>
      </c>
      <c r="D610" s="210" t="s">
        <v>141</v>
      </c>
      <c r="E610" s="210">
        <f>6300-4250</f>
        <v>2050</v>
      </c>
      <c r="F610" s="517">
        <v>1554893</v>
      </c>
      <c r="G610" s="581">
        <v>45915</v>
      </c>
      <c r="H610" s="210" t="s">
        <v>141</v>
      </c>
      <c r="I610" s="210">
        <f>6300-4250</f>
        <v>2050</v>
      </c>
      <c r="J610" s="427" t="s">
        <v>33</v>
      </c>
      <c r="K610" s="561" t="s">
        <v>139</v>
      </c>
      <c r="L610" s="582">
        <v>80005171</v>
      </c>
      <c r="M610" s="163" t="s">
        <v>7481</v>
      </c>
      <c r="N610" s="418" t="s">
        <v>1383</v>
      </c>
      <c r="O610" t="s">
        <v>7482</v>
      </c>
      <c r="P610" t="s">
        <v>7483</v>
      </c>
      <c r="Q610" t="s">
        <v>7484</v>
      </c>
      <c r="R610" s="38">
        <v>45931</v>
      </c>
      <c r="S610" s="39">
        <v>46295</v>
      </c>
      <c r="T610" s="98" t="s">
        <v>141</v>
      </c>
      <c r="U610" s="98" t="s">
        <v>141</v>
      </c>
      <c r="V610" s="62" t="s">
        <v>1654</v>
      </c>
      <c r="W610" s="41" t="s">
        <v>114</v>
      </c>
      <c r="AA610" s="469" t="s">
        <v>7487</v>
      </c>
      <c r="AB610" s="511">
        <v>45973</v>
      </c>
      <c r="AC610" s="470" t="s">
        <v>7488</v>
      </c>
      <c r="AD610" s="511">
        <v>45973</v>
      </c>
      <c r="AF610" s="47"/>
      <c r="AG610" s="418">
        <v>41147</v>
      </c>
      <c r="AH610" s="418">
        <v>6300</v>
      </c>
      <c r="AJ610"/>
    </row>
    <row r="611" spans="1:36" ht="19.5" customHeight="1">
      <c r="A611" s="25">
        <f>A609+1</f>
        <v>45</v>
      </c>
      <c r="B611" s="401">
        <v>6216081</v>
      </c>
      <c r="C611" s="449">
        <v>45912</v>
      </c>
      <c r="D611" s="68">
        <v>7901.87</v>
      </c>
      <c r="E611" s="68">
        <v>61636.17</v>
      </c>
      <c r="F611" s="290">
        <v>1555157</v>
      </c>
      <c r="G611" s="475">
        <v>45902</v>
      </c>
      <c r="H611" s="68">
        <v>7901.87</v>
      </c>
      <c r="I611" s="68">
        <v>61636.17</v>
      </c>
      <c r="J611" s="43" t="s">
        <v>33</v>
      </c>
      <c r="K611" s="450" t="s">
        <v>34</v>
      </c>
      <c r="L611" s="451">
        <v>411951309</v>
      </c>
      <c r="M611" s="36" t="s">
        <v>7489</v>
      </c>
      <c r="N611" s="398" t="s">
        <v>1346</v>
      </c>
      <c r="O611" t="s">
        <v>7490</v>
      </c>
      <c r="P611" t="s">
        <v>1385</v>
      </c>
      <c r="R611" s="38">
        <v>45965</v>
      </c>
      <c r="S611" s="39">
        <v>46332</v>
      </c>
      <c r="T611" s="449">
        <v>45965</v>
      </c>
      <c r="U611" s="449">
        <v>46332</v>
      </c>
      <c r="V611" s="62" t="s">
        <v>80</v>
      </c>
      <c r="W611" s="41" t="s">
        <v>114</v>
      </c>
      <c r="Z611" t="s">
        <v>81</v>
      </c>
      <c r="AC611" s="470" t="s">
        <v>7491</v>
      </c>
      <c r="AD611" s="511">
        <v>45920</v>
      </c>
      <c r="AE611">
        <v>3178077</v>
      </c>
      <c r="AF611" s="47">
        <v>45952</v>
      </c>
      <c r="AG611" s="398">
        <v>80639</v>
      </c>
      <c r="AH611" s="398">
        <v>62029.68</v>
      </c>
      <c r="AJ611" s="536">
        <v>45952</v>
      </c>
    </row>
    <row r="612" spans="1:36" ht="19.5" customHeight="1">
      <c r="A612" s="25">
        <f t="shared" si="0"/>
        <v>46</v>
      </c>
      <c r="B612" s="401">
        <v>6222445</v>
      </c>
      <c r="C612" s="449">
        <v>45932</v>
      </c>
      <c r="D612" s="68">
        <v>3699.24</v>
      </c>
      <c r="E612" s="68">
        <v>28772.69</v>
      </c>
      <c r="F612" s="290">
        <v>1558016</v>
      </c>
      <c r="G612" s="475">
        <v>45939</v>
      </c>
      <c r="H612" s="68">
        <v>3699.24</v>
      </c>
      <c r="I612" s="68">
        <v>28772.69</v>
      </c>
      <c r="J612" s="43" t="s">
        <v>33</v>
      </c>
      <c r="K612" s="450" t="s">
        <v>34</v>
      </c>
      <c r="L612" s="451">
        <v>302197302</v>
      </c>
      <c r="M612" s="36" t="s">
        <v>7492</v>
      </c>
      <c r="N612" s="398" t="s">
        <v>1346</v>
      </c>
      <c r="O612" t="s">
        <v>7493</v>
      </c>
      <c r="P612" t="s">
        <v>7494</v>
      </c>
      <c r="R612" s="38">
        <v>46008</v>
      </c>
      <c r="S612" s="39">
        <v>46372</v>
      </c>
      <c r="T612" s="449">
        <v>46008</v>
      </c>
      <c r="U612" s="449">
        <v>46372</v>
      </c>
      <c r="V612" s="62" t="s">
        <v>4683</v>
      </c>
      <c r="W612" s="41" t="s">
        <v>114</v>
      </c>
      <c r="X612" t="s">
        <v>7495</v>
      </c>
      <c r="Y612" t="s">
        <v>185</v>
      </c>
      <c r="AC612" s="470" t="s">
        <v>7496</v>
      </c>
      <c r="AD612" s="511">
        <v>45940</v>
      </c>
      <c r="AE612">
        <v>3180704</v>
      </c>
      <c r="AF612" s="39">
        <v>45972</v>
      </c>
      <c r="AG612" s="398">
        <v>71540</v>
      </c>
      <c r="AH612" s="398">
        <v>18145.900000000001</v>
      </c>
    </row>
    <row r="613" spans="1:36" ht="19.5" customHeight="1">
      <c r="A613" s="25">
        <f t="shared" si="0"/>
        <v>47</v>
      </c>
      <c r="B613" s="401">
        <v>6222724</v>
      </c>
      <c r="C613" s="449">
        <v>45933</v>
      </c>
      <c r="D613" s="68">
        <v>4787.08</v>
      </c>
      <c r="E613" s="68">
        <v>37233.910000000003</v>
      </c>
      <c r="F613" s="290">
        <v>1558018</v>
      </c>
      <c r="G613" s="475">
        <v>45939</v>
      </c>
      <c r="H613" s="68">
        <v>4787.08</v>
      </c>
      <c r="I613" s="68">
        <v>37233.910000000003</v>
      </c>
      <c r="J613" s="43" t="s">
        <v>33</v>
      </c>
      <c r="K613" s="450" t="s">
        <v>34</v>
      </c>
      <c r="L613" s="451">
        <v>202279033</v>
      </c>
      <c r="M613" s="36" t="s">
        <v>7492</v>
      </c>
      <c r="N613" s="398" t="s">
        <v>1346</v>
      </c>
      <c r="O613" t="s">
        <v>7497</v>
      </c>
      <c r="P613" t="s">
        <v>7498</v>
      </c>
      <c r="R613" s="38">
        <v>45945</v>
      </c>
      <c r="S613" s="39">
        <v>46309</v>
      </c>
      <c r="T613" s="449">
        <v>46039</v>
      </c>
      <c r="U613" s="449">
        <v>46403</v>
      </c>
      <c r="V613" s="62" t="s">
        <v>4683</v>
      </c>
      <c r="W613" s="41" t="s">
        <v>114</v>
      </c>
      <c r="X613" s="40">
        <v>23065000</v>
      </c>
      <c r="Y613" t="s">
        <v>185</v>
      </c>
      <c r="AC613" s="470" t="s">
        <v>7499</v>
      </c>
      <c r="AD613" s="511">
        <v>45940</v>
      </c>
      <c r="AE613">
        <v>3180256</v>
      </c>
      <c r="AF613" s="39">
        <v>45967</v>
      </c>
      <c r="AG613" s="398">
        <v>77754</v>
      </c>
      <c r="AH613" s="398">
        <v>37578.6</v>
      </c>
    </row>
    <row r="614" spans="1:36" ht="19.5" customHeight="1">
      <c r="A614" s="25">
        <f t="shared" si="0"/>
        <v>48</v>
      </c>
      <c r="B614" s="401">
        <v>6224700</v>
      </c>
      <c r="C614" s="449">
        <v>45939</v>
      </c>
      <c r="D614" s="289" t="s">
        <v>141</v>
      </c>
      <c r="E614" s="289">
        <v>4900</v>
      </c>
      <c r="F614" s="290">
        <v>1558809</v>
      </c>
      <c r="G614" s="98">
        <v>45940</v>
      </c>
      <c r="H614" s="289" t="s">
        <v>141</v>
      </c>
      <c r="I614" s="289">
        <v>4900</v>
      </c>
      <c r="J614" s="43" t="s">
        <v>33</v>
      </c>
      <c r="K614" s="450" t="s">
        <v>139</v>
      </c>
      <c r="L614" s="451" t="s">
        <v>7500</v>
      </c>
      <c r="M614" s="36" t="s">
        <v>7501</v>
      </c>
      <c r="N614" s="418" t="s">
        <v>2048</v>
      </c>
      <c r="O614" t="s">
        <v>7502</v>
      </c>
      <c r="P614" t="s">
        <v>7503</v>
      </c>
      <c r="Q614" t="s">
        <v>7504</v>
      </c>
      <c r="R614" s="38">
        <v>45933</v>
      </c>
      <c r="S614" s="39">
        <v>46297</v>
      </c>
      <c r="T614" s="449" t="s">
        <v>141</v>
      </c>
      <c r="U614" s="449" t="s">
        <v>141</v>
      </c>
      <c r="V614" s="62" t="s">
        <v>38</v>
      </c>
      <c r="W614" s="41" t="s">
        <v>114</v>
      </c>
      <c r="X614" t="s">
        <v>7505</v>
      </c>
      <c r="Y614" t="s">
        <v>185</v>
      </c>
      <c r="AA614" s="62">
        <v>90007278</v>
      </c>
      <c r="AB614" s="511">
        <v>45988</v>
      </c>
      <c r="AC614" s="63">
        <v>60016955</v>
      </c>
      <c r="AD614" s="511">
        <v>45988</v>
      </c>
      <c r="AE614">
        <v>3183898</v>
      </c>
      <c r="AF614" s="47">
        <v>45995</v>
      </c>
      <c r="AG614" s="418">
        <v>386270</v>
      </c>
      <c r="AH614" s="418">
        <v>248516.74</v>
      </c>
      <c r="AJ614" s="78"/>
    </row>
    <row r="615" spans="1:36" ht="19.5" customHeight="1">
      <c r="A615" s="25">
        <f t="shared" si="0"/>
        <v>49</v>
      </c>
      <c r="B615" s="401">
        <v>6224701</v>
      </c>
      <c r="C615" s="449">
        <v>45939</v>
      </c>
      <c r="D615" s="68">
        <v>1949.9</v>
      </c>
      <c r="E615" s="68">
        <v>15166.32</v>
      </c>
      <c r="F615" s="290" t="s">
        <v>7506</v>
      </c>
      <c r="G615" s="449">
        <v>45944</v>
      </c>
      <c r="H615" s="68">
        <v>1949.9</v>
      </c>
      <c r="I615" s="68">
        <v>15166.32</v>
      </c>
      <c r="J615" s="43" t="s">
        <v>33</v>
      </c>
      <c r="K615" s="450" t="s">
        <v>34</v>
      </c>
      <c r="L615" s="451">
        <v>262270621</v>
      </c>
      <c r="M615" s="36" t="s">
        <v>7507</v>
      </c>
      <c r="N615" s="398" t="s">
        <v>1377</v>
      </c>
      <c r="O615" t="s">
        <v>7502</v>
      </c>
      <c r="P615" t="s">
        <v>7503</v>
      </c>
      <c r="Q615" t="s">
        <v>7504</v>
      </c>
      <c r="R615" s="38">
        <v>45933</v>
      </c>
      <c r="S615" s="39">
        <v>46297</v>
      </c>
      <c r="T615" s="449">
        <v>45980</v>
      </c>
      <c r="U615" s="449">
        <v>46344</v>
      </c>
      <c r="V615" s="62" t="s">
        <v>38</v>
      </c>
      <c r="W615" s="41" t="s">
        <v>114</v>
      </c>
      <c r="X615" t="s">
        <v>7508</v>
      </c>
      <c r="Y615" t="s">
        <v>185</v>
      </c>
      <c r="AA615" s="62"/>
      <c r="AC615" s="63">
        <v>9999805363</v>
      </c>
      <c r="AD615" s="511">
        <v>45944</v>
      </c>
      <c r="AE615">
        <v>3180282</v>
      </c>
      <c r="AF615" s="47">
        <v>45981</v>
      </c>
      <c r="AG615" s="398">
        <v>386270</v>
      </c>
      <c r="AH615" s="398">
        <v>248516.74</v>
      </c>
      <c r="AJ615" s="536"/>
    </row>
    <row r="616" spans="1:36" ht="19.5" customHeight="1" thickBot="1">
      <c r="A616" s="25">
        <f t="shared" si="0"/>
        <v>50</v>
      </c>
      <c r="B616" s="401">
        <v>6225084</v>
      </c>
      <c r="C616" s="449">
        <v>45940</v>
      </c>
      <c r="D616" s="68">
        <v>986.04</v>
      </c>
      <c r="E616" s="68">
        <v>7669.42</v>
      </c>
      <c r="F616" s="290" t="s">
        <v>7509</v>
      </c>
      <c r="G616" s="98">
        <v>45944</v>
      </c>
      <c r="H616" s="68">
        <v>986.04</v>
      </c>
      <c r="I616" s="68">
        <v>7669.42</v>
      </c>
      <c r="J616" s="43" t="s">
        <v>33</v>
      </c>
      <c r="K616" s="450" t="s">
        <v>34</v>
      </c>
      <c r="L616" s="451">
        <v>431969195</v>
      </c>
      <c r="M616" s="36" t="s">
        <v>7510</v>
      </c>
      <c r="N616" s="398" t="s">
        <v>1540</v>
      </c>
      <c r="O616" t="s">
        <v>7502</v>
      </c>
      <c r="P616" t="s">
        <v>7503</v>
      </c>
      <c r="Q616" t="s">
        <v>7504</v>
      </c>
      <c r="R616" s="38">
        <v>45933</v>
      </c>
      <c r="S616" s="39">
        <v>46297</v>
      </c>
      <c r="T616" s="449">
        <v>45945</v>
      </c>
      <c r="U616" s="449">
        <v>46309</v>
      </c>
      <c r="V616" s="62" t="s">
        <v>38</v>
      </c>
      <c r="W616" s="41" t="s">
        <v>114</v>
      </c>
      <c r="X616" t="s">
        <v>7508</v>
      </c>
      <c r="Y616" t="s">
        <v>185</v>
      </c>
      <c r="AC616" s="470" t="s">
        <v>7511</v>
      </c>
      <c r="AD616" s="511">
        <v>45951</v>
      </c>
      <c r="AE616">
        <v>3180349</v>
      </c>
      <c r="AF616" s="39">
        <v>45968</v>
      </c>
      <c r="AG616" s="398">
        <v>386270</v>
      </c>
      <c r="AH616" s="398">
        <v>248516.74</v>
      </c>
    </row>
    <row r="617" spans="1:36" ht="19.5" customHeight="1">
      <c r="A617">
        <f t="shared" si="0"/>
        <v>51</v>
      </c>
      <c r="B617" s="135">
        <v>6225343</v>
      </c>
      <c r="C617" s="512">
        <v>45940</v>
      </c>
      <c r="D617" s="176">
        <v>28111.200000000001</v>
      </c>
      <c r="E617" s="176">
        <v>218648.91</v>
      </c>
      <c r="F617" s="513" t="s">
        <v>7512</v>
      </c>
      <c r="G617" s="514">
        <v>45945</v>
      </c>
      <c r="H617" s="176">
        <f>28111.2-755.68</f>
        <v>27355.52</v>
      </c>
      <c r="I617" s="176">
        <f>H617*7.78</f>
        <v>212825.94560000001</v>
      </c>
      <c r="J617" s="422" t="s">
        <v>33</v>
      </c>
      <c r="K617" s="560" t="s">
        <v>34</v>
      </c>
      <c r="L617" s="583" t="s">
        <v>7513</v>
      </c>
      <c r="M617" s="143" t="s">
        <v>7514</v>
      </c>
      <c r="N617" s="398" t="s">
        <v>1346</v>
      </c>
      <c r="O617" t="s">
        <v>7502</v>
      </c>
      <c r="P617" t="s">
        <v>7503</v>
      </c>
      <c r="Q617" t="s">
        <v>7504</v>
      </c>
      <c r="R617" s="38">
        <v>45933</v>
      </c>
      <c r="S617" s="39">
        <v>46297</v>
      </c>
      <c r="T617" s="449">
        <v>45945</v>
      </c>
      <c r="U617" s="449">
        <v>46309</v>
      </c>
      <c r="V617" s="62" t="s">
        <v>38</v>
      </c>
      <c r="W617" s="41" t="s">
        <v>114</v>
      </c>
      <c r="X617" t="s">
        <v>7508</v>
      </c>
      <c r="Y617" t="s">
        <v>185</v>
      </c>
      <c r="AC617" s="470" t="s">
        <v>7515</v>
      </c>
      <c r="AD617" s="511">
        <v>45982</v>
      </c>
      <c r="AE617">
        <v>3187022</v>
      </c>
      <c r="AF617" s="47">
        <v>46020</v>
      </c>
      <c r="AG617" s="398">
        <v>386270</v>
      </c>
      <c r="AH617" s="398">
        <v>248516.74</v>
      </c>
      <c r="AJ617"/>
    </row>
    <row r="618" spans="1:36" s="66" customFormat="1" ht="19.5" customHeight="1" thickBot="1">
      <c r="A618" s="66">
        <v>51</v>
      </c>
      <c r="B618" s="542">
        <v>6225343</v>
      </c>
      <c r="C618" s="543">
        <v>45940</v>
      </c>
      <c r="D618" s="544"/>
      <c r="E618" s="544"/>
      <c r="F618" s="545" t="s">
        <v>7512</v>
      </c>
      <c r="G618" s="543">
        <v>45945</v>
      </c>
      <c r="H618" s="544">
        <f>28111.2-27355.52</f>
        <v>755.68000000000029</v>
      </c>
      <c r="I618" s="544">
        <f>H618*7.78</f>
        <v>5879.1904000000022</v>
      </c>
      <c r="J618" s="445" t="s">
        <v>33</v>
      </c>
      <c r="K618" s="584" t="s">
        <v>34</v>
      </c>
      <c r="L618" s="585" t="s">
        <v>7513</v>
      </c>
      <c r="M618" s="426" t="s">
        <v>7514</v>
      </c>
      <c r="N618" s="435" t="s">
        <v>1346</v>
      </c>
      <c r="O618" s="66" t="s">
        <v>7502</v>
      </c>
      <c r="P618" s="66" t="s">
        <v>7503</v>
      </c>
      <c r="Q618" s="66" t="s">
        <v>7504</v>
      </c>
      <c r="R618" s="586">
        <v>45933</v>
      </c>
      <c r="S618" s="399">
        <v>46297</v>
      </c>
      <c r="T618" s="587">
        <v>45945</v>
      </c>
      <c r="U618" s="587">
        <v>46309</v>
      </c>
      <c r="V618" s="588" t="s">
        <v>38</v>
      </c>
      <c r="W618" s="589" t="s">
        <v>114</v>
      </c>
      <c r="X618" s="66" t="s">
        <v>7508</v>
      </c>
      <c r="Y618" t="s">
        <v>185</v>
      </c>
      <c r="AA618" s="555"/>
      <c r="AB618" s="556"/>
      <c r="AC618" s="557" t="s">
        <v>7477</v>
      </c>
      <c r="AD618" s="558">
        <v>46315</v>
      </c>
      <c r="AF618" s="399"/>
      <c r="AG618" s="435"/>
      <c r="AH618" s="435"/>
    </row>
    <row r="619" spans="1:36" ht="19.5" customHeight="1">
      <c r="A619" s="25">
        <f>A617+1</f>
        <v>52</v>
      </c>
      <c r="B619" s="401">
        <v>6228980</v>
      </c>
      <c r="C619" s="449">
        <v>45952</v>
      </c>
      <c r="D619" s="68">
        <v>3102.96</v>
      </c>
      <c r="E619" s="68">
        <v>24134.82</v>
      </c>
      <c r="F619" s="290" t="s">
        <v>7516</v>
      </c>
      <c r="G619" s="98">
        <v>45961</v>
      </c>
      <c r="H619" s="68">
        <v>3102.96</v>
      </c>
      <c r="I619" s="68">
        <v>24134.82</v>
      </c>
      <c r="J619" s="43" t="s">
        <v>384</v>
      </c>
      <c r="K619" s="450" t="s">
        <v>34</v>
      </c>
      <c r="L619" s="451">
        <v>332196409</v>
      </c>
      <c r="M619" s="36" t="s">
        <v>7517</v>
      </c>
      <c r="N619" s="398" t="s">
        <v>2000</v>
      </c>
      <c r="O619" t="s">
        <v>7518</v>
      </c>
      <c r="P619" t="s">
        <v>7519</v>
      </c>
      <c r="Q619" t="s">
        <v>7520</v>
      </c>
      <c r="R619" s="50">
        <v>45948</v>
      </c>
      <c r="S619" s="47">
        <v>46312</v>
      </c>
      <c r="T619" s="98">
        <v>46058</v>
      </c>
      <c r="U619" s="98">
        <v>46422</v>
      </c>
      <c r="V619" s="43" t="s">
        <v>80</v>
      </c>
      <c r="W619" s="41" t="s">
        <v>114</v>
      </c>
      <c r="X619" t="s">
        <v>7521</v>
      </c>
      <c r="Y619" t="s">
        <v>185</v>
      </c>
      <c r="Z619" t="s">
        <v>81</v>
      </c>
      <c r="AC619" s="470" t="s">
        <v>7522</v>
      </c>
      <c r="AD619" s="511">
        <v>45982</v>
      </c>
      <c r="AF619" s="47"/>
      <c r="AG619" s="490">
        <v>381000</v>
      </c>
      <c r="AH619" s="490">
        <v>289347.59000000003</v>
      </c>
      <c r="AJ619"/>
    </row>
    <row r="620" spans="1:36" ht="19.5" customHeight="1">
      <c r="A620" s="25">
        <f t="shared" si="0"/>
        <v>53</v>
      </c>
      <c r="B620" s="401">
        <v>6229010</v>
      </c>
      <c r="C620" s="449">
        <v>45952</v>
      </c>
      <c r="D620" s="289" t="s">
        <v>141</v>
      </c>
      <c r="E620" s="289">
        <v>940</v>
      </c>
      <c r="F620" s="290" t="s">
        <v>7523</v>
      </c>
      <c r="G620" s="98">
        <v>46319</v>
      </c>
      <c r="H620" s="289" t="s">
        <v>141</v>
      </c>
      <c r="I620" s="289">
        <v>940</v>
      </c>
      <c r="J620" s="43" t="s">
        <v>33</v>
      </c>
      <c r="K620" s="450" t="s">
        <v>338</v>
      </c>
      <c r="L620" s="25" t="s">
        <v>7524</v>
      </c>
      <c r="M620" s="36" t="s">
        <v>7525</v>
      </c>
      <c r="N620" s="418" t="s">
        <v>4628</v>
      </c>
      <c r="O620" t="s">
        <v>7518</v>
      </c>
      <c r="P620" t="s">
        <v>7519</v>
      </c>
      <c r="Q620" t="s">
        <v>7520</v>
      </c>
      <c r="R620" s="50">
        <v>45948</v>
      </c>
      <c r="S620" s="47">
        <v>46312</v>
      </c>
      <c r="T620" s="98" t="s">
        <v>141</v>
      </c>
      <c r="U620" s="98" t="s">
        <v>141</v>
      </c>
      <c r="V620" s="43" t="s">
        <v>80</v>
      </c>
      <c r="W620" s="41" t="s">
        <v>114</v>
      </c>
      <c r="X620" t="s">
        <v>7521</v>
      </c>
      <c r="Y620" t="s">
        <v>185</v>
      </c>
      <c r="Z620" t="s">
        <v>81</v>
      </c>
      <c r="AA620" s="469" t="s">
        <v>7526</v>
      </c>
      <c r="AB620" s="511">
        <v>45966</v>
      </c>
      <c r="AC620" s="470" t="s">
        <v>7527</v>
      </c>
      <c r="AD620" s="511">
        <v>45966</v>
      </c>
      <c r="AE620">
        <v>3199592</v>
      </c>
      <c r="AF620" s="47">
        <v>46106</v>
      </c>
      <c r="AG620" s="498">
        <v>381000</v>
      </c>
      <c r="AH620" s="498">
        <v>289347.59000000003</v>
      </c>
      <c r="AJ620"/>
    </row>
    <row r="621" spans="1:36" ht="19.5" customHeight="1">
      <c r="A621" s="25">
        <f t="shared" si="0"/>
        <v>54</v>
      </c>
      <c r="B621" s="401">
        <v>6229015</v>
      </c>
      <c r="C621" s="449">
        <v>45952</v>
      </c>
      <c r="D621" s="68">
        <v>3692.06</v>
      </c>
      <c r="E621" s="68">
        <v>28716.84</v>
      </c>
      <c r="F621" s="290" t="s">
        <v>7528</v>
      </c>
      <c r="G621" s="98">
        <v>45958</v>
      </c>
      <c r="H621" s="68">
        <v>3692.06</v>
      </c>
      <c r="I621" s="68">
        <v>28716.84</v>
      </c>
      <c r="J621" s="43" t="s">
        <v>33</v>
      </c>
      <c r="K621" s="450" t="s">
        <v>34</v>
      </c>
      <c r="L621" s="451">
        <v>312158546</v>
      </c>
      <c r="M621" s="36" t="s">
        <v>7529</v>
      </c>
      <c r="N621" s="398" t="s">
        <v>1540</v>
      </c>
      <c r="O621" t="s">
        <v>7518</v>
      </c>
      <c r="P621" t="s">
        <v>7519</v>
      </c>
      <c r="Q621" t="s">
        <v>7520</v>
      </c>
      <c r="R621" s="50">
        <v>45948</v>
      </c>
      <c r="S621" s="47">
        <v>46312</v>
      </c>
      <c r="T621" s="98">
        <v>46058</v>
      </c>
      <c r="U621" s="98">
        <v>46422</v>
      </c>
      <c r="V621" s="43" t="s">
        <v>80</v>
      </c>
      <c r="W621" s="41" t="s">
        <v>114</v>
      </c>
      <c r="X621" t="s">
        <v>7521</v>
      </c>
      <c r="Y621" t="s">
        <v>185</v>
      </c>
      <c r="Z621" t="s">
        <v>81</v>
      </c>
      <c r="AC621" s="470" t="s">
        <v>7530</v>
      </c>
      <c r="AD621" s="511">
        <v>45959</v>
      </c>
      <c r="AE621">
        <v>3184681</v>
      </c>
      <c r="AF621" s="47">
        <v>46001</v>
      </c>
      <c r="AG621" s="490">
        <v>381000</v>
      </c>
      <c r="AH621" s="490">
        <v>289347.59000000003</v>
      </c>
    </row>
    <row r="622" spans="1:36" ht="19.5" customHeight="1">
      <c r="A622" s="25">
        <f t="shared" si="0"/>
        <v>55</v>
      </c>
      <c r="B622" s="401">
        <v>6229022</v>
      </c>
      <c r="C622" s="449">
        <v>45952</v>
      </c>
      <c r="D622" s="68">
        <v>29944.799999999999</v>
      </c>
      <c r="E622" s="68">
        <v>232910.65</v>
      </c>
      <c r="F622" s="290" t="s">
        <v>7531</v>
      </c>
      <c r="G622" s="98">
        <v>45958</v>
      </c>
      <c r="H622" s="68">
        <v>29944.799999999999</v>
      </c>
      <c r="I622" s="68">
        <v>232910.65</v>
      </c>
      <c r="J622" s="43" t="s">
        <v>33</v>
      </c>
      <c r="K622" s="450" t="s">
        <v>34</v>
      </c>
      <c r="L622" s="451">
        <v>99743223</v>
      </c>
      <c r="M622" s="36" t="s">
        <v>7532</v>
      </c>
      <c r="N622" s="398" t="s">
        <v>1346</v>
      </c>
      <c r="O622" t="s">
        <v>7518</v>
      </c>
      <c r="P622" t="s">
        <v>7519</v>
      </c>
      <c r="Q622" t="s">
        <v>7520</v>
      </c>
      <c r="R622" s="50">
        <v>45948</v>
      </c>
      <c r="S622" s="47">
        <v>46312</v>
      </c>
      <c r="T622" s="98">
        <v>45963</v>
      </c>
      <c r="U622" s="98">
        <v>46327</v>
      </c>
      <c r="V622" s="43" t="s">
        <v>80</v>
      </c>
      <c r="W622" s="41" t="s">
        <v>114</v>
      </c>
      <c r="X622" t="s">
        <v>7521</v>
      </c>
      <c r="Y622" t="s">
        <v>56</v>
      </c>
      <c r="Z622" t="s">
        <v>81</v>
      </c>
      <c r="AC622" s="470" t="s">
        <v>7533</v>
      </c>
      <c r="AD622" s="511">
        <v>45982</v>
      </c>
      <c r="AF622" s="47"/>
      <c r="AG622" s="490">
        <v>381000</v>
      </c>
      <c r="AH622" s="490">
        <v>289347.59000000003</v>
      </c>
    </row>
    <row r="623" spans="1:36" ht="19.5" customHeight="1">
      <c r="A623" s="25">
        <f t="shared" si="0"/>
        <v>56</v>
      </c>
      <c r="B623" s="401">
        <v>6240229</v>
      </c>
      <c r="C623" s="449">
        <v>45987</v>
      </c>
      <c r="D623" s="68">
        <v>1285.8800000000001</v>
      </c>
      <c r="E623" s="68">
        <v>9990.64</v>
      </c>
      <c r="F623" s="290" t="s">
        <v>7534</v>
      </c>
      <c r="G623" s="98">
        <v>45993</v>
      </c>
      <c r="H623" s="68">
        <v>1285.8800000000001</v>
      </c>
      <c r="I623" s="68">
        <v>10004.66</v>
      </c>
      <c r="J623" s="43" t="s">
        <v>33</v>
      </c>
      <c r="K623" s="450" t="s">
        <v>34</v>
      </c>
      <c r="L623" s="451">
        <v>441988729</v>
      </c>
      <c r="M623" s="36" t="s">
        <v>7535</v>
      </c>
      <c r="N623" s="398" t="s">
        <v>1346</v>
      </c>
      <c r="O623" t="s">
        <v>7536</v>
      </c>
      <c r="P623" t="s">
        <v>7537</v>
      </c>
      <c r="Q623" t="s">
        <v>7538</v>
      </c>
      <c r="R623" s="50">
        <v>45961</v>
      </c>
      <c r="S623" s="47">
        <v>47056</v>
      </c>
      <c r="T623" s="98">
        <v>46089</v>
      </c>
      <c r="U623" s="98">
        <v>46812</v>
      </c>
      <c r="V623" s="43" t="s">
        <v>51</v>
      </c>
      <c r="W623" s="41" t="s">
        <v>39</v>
      </c>
      <c r="X623" t="s">
        <v>7539</v>
      </c>
      <c r="Y623" t="s">
        <v>56</v>
      </c>
      <c r="AC623" s="470" t="s">
        <v>7540</v>
      </c>
      <c r="AD623" s="511">
        <v>45995</v>
      </c>
      <c r="AF623" s="47"/>
      <c r="AG623" s="490"/>
      <c r="AH623" s="490"/>
    </row>
    <row r="624" spans="1:36" ht="19.5" customHeight="1">
      <c r="A624" s="25">
        <f t="shared" si="0"/>
        <v>57</v>
      </c>
      <c r="B624" s="401">
        <v>6242133</v>
      </c>
      <c r="C624" s="449">
        <v>45993</v>
      </c>
      <c r="D624" s="68">
        <v>27493.200000000001</v>
      </c>
      <c r="E624" s="68">
        <v>213908.09</v>
      </c>
      <c r="F624" s="290" t="s">
        <v>7541</v>
      </c>
      <c r="G624" s="98">
        <v>46020</v>
      </c>
      <c r="H624" s="68">
        <v>27493.200000000001</v>
      </c>
      <c r="I624" s="68">
        <v>213908.09</v>
      </c>
      <c r="J624" s="43" t="s">
        <v>384</v>
      </c>
      <c r="K624" s="450" t="s">
        <v>34</v>
      </c>
      <c r="L624" s="451">
        <v>11000304990</v>
      </c>
      <c r="M624" s="36" t="s">
        <v>7542</v>
      </c>
      <c r="N624" s="398" t="s">
        <v>1169</v>
      </c>
      <c r="O624" t="s">
        <v>7536</v>
      </c>
      <c r="P624" t="s">
        <v>7537</v>
      </c>
      <c r="Q624" t="s">
        <v>7538</v>
      </c>
      <c r="R624" s="50">
        <v>45961</v>
      </c>
      <c r="S624" s="47">
        <v>47056</v>
      </c>
      <c r="T624" s="98">
        <v>46026</v>
      </c>
      <c r="U624" s="98">
        <v>47121</v>
      </c>
      <c r="V624" s="43" t="s">
        <v>51</v>
      </c>
      <c r="W624" s="41" t="s">
        <v>39</v>
      </c>
      <c r="X624" t="s">
        <v>7539</v>
      </c>
      <c r="Y624" t="s">
        <v>56</v>
      </c>
      <c r="AF624" s="47"/>
      <c r="AG624" s="490"/>
      <c r="AH624" s="490"/>
    </row>
    <row r="625" spans="1:36" ht="19.5" customHeight="1">
      <c r="A625" s="25">
        <f t="shared" si="0"/>
        <v>58</v>
      </c>
      <c r="B625" s="401">
        <v>6244327</v>
      </c>
      <c r="C625" s="449">
        <v>45999</v>
      </c>
      <c r="D625" s="68">
        <v>1697.08</v>
      </c>
      <c r="E625" s="68">
        <v>13203.96</v>
      </c>
      <c r="F625" s="290" t="s">
        <v>7543</v>
      </c>
      <c r="G625" s="98">
        <v>46003</v>
      </c>
      <c r="H625" s="68">
        <v>1697.08</v>
      </c>
      <c r="I625" s="68">
        <v>13203.96</v>
      </c>
      <c r="J625" s="43" t="s">
        <v>33</v>
      </c>
      <c r="K625" s="450" t="s">
        <v>34</v>
      </c>
      <c r="L625" s="451">
        <v>401999468</v>
      </c>
      <c r="M625" s="36" t="s">
        <v>7544</v>
      </c>
      <c r="N625" s="398" t="s">
        <v>1346</v>
      </c>
      <c r="O625" t="s">
        <v>7545</v>
      </c>
      <c r="P625" t="s">
        <v>7546</v>
      </c>
      <c r="Q625" t="s">
        <v>7547</v>
      </c>
      <c r="R625" s="50">
        <v>45979</v>
      </c>
      <c r="S625" s="47">
        <v>46343</v>
      </c>
      <c r="T625" s="98">
        <v>45979</v>
      </c>
      <c r="U625" s="98">
        <v>46343</v>
      </c>
      <c r="V625" s="43" t="s">
        <v>590</v>
      </c>
      <c r="W625" s="41" t="s">
        <v>39</v>
      </c>
      <c r="X625" t="s">
        <v>7548</v>
      </c>
      <c r="Y625" t="s">
        <v>56</v>
      </c>
      <c r="AC625" s="470" t="s">
        <v>7549</v>
      </c>
      <c r="AD625" s="511">
        <v>46003</v>
      </c>
      <c r="AF625" s="47"/>
      <c r="AG625" s="490"/>
      <c r="AH625" s="490"/>
    </row>
    <row r="626" spans="1:36" ht="19.5" customHeight="1">
      <c r="A626" s="25">
        <f t="shared" si="0"/>
        <v>59</v>
      </c>
      <c r="B626" s="401">
        <v>6248597</v>
      </c>
      <c r="C626" s="449">
        <v>46009</v>
      </c>
      <c r="D626" s="68">
        <v>202.97</v>
      </c>
      <c r="E626" s="68">
        <v>1579.19</v>
      </c>
      <c r="F626" s="290" t="s">
        <v>7550</v>
      </c>
      <c r="G626" s="98">
        <v>46015</v>
      </c>
      <c r="H626" s="68">
        <v>202.97</v>
      </c>
      <c r="I626" s="68">
        <v>1579.19</v>
      </c>
      <c r="J626" s="43" t="s">
        <v>33</v>
      </c>
      <c r="K626" s="450" t="s">
        <v>34</v>
      </c>
      <c r="L626" s="451">
        <v>492002553</v>
      </c>
      <c r="M626" s="36" t="s">
        <v>7551</v>
      </c>
      <c r="N626" s="398" t="s">
        <v>1346</v>
      </c>
      <c r="O626" t="s">
        <v>7552</v>
      </c>
      <c r="P626" t="s">
        <v>7553</v>
      </c>
      <c r="Q626" t="s">
        <v>7554</v>
      </c>
      <c r="R626" s="38">
        <v>46013</v>
      </c>
      <c r="S626" s="39">
        <v>46377</v>
      </c>
      <c r="T626" s="449">
        <v>46013</v>
      </c>
      <c r="U626" s="449">
        <v>46377</v>
      </c>
      <c r="V626" s="43" t="s">
        <v>4713</v>
      </c>
      <c r="W626" s="41" t="s">
        <v>39</v>
      </c>
      <c r="X626" s="67" t="s">
        <v>141</v>
      </c>
      <c r="Y626" t="s">
        <v>56</v>
      </c>
      <c r="AC626" s="470" t="s">
        <v>7555</v>
      </c>
      <c r="AD626" s="511">
        <v>46015</v>
      </c>
      <c r="AE626">
        <v>3193757</v>
      </c>
      <c r="AF626" s="47">
        <v>46064</v>
      </c>
      <c r="AG626" s="490"/>
      <c r="AH626" s="490"/>
    </row>
    <row r="627" spans="1:36" ht="19.5" customHeight="1">
      <c r="A627" s="25">
        <f t="shared" si="0"/>
        <v>60</v>
      </c>
      <c r="B627" s="401">
        <v>6248899</v>
      </c>
      <c r="C627" s="449">
        <v>46009</v>
      </c>
      <c r="D627" s="68">
        <v>3724.5</v>
      </c>
      <c r="E627" s="68">
        <v>28978.1</v>
      </c>
      <c r="F627" s="290" t="s">
        <v>7556</v>
      </c>
      <c r="G627" s="98">
        <v>46020</v>
      </c>
      <c r="H627" s="68">
        <v>3724.5</v>
      </c>
      <c r="I627" s="68">
        <v>28978.1</v>
      </c>
      <c r="J627" s="43" t="s">
        <v>33</v>
      </c>
      <c r="K627" s="450" t="s">
        <v>34</v>
      </c>
      <c r="L627" s="451">
        <v>272286447</v>
      </c>
      <c r="M627" s="36" t="s">
        <v>7557</v>
      </c>
      <c r="N627" s="398" t="s">
        <v>1346</v>
      </c>
      <c r="O627" t="s">
        <v>7558</v>
      </c>
      <c r="P627" t="s">
        <v>7559</v>
      </c>
      <c r="Q627" t="s">
        <v>7560</v>
      </c>
      <c r="R627" s="50">
        <v>45962</v>
      </c>
      <c r="S627" s="47">
        <v>46326</v>
      </c>
      <c r="T627" s="98">
        <v>46154</v>
      </c>
      <c r="U627" s="98">
        <v>46518</v>
      </c>
      <c r="V627" s="43" t="s">
        <v>60</v>
      </c>
      <c r="W627" s="41" t="s">
        <v>39</v>
      </c>
      <c r="X627" s="67" t="s">
        <v>141</v>
      </c>
      <c r="Y627" t="s">
        <v>185</v>
      </c>
      <c r="Z627" t="s">
        <v>81</v>
      </c>
      <c r="AC627">
        <v>10000029200</v>
      </c>
      <c r="AD627" s="511">
        <v>46021</v>
      </c>
      <c r="AE627">
        <v>3193850</v>
      </c>
      <c r="AF627" s="47">
        <v>46064</v>
      </c>
      <c r="AG627" s="490"/>
      <c r="AH627" s="490"/>
    </row>
    <row r="628" spans="1:36" ht="19.5" customHeight="1">
      <c r="A628" s="25">
        <f t="shared" si="0"/>
        <v>61</v>
      </c>
      <c r="B628" s="401">
        <v>6249120</v>
      </c>
      <c r="C628" s="449">
        <v>46010</v>
      </c>
      <c r="D628" s="68">
        <v>43650.36</v>
      </c>
      <c r="E628" s="68">
        <v>339617.26</v>
      </c>
      <c r="F628" s="290" t="s">
        <v>7561</v>
      </c>
      <c r="G628" s="98">
        <v>46013</v>
      </c>
      <c r="H628" s="68">
        <v>43650.36</v>
      </c>
      <c r="I628" s="68">
        <v>339617.26</v>
      </c>
      <c r="J628" s="43" t="s">
        <v>7562</v>
      </c>
      <c r="K628" s="450" t="s">
        <v>34</v>
      </c>
      <c r="L628" s="451">
        <v>11000449580</v>
      </c>
      <c r="M628" s="36" t="s">
        <v>7563</v>
      </c>
      <c r="N628" s="398" t="s">
        <v>1346</v>
      </c>
      <c r="O628" t="s">
        <v>7564</v>
      </c>
      <c r="P628" t="s">
        <v>7565</v>
      </c>
      <c r="Q628" t="s">
        <v>7560</v>
      </c>
      <c r="R628" s="38">
        <v>45962</v>
      </c>
      <c r="S628" s="39">
        <v>47057</v>
      </c>
      <c r="T628" s="98" t="s">
        <v>141</v>
      </c>
      <c r="U628" s="98" t="s">
        <v>141</v>
      </c>
      <c r="V628" s="43" t="s">
        <v>60</v>
      </c>
      <c r="W628" s="41" t="s">
        <v>39</v>
      </c>
      <c r="X628" s="67" t="s">
        <v>141</v>
      </c>
      <c r="Y628" t="s">
        <v>56</v>
      </c>
      <c r="AF628" s="47"/>
      <c r="AG628" s="490"/>
      <c r="AH628" s="490"/>
    </row>
    <row r="629" spans="1:36" s="95" customFormat="1" ht="19.5" customHeight="1">
      <c r="A629" s="193">
        <f t="shared" ref="A629:A692" si="1">A628+1</f>
        <v>62</v>
      </c>
      <c r="B629" s="91">
        <v>6250372</v>
      </c>
      <c r="C629" s="520">
        <v>46014</v>
      </c>
      <c r="D629" s="194" t="s">
        <v>141</v>
      </c>
      <c r="E629" s="195">
        <f>17730-1320</f>
        <v>16410</v>
      </c>
      <c r="F629" s="93" t="s">
        <v>141</v>
      </c>
      <c r="G629" s="520" t="s">
        <v>141</v>
      </c>
      <c r="H629" s="590" t="s">
        <v>141</v>
      </c>
      <c r="I629" s="591" t="s">
        <v>141</v>
      </c>
      <c r="J629" s="94" t="s">
        <v>33</v>
      </c>
      <c r="K629" s="95" t="s">
        <v>139</v>
      </c>
      <c r="L629" s="196" t="s">
        <v>7566</v>
      </c>
      <c r="M629" s="96" t="s">
        <v>7567</v>
      </c>
      <c r="N629" s="592" t="s">
        <v>1383</v>
      </c>
      <c r="O629" s="95" t="s">
        <v>7568</v>
      </c>
      <c r="P629" s="95" t="s">
        <v>7569</v>
      </c>
      <c r="Q629" s="95" t="s">
        <v>7570</v>
      </c>
      <c r="R629" s="198">
        <v>46023</v>
      </c>
      <c r="S629" s="200">
        <v>46387</v>
      </c>
      <c r="T629" s="198">
        <v>46023</v>
      </c>
      <c r="U629" s="200">
        <v>46387</v>
      </c>
      <c r="V629" s="201" t="s">
        <v>2741</v>
      </c>
      <c r="W629" s="202" t="s">
        <v>114</v>
      </c>
      <c r="X629" s="201" t="s">
        <v>7571</v>
      </c>
      <c r="Y629" s="201" t="s">
        <v>56</v>
      </c>
      <c r="Z629" s="201" t="s">
        <v>81</v>
      </c>
      <c r="AA629" s="204"/>
      <c r="AB629" s="527"/>
      <c r="AC629" s="528"/>
      <c r="AD629" s="527"/>
      <c r="AF629" s="200"/>
      <c r="AG629" s="529"/>
      <c r="AH629" s="529"/>
      <c r="AJ629" s="593"/>
    </row>
    <row r="630" spans="1:36" ht="19.5" customHeight="1">
      <c r="A630" s="25">
        <f t="shared" si="1"/>
        <v>63</v>
      </c>
      <c r="B630" s="401">
        <v>6250511</v>
      </c>
      <c r="C630" s="449">
        <v>46015</v>
      </c>
      <c r="D630" s="71" t="s">
        <v>141</v>
      </c>
      <c r="E630" s="289">
        <v>2040</v>
      </c>
      <c r="F630" s="290" t="s">
        <v>7572</v>
      </c>
      <c r="G630" s="98">
        <v>46020</v>
      </c>
      <c r="H630" s="71" t="s">
        <v>141</v>
      </c>
      <c r="I630" s="289">
        <f>1890+150</f>
        <v>2040</v>
      </c>
      <c r="J630" s="43" t="s">
        <v>7573</v>
      </c>
      <c r="K630" s="450" t="s">
        <v>7574</v>
      </c>
      <c r="L630" s="25" t="s">
        <v>7575</v>
      </c>
      <c r="M630" s="36" t="s">
        <v>7576</v>
      </c>
      <c r="N630" s="418" t="s">
        <v>7577</v>
      </c>
      <c r="O630" t="s">
        <v>7568</v>
      </c>
      <c r="P630" t="s">
        <v>7569</v>
      </c>
      <c r="Q630" t="s">
        <v>7570</v>
      </c>
      <c r="R630" s="38">
        <v>46023</v>
      </c>
      <c r="S630" s="39">
        <v>46387</v>
      </c>
      <c r="T630" s="38">
        <v>46023</v>
      </c>
      <c r="U630" s="39">
        <v>46387</v>
      </c>
      <c r="V630" s="40" t="s">
        <v>2741</v>
      </c>
      <c r="W630" s="41" t="s">
        <v>114</v>
      </c>
      <c r="X630" s="40" t="s">
        <v>7571</v>
      </c>
      <c r="Y630" s="40" t="s">
        <v>56</v>
      </c>
      <c r="Z630" s="40" t="s">
        <v>81</v>
      </c>
      <c r="AA630" s="469" t="s">
        <v>7578</v>
      </c>
      <c r="AB630" s="511">
        <v>46062</v>
      </c>
      <c r="AD630" s="511">
        <v>46063</v>
      </c>
      <c r="AE630">
        <v>3198357</v>
      </c>
      <c r="AF630" s="39">
        <v>46097</v>
      </c>
      <c r="AG630" s="498"/>
      <c r="AH630" s="498"/>
    </row>
    <row r="631" spans="1:36" ht="19.5" customHeight="1">
      <c r="A631" s="25">
        <f t="shared" si="1"/>
        <v>64</v>
      </c>
      <c r="B631" s="401">
        <v>6250735</v>
      </c>
      <c r="C631" s="449">
        <v>46015</v>
      </c>
      <c r="D631" s="68">
        <v>4217.6099999999997</v>
      </c>
      <c r="E631" s="68">
        <v>32814.69</v>
      </c>
      <c r="F631" s="290" t="s">
        <v>7579</v>
      </c>
      <c r="G631" s="98">
        <v>46022</v>
      </c>
      <c r="H631" s="68">
        <v>4217.6099999999997</v>
      </c>
      <c r="I631" s="68">
        <v>32814.69</v>
      </c>
      <c r="J631" s="43" t="s">
        <v>33</v>
      </c>
      <c r="K631" s="450" t="s">
        <v>34</v>
      </c>
      <c r="L631" s="25" t="s">
        <v>7580</v>
      </c>
      <c r="M631" s="36" t="s">
        <v>7581</v>
      </c>
      <c r="N631" s="398" t="s">
        <v>1169</v>
      </c>
      <c r="O631" t="s">
        <v>7568</v>
      </c>
      <c r="P631" t="s">
        <v>7569</v>
      </c>
      <c r="Q631" t="s">
        <v>7570</v>
      </c>
      <c r="R631" s="38">
        <v>46023</v>
      </c>
      <c r="S631" s="39">
        <v>46387</v>
      </c>
      <c r="T631" s="38">
        <v>46023</v>
      </c>
      <c r="U631" s="39">
        <v>46387</v>
      </c>
      <c r="V631" s="40" t="s">
        <v>2741</v>
      </c>
      <c r="W631" s="41" t="s">
        <v>114</v>
      </c>
      <c r="X631" s="40" t="s">
        <v>7571</v>
      </c>
      <c r="Y631" s="40" t="s">
        <v>56</v>
      </c>
      <c r="Z631" s="40" t="s">
        <v>81</v>
      </c>
      <c r="AC631" s="470" t="s">
        <v>7582</v>
      </c>
      <c r="AD631" s="511">
        <v>46024</v>
      </c>
      <c r="AE631">
        <v>3193843</v>
      </c>
      <c r="AF631" s="47">
        <v>46064</v>
      </c>
      <c r="AG631" s="490"/>
      <c r="AH631" s="490"/>
    </row>
    <row r="632" spans="1:36" ht="19.5" customHeight="1">
      <c r="A632" s="25">
        <f t="shared" si="1"/>
        <v>65</v>
      </c>
      <c r="B632" s="26">
        <v>6250955</v>
      </c>
      <c r="C632" s="449">
        <v>46015</v>
      </c>
      <c r="D632" s="28">
        <v>58229.38</v>
      </c>
      <c r="E632" s="68">
        <v>453047.87</v>
      </c>
      <c r="F632" s="290" t="s">
        <v>7583</v>
      </c>
      <c r="G632" s="449">
        <v>46028</v>
      </c>
      <c r="H632" s="28">
        <v>61110.32</v>
      </c>
      <c r="I632" s="29">
        <v>453047.87</v>
      </c>
      <c r="J632" s="34" t="s">
        <v>384</v>
      </c>
      <c r="K632" t="s">
        <v>34</v>
      </c>
      <c r="L632" s="35" t="s">
        <v>7584</v>
      </c>
      <c r="M632" s="36" t="s">
        <v>7585</v>
      </c>
      <c r="N632" s="37" t="s">
        <v>1346</v>
      </c>
      <c r="O632" t="s">
        <v>2828</v>
      </c>
      <c r="P632" t="s">
        <v>7586</v>
      </c>
      <c r="Q632" t="s">
        <v>7587</v>
      </c>
      <c r="R632" s="38">
        <v>46023</v>
      </c>
      <c r="S632" s="39">
        <v>46387</v>
      </c>
      <c r="T632" s="38">
        <v>46096</v>
      </c>
      <c r="U632" s="39">
        <v>46483</v>
      </c>
      <c r="V632" s="40" t="s">
        <v>245</v>
      </c>
      <c r="W632" s="41" t="s">
        <v>114</v>
      </c>
      <c r="X632" s="40">
        <v>21009000</v>
      </c>
      <c r="Y632" s="40" t="s">
        <v>185</v>
      </c>
      <c r="Z632" s="40" t="s">
        <v>81</v>
      </c>
      <c r="AA632" s="62"/>
      <c r="AB632" s="44"/>
      <c r="AC632" s="63">
        <v>6501209043</v>
      </c>
      <c r="AD632" s="46">
        <v>46102</v>
      </c>
      <c r="AE632">
        <v>3202415</v>
      </c>
      <c r="AF632" s="47">
        <v>46128</v>
      </c>
      <c r="AG632" s="49"/>
      <c r="AH632" s="49"/>
    </row>
    <row r="633" spans="1:36" ht="19.5" customHeight="1">
      <c r="A633" s="25">
        <f t="shared" si="1"/>
        <v>66</v>
      </c>
      <c r="B633" s="401">
        <v>6251482</v>
      </c>
      <c r="C633" s="449">
        <v>46021</v>
      </c>
      <c r="D633" s="68">
        <v>1560.71</v>
      </c>
      <c r="E633" s="68">
        <v>12142.95</v>
      </c>
      <c r="F633" s="290" t="s">
        <v>7588</v>
      </c>
      <c r="G633" s="98">
        <v>46021</v>
      </c>
      <c r="H633" s="68">
        <v>1560.71</v>
      </c>
      <c r="I633" s="68">
        <v>12142.95</v>
      </c>
      <c r="J633" s="43" t="s">
        <v>33</v>
      </c>
      <c r="K633" s="450" t="s">
        <v>34</v>
      </c>
      <c r="L633" s="451">
        <v>322215283</v>
      </c>
      <c r="M633" s="36" t="s">
        <v>7589</v>
      </c>
      <c r="N633" s="398" t="s">
        <v>1346</v>
      </c>
      <c r="O633" t="s">
        <v>7590</v>
      </c>
      <c r="P633" t="s">
        <v>7591</v>
      </c>
      <c r="Q633" t="s">
        <v>2841</v>
      </c>
      <c r="R633" s="38">
        <v>46023</v>
      </c>
      <c r="S633" s="39">
        <v>46387</v>
      </c>
      <c r="T633" s="449">
        <v>46080</v>
      </c>
      <c r="U633" s="449">
        <v>46444</v>
      </c>
      <c r="V633" s="43" t="s">
        <v>276</v>
      </c>
      <c r="W633" s="41" t="s">
        <v>39</v>
      </c>
      <c r="X633" s="40">
        <v>27344213</v>
      </c>
      <c r="Y633" t="s">
        <v>56</v>
      </c>
      <c r="Z633" t="s">
        <v>81</v>
      </c>
      <c r="AC633" s="470" t="s">
        <v>7592</v>
      </c>
      <c r="AD633" s="511">
        <v>46022</v>
      </c>
      <c r="AE633">
        <v>3193849</v>
      </c>
      <c r="AF633" s="47">
        <v>46064</v>
      </c>
      <c r="AG633" s="490"/>
      <c r="AH633" s="490"/>
    </row>
    <row r="634" spans="1:36" ht="19.5" customHeight="1">
      <c r="A634" s="25">
        <f t="shared" si="1"/>
        <v>67</v>
      </c>
      <c r="B634" s="401">
        <v>6255677</v>
      </c>
      <c r="C634" s="449">
        <v>46035</v>
      </c>
      <c r="D634" s="68">
        <v>1957.16</v>
      </c>
      <c r="E634" s="68">
        <v>15215.55</v>
      </c>
      <c r="F634" s="290" t="s">
        <v>7593</v>
      </c>
      <c r="G634" s="98">
        <v>46036</v>
      </c>
      <c r="H634" s="68">
        <v>1957.16</v>
      </c>
      <c r="I634" s="68">
        <v>15215.55</v>
      </c>
      <c r="J634" s="43" t="s">
        <v>33</v>
      </c>
      <c r="K634" s="450" t="s">
        <v>34</v>
      </c>
      <c r="L634" s="451">
        <v>312198653</v>
      </c>
      <c r="M634" s="36" t="s">
        <v>7594</v>
      </c>
      <c r="N634" s="398" t="s">
        <v>1346</v>
      </c>
      <c r="O634" t="s">
        <v>7595</v>
      </c>
      <c r="P634" t="s">
        <v>7596</v>
      </c>
      <c r="Q634" t="s">
        <v>7597</v>
      </c>
      <c r="R634" s="50">
        <v>46327</v>
      </c>
      <c r="S634" s="47">
        <v>47057</v>
      </c>
      <c r="T634" s="98">
        <v>46151</v>
      </c>
      <c r="U634" s="98">
        <v>46515</v>
      </c>
      <c r="V634" s="43" t="s">
        <v>60</v>
      </c>
      <c r="W634" s="41" t="s">
        <v>39</v>
      </c>
      <c r="X634" t="s">
        <v>7598</v>
      </c>
      <c r="Y634" t="s">
        <v>56</v>
      </c>
      <c r="Z634" t="s">
        <v>81</v>
      </c>
      <c r="AC634" s="470" t="s">
        <v>7599</v>
      </c>
      <c r="AD634" s="511">
        <v>46042</v>
      </c>
      <c r="AF634" s="39"/>
      <c r="AG634" s="490"/>
      <c r="AH634" s="490"/>
    </row>
    <row r="635" spans="1:36" ht="19.5" customHeight="1">
      <c r="A635" s="25">
        <f t="shared" si="1"/>
        <v>68</v>
      </c>
      <c r="B635" s="401">
        <v>6256074</v>
      </c>
      <c r="C635" s="449">
        <v>46036</v>
      </c>
      <c r="D635" s="68">
        <v>5537.03</v>
      </c>
      <c r="E635" s="68">
        <v>43046.53</v>
      </c>
      <c r="F635" s="290" t="s">
        <v>7600</v>
      </c>
      <c r="G635" s="98">
        <v>46038</v>
      </c>
      <c r="H635" s="68">
        <v>5537.03</v>
      </c>
      <c r="I635" s="68">
        <v>43045.53</v>
      </c>
      <c r="J635" s="43" t="s">
        <v>384</v>
      </c>
      <c r="K635" s="450" t="s">
        <v>34</v>
      </c>
      <c r="L635" s="25">
        <v>11000510767</v>
      </c>
      <c r="M635" s="36" t="s">
        <v>7563</v>
      </c>
      <c r="N635" s="398" t="s">
        <v>1540</v>
      </c>
      <c r="O635" t="s">
        <v>7595</v>
      </c>
      <c r="P635" t="s">
        <v>7596</v>
      </c>
      <c r="Q635" t="s">
        <v>7597</v>
      </c>
      <c r="R635" s="38">
        <v>46327</v>
      </c>
      <c r="S635" s="39">
        <v>47057</v>
      </c>
      <c r="T635" s="98" t="s">
        <v>141</v>
      </c>
      <c r="U635" s="98" t="s">
        <v>141</v>
      </c>
      <c r="V635" s="43" t="s">
        <v>60</v>
      </c>
      <c r="W635" s="41" t="s">
        <v>39</v>
      </c>
      <c r="X635" t="s">
        <v>7598</v>
      </c>
      <c r="Y635" t="s">
        <v>1940</v>
      </c>
      <c r="Z635" t="s">
        <v>81</v>
      </c>
      <c r="AC635" s="470" t="s">
        <v>7601</v>
      </c>
      <c r="AD635" s="511">
        <v>46133</v>
      </c>
      <c r="AE635">
        <v>3203445</v>
      </c>
      <c r="AF635" s="39">
        <v>46135</v>
      </c>
      <c r="AG635" s="490"/>
      <c r="AH635" s="490"/>
    </row>
    <row r="636" spans="1:36" ht="19.5" customHeight="1">
      <c r="A636" s="25">
        <f t="shared" si="1"/>
        <v>69</v>
      </c>
      <c r="B636" s="401">
        <v>6256441</v>
      </c>
      <c r="C636" s="449">
        <v>46037</v>
      </c>
      <c r="D636" s="68">
        <f>987.49+55.28+205.63+404.11+22.87+17.7+3084.51</f>
        <v>4777.59</v>
      </c>
      <c r="E636" s="68">
        <f>7677.04+29465.37</f>
        <v>37142.409999999996</v>
      </c>
      <c r="F636" s="290" t="s">
        <v>7602</v>
      </c>
      <c r="G636" s="98">
        <v>46042</v>
      </c>
      <c r="H636" s="68">
        <f>987.49+55.28+205.63+404.11+22.87+17.7+3084.51</f>
        <v>4777.59</v>
      </c>
      <c r="I636" s="68">
        <f>7677.04+29465.37</f>
        <v>37142.409999999996</v>
      </c>
      <c r="J636" s="43" t="s">
        <v>33</v>
      </c>
      <c r="K636" s="450" t="s">
        <v>34</v>
      </c>
      <c r="L636" s="25" t="s">
        <v>7603</v>
      </c>
      <c r="M636" s="36" t="s">
        <v>7544</v>
      </c>
      <c r="N636" s="398" t="s">
        <v>1540</v>
      </c>
      <c r="O636" t="s">
        <v>7604</v>
      </c>
      <c r="P636" t="s">
        <v>7605</v>
      </c>
      <c r="Q636" t="s">
        <v>7606</v>
      </c>
      <c r="R636" s="38">
        <v>46055</v>
      </c>
      <c r="S636" s="39">
        <v>46812</v>
      </c>
      <c r="T636" s="449">
        <v>46055</v>
      </c>
      <c r="U636" s="449">
        <v>46691</v>
      </c>
      <c r="V636" s="43" t="s">
        <v>2662</v>
      </c>
      <c r="W636" s="41" t="s">
        <v>39</v>
      </c>
      <c r="X636" s="67" t="s">
        <v>141</v>
      </c>
      <c r="Y636" t="s">
        <v>56</v>
      </c>
      <c r="AC636" s="470" t="s">
        <v>7607</v>
      </c>
      <c r="AD636" s="511">
        <v>46043</v>
      </c>
      <c r="AE636">
        <v>3197620</v>
      </c>
      <c r="AF636" s="39">
        <v>46092</v>
      </c>
      <c r="AG636" s="490"/>
      <c r="AH636" s="490"/>
    </row>
    <row r="637" spans="1:36" ht="19.5" customHeight="1">
      <c r="A637">
        <f t="shared" si="1"/>
        <v>70</v>
      </c>
      <c r="B637" s="26">
        <v>6258176</v>
      </c>
      <c r="C637" s="449">
        <v>46042</v>
      </c>
      <c r="D637" s="28">
        <v>370245.6</v>
      </c>
      <c r="E637" s="28">
        <v>2878400.37</v>
      </c>
      <c r="F637" s="290" t="s">
        <v>7608</v>
      </c>
      <c r="G637" s="449">
        <v>46045</v>
      </c>
      <c r="H637" s="28">
        <f>370245.6</f>
        <v>370245.6</v>
      </c>
      <c r="I637" s="28">
        <v>2878400.37</v>
      </c>
      <c r="J637" s="43" t="s">
        <v>384</v>
      </c>
      <c r="K637" s="450" t="s">
        <v>34</v>
      </c>
      <c r="L637" s="25">
        <v>11000624427</v>
      </c>
      <c r="M637" s="36" t="s">
        <v>7563</v>
      </c>
      <c r="N637" s="32" t="s">
        <v>1540</v>
      </c>
      <c r="O637" t="s">
        <v>7609</v>
      </c>
      <c r="P637" t="s">
        <v>7610</v>
      </c>
      <c r="Q637" t="s">
        <v>7611</v>
      </c>
      <c r="R637" s="50">
        <v>46082</v>
      </c>
      <c r="S637" s="47">
        <v>47279</v>
      </c>
      <c r="T637" s="98"/>
      <c r="U637" s="98"/>
      <c r="V637" s="43" t="s">
        <v>4683</v>
      </c>
      <c r="W637" s="41" t="s">
        <v>39</v>
      </c>
      <c r="X637" t="s">
        <v>7612</v>
      </c>
      <c r="Y637" t="s">
        <v>56</v>
      </c>
      <c r="Z637" t="s">
        <v>81</v>
      </c>
      <c r="AC637" s="470" t="s">
        <v>7613</v>
      </c>
      <c r="AD637" s="511">
        <v>46161</v>
      </c>
      <c r="AE637">
        <v>3207807</v>
      </c>
      <c r="AF637" s="39">
        <v>46169</v>
      </c>
      <c r="AG637" s="490"/>
      <c r="AH637" s="490"/>
    </row>
    <row r="638" spans="1:36" ht="19.5" customHeight="1">
      <c r="A638" s="25">
        <f>A637+1</f>
        <v>71</v>
      </c>
      <c r="B638" s="401">
        <v>6263607</v>
      </c>
      <c r="C638" s="449">
        <v>46059</v>
      </c>
      <c r="D638" s="68">
        <v>49643.6</v>
      </c>
      <c r="E638" s="68">
        <v>387220.08</v>
      </c>
      <c r="F638" s="290" t="s">
        <v>7614</v>
      </c>
      <c r="G638" s="98">
        <v>46069</v>
      </c>
      <c r="H638" s="68">
        <v>49643.6</v>
      </c>
      <c r="I638" s="68">
        <v>387220.08</v>
      </c>
      <c r="J638" s="43" t="s">
        <v>33</v>
      </c>
      <c r="K638" s="450" t="s">
        <v>34</v>
      </c>
      <c r="L638" s="25">
        <v>461994227</v>
      </c>
      <c r="M638" s="36" t="s">
        <v>7615</v>
      </c>
      <c r="N638" s="398" t="s">
        <v>1346</v>
      </c>
      <c r="O638" t="s">
        <v>7616</v>
      </c>
      <c r="P638" t="s">
        <v>7617</v>
      </c>
      <c r="Q638" t="s">
        <v>7611</v>
      </c>
      <c r="R638" s="50">
        <v>46023</v>
      </c>
      <c r="S638" s="47">
        <v>47118</v>
      </c>
      <c r="T638" s="98">
        <v>46197</v>
      </c>
      <c r="U638" s="98">
        <v>47118</v>
      </c>
      <c r="V638" s="43" t="s">
        <v>2207</v>
      </c>
      <c r="W638" s="41" t="s">
        <v>39</v>
      </c>
      <c r="X638" t="s">
        <v>7618</v>
      </c>
      <c r="Y638" t="s">
        <v>56</v>
      </c>
      <c r="Z638" t="s">
        <v>81</v>
      </c>
      <c r="AC638" s="470" t="s">
        <v>7619</v>
      </c>
      <c r="AD638" s="511">
        <v>46070</v>
      </c>
      <c r="AE638">
        <v>3198371</v>
      </c>
      <c r="AF638" s="39">
        <v>46097</v>
      </c>
      <c r="AG638" s="490"/>
      <c r="AH638" s="490"/>
    </row>
    <row r="639" spans="1:36" ht="19.5" customHeight="1">
      <c r="A639" s="25">
        <f t="shared" si="1"/>
        <v>72</v>
      </c>
      <c r="B639" s="401">
        <v>6263654</v>
      </c>
      <c r="C639" s="449">
        <v>46059</v>
      </c>
      <c r="D639" s="68">
        <v>17706.919999999998</v>
      </c>
      <c r="E639" s="68">
        <v>138113.98000000001</v>
      </c>
      <c r="F639" s="290" t="s">
        <v>7620</v>
      </c>
      <c r="G639" s="98">
        <v>46078</v>
      </c>
      <c r="H639" s="68">
        <v>17706.919999999998</v>
      </c>
      <c r="I639" s="68">
        <v>138113.98000000001</v>
      </c>
      <c r="J639" s="43" t="s">
        <v>33</v>
      </c>
      <c r="K639" s="450" t="s">
        <v>34</v>
      </c>
      <c r="L639" s="25">
        <v>362208955</v>
      </c>
      <c r="M639" s="36" t="s">
        <v>7621</v>
      </c>
      <c r="N639" s="398" t="s">
        <v>1168</v>
      </c>
      <c r="O639" t="s">
        <v>7616</v>
      </c>
      <c r="P639" t="s">
        <v>7617</v>
      </c>
      <c r="Q639" t="s">
        <v>7611</v>
      </c>
      <c r="R639" s="50">
        <v>46023</v>
      </c>
      <c r="S639" s="47">
        <v>47118</v>
      </c>
      <c r="T639" s="98">
        <v>46051</v>
      </c>
      <c r="U639" s="98">
        <v>47118</v>
      </c>
      <c r="V639" s="43" t="s">
        <v>2207</v>
      </c>
      <c r="W639" s="41" t="s">
        <v>39</v>
      </c>
      <c r="X639" t="s">
        <v>7618</v>
      </c>
      <c r="Y639" t="s">
        <v>56</v>
      </c>
      <c r="Z639" t="s">
        <v>81</v>
      </c>
      <c r="AC639" s="470" t="s">
        <v>7622</v>
      </c>
      <c r="AD639" s="511">
        <v>46078</v>
      </c>
      <c r="AE639" s="457">
        <v>3202000</v>
      </c>
      <c r="AF639" s="39">
        <v>46127</v>
      </c>
      <c r="AG639" s="490"/>
      <c r="AH639" s="490"/>
    </row>
    <row r="640" spans="1:36" ht="19.5" customHeight="1">
      <c r="A640" s="25">
        <f t="shared" si="1"/>
        <v>73</v>
      </c>
      <c r="B640" s="401">
        <v>6263670</v>
      </c>
      <c r="C640" s="449">
        <v>46059</v>
      </c>
      <c r="D640" s="68">
        <v>16653.63</v>
      </c>
      <c r="E640" s="68">
        <v>129898.31</v>
      </c>
      <c r="F640" s="290" t="s">
        <v>7623</v>
      </c>
      <c r="G640" s="98">
        <v>46076</v>
      </c>
      <c r="H640" s="68">
        <v>16653.63</v>
      </c>
      <c r="I640" s="68">
        <v>129898.31</v>
      </c>
      <c r="J640" s="43" t="s">
        <v>33</v>
      </c>
      <c r="K640" s="450" t="s">
        <v>34</v>
      </c>
      <c r="L640" s="25">
        <v>272281227</v>
      </c>
      <c r="M640" s="36" t="s">
        <v>7624</v>
      </c>
      <c r="N640" s="398" t="s">
        <v>2000</v>
      </c>
      <c r="O640" t="s">
        <v>7616</v>
      </c>
      <c r="P640" t="s">
        <v>7617</v>
      </c>
      <c r="Q640" t="s">
        <v>7611</v>
      </c>
      <c r="R640" s="50">
        <v>46023</v>
      </c>
      <c r="S640" s="47">
        <v>47118</v>
      </c>
      <c r="T640" s="98">
        <v>46167</v>
      </c>
      <c r="U640" s="98">
        <v>47118</v>
      </c>
      <c r="V640" s="43" t="s">
        <v>2207</v>
      </c>
      <c r="W640" s="41" t="s">
        <v>39</v>
      </c>
      <c r="X640" t="s">
        <v>7618</v>
      </c>
      <c r="Y640" t="s">
        <v>56</v>
      </c>
      <c r="Z640" t="s">
        <v>81</v>
      </c>
      <c r="AC640" s="470" t="s">
        <v>7625</v>
      </c>
      <c r="AD640" s="511">
        <v>46093</v>
      </c>
      <c r="AE640">
        <v>3201997</v>
      </c>
      <c r="AF640" s="39">
        <v>46127</v>
      </c>
      <c r="AG640" s="490"/>
      <c r="AH640" s="490"/>
    </row>
    <row r="641" spans="1:35" ht="19.5" customHeight="1">
      <c r="A641" s="25">
        <f t="shared" si="1"/>
        <v>74</v>
      </c>
      <c r="B641" s="401">
        <v>6266544</v>
      </c>
      <c r="C641" s="449">
        <v>46069</v>
      </c>
      <c r="D641" s="68">
        <v>232624.44</v>
      </c>
      <c r="E641" s="68">
        <v>1814470.63</v>
      </c>
      <c r="F641" s="290" t="s">
        <v>7626</v>
      </c>
      <c r="G641" s="98">
        <v>46077</v>
      </c>
      <c r="H641" s="68">
        <v>232624.44</v>
      </c>
      <c r="I641" s="68">
        <v>1814470.63</v>
      </c>
      <c r="J641" s="43" t="s">
        <v>384</v>
      </c>
      <c r="K641" s="450" t="s">
        <v>34</v>
      </c>
      <c r="L641" s="25">
        <v>11000773460</v>
      </c>
      <c r="M641" s="36" t="s">
        <v>7627</v>
      </c>
      <c r="N641" s="398" t="s">
        <v>1346</v>
      </c>
      <c r="O641" t="s">
        <v>7628</v>
      </c>
      <c r="P641" t="s">
        <v>7629</v>
      </c>
      <c r="Q641" t="s">
        <v>7570</v>
      </c>
      <c r="R641" s="50">
        <v>46096</v>
      </c>
      <c r="S641" s="47">
        <v>46460</v>
      </c>
      <c r="T641" s="98" t="s">
        <v>141</v>
      </c>
      <c r="U641" s="98" t="s">
        <v>141</v>
      </c>
      <c r="V641" s="43" t="s">
        <v>80</v>
      </c>
      <c r="W641" s="41" t="s">
        <v>39</v>
      </c>
      <c r="X641" s="452" t="s">
        <v>7630</v>
      </c>
      <c r="Y641" t="s">
        <v>1940</v>
      </c>
      <c r="Z641" t="s">
        <v>81</v>
      </c>
      <c r="AC641" s="470" t="s">
        <v>7631</v>
      </c>
      <c r="AD641" s="511">
        <v>46102</v>
      </c>
      <c r="AE641">
        <v>3201219</v>
      </c>
      <c r="AF641" s="39">
        <v>46120</v>
      </c>
      <c r="AG641" s="490"/>
      <c r="AH641" s="490"/>
    </row>
    <row r="642" spans="1:35" ht="19.5" customHeight="1" thickBot="1">
      <c r="A642" s="25">
        <f t="shared" si="1"/>
        <v>75</v>
      </c>
      <c r="B642" s="401">
        <v>6266558</v>
      </c>
      <c r="C642" s="449">
        <v>46069</v>
      </c>
      <c r="D642" s="68">
        <v>23133.599999999999</v>
      </c>
      <c r="E642" s="68">
        <v>180442.08</v>
      </c>
      <c r="F642" s="290" t="s">
        <v>7632</v>
      </c>
      <c r="G642" s="98">
        <v>46077</v>
      </c>
      <c r="H642" s="502">
        <f>23133.6-68.85</f>
        <v>23064.75</v>
      </c>
      <c r="I642" s="502">
        <v>179905.05</v>
      </c>
      <c r="J642" s="43" t="s">
        <v>384</v>
      </c>
      <c r="K642" s="450" t="s">
        <v>34</v>
      </c>
      <c r="L642" s="25">
        <v>11000773843</v>
      </c>
      <c r="M642" s="36" t="s">
        <v>7633</v>
      </c>
      <c r="N642" s="398" t="s">
        <v>1377</v>
      </c>
      <c r="O642" t="s">
        <v>7628</v>
      </c>
      <c r="P642" t="s">
        <v>7629</v>
      </c>
      <c r="Q642" t="s">
        <v>7570</v>
      </c>
      <c r="R642" s="50">
        <v>46096</v>
      </c>
      <c r="S642" s="47">
        <v>46460</v>
      </c>
      <c r="T642" s="98" t="s">
        <v>141</v>
      </c>
      <c r="U642" s="98" t="s">
        <v>141</v>
      </c>
      <c r="V642" s="43" t="s">
        <v>80</v>
      </c>
      <c r="W642" s="41" t="s">
        <v>39</v>
      </c>
      <c r="X642" s="452" t="s">
        <v>7630</v>
      </c>
      <c r="Y642" t="s">
        <v>56</v>
      </c>
      <c r="Z642" t="s">
        <v>81</v>
      </c>
      <c r="AC642" s="470" t="s">
        <v>7634</v>
      </c>
      <c r="AD642" s="511">
        <v>46102</v>
      </c>
      <c r="AE642">
        <v>3202412</v>
      </c>
      <c r="AF642" s="39">
        <v>46128</v>
      </c>
      <c r="AG642" s="490"/>
      <c r="AH642" s="490"/>
    </row>
    <row r="643" spans="1:35" ht="19.5" customHeight="1">
      <c r="A643" s="143">
        <f t="shared" si="1"/>
        <v>76</v>
      </c>
      <c r="B643" s="594">
        <v>6267480</v>
      </c>
      <c r="C643" s="512">
        <v>46077</v>
      </c>
      <c r="D643" s="176">
        <v>136021.94</v>
      </c>
      <c r="E643" s="176">
        <v>1060971.1299999999</v>
      </c>
      <c r="F643" s="513" t="s">
        <v>7635</v>
      </c>
      <c r="G643" s="514">
        <v>46079</v>
      </c>
      <c r="H643" s="176">
        <f>(136021.94-122070.97)</f>
        <v>13950.970000000001</v>
      </c>
      <c r="I643" s="176">
        <f>1060971.13/136021.94*25440</f>
        <v>198431.99962594267</v>
      </c>
      <c r="J643" s="422" t="s">
        <v>384</v>
      </c>
      <c r="K643" s="560" t="s">
        <v>34</v>
      </c>
      <c r="L643" s="531">
        <v>11000838411</v>
      </c>
      <c r="M643" s="143" t="s">
        <v>7636</v>
      </c>
      <c r="N643" s="178" t="s">
        <v>1346</v>
      </c>
      <c r="O643" s="141" t="s">
        <v>7637</v>
      </c>
      <c r="P643" s="141" t="s">
        <v>7638</v>
      </c>
      <c r="Q643" s="141" t="s">
        <v>3839</v>
      </c>
      <c r="R643" s="180">
        <v>46023</v>
      </c>
      <c r="S643" s="154">
        <v>46752</v>
      </c>
      <c r="T643" s="514" t="s">
        <v>141</v>
      </c>
      <c r="U643" s="514" t="s">
        <v>141</v>
      </c>
      <c r="V643" s="422" t="s">
        <v>72</v>
      </c>
      <c r="W643" s="148" t="s">
        <v>39</v>
      </c>
      <c r="X643" s="514" t="s">
        <v>141</v>
      </c>
      <c r="Y643" s="595" t="s">
        <v>56</v>
      </c>
      <c r="Z643" s="141" t="s">
        <v>81</v>
      </c>
      <c r="AA643" s="532"/>
      <c r="AB643" s="533"/>
      <c r="AC643" s="534" t="s">
        <v>7639</v>
      </c>
      <c r="AD643" s="535">
        <v>46101</v>
      </c>
      <c r="AE643" s="141">
        <v>3211628</v>
      </c>
      <c r="AF643" s="146">
        <v>46199</v>
      </c>
      <c r="AG643" s="490"/>
      <c r="AH643" s="490"/>
    </row>
    <row r="644" spans="1:35" ht="19.5" customHeight="1">
      <c r="A644" s="36"/>
      <c r="B644" s="401">
        <v>6267480</v>
      </c>
      <c r="C644" s="449">
        <v>46077</v>
      </c>
      <c r="D644" s="28"/>
      <c r="E644" s="28"/>
      <c r="F644" s="290" t="s">
        <v>7635</v>
      </c>
      <c r="G644" s="98">
        <v>46079</v>
      </c>
      <c r="H644" s="28">
        <v>11489.03</v>
      </c>
      <c r="I644" s="28">
        <f>1060971.13/136021.94*H644</f>
        <v>89614.433831070914</v>
      </c>
      <c r="L644" s="25">
        <v>11000838411</v>
      </c>
      <c r="M644" s="36" t="s">
        <v>7636</v>
      </c>
      <c r="N644" s="32" t="s">
        <v>1346</v>
      </c>
      <c r="O644" t="s">
        <v>7637</v>
      </c>
      <c r="P644" t="s">
        <v>7638</v>
      </c>
      <c r="Q644" t="s">
        <v>3839</v>
      </c>
      <c r="R644" s="50">
        <v>46023</v>
      </c>
      <c r="S644" s="47">
        <v>46752</v>
      </c>
      <c r="T644" s="98" t="s">
        <v>141</v>
      </c>
      <c r="U644" s="98" t="s">
        <v>141</v>
      </c>
      <c r="V644" s="43" t="s">
        <v>72</v>
      </c>
      <c r="W644" s="41" t="s">
        <v>39</v>
      </c>
      <c r="X644" s="98" t="s">
        <v>141</v>
      </c>
      <c r="Y644" s="452" t="s">
        <v>56</v>
      </c>
      <c r="Z644" t="s">
        <v>81</v>
      </c>
      <c r="AC644" s="470" t="s">
        <v>7640</v>
      </c>
      <c r="AD644" s="511">
        <v>46193</v>
      </c>
      <c r="AE644">
        <v>3211630</v>
      </c>
      <c r="AF644" s="39">
        <v>46199</v>
      </c>
      <c r="AG644" s="490"/>
      <c r="AH644" s="490"/>
    </row>
    <row r="645" spans="1:35" ht="19.5" customHeight="1">
      <c r="A645" s="36">
        <f>A643+1</f>
        <v>77</v>
      </c>
      <c r="B645" s="401">
        <v>6267480</v>
      </c>
      <c r="C645" s="449">
        <v>46077</v>
      </c>
      <c r="D645" s="28"/>
      <c r="E645" s="28"/>
      <c r="F645" s="290" t="s">
        <v>7635</v>
      </c>
      <c r="G645" s="98">
        <v>46079</v>
      </c>
      <c r="H645" s="28">
        <v>6360</v>
      </c>
      <c r="I645" s="28">
        <f>1060971.13/136021.94*H645</f>
        <v>49607.999906485667</v>
      </c>
      <c r="J645" s="43" t="s">
        <v>384</v>
      </c>
      <c r="K645" s="450" t="s">
        <v>34</v>
      </c>
      <c r="L645" s="25">
        <v>11000838411</v>
      </c>
      <c r="M645" s="36" t="s">
        <v>7636</v>
      </c>
      <c r="N645" s="32" t="s">
        <v>1346</v>
      </c>
      <c r="O645" t="s">
        <v>7637</v>
      </c>
      <c r="P645" t="s">
        <v>7638</v>
      </c>
      <c r="Q645" t="s">
        <v>3839</v>
      </c>
      <c r="R645" s="50">
        <v>46023</v>
      </c>
      <c r="S645" s="47">
        <v>46752</v>
      </c>
      <c r="T645" s="98" t="s">
        <v>141</v>
      </c>
      <c r="U645" s="98" t="s">
        <v>141</v>
      </c>
      <c r="V645" s="43" t="s">
        <v>72</v>
      </c>
      <c r="W645" s="41" t="s">
        <v>39</v>
      </c>
      <c r="X645" s="98" t="s">
        <v>141</v>
      </c>
      <c r="Y645" s="452" t="s">
        <v>56</v>
      </c>
      <c r="Z645" t="s">
        <v>81</v>
      </c>
      <c r="AC645" s="470" t="s">
        <v>7641</v>
      </c>
      <c r="AD645" s="511">
        <v>46223</v>
      </c>
      <c r="AF645" s="39"/>
      <c r="AG645" s="490"/>
      <c r="AH645" s="490"/>
    </row>
    <row r="646" spans="1:35" ht="19.5" customHeight="1" thickBot="1">
      <c r="A646" s="163">
        <f>A643+1</f>
        <v>77</v>
      </c>
      <c r="B646" s="596">
        <v>6267480</v>
      </c>
      <c r="C646" s="516">
        <v>46077</v>
      </c>
      <c r="D646" s="157"/>
      <c r="E646" s="157"/>
      <c r="F646" s="517" t="s">
        <v>7635</v>
      </c>
      <c r="G646" s="518">
        <v>46079</v>
      </c>
      <c r="H646" s="157">
        <f>6360*16+2461.94</f>
        <v>104221.94</v>
      </c>
      <c r="I646" s="157">
        <f>1060971.13/136021.94*H646</f>
        <v>812931.13046757155</v>
      </c>
      <c r="J646" s="427" t="s">
        <v>384</v>
      </c>
      <c r="K646" s="561" t="s">
        <v>34</v>
      </c>
      <c r="L646" s="537">
        <v>11000838411</v>
      </c>
      <c r="M646" s="163" t="s">
        <v>7636</v>
      </c>
      <c r="N646" s="184" t="s">
        <v>1346</v>
      </c>
      <c r="O646" s="161" t="s">
        <v>7637</v>
      </c>
      <c r="P646" s="161" t="s">
        <v>7638</v>
      </c>
      <c r="Q646" s="161" t="s">
        <v>3839</v>
      </c>
      <c r="R646" s="213">
        <v>46023</v>
      </c>
      <c r="S646" s="174">
        <v>46752</v>
      </c>
      <c r="T646" s="518" t="s">
        <v>141</v>
      </c>
      <c r="U646" s="518" t="s">
        <v>141</v>
      </c>
      <c r="V646" s="427" t="s">
        <v>72</v>
      </c>
      <c r="W646" s="168" t="s">
        <v>39</v>
      </c>
      <c r="X646" s="518" t="s">
        <v>141</v>
      </c>
      <c r="Y646" s="597" t="s">
        <v>56</v>
      </c>
      <c r="Z646" s="161" t="s">
        <v>81</v>
      </c>
      <c r="AA646" s="538"/>
      <c r="AB646" s="539"/>
      <c r="AC646" s="540"/>
      <c r="AD646" s="541"/>
      <c r="AE646" s="161"/>
      <c r="AF646" s="166"/>
      <c r="AG646" s="490"/>
      <c r="AH646" s="490"/>
    </row>
    <row r="647" spans="1:35" ht="19.5" customHeight="1">
      <c r="A647" s="25">
        <f>A643+1</f>
        <v>77</v>
      </c>
      <c r="B647" s="401">
        <v>6267546</v>
      </c>
      <c r="C647" s="449">
        <v>46077</v>
      </c>
      <c r="D647" s="68">
        <v>1752.13</v>
      </c>
      <c r="E647" s="68">
        <v>13666.61</v>
      </c>
      <c r="F647" s="290" t="s">
        <v>7642</v>
      </c>
      <c r="G647" s="98">
        <v>46080</v>
      </c>
      <c r="H647" s="68">
        <v>1752.13</v>
      </c>
      <c r="I647" s="68">
        <v>13666.61</v>
      </c>
      <c r="J647" s="43" t="s">
        <v>33</v>
      </c>
      <c r="K647" s="450" t="s">
        <v>34</v>
      </c>
      <c r="L647" s="25">
        <v>472007670</v>
      </c>
      <c r="M647" s="36" t="s">
        <v>7643</v>
      </c>
      <c r="N647" s="398" t="s">
        <v>1346</v>
      </c>
      <c r="O647" t="s">
        <v>7644</v>
      </c>
      <c r="P647" t="s">
        <v>7645</v>
      </c>
      <c r="Q647" t="s">
        <v>7646</v>
      </c>
      <c r="R647" s="50">
        <v>46023</v>
      </c>
      <c r="S647" s="47">
        <v>46387</v>
      </c>
      <c r="T647" s="98">
        <v>46066</v>
      </c>
      <c r="U647" s="98">
        <v>46430</v>
      </c>
      <c r="V647" s="43" t="s">
        <v>80</v>
      </c>
      <c r="W647" s="41" t="s">
        <v>39</v>
      </c>
      <c r="X647" s="283" t="s">
        <v>141</v>
      </c>
      <c r="Y647" t="s">
        <v>56</v>
      </c>
      <c r="Z647" t="s">
        <v>81</v>
      </c>
      <c r="AC647" s="470" t="s">
        <v>7647</v>
      </c>
      <c r="AD647" s="511">
        <v>46084</v>
      </c>
      <c r="AE647">
        <v>3201221</v>
      </c>
      <c r="AF647" s="39">
        <v>46120</v>
      </c>
      <c r="AG647" s="490"/>
      <c r="AH647" s="490"/>
    </row>
    <row r="648" spans="1:35" ht="19.5" customHeight="1">
      <c r="A648" s="25">
        <f t="shared" si="1"/>
        <v>78</v>
      </c>
      <c r="B648" s="401">
        <v>6272356</v>
      </c>
      <c r="C648" s="449">
        <v>46091</v>
      </c>
      <c r="D648" s="68">
        <v>6529.44</v>
      </c>
      <c r="E648" s="68">
        <v>51055</v>
      </c>
      <c r="F648" s="290" t="s">
        <v>7648</v>
      </c>
      <c r="G648" s="98">
        <v>46092</v>
      </c>
      <c r="H648" s="68">
        <v>6529.44</v>
      </c>
      <c r="I648" s="68">
        <v>51055</v>
      </c>
      <c r="J648" s="43" t="s">
        <v>384</v>
      </c>
      <c r="K648" s="450" t="s">
        <v>34</v>
      </c>
      <c r="L648" s="25">
        <v>11000934881</v>
      </c>
      <c r="M648" s="36" t="s">
        <v>7636</v>
      </c>
      <c r="N648" s="398" t="s">
        <v>1346</v>
      </c>
      <c r="O648" t="s">
        <v>7649</v>
      </c>
      <c r="P648" t="s">
        <v>7650</v>
      </c>
      <c r="Q648" t="s">
        <v>1904</v>
      </c>
      <c r="R648" s="50">
        <v>46056</v>
      </c>
      <c r="S648" s="47">
        <v>46420</v>
      </c>
      <c r="T648" s="98" t="s">
        <v>141</v>
      </c>
      <c r="U648" s="98" t="s">
        <v>141</v>
      </c>
      <c r="V648" s="43" t="s">
        <v>80</v>
      </c>
      <c r="W648" s="41" t="s">
        <v>39</v>
      </c>
      <c r="X648" s="449" t="s">
        <v>7651</v>
      </c>
      <c r="Y648" t="s">
        <v>56</v>
      </c>
      <c r="Z648" t="s">
        <v>81</v>
      </c>
      <c r="AD648" s="511"/>
      <c r="AE648">
        <v>3207348</v>
      </c>
      <c r="AF648" s="39">
        <v>46164</v>
      </c>
      <c r="AG648" s="490"/>
      <c r="AH648" s="490"/>
    </row>
    <row r="649" spans="1:35" ht="19.5" customHeight="1">
      <c r="A649" s="25">
        <f>A648+1</f>
        <v>79</v>
      </c>
      <c r="B649" s="26">
        <v>6286372</v>
      </c>
      <c r="C649" s="475">
        <v>46139</v>
      </c>
      <c r="D649" s="28">
        <v>3770.58</v>
      </c>
      <c r="E649" s="29">
        <v>29513.84</v>
      </c>
      <c r="F649" s="30" t="s">
        <v>7652</v>
      </c>
      <c r="G649" s="598">
        <v>46142</v>
      </c>
      <c r="H649" s="28">
        <v>3770.58</v>
      </c>
      <c r="I649" s="29">
        <v>29513.84</v>
      </c>
      <c r="J649" s="34" t="s">
        <v>33</v>
      </c>
      <c r="K649" t="s">
        <v>34</v>
      </c>
      <c r="L649" s="599">
        <v>242326383</v>
      </c>
      <c r="M649" s="36" t="s">
        <v>7653</v>
      </c>
      <c r="N649" s="37" t="s">
        <v>2577</v>
      </c>
      <c r="O649" t="s">
        <v>3913</v>
      </c>
      <c r="P649" t="s">
        <v>7654</v>
      </c>
      <c r="Q649" t="s">
        <v>3915</v>
      </c>
      <c r="R649" s="38">
        <v>46143</v>
      </c>
      <c r="S649" s="39">
        <v>46507</v>
      </c>
      <c r="T649" s="332">
        <v>46143</v>
      </c>
      <c r="U649" s="333">
        <v>46507</v>
      </c>
      <c r="V649" s="40" t="s">
        <v>38</v>
      </c>
      <c r="W649" s="41" t="s">
        <v>3151</v>
      </c>
      <c r="X649" s="40" t="s">
        <v>7655</v>
      </c>
      <c r="Y649" s="40" t="s">
        <v>56</v>
      </c>
      <c r="AA649" s="62"/>
      <c r="AB649" s="44"/>
      <c r="AC649" s="63">
        <v>10000354520</v>
      </c>
      <c r="AD649" s="46">
        <v>46142</v>
      </c>
      <c r="AE649">
        <v>3207865</v>
      </c>
      <c r="AF649" s="39">
        <v>46170</v>
      </c>
      <c r="AG649" s="49"/>
      <c r="AH649" s="49"/>
      <c r="AI649" s="49"/>
    </row>
    <row r="650" spans="1:35" ht="19.5" customHeight="1">
      <c r="A650" s="25">
        <f>A649+1</f>
        <v>80</v>
      </c>
      <c r="B650" s="26">
        <v>6286400</v>
      </c>
      <c r="C650" s="475">
        <v>46139</v>
      </c>
      <c r="D650" s="28">
        <v>7618.08</v>
      </c>
      <c r="E650" s="29">
        <v>59629.760000000002</v>
      </c>
      <c r="F650" s="30" t="s">
        <v>7656</v>
      </c>
      <c r="G650" s="598">
        <v>46146</v>
      </c>
      <c r="H650" s="28">
        <v>7618.08</v>
      </c>
      <c r="I650" s="29">
        <v>59629.760000000002</v>
      </c>
      <c r="J650" s="34" t="s">
        <v>33</v>
      </c>
      <c r="K650" t="s">
        <v>34</v>
      </c>
      <c r="L650" s="35">
        <v>11001272108</v>
      </c>
      <c r="M650" s="36" t="s">
        <v>4344</v>
      </c>
      <c r="N650" s="37" t="s">
        <v>2576</v>
      </c>
      <c r="O650" t="s">
        <v>3913</v>
      </c>
      <c r="P650" t="s">
        <v>7654</v>
      </c>
      <c r="Q650" t="s">
        <v>3915</v>
      </c>
      <c r="R650" s="38">
        <v>46143</v>
      </c>
      <c r="S650" s="39">
        <v>46507</v>
      </c>
      <c r="T650" s="50" t="s">
        <v>141</v>
      </c>
      <c r="U650" s="47" t="s">
        <v>141</v>
      </c>
      <c r="V650" s="40" t="s">
        <v>38</v>
      </c>
      <c r="W650" s="41" t="s">
        <v>3151</v>
      </c>
      <c r="X650" s="40" t="s">
        <v>7655</v>
      </c>
      <c r="Y650" s="40" t="s">
        <v>56</v>
      </c>
      <c r="AA650" s="62"/>
      <c r="AB650" s="44"/>
      <c r="AC650" s="63">
        <v>6501261778</v>
      </c>
      <c r="AD650" s="46">
        <v>46194</v>
      </c>
      <c r="AE650">
        <v>3211552</v>
      </c>
      <c r="AF650" s="39">
        <v>46198</v>
      </c>
      <c r="AG650" s="49"/>
      <c r="AH650" s="49"/>
      <c r="AI650" s="49"/>
    </row>
    <row r="651" spans="1:35" ht="19.5" customHeight="1">
      <c r="A651" s="25">
        <f>A650+1</f>
        <v>81</v>
      </c>
      <c r="B651" s="401">
        <v>6289363</v>
      </c>
      <c r="C651" s="449">
        <v>46148</v>
      </c>
      <c r="D651" s="28">
        <v>1701.06</v>
      </c>
      <c r="E651" s="68">
        <v>13328.83</v>
      </c>
      <c r="F651" s="290" t="s">
        <v>7657</v>
      </c>
      <c r="G651" s="98">
        <v>46154</v>
      </c>
      <c r="H651" s="28">
        <v>1701.06</v>
      </c>
      <c r="I651" s="68">
        <v>13328.83</v>
      </c>
      <c r="J651" s="34" t="s">
        <v>33</v>
      </c>
      <c r="K651" t="s">
        <v>34</v>
      </c>
      <c r="L651" s="25">
        <v>362257120</v>
      </c>
      <c r="M651" s="36" t="s">
        <v>7658</v>
      </c>
      <c r="N651" s="398" t="s">
        <v>1346</v>
      </c>
      <c r="O651" t="s">
        <v>7659</v>
      </c>
      <c r="P651" t="s">
        <v>7660</v>
      </c>
      <c r="Q651" t="s">
        <v>7661</v>
      </c>
      <c r="R651" s="50">
        <v>46156</v>
      </c>
      <c r="S651" s="47">
        <v>46520</v>
      </c>
      <c r="T651" s="50">
        <v>46156</v>
      </c>
      <c r="U651" s="47">
        <v>46520</v>
      </c>
      <c r="V651" s="43" t="s">
        <v>80</v>
      </c>
      <c r="W651" s="41" t="s">
        <v>3151</v>
      </c>
      <c r="X651" t="s">
        <v>7662</v>
      </c>
      <c r="Y651" s="40" t="s">
        <v>56</v>
      </c>
      <c r="AC651" s="470" t="s">
        <v>7663</v>
      </c>
      <c r="AD651" s="511">
        <v>46155</v>
      </c>
      <c r="AF651" s="39"/>
      <c r="AG651" s="490"/>
      <c r="AH651" s="490"/>
    </row>
    <row r="652" spans="1:35" ht="19.5" customHeight="1">
      <c r="A652" s="25">
        <f t="shared" si="1"/>
        <v>82</v>
      </c>
      <c r="B652" s="401">
        <v>6289599</v>
      </c>
      <c r="C652" s="449">
        <v>46148</v>
      </c>
      <c r="D652" s="68">
        <v>5286.24</v>
      </c>
      <c r="E652" s="68">
        <v>41420.86</v>
      </c>
      <c r="F652" s="290" t="s">
        <v>7664</v>
      </c>
      <c r="G652" s="98">
        <v>46154</v>
      </c>
      <c r="H652" s="68">
        <v>5286.24</v>
      </c>
      <c r="I652" s="68">
        <v>41420.86</v>
      </c>
      <c r="J652" s="34" t="s">
        <v>33</v>
      </c>
      <c r="K652" t="s">
        <v>34</v>
      </c>
      <c r="L652" s="25">
        <v>332258109</v>
      </c>
      <c r="M652" s="36" t="s">
        <v>2149</v>
      </c>
      <c r="N652" s="398" t="s">
        <v>1540</v>
      </c>
      <c r="O652" t="s">
        <v>7659</v>
      </c>
      <c r="P652" t="s">
        <v>7660</v>
      </c>
      <c r="Q652" t="s">
        <v>7661</v>
      </c>
      <c r="R652" s="38">
        <v>46156</v>
      </c>
      <c r="S652" s="39">
        <v>46520</v>
      </c>
      <c r="T652" s="38">
        <v>46156</v>
      </c>
      <c r="U652" s="39">
        <v>46520</v>
      </c>
      <c r="V652" s="43" t="s">
        <v>80</v>
      </c>
      <c r="W652" s="41" t="s">
        <v>3151</v>
      </c>
      <c r="X652" t="s">
        <v>7662</v>
      </c>
      <c r="Y652" s="40" t="s">
        <v>56</v>
      </c>
      <c r="AC652" s="470" t="s">
        <v>7665</v>
      </c>
      <c r="AD652" s="511">
        <v>46155</v>
      </c>
      <c r="AF652" s="39"/>
      <c r="AG652" s="490"/>
      <c r="AH652" s="490"/>
    </row>
    <row r="653" spans="1:35" ht="19.5" customHeight="1">
      <c r="A653" s="25">
        <f t="shared" si="1"/>
        <v>83</v>
      </c>
      <c r="B653" s="401">
        <v>6294415</v>
      </c>
      <c r="C653" s="449">
        <v>46163</v>
      </c>
      <c r="D653" s="68">
        <v>443107.1</v>
      </c>
      <c r="E653" s="68">
        <v>3472009.99</v>
      </c>
      <c r="F653" s="290" t="s">
        <v>7666</v>
      </c>
      <c r="G653" s="449">
        <v>46169</v>
      </c>
      <c r="H653" s="502">
        <v>375809.03</v>
      </c>
      <c r="I653" s="600">
        <f>3472009.99/443107.1*375809.03</f>
        <v>2944689.2331271828</v>
      </c>
      <c r="J653" s="43" t="s">
        <v>384</v>
      </c>
      <c r="K653" t="s">
        <v>34</v>
      </c>
      <c r="L653" s="25">
        <v>11001338926</v>
      </c>
      <c r="M653" s="36" t="s">
        <v>7667</v>
      </c>
      <c r="N653" s="398" t="s">
        <v>1346</v>
      </c>
      <c r="O653" t="s">
        <v>7668</v>
      </c>
      <c r="P653" t="s">
        <v>7669</v>
      </c>
      <c r="Q653" t="s">
        <v>7670</v>
      </c>
      <c r="R653" s="50">
        <v>46411</v>
      </c>
      <c r="S653" s="47">
        <v>47506</v>
      </c>
      <c r="T653" s="50" t="s">
        <v>141</v>
      </c>
      <c r="U653" s="47" t="s">
        <v>141</v>
      </c>
      <c r="V653" s="43" t="s">
        <v>2207</v>
      </c>
      <c r="W653" s="41" t="s">
        <v>3151</v>
      </c>
      <c r="X653" t="s">
        <v>7671</v>
      </c>
      <c r="Y653" s="40" t="s">
        <v>56</v>
      </c>
      <c r="AC653" s="470" t="s">
        <v>7672</v>
      </c>
      <c r="AD653" s="511"/>
      <c r="AF653" s="39"/>
      <c r="AG653" s="490"/>
      <c r="AH653" s="490"/>
    </row>
    <row r="654" spans="1:35" ht="19.5" customHeight="1">
      <c r="A654" s="25">
        <f t="shared" si="1"/>
        <v>84</v>
      </c>
      <c r="B654" s="26">
        <v>6300884</v>
      </c>
      <c r="C654" s="449">
        <v>46183</v>
      </c>
      <c r="D654" s="68">
        <v>5908.91</v>
      </c>
      <c r="E654" s="29">
        <v>46293.36</v>
      </c>
      <c r="F654" s="30" t="s">
        <v>7673</v>
      </c>
      <c r="G654" s="449">
        <v>46185</v>
      </c>
      <c r="H654" s="68">
        <v>5908.91</v>
      </c>
      <c r="I654" s="29">
        <v>46293.36</v>
      </c>
      <c r="J654" s="34" t="s">
        <v>33</v>
      </c>
      <c r="K654" t="s">
        <v>34</v>
      </c>
      <c r="L654" s="35">
        <v>212328310</v>
      </c>
      <c r="M654" s="36" t="s">
        <v>7674</v>
      </c>
      <c r="N654" s="37" t="s">
        <v>1346</v>
      </c>
      <c r="O654" t="s">
        <v>4346</v>
      </c>
      <c r="P654" t="s">
        <v>4347</v>
      </c>
      <c r="Q654" t="s">
        <v>4348</v>
      </c>
      <c r="R654" s="38">
        <v>46204</v>
      </c>
      <c r="S654" s="39">
        <v>46568</v>
      </c>
      <c r="T654" s="332">
        <v>46204</v>
      </c>
      <c r="U654" s="333">
        <v>46568</v>
      </c>
      <c r="V654" s="40" t="s">
        <v>1654</v>
      </c>
      <c r="W654" s="41" t="s">
        <v>3151</v>
      </c>
      <c r="X654" s="40" t="s">
        <v>7675</v>
      </c>
      <c r="Y654" s="40" t="s">
        <v>56</v>
      </c>
      <c r="AC654" s="470" t="s">
        <v>7676</v>
      </c>
      <c r="AD654" s="511">
        <v>46190</v>
      </c>
      <c r="AE654">
        <v>3212514</v>
      </c>
      <c r="AF654" s="39">
        <v>46206</v>
      </c>
      <c r="AG654" s="490"/>
      <c r="AH654" s="490"/>
    </row>
    <row r="655" spans="1:35" ht="19.5" customHeight="1">
      <c r="A655" s="25">
        <f t="shared" si="1"/>
        <v>85</v>
      </c>
      <c r="B655" s="401">
        <v>6301462</v>
      </c>
      <c r="C655" s="449">
        <v>46184</v>
      </c>
      <c r="D655" s="68">
        <v>4098.6000000000004</v>
      </c>
      <c r="E655" s="68">
        <v>32110.48</v>
      </c>
      <c r="F655" s="601" t="s">
        <v>7677</v>
      </c>
      <c r="G655" s="98">
        <v>46185</v>
      </c>
      <c r="H655" s="68">
        <v>4098.6000000000004</v>
      </c>
      <c r="I655" s="68">
        <v>32110.48</v>
      </c>
      <c r="J655" s="34" t="s">
        <v>33</v>
      </c>
      <c r="K655" t="s">
        <v>34</v>
      </c>
      <c r="L655" s="25">
        <v>11001553520</v>
      </c>
      <c r="M655" s="36" t="s">
        <v>7678</v>
      </c>
      <c r="N655" s="398" t="s">
        <v>7679</v>
      </c>
      <c r="O655" t="s">
        <v>4346</v>
      </c>
      <c r="P655" t="s">
        <v>4347</v>
      </c>
      <c r="Q655" t="s">
        <v>4348</v>
      </c>
      <c r="R655" s="38">
        <v>46204</v>
      </c>
      <c r="S655" s="39">
        <v>46568</v>
      </c>
      <c r="T655" s="50" t="s">
        <v>141</v>
      </c>
      <c r="U655" s="47" t="s">
        <v>141</v>
      </c>
      <c r="V655" s="43" t="s">
        <v>1654</v>
      </c>
      <c r="W655" s="41" t="s">
        <v>3151</v>
      </c>
      <c r="X655" s="40" t="s">
        <v>4349</v>
      </c>
      <c r="Y655" s="40" t="s">
        <v>56</v>
      </c>
      <c r="AC655" s="470" t="s">
        <v>7680</v>
      </c>
      <c r="AD655" s="511">
        <v>46224</v>
      </c>
      <c r="AF655" s="39"/>
      <c r="AG655" s="490"/>
      <c r="AH655" s="490"/>
    </row>
    <row r="656" spans="1:35" ht="19.5" customHeight="1">
      <c r="A656" s="25">
        <f t="shared" si="1"/>
        <v>86</v>
      </c>
      <c r="B656" s="401">
        <v>6309749</v>
      </c>
      <c r="C656" s="449">
        <v>46211</v>
      </c>
      <c r="D656" s="68">
        <v>7308</v>
      </c>
      <c r="E656" s="68">
        <v>57304.95</v>
      </c>
      <c r="F656" s="290" t="s">
        <v>7681</v>
      </c>
      <c r="G656" s="98">
        <v>46213</v>
      </c>
      <c r="H656" s="68">
        <v>7308</v>
      </c>
      <c r="I656" s="68">
        <v>57304.95</v>
      </c>
      <c r="J656" s="43" t="s">
        <v>384</v>
      </c>
      <c r="K656" s="450" t="s">
        <v>34</v>
      </c>
      <c r="L656" s="25">
        <v>11001631423</v>
      </c>
      <c r="M656" s="36" t="s">
        <v>7682</v>
      </c>
      <c r="N656" s="398" t="s">
        <v>1346</v>
      </c>
      <c r="O656" t="s">
        <v>7683</v>
      </c>
      <c r="P656" t="s">
        <v>7684</v>
      </c>
      <c r="Q656" t="s">
        <v>7452</v>
      </c>
      <c r="R656" s="50">
        <v>46236</v>
      </c>
      <c r="S656" s="47">
        <v>46600</v>
      </c>
      <c r="T656" s="98" t="s">
        <v>141</v>
      </c>
      <c r="U656" s="98" t="s">
        <v>141</v>
      </c>
      <c r="V656" s="43" t="s">
        <v>80</v>
      </c>
      <c r="W656" s="41" t="s">
        <v>39</v>
      </c>
      <c r="X656" s="98" t="s">
        <v>141</v>
      </c>
      <c r="Y656" s="40" t="s">
        <v>56</v>
      </c>
      <c r="AD656" s="511"/>
      <c r="AF656" s="39"/>
      <c r="AG656" s="490"/>
      <c r="AH656" s="490"/>
    </row>
    <row r="657" spans="1:34" ht="19.5" customHeight="1">
      <c r="A657" s="25">
        <f t="shared" si="1"/>
        <v>87</v>
      </c>
      <c r="B657" s="401">
        <v>6313083</v>
      </c>
      <c r="C657" s="449">
        <v>46220</v>
      </c>
      <c r="D657" s="68">
        <v>1317.63</v>
      </c>
      <c r="E657" s="68">
        <v>10332.06</v>
      </c>
      <c r="F657" s="290" t="s">
        <v>7685</v>
      </c>
      <c r="G657" s="98">
        <v>46227</v>
      </c>
      <c r="H657" s="68">
        <v>1317.63</v>
      </c>
      <c r="I657" s="68">
        <v>10332.06</v>
      </c>
      <c r="J657" s="43" t="s">
        <v>384</v>
      </c>
      <c r="K657" s="450" t="s">
        <v>34</v>
      </c>
      <c r="L657" s="25">
        <v>11001784696</v>
      </c>
      <c r="M657" s="36" t="s">
        <v>7686</v>
      </c>
      <c r="N657" s="398" t="s">
        <v>1346</v>
      </c>
      <c r="O657" t="s">
        <v>7687</v>
      </c>
      <c r="P657" t="s">
        <v>7688</v>
      </c>
      <c r="Q657" t="s">
        <v>7646</v>
      </c>
      <c r="R657" s="38">
        <v>46241</v>
      </c>
      <c r="S657" s="39">
        <v>46752</v>
      </c>
      <c r="T657" s="98" t="s">
        <v>141</v>
      </c>
      <c r="U657" s="98" t="s">
        <v>141</v>
      </c>
      <c r="V657" s="43" t="s">
        <v>106</v>
      </c>
      <c r="W657" s="41" t="s">
        <v>39</v>
      </c>
      <c r="X657" s="98" t="s">
        <v>141</v>
      </c>
      <c r="Y657" s="40" t="s">
        <v>56</v>
      </c>
      <c r="AD657" s="511"/>
      <c r="AF657" s="39"/>
      <c r="AG657" s="490"/>
      <c r="AH657" s="490"/>
    </row>
    <row r="658" spans="1:34" ht="19.5" customHeight="1">
      <c r="A658" s="25">
        <f t="shared" si="1"/>
        <v>88</v>
      </c>
      <c r="B658" s="401">
        <v>6313806</v>
      </c>
      <c r="C658" s="449">
        <v>46224</v>
      </c>
      <c r="D658" s="68">
        <v>208.52</v>
      </c>
      <c r="E658" s="68">
        <v>1635.09</v>
      </c>
      <c r="F658" s="290" t="s">
        <v>7689</v>
      </c>
      <c r="G658" s="98">
        <v>46226</v>
      </c>
      <c r="H658" s="68">
        <v>208.52</v>
      </c>
      <c r="I658" s="68">
        <v>1635.09</v>
      </c>
      <c r="J658" s="43" t="s">
        <v>99</v>
      </c>
      <c r="K658" s="450" t="s">
        <v>34</v>
      </c>
      <c r="L658" s="25">
        <v>272329667</v>
      </c>
      <c r="M658" s="36" t="s">
        <v>7551</v>
      </c>
      <c r="N658" s="398" t="s">
        <v>2000</v>
      </c>
      <c r="O658" t="s">
        <v>4710</v>
      </c>
      <c r="P658" t="s">
        <v>4711</v>
      </c>
      <c r="Q658" t="s">
        <v>7554</v>
      </c>
      <c r="R658" s="50">
        <v>46196</v>
      </c>
      <c r="S658" s="47">
        <v>46752</v>
      </c>
      <c r="T658" s="98">
        <v>46378</v>
      </c>
      <c r="U658" s="98">
        <v>46752</v>
      </c>
      <c r="V658" s="43" t="s">
        <v>4713</v>
      </c>
      <c r="W658" s="41" t="s">
        <v>39</v>
      </c>
      <c r="X658" s="98" t="s">
        <v>7690</v>
      </c>
      <c r="Y658" s="40" t="s">
        <v>56</v>
      </c>
      <c r="AC658" s="470" t="s">
        <v>7691</v>
      </c>
      <c r="AD658" s="511">
        <v>46227</v>
      </c>
      <c r="AF658" s="39"/>
      <c r="AG658" s="490"/>
      <c r="AH658" s="490"/>
    </row>
    <row r="659" spans="1:34" ht="19.5" customHeight="1">
      <c r="A659" s="25">
        <f t="shared" si="1"/>
        <v>89</v>
      </c>
      <c r="B659" s="401">
        <v>6313928</v>
      </c>
      <c r="C659" s="449">
        <v>46224</v>
      </c>
      <c r="D659" s="68">
        <v>30533.279999999999</v>
      </c>
      <c r="E659" s="68">
        <v>239423.66</v>
      </c>
      <c r="F659" s="290" t="s">
        <v>7692</v>
      </c>
      <c r="G659" s="98">
        <v>46226</v>
      </c>
      <c r="H659" s="68">
        <v>30533.279999999999</v>
      </c>
      <c r="I659" s="68">
        <v>239423.66</v>
      </c>
      <c r="J659" s="43" t="s">
        <v>384</v>
      </c>
      <c r="K659" s="450" t="s">
        <v>34</v>
      </c>
      <c r="L659" s="25">
        <v>1019204233</v>
      </c>
      <c r="M659" s="36" t="s">
        <v>7693</v>
      </c>
      <c r="N659" s="398" t="s">
        <v>1346</v>
      </c>
      <c r="O659" t="s">
        <v>7694</v>
      </c>
      <c r="P659" t="s">
        <v>7695</v>
      </c>
      <c r="Q659" t="s">
        <v>7484</v>
      </c>
      <c r="R659" s="50">
        <v>46254</v>
      </c>
      <c r="S659" s="47">
        <v>46984</v>
      </c>
      <c r="T659" s="98" t="s">
        <v>141</v>
      </c>
      <c r="U659" s="98" t="s">
        <v>141</v>
      </c>
      <c r="V659" s="43" t="s">
        <v>690</v>
      </c>
      <c r="W659" s="41" t="s">
        <v>39</v>
      </c>
      <c r="X659" s="449" t="s">
        <v>7696</v>
      </c>
      <c r="Y659" s="40" t="s">
        <v>56</v>
      </c>
      <c r="AD659" s="511"/>
      <c r="AF659" s="39"/>
      <c r="AG659" s="490"/>
      <c r="AH659" s="490"/>
    </row>
    <row r="660" spans="1:34" ht="19.5" customHeight="1">
      <c r="A660" s="25">
        <f t="shared" si="1"/>
        <v>90</v>
      </c>
      <c r="B660" s="401">
        <v>6313975</v>
      </c>
      <c r="C660" s="449">
        <v>46224</v>
      </c>
      <c r="D660" s="68">
        <v>2657.88</v>
      </c>
      <c r="E660" s="68">
        <v>20841.5</v>
      </c>
      <c r="F660" s="290" t="s">
        <v>7697</v>
      </c>
      <c r="G660" s="98">
        <v>46226</v>
      </c>
      <c r="H660" s="68">
        <v>2657.88</v>
      </c>
      <c r="I660" s="68">
        <v>20841.5</v>
      </c>
      <c r="J660" s="43" t="s">
        <v>99</v>
      </c>
      <c r="K660" s="450" t="s">
        <v>34</v>
      </c>
      <c r="L660" s="25">
        <v>372288339</v>
      </c>
      <c r="M660" s="36" t="s">
        <v>7544</v>
      </c>
      <c r="N660" s="398" t="s">
        <v>1540</v>
      </c>
      <c r="O660" t="s">
        <v>7694</v>
      </c>
      <c r="P660" t="s">
        <v>7695</v>
      </c>
      <c r="Q660" t="s">
        <v>7484</v>
      </c>
      <c r="R660" s="50">
        <v>46254</v>
      </c>
      <c r="S660" s="47">
        <v>46984</v>
      </c>
      <c r="T660" s="98">
        <v>46304</v>
      </c>
      <c r="U660" s="98">
        <v>46984</v>
      </c>
      <c r="V660" s="43" t="s">
        <v>690</v>
      </c>
      <c r="W660" s="41" t="s">
        <v>39</v>
      </c>
      <c r="X660" s="449" t="s">
        <v>7696</v>
      </c>
      <c r="Y660" s="40" t="s">
        <v>56</v>
      </c>
      <c r="AC660" s="470" t="s">
        <v>7698</v>
      </c>
      <c r="AD660" s="511">
        <v>46227</v>
      </c>
      <c r="AF660" s="39"/>
      <c r="AG660" s="490"/>
      <c r="AH660" s="490"/>
    </row>
    <row r="661" spans="1:34" ht="19.5" customHeight="1">
      <c r="A661" s="25">
        <f t="shared" si="1"/>
        <v>91</v>
      </c>
      <c r="B661" s="401">
        <v>6314248</v>
      </c>
      <c r="C661" s="449">
        <v>46225</v>
      </c>
      <c r="D661" s="68">
        <v>1823.33</v>
      </c>
      <c r="E661" s="68">
        <v>14297.46</v>
      </c>
      <c r="F661" s="290" t="s">
        <v>7699</v>
      </c>
      <c r="G661" s="98">
        <v>46227</v>
      </c>
      <c r="H661" s="502">
        <v>1720.36</v>
      </c>
      <c r="I661" s="502">
        <v>13492.15</v>
      </c>
      <c r="J661" s="43" t="s">
        <v>384</v>
      </c>
      <c r="K661" s="450" t="s">
        <v>34</v>
      </c>
      <c r="L661" s="548">
        <v>272344747</v>
      </c>
      <c r="M661" s="36" t="s">
        <v>7700</v>
      </c>
      <c r="N661" s="398" t="s">
        <v>7701</v>
      </c>
      <c r="O661" t="s">
        <v>4710</v>
      </c>
      <c r="P661" t="s">
        <v>4711</v>
      </c>
      <c r="Q661" t="s">
        <v>7554</v>
      </c>
      <c r="R661" s="50">
        <v>46196</v>
      </c>
      <c r="S661" s="47">
        <v>46752</v>
      </c>
      <c r="T661" s="98">
        <v>46196</v>
      </c>
      <c r="U661" s="98">
        <v>46752</v>
      </c>
      <c r="V661" s="43" t="s">
        <v>4713</v>
      </c>
      <c r="W661" s="41" t="s">
        <v>39</v>
      </c>
      <c r="X661" s="98" t="s">
        <v>7690</v>
      </c>
      <c r="Y661" s="40" t="s">
        <v>56</v>
      </c>
      <c r="AD661" s="511"/>
      <c r="AF661" s="39"/>
      <c r="AG661" s="490"/>
      <c r="AH661" s="490"/>
    </row>
    <row r="662" spans="1:34" ht="19.5" customHeight="1">
      <c r="A662" s="25">
        <f t="shared" si="1"/>
        <v>92</v>
      </c>
      <c r="B662" s="401">
        <v>6314297</v>
      </c>
      <c r="C662" s="449">
        <v>46225</v>
      </c>
      <c r="D662" s="502">
        <v>1680.01</v>
      </c>
      <c r="E662" s="502">
        <v>13173.63</v>
      </c>
      <c r="F662" s="290" t="s">
        <v>7702</v>
      </c>
      <c r="G662" s="98">
        <v>46234</v>
      </c>
      <c r="H662" s="502">
        <v>1670.35</v>
      </c>
      <c r="I662" s="502">
        <v>13097.88</v>
      </c>
      <c r="J662" s="43" t="s">
        <v>99</v>
      </c>
      <c r="K662" s="450" t="s">
        <v>34</v>
      </c>
      <c r="L662" s="548">
        <v>472037614</v>
      </c>
      <c r="M662" s="36" t="s">
        <v>7703</v>
      </c>
      <c r="N662" s="398" t="s">
        <v>3296</v>
      </c>
      <c r="O662" t="s">
        <v>4710</v>
      </c>
      <c r="P662" t="s">
        <v>4711</v>
      </c>
      <c r="Q662" t="s">
        <v>7554</v>
      </c>
      <c r="R662" s="50">
        <v>46196</v>
      </c>
      <c r="S662" s="47">
        <v>46752</v>
      </c>
      <c r="T662" s="98">
        <v>46196</v>
      </c>
      <c r="U662" s="98">
        <v>46752</v>
      </c>
      <c r="V662" s="43" t="s">
        <v>4713</v>
      </c>
      <c r="W662" s="41" t="s">
        <v>39</v>
      </c>
      <c r="X662" s="98" t="s">
        <v>7690</v>
      </c>
      <c r="Y662" s="40" t="s">
        <v>56</v>
      </c>
      <c r="AC662" s="470" t="s">
        <v>7704</v>
      </c>
      <c r="AD662" s="511">
        <v>46237</v>
      </c>
      <c r="AF662" s="39"/>
      <c r="AG662" s="490"/>
      <c r="AH662" s="490"/>
    </row>
    <row r="663" spans="1:34" ht="19.5" customHeight="1">
      <c r="A663" s="25">
        <f t="shared" si="1"/>
        <v>93</v>
      </c>
      <c r="B663" s="401">
        <v>6316566</v>
      </c>
      <c r="C663" s="449">
        <v>46232</v>
      </c>
      <c r="D663" s="68">
        <v>649.16</v>
      </c>
      <c r="E663" s="68">
        <v>5090.32</v>
      </c>
      <c r="F663" s="290" t="s">
        <v>7705</v>
      </c>
      <c r="G663" s="98">
        <v>46237</v>
      </c>
      <c r="H663" s="68">
        <v>649.16</v>
      </c>
      <c r="I663" s="68">
        <v>5090.32</v>
      </c>
      <c r="J663" s="43" t="s">
        <v>99</v>
      </c>
      <c r="K663" s="450" t="s">
        <v>34</v>
      </c>
      <c r="L663" s="25">
        <v>482022078</v>
      </c>
      <c r="M663" s="36" t="s">
        <v>7706</v>
      </c>
      <c r="N663" s="398" t="s">
        <v>1346</v>
      </c>
      <c r="O663" t="s">
        <v>7707</v>
      </c>
      <c r="P663" t="s">
        <v>7708</v>
      </c>
      <c r="Q663" t="s">
        <v>7709</v>
      </c>
      <c r="R663" s="50">
        <v>46260</v>
      </c>
      <c r="S663" s="47">
        <v>46647</v>
      </c>
      <c r="T663" s="98">
        <v>46261</v>
      </c>
      <c r="U663" s="98">
        <v>46625</v>
      </c>
      <c r="V663" s="43" t="s">
        <v>60</v>
      </c>
      <c r="W663" s="41" t="s">
        <v>39</v>
      </c>
      <c r="X663" s="98" t="s">
        <v>7710</v>
      </c>
      <c r="Y663" s="40" t="s">
        <v>56</v>
      </c>
      <c r="AC663" s="470" t="s">
        <v>7711</v>
      </c>
      <c r="AD663" s="511">
        <v>46238</v>
      </c>
      <c r="AF663" s="39"/>
      <c r="AG663" s="490"/>
      <c r="AH663" s="490"/>
    </row>
    <row r="664" spans="1:34" ht="19.5" customHeight="1" thickBot="1">
      <c r="A664" s="25">
        <f t="shared" si="1"/>
        <v>94</v>
      </c>
      <c r="B664" s="401">
        <v>6317105</v>
      </c>
      <c r="C664" s="449">
        <v>46233</v>
      </c>
      <c r="D664" s="68">
        <v>777.6</v>
      </c>
      <c r="E664" s="68">
        <v>6097.47</v>
      </c>
      <c r="F664" s="290" t="s">
        <v>7712</v>
      </c>
      <c r="G664" s="449">
        <v>46238</v>
      </c>
      <c r="H664" s="68">
        <v>777.6</v>
      </c>
      <c r="I664" s="68">
        <v>6097.47</v>
      </c>
      <c r="J664" s="43" t="s">
        <v>384</v>
      </c>
      <c r="K664" s="450" t="s">
        <v>34</v>
      </c>
      <c r="L664" s="25">
        <v>11001862040</v>
      </c>
      <c r="M664" s="36" t="s">
        <v>7627</v>
      </c>
      <c r="N664" s="398" t="s">
        <v>1377</v>
      </c>
      <c r="O664" t="s">
        <v>7707</v>
      </c>
      <c r="P664" t="s">
        <v>7708</v>
      </c>
      <c r="Q664" t="s">
        <v>7709</v>
      </c>
      <c r="R664" s="50">
        <v>46260</v>
      </c>
      <c r="S664" s="47">
        <v>46647</v>
      </c>
      <c r="T664" s="98" t="s">
        <v>141</v>
      </c>
      <c r="U664" s="98" t="s">
        <v>141</v>
      </c>
      <c r="V664" s="43" t="s">
        <v>60</v>
      </c>
      <c r="W664" s="41" t="s">
        <v>39</v>
      </c>
      <c r="X664" s="449" t="s">
        <v>7713</v>
      </c>
      <c r="Y664" s="40" t="s">
        <v>56</v>
      </c>
      <c r="AD664" s="511"/>
      <c r="AF664" s="39"/>
      <c r="AG664" s="490"/>
      <c r="AH664" s="490"/>
    </row>
    <row r="665" spans="1:34" ht="19.5" customHeight="1">
      <c r="A665" s="25">
        <f t="shared" si="1"/>
        <v>95</v>
      </c>
      <c r="B665" s="135">
        <v>6319167</v>
      </c>
      <c r="C665" s="512">
        <v>46239</v>
      </c>
      <c r="D665" s="362" t="s">
        <v>141</v>
      </c>
      <c r="E665" s="176">
        <v>43900</v>
      </c>
      <c r="F665" s="135" t="s">
        <v>7714</v>
      </c>
      <c r="G665" s="512">
        <v>46248</v>
      </c>
      <c r="H665" s="362" t="s">
        <v>141</v>
      </c>
      <c r="I665" s="602">
        <f>42540-1940</f>
        <v>40600</v>
      </c>
      <c r="J665" s="422" t="s">
        <v>929</v>
      </c>
      <c r="K665" s="603" t="s">
        <v>7715</v>
      </c>
      <c r="L665" s="531" t="s">
        <v>7716</v>
      </c>
      <c r="M665" s="421" t="s">
        <v>7717</v>
      </c>
      <c r="N665" s="178" t="s">
        <v>7718</v>
      </c>
      <c r="O665" s="141" t="s">
        <v>2544</v>
      </c>
      <c r="P665" s="141" t="s">
        <v>2545</v>
      </c>
      <c r="Q665" s="141" t="s">
        <v>4859</v>
      </c>
      <c r="R665" s="145">
        <v>46023</v>
      </c>
      <c r="S665" s="146">
        <v>46387</v>
      </c>
      <c r="T665" s="514" t="s">
        <v>141</v>
      </c>
      <c r="U665" s="514" t="s">
        <v>141</v>
      </c>
      <c r="V665" s="422" t="s">
        <v>51</v>
      </c>
      <c r="W665" s="148" t="s">
        <v>39</v>
      </c>
      <c r="X665" s="512" t="s">
        <v>4860</v>
      </c>
      <c r="Y665" s="147" t="s">
        <v>185</v>
      </c>
      <c r="Z665" s="141"/>
      <c r="AA665" s="532" t="s">
        <v>7719</v>
      </c>
      <c r="AB665" s="535">
        <v>46268</v>
      </c>
      <c r="AC665" s="604"/>
      <c r="AD665" s="535"/>
      <c r="AE665" s="141"/>
      <c r="AF665" s="146"/>
      <c r="AG665" s="490"/>
      <c r="AH665" s="490"/>
    </row>
    <row r="666" spans="1:34" ht="19.5" customHeight="1" thickBot="1">
      <c r="B666" s="155">
        <v>6319167</v>
      </c>
      <c r="C666" s="516">
        <v>46239</v>
      </c>
      <c r="D666" s="365"/>
      <c r="E666" s="157"/>
      <c r="F666" s="155" t="s">
        <v>7720</v>
      </c>
      <c r="G666" s="516">
        <v>46248</v>
      </c>
      <c r="H666" s="365" t="s">
        <v>141</v>
      </c>
      <c r="I666" s="544">
        <f>42540-40600</f>
        <v>1940</v>
      </c>
      <c r="J666" s="427" t="s">
        <v>929</v>
      </c>
      <c r="K666" s="584" t="s">
        <v>7721</v>
      </c>
      <c r="L666" s="537" t="s">
        <v>7716</v>
      </c>
      <c r="M666" s="426" t="s">
        <v>7722</v>
      </c>
      <c r="N666" s="184"/>
      <c r="O666" s="161" t="s">
        <v>2544</v>
      </c>
      <c r="P666" s="161" t="s">
        <v>2545</v>
      </c>
      <c r="Q666" s="161" t="s">
        <v>4859</v>
      </c>
      <c r="R666" s="165">
        <v>46023</v>
      </c>
      <c r="S666" s="166">
        <v>46387</v>
      </c>
      <c r="T666" s="518" t="s">
        <v>141</v>
      </c>
      <c r="U666" s="518" t="s">
        <v>141</v>
      </c>
      <c r="V666" s="427" t="s">
        <v>51</v>
      </c>
      <c r="W666" s="168" t="s">
        <v>39</v>
      </c>
      <c r="X666" s="516" t="s">
        <v>4860</v>
      </c>
      <c r="Y666" s="167" t="s">
        <v>185</v>
      </c>
      <c r="Z666" s="161"/>
      <c r="AA666" s="538"/>
      <c r="AB666" s="539"/>
      <c r="AC666" s="540"/>
      <c r="AD666" s="541"/>
      <c r="AE666" s="161"/>
      <c r="AF666" s="166"/>
      <c r="AG666" s="490"/>
      <c r="AH666" s="490"/>
    </row>
    <row r="667" spans="1:34" ht="19.5" customHeight="1">
      <c r="A667" s="25">
        <f>A665+1</f>
        <v>96</v>
      </c>
      <c r="B667" s="401">
        <v>6321692</v>
      </c>
      <c r="C667" s="449">
        <v>46247</v>
      </c>
      <c r="D667" s="68">
        <v>48.6</v>
      </c>
      <c r="E667" s="68">
        <v>381.13</v>
      </c>
      <c r="F667" s="26">
        <v>1607383</v>
      </c>
      <c r="G667" s="98">
        <v>46253</v>
      </c>
      <c r="H667" s="68">
        <v>48.6</v>
      </c>
      <c r="I667" s="68">
        <v>381.13</v>
      </c>
      <c r="J667" s="43" t="s">
        <v>99</v>
      </c>
      <c r="K667" s="450" t="s">
        <v>34</v>
      </c>
      <c r="L667" s="25">
        <v>11001938176</v>
      </c>
      <c r="M667" s="36" t="s">
        <v>7627</v>
      </c>
      <c r="N667" s="398" t="s">
        <v>1540</v>
      </c>
      <c r="O667" t="s">
        <v>7707</v>
      </c>
      <c r="P667" t="s">
        <v>7708</v>
      </c>
      <c r="Q667" t="s">
        <v>7709</v>
      </c>
      <c r="R667" s="50">
        <v>46260</v>
      </c>
      <c r="S667" s="47">
        <v>46647</v>
      </c>
      <c r="T667" s="98">
        <v>46283</v>
      </c>
      <c r="U667" s="98">
        <v>46647</v>
      </c>
      <c r="V667" s="43" t="s">
        <v>60</v>
      </c>
      <c r="W667" s="41" t="s">
        <v>39</v>
      </c>
      <c r="X667" s="449" t="s">
        <v>7713</v>
      </c>
      <c r="Y667" s="40" t="s">
        <v>56</v>
      </c>
      <c r="AD667" s="511"/>
      <c r="AF667" s="39"/>
      <c r="AG667" s="490"/>
      <c r="AH667" s="490"/>
    </row>
    <row r="668" spans="1:34" ht="19.5" customHeight="1">
      <c r="A668" s="25">
        <f t="shared" si="1"/>
        <v>97</v>
      </c>
      <c r="B668" s="401">
        <v>6321775</v>
      </c>
      <c r="C668" s="449">
        <v>46247</v>
      </c>
      <c r="D668" s="68">
        <v>3465.6</v>
      </c>
      <c r="E668" s="68">
        <v>27177.93</v>
      </c>
      <c r="F668" s="26">
        <v>1607384</v>
      </c>
      <c r="G668" s="98">
        <v>46253</v>
      </c>
      <c r="H668" s="68">
        <v>3465.6</v>
      </c>
      <c r="I668" s="68">
        <v>27177.93</v>
      </c>
      <c r="J668" s="43" t="s">
        <v>99</v>
      </c>
      <c r="K668" s="450" t="s">
        <v>34</v>
      </c>
      <c r="L668" s="25">
        <v>11001938177</v>
      </c>
      <c r="M668" s="36" t="s">
        <v>7723</v>
      </c>
      <c r="N668" s="398" t="s">
        <v>2000</v>
      </c>
      <c r="O668" t="s">
        <v>7707</v>
      </c>
      <c r="P668" t="s">
        <v>7708</v>
      </c>
      <c r="Q668" t="s">
        <v>7709</v>
      </c>
      <c r="R668" s="50">
        <v>46260</v>
      </c>
      <c r="S668" s="39">
        <v>46647</v>
      </c>
      <c r="T668" s="98">
        <v>46274</v>
      </c>
      <c r="U668" s="98">
        <v>46638</v>
      </c>
      <c r="V668" s="43" t="s">
        <v>60</v>
      </c>
      <c r="W668" s="41" t="s">
        <v>39</v>
      </c>
      <c r="X668" s="449" t="s">
        <v>7713</v>
      </c>
      <c r="Y668" s="40" t="s">
        <v>56</v>
      </c>
      <c r="AD668" s="511"/>
      <c r="AF668" s="39"/>
      <c r="AG668" s="490"/>
      <c r="AH668" s="490"/>
    </row>
    <row r="669" spans="1:34" ht="19.5" customHeight="1">
      <c r="A669" s="25">
        <f t="shared" si="1"/>
        <v>98</v>
      </c>
      <c r="B669" s="26">
        <v>6324452</v>
      </c>
      <c r="C669" s="27">
        <v>46255</v>
      </c>
      <c r="D669" s="68">
        <v>39730.76</v>
      </c>
      <c r="E669" s="29">
        <v>311576.57</v>
      </c>
      <c r="F669" s="401">
        <v>1608656</v>
      </c>
      <c r="G669" s="31">
        <v>46265</v>
      </c>
      <c r="H669"/>
      <c r="I669" s="33"/>
      <c r="J669" s="43" t="s">
        <v>3877</v>
      </c>
      <c r="K669" s="450" t="s">
        <v>34</v>
      </c>
      <c r="L669" s="249">
        <v>11001999258</v>
      </c>
      <c r="M669" s="36" t="s">
        <v>7627</v>
      </c>
      <c r="N669" s="398" t="s">
        <v>1346</v>
      </c>
      <c r="O669" t="s">
        <v>7724</v>
      </c>
      <c r="P669" t="s">
        <v>7725</v>
      </c>
      <c r="Q669" t="s">
        <v>7726</v>
      </c>
      <c r="R669" s="38">
        <v>46242</v>
      </c>
      <c r="S669" s="39">
        <v>46578</v>
      </c>
      <c r="T669" s="449">
        <v>46254</v>
      </c>
      <c r="U669" s="39">
        <v>46578</v>
      </c>
      <c r="V669" s="43" t="s">
        <v>7727</v>
      </c>
      <c r="W669" s="41" t="s">
        <v>5007</v>
      </c>
      <c r="X669" s="449" t="s">
        <v>7728</v>
      </c>
      <c r="Y669" s="40" t="s">
        <v>56</v>
      </c>
      <c r="AC669" s="470" t="s">
        <v>7729</v>
      </c>
      <c r="AD669" s="511">
        <v>46274</v>
      </c>
      <c r="AF669" s="39"/>
      <c r="AG669" s="490"/>
      <c r="AH669" s="490"/>
    </row>
    <row r="670" spans="1:34" ht="19.5" customHeight="1">
      <c r="A670" s="25">
        <f t="shared" si="1"/>
        <v>99</v>
      </c>
      <c r="B670" s="401">
        <v>6329029</v>
      </c>
      <c r="C670" s="27">
        <v>46269</v>
      </c>
      <c r="D670" s="330">
        <v>0</v>
      </c>
      <c r="E670" s="68">
        <v>0</v>
      </c>
      <c r="F670" s="26">
        <v>1610604</v>
      </c>
      <c r="G670" s="98">
        <v>46269</v>
      </c>
      <c r="H670" s="68">
        <v>0</v>
      </c>
      <c r="I670" s="68">
        <v>0</v>
      </c>
      <c r="J670" s="43" t="s">
        <v>384</v>
      </c>
      <c r="K670" s="450" t="s">
        <v>34</v>
      </c>
      <c r="L670" s="25">
        <v>4801402244</v>
      </c>
      <c r="M670" s="36" t="s">
        <v>7627</v>
      </c>
      <c r="N670" s="398" t="s">
        <v>1956</v>
      </c>
      <c r="O670" t="s">
        <v>7668</v>
      </c>
      <c r="P670" t="s">
        <v>7669</v>
      </c>
      <c r="Q670" t="s">
        <v>7670</v>
      </c>
      <c r="R670" s="50">
        <v>46411</v>
      </c>
      <c r="S670" s="47">
        <v>47506</v>
      </c>
      <c r="T670" s="98" t="s">
        <v>141</v>
      </c>
      <c r="U670" s="98" t="s">
        <v>141</v>
      </c>
      <c r="V670" s="43" t="s">
        <v>2207</v>
      </c>
      <c r="W670" s="41" t="s">
        <v>39</v>
      </c>
      <c r="X670" s="449" t="s">
        <v>7730</v>
      </c>
      <c r="Y670" s="40" t="s">
        <v>56</v>
      </c>
      <c r="AD670" s="511"/>
      <c r="AF670" s="39"/>
      <c r="AG670" s="490"/>
      <c r="AH670" s="490"/>
    </row>
    <row r="671" spans="1:34" ht="19.5" customHeight="1">
      <c r="A671" s="25">
        <f t="shared" si="1"/>
        <v>100</v>
      </c>
      <c r="B671" s="401">
        <v>6332303</v>
      </c>
      <c r="C671" s="27">
        <v>46279</v>
      </c>
      <c r="D671" s="68">
        <v>2187</v>
      </c>
      <c r="E671" s="68">
        <v>17142.14</v>
      </c>
      <c r="G671" s="98"/>
      <c r="H671" s="68"/>
      <c r="I671" s="68"/>
      <c r="J671" s="43" t="s">
        <v>384</v>
      </c>
      <c r="K671" s="450" t="s">
        <v>34</v>
      </c>
      <c r="L671" s="25">
        <v>11002096675</v>
      </c>
      <c r="M671" s="36" t="s">
        <v>7731</v>
      </c>
      <c r="N671" s="398" t="s">
        <v>1540</v>
      </c>
      <c r="O671" t="s">
        <v>7732</v>
      </c>
      <c r="P671" t="s">
        <v>7733</v>
      </c>
      <c r="Q671" t="s">
        <v>5208</v>
      </c>
      <c r="R671" s="50">
        <v>46031</v>
      </c>
      <c r="S671" s="47">
        <v>46339</v>
      </c>
      <c r="T671" s="50">
        <v>46031</v>
      </c>
      <c r="U671" s="47">
        <v>46339</v>
      </c>
      <c r="V671" s="43" t="s">
        <v>2207</v>
      </c>
      <c r="W671" s="41" t="s">
        <v>5007</v>
      </c>
      <c r="X671" s="449" t="s">
        <v>5210</v>
      </c>
      <c r="Y671" s="40" t="s">
        <v>56</v>
      </c>
      <c r="AD671" s="511"/>
      <c r="AF671" s="39"/>
      <c r="AG671" s="490"/>
      <c r="AH671" s="490"/>
    </row>
    <row r="672" spans="1:34" ht="19.5" customHeight="1">
      <c r="A672" s="25">
        <f t="shared" si="1"/>
        <v>101</v>
      </c>
      <c r="C672" s="449"/>
      <c r="D672" s="68"/>
      <c r="E672" s="68"/>
      <c r="G672" s="98"/>
      <c r="H672" s="68"/>
      <c r="I672" s="68"/>
      <c r="N672" s="398"/>
      <c r="R672" s="50"/>
      <c r="S672" s="47"/>
      <c r="T672" s="98"/>
      <c r="U672" s="98"/>
      <c r="AD672" s="511"/>
      <c r="AF672" s="39"/>
      <c r="AG672" s="490"/>
      <c r="AH672" s="490"/>
    </row>
    <row r="673" spans="1:34" ht="19.5" customHeight="1">
      <c r="A673" s="25">
        <f t="shared" si="1"/>
        <v>102</v>
      </c>
      <c r="C673" s="449"/>
      <c r="D673" s="68"/>
      <c r="E673" s="68"/>
      <c r="G673" s="98"/>
      <c r="H673" s="68"/>
      <c r="I673" s="68"/>
      <c r="N673" s="398"/>
      <c r="R673" s="50"/>
      <c r="S673" s="47"/>
      <c r="T673" s="98"/>
      <c r="U673" s="98"/>
      <c r="AD673" s="511"/>
      <c r="AF673" s="39"/>
      <c r="AG673" s="490"/>
      <c r="AH673" s="490"/>
    </row>
    <row r="674" spans="1:34" ht="19.5" customHeight="1">
      <c r="A674" s="25">
        <f t="shared" si="1"/>
        <v>103</v>
      </c>
      <c r="C674" s="449"/>
      <c r="D674" s="68"/>
      <c r="E674" s="68"/>
      <c r="G674" s="98"/>
      <c r="H674" s="68"/>
      <c r="I674" s="68"/>
      <c r="N674" s="398"/>
      <c r="R674" s="50"/>
      <c r="S674" s="47"/>
      <c r="T674" s="98"/>
      <c r="U674" s="98"/>
      <c r="AD674" s="511"/>
      <c r="AF674" s="39"/>
      <c r="AG674" s="490"/>
      <c r="AH674" s="490"/>
    </row>
    <row r="675" spans="1:34" ht="19.5" customHeight="1">
      <c r="A675" s="25">
        <f t="shared" si="1"/>
        <v>104</v>
      </c>
      <c r="C675" s="449"/>
      <c r="D675" s="68"/>
      <c r="E675" s="68"/>
      <c r="G675" s="98"/>
      <c r="H675" s="68"/>
      <c r="I675" s="68"/>
      <c r="N675" s="398"/>
      <c r="R675" s="50"/>
      <c r="S675" s="47"/>
      <c r="T675" s="98"/>
      <c r="U675" s="98"/>
      <c r="AD675" s="511"/>
      <c r="AF675" s="39"/>
      <c r="AG675" s="490"/>
      <c r="AH675" s="490"/>
    </row>
    <row r="676" spans="1:34" ht="19.5" customHeight="1">
      <c r="A676" s="25">
        <f t="shared" si="1"/>
        <v>105</v>
      </c>
      <c r="C676" s="449"/>
      <c r="D676" s="68"/>
      <c r="E676" s="68"/>
      <c r="G676" s="98"/>
      <c r="H676" s="68"/>
      <c r="I676" s="68"/>
      <c r="N676" s="398"/>
      <c r="R676" s="50"/>
      <c r="S676" s="47"/>
      <c r="T676" s="98"/>
      <c r="U676" s="98"/>
      <c r="AD676" s="511"/>
      <c r="AF676" s="39"/>
      <c r="AG676" s="490"/>
      <c r="AH676" s="490"/>
    </row>
    <row r="677" spans="1:34" ht="19.5" customHeight="1">
      <c r="A677" s="25">
        <f t="shared" si="1"/>
        <v>106</v>
      </c>
      <c r="C677" s="449"/>
      <c r="D677" s="68"/>
      <c r="E677" s="68"/>
      <c r="G677" s="98"/>
      <c r="H677" s="68"/>
      <c r="I677" s="68"/>
      <c r="N677" s="398"/>
      <c r="R677" s="50"/>
      <c r="S677" s="47"/>
      <c r="T677" s="98"/>
      <c r="U677" s="98"/>
      <c r="AD677" s="511"/>
      <c r="AF677" s="39"/>
      <c r="AG677" s="490"/>
      <c r="AH677" s="490"/>
    </row>
    <row r="678" spans="1:34" ht="19.5" customHeight="1">
      <c r="A678" s="25">
        <f t="shared" si="1"/>
        <v>107</v>
      </c>
      <c r="C678" s="449"/>
      <c r="D678" s="68"/>
      <c r="E678" s="68"/>
      <c r="G678" s="98"/>
      <c r="H678" s="68"/>
      <c r="I678" s="68"/>
      <c r="N678" s="398"/>
      <c r="R678" s="50"/>
      <c r="S678" s="47"/>
      <c r="T678" s="98"/>
      <c r="U678" s="98"/>
      <c r="AD678" s="511"/>
      <c r="AF678" s="39"/>
      <c r="AG678" s="490"/>
      <c r="AH678" s="490"/>
    </row>
    <row r="679" spans="1:34" ht="19.5" customHeight="1">
      <c r="A679" s="25">
        <f t="shared" si="1"/>
        <v>108</v>
      </c>
      <c r="C679" s="449"/>
      <c r="D679" s="68"/>
      <c r="E679" s="68"/>
      <c r="G679" s="98"/>
      <c r="H679" s="68"/>
      <c r="I679" s="68"/>
      <c r="N679" s="398"/>
      <c r="R679" s="50"/>
      <c r="S679" s="47"/>
      <c r="T679" s="98"/>
      <c r="U679" s="98"/>
      <c r="AD679" s="511"/>
      <c r="AF679" s="39"/>
      <c r="AG679" s="490"/>
      <c r="AH679" s="490"/>
    </row>
    <row r="680" spans="1:34" ht="19.5" customHeight="1">
      <c r="A680" s="25">
        <f t="shared" si="1"/>
        <v>109</v>
      </c>
      <c r="C680" s="449"/>
      <c r="D680" s="68"/>
      <c r="E680" s="68"/>
      <c r="G680" s="98"/>
      <c r="H680" s="68"/>
      <c r="I680" s="68"/>
      <c r="N680" s="398"/>
      <c r="R680" s="50"/>
      <c r="S680" s="47"/>
      <c r="T680" s="98"/>
      <c r="U680" s="98"/>
      <c r="AD680" s="511"/>
      <c r="AF680" s="39"/>
      <c r="AG680" s="490"/>
      <c r="AH680" s="490"/>
    </row>
    <row r="681" spans="1:34" ht="19.5" customHeight="1">
      <c r="A681" s="25">
        <f t="shared" si="1"/>
        <v>110</v>
      </c>
      <c r="C681" s="449"/>
      <c r="D681" s="68"/>
      <c r="E681" s="68"/>
      <c r="G681" s="98"/>
      <c r="H681" s="68"/>
      <c r="I681" s="68"/>
      <c r="N681" s="398"/>
      <c r="R681" s="50"/>
      <c r="S681" s="47"/>
      <c r="T681" s="98"/>
      <c r="U681" s="98"/>
      <c r="AD681" s="511"/>
      <c r="AF681" s="39"/>
      <c r="AG681" s="490"/>
      <c r="AH681" s="490"/>
    </row>
    <row r="682" spans="1:34" ht="19.5" customHeight="1">
      <c r="A682" s="25">
        <f t="shared" si="1"/>
        <v>111</v>
      </c>
      <c r="C682" s="449"/>
      <c r="D682" s="68"/>
      <c r="E682" s="68"/>
      <c r="G682" s="98"/>
      <c r="H682" s="68"/>
      <c r="I682" s="68"/>
      <c r="N682" s="398"/>
      <c r="R682" s="50"/>
      <c r="S682" s="47"/>
      <c r="T682" s="98"/>
      <c r="U682" s="98"/>
      <c r="AD682" s="511"/>
      <c r="AF682" s="39"/>
      <c r="AG682" s="490"/>
      <c r="AH682" s="490"/>
    </row>
    <row r="683" spans="1:34" ht="19.5" customHeight="1">
      <c r="A683" s="25">
        <f t="shared" si="1"/>
        <v>112</v>
      </c>
      <c r="C683" s="449"/>
      <c r="D683" s="68"/>
      <c r="E683" s="68"/>
      <c r="G683" s="98"/>
      <c r="H683" s="68"/>
      <c r="I683" s="68"/>
      <c r="N683" s="398"/>
      <c r="R683" s="50"/>
      <c r="S683" s="47"/>
      <c r="T683" s="98"/>
      <c r="U683" s="98"/>
      <c r="AD683" s="511"/>
      <c r="AF683" s="39"/>
      <c r="AG683" s="490"/>
      <c r="AH683" s="490"/>
    </row>
    <row r="684" spans="1:34" ht="19.5" customHeight="1">
      <c r="A684" s="25">
        <f t="shared" si="1"/>
        <v>113</v>
      </c>
      <c r="C684" s="449"/>
      <c r="D684" s="68"/>
      <c r="E684" s="68"/>
      <c r="G684" s="98"/>
      <c r="H684" s="68"/>
      <c r="I684" s="68"/>
      <c r="N684" s="398"/>
      <c r="R684" s="50"/>
      <c r="S684" s="47"/>
      <c r="T684" s="98"/>
      <c r="U684" s="98"/>
      <c r="AD684" s="511"/>
      <c r="AF684" s="39"/>
      <c r="AG684" s="490"/>
      <c r="AH684" s="490"/>
    </row>
    <row r="685" spans="1:34" ht="19.5" customHeight="1">
      <c r="A685" s="25">
        <f t="shared" si="1"/>
        <v>114</v>
      </c>
      <c r="C685" s="449"/>
      <c r="D685" s="68"/>
      <c r="E685" s="68"/>
      <c r="G685" s="98"/>
      <c r="H685" s="68"/>
      <c r="I685" s="68"/>
      <c r="N685" s="398"/>
      <c r="R685" s="50"/>
      <c r="S685" s="47"/>
      <c r="T685" s="98"/>
      <c r="U685" s="98"/>
      <c r="AD685" s="511"/>
      <c r="AF685" s="39"/>
      <c r="AG685" s="490"/>
      <c r="AH685" s="490"/>
    </row>
    <row r="686" spans="1:34" ht="19.5" customHeight="1">
      <c r="A686" s="25">
        <f t="shared" si="1"/>
        <v>115</v>
      </c>
      <c r="C686" s="449"/>
      <c r="D686" s="68"/>
      <c r="E686" s="68"/>
      <c r="G686" s="98"/>
      <c r="H686" s="68"/>
      <c r="I686" s="68"/>
      <c r="N686" s="398"/>
      <c r="R686" s="50"/>
      <c r="S686" s="47"/>
      <c r="T686" s="98"/>
      <c r="U686" s="98"/>
      <c r="AD686" s="511"/>
      <c r="AF686" s="39"/>
      <c r="AG686" s="490"/>
      <c r="AH686" s="490"/>
    </row>
    <row r="687" spans="1:34" ht="19.5" customHeight="1">
      <c r="A687" s="25">
        <f t="shared" si="1"/>
        <v>116</v>
      </c>
      <c r="C687" s="449"/>
      <c r="D687" s="68"/>
      <c r="E687" s="68"/>
      <c r="G687" s="98"/>
      <c r="H687" s="68"/>
      <c r="I687" s="68"/>
      <c r="N687" s="398"/>
      <c r="R687" s="50"/>
      <c r="S687" s="47"/>
      <c r="T687" s="98"/>
      <c r="U687" s="98"/>
      <c r="AD687" s="511"/>
      <c r="AF687" s="39"/>
      <c r="AG687" s="490"/>
      <c r="AH687" s="490"/>
    </row>
    <row r="688" spans="1:34" ht="19.5" customHeight="1">
      <c r="A688" s="25">
        <f t="shared" si="1"/>
        <v>117</v>
      </c>
      <c r="C688" s="449"/>
      <c r="D688" s="68"/>
      <c r="E688" s="68"/>
      <c r="G688" s="98"/>
      <c r="H688" s="68"/>
      <c r="I688" s="68"/>
      <c r="N688" s="398"/>
      <c r="R688" s="50"/>
      <c r="S688" s="47"/>
      <c r="T688" s="98"/>
      <c r="U688" s="98"/>
      <c r="AD688" s="511"/>
      <c r="AF688" s="39"/>
      <c r="AG688" s="490"/>
      <c r="AH688" s="490"/>
    </row>
    <row r="689" spans="1:34" ht="19.5" customHeight="1">
      <c r="A689" s="25">
        <f t="shared" si="1"/>
        <v>118</v>
      </c>
      <c r="C689" s="449"/>
      <c r="D689" s="68"/>
      <c r="E689" s="68"/>
      <c r="G689" s="98"/>
      <c r="H689" s="68"/>
      <c r="I689" s="68"/>
      <c r="N689" s="398"/>
      <c r="R689" s="50"/>
      <c r="S689" s="47"/>
      <c r="T689" s="98"/>
      <c r="U689" s="98"/>
      <c r="AD689" s="511"/>
      <c r="AF689" s="39"/>
      <c r="AG689" s="490"/>
      <c r="AH689" s="490"/>
    </row>
    <row r="690" spans="1:34" ht="19.5" customHeight="1">
      <c r="A690" s="25">
        <f t="shared" si="1"/>
        <v>119</v>
      </c>
      <c r="C690" s="449"/>
      <c r="D690" s="68"/>
      <c r="E690" s="68"/>
      <c r="G690" s="98"/>
      <c r="H690" s="68"/>
      <c r="I690" s="68"/>
      <c r="N690" s="398"/>
      <c r="R690" s="50"/>
      <c r="S690" s="47"/>
      <c r="T690" s="98"/>
      <c r="U690" s="98"/>
      <c r="AD690" s="511"/>
      <c r="AF690" s="39"/>
      <c r="AG690" s="490"/>
      <c r="AH690" s="490"/>
    </row>
    <row r="691" spans="1:34" ht="19.5" customHeight="1">
      <c r="A691" s="25">
        <f t="shared" si="1"/>
        <v>120</v>
      </c>
      <c r="C691" s="449"/>
      <c r="D691" s="68"/>
      <c r="E691" s="68"/>
      <c r="G691" s="98"/>
      <c r="H691" s="68"/>
      <c r="I691" s="68"/>
      <c r="N691" s="398"/>
      <c r="R691" s="50"/>
      <c r="S691" s="47"/>
      <c r="T691" s="98"/>
      <c r="U691" s="98"/>
      <c r="AD691" s="511"/>
      <c r="AF691" s="39"/>
      <c r="AG691" s="490"/>
      <c r="AH691" s="490"/>
    </row>
    <row r="692" spans="1:34" ht="19.5" customHeight="1">
      <c r="A692" s="25">
        <f t="shared" si="1"/>
        <v>121</v>
      </c>
      <c r="C692" s="449"/>
      <c r="D692" s="68"/>
      <c r="E692" s="68"/>
      <c r="G692" s="98"/>
      <c r="H692" s="68"/>
      <c r="I692" s="68"/>
      <c r="N692" s="398"/>
      <c r="R692" s="50"/>
      <c r="S692" s="47"/>
      <c r="T692" s="98"/>
      <c r="U692" s="98"/>
      <c r="AD692" s="511"/>
      <c r="AF692" s="39"/>
      <c r="AG692" s="490"/>
      <c r="AH692" s="490"/>
    </row>
    <row r="693" spans="1:34" ht="19.5" customHeight="1">
      <c r="A693" s="25">
        <f t="shared" ref="A693:A696" si="2">A692+1</f>
        <v>122</v>
      </c>
      <c r="C693" s="449"/>
      <c r="D693" s="68"/>
      <c r="E693" s="68"/>
      <c r="G693" s="98"/>
      <c r="H693" s="68"/>
      <c r="I693" s="68"/>
      <c r="N693" s="398"/>
      <c r="R693" s="50"/>
      <c r="S693" s="47"/>
      <c r="T693" s="98"/>
      <c r="U693" s="98"/>
      <c r="AD693" s="511"/>
      <c r="AF693" s="39"/>
      <c r="AG693" s="490"/>
      <c r="AH693" s="490"/>
    </row>
    <row r="694" spans="1:34" ht="19.5" customHeight="1">
      <c r="A694" s="25">
        <f t="shared" si="2"/>
        <v>123</v>
      </c>
      <c r="C694" s="449"/>
      <c r="D694" s="68"/>
      <c r="E694" s="68"/>
      <c r="G694" s="98"/>
      <c r="H694" s="68"/>
      <c r="I694" s="68"/>
      <c r="N694" s="398"/>
      <c r="R694" s="50"/>
      <c r="S694" s="47"/>
      <c r="T694" s="98"/>
      <c r="U694" s="98"/>
      <c r="AD694" s="511"/>
      <c r="AF694" s="39"/>
      <c r="AG694" s="490"/>
      <c r="AH694" s="490"/>
    </row>
    <row r="695" spans="1:34" ht="19.5" customHeight="1">
      <c r="A695" s="25">
        <f t="shared" si="2"/>
        <v>124</v>
      </c>
      <c r="C695" s="449"/>
      <c r="D695" s="68"/>
      <c r="E695" s="68"/>
      <c r="G695" s="98"/>
      <c r="H695" s="68"/>
      <c r="I695" s="68"/>
      <c r="N695" s="398"/>
      <c r="R695" s="50"/>
      <c r="S695" s="47"/>
      <c r="T695" s="98"/>
      <c r="U695" s="98"/>
      <c r="AD695" s="511"/>
      <c r="AF695" s="39"/>
      <c r="AG695" s="490"/>
      <c r="AH695" s="490"/>
    </row>
    <row r="696" spans="1:34" ht="19.5" customHeight="1">
      <c r="A696" s="25">
        <f t="shared" si="2"/>
        <v>125</v>
      </c>
      <c r="C696" s="449"/>
      <c r="D696" s="68"/>
      <c r="E696" s="68"/>
      <c r="G696" s="98"/>
      <c r="H696" s="68"/>
      <c r="I696" s="68"/>
      <c r="N696" s="398"/>
      <c r="R696" s="50"/>
      <c r="S696" s="47"/>
      <c r="T696" s="98"/>
      <c r="U696" s="98"/>
      <c r="AD696" s="511"/>
      <c r="AF696" s="39"/>
      <c r="AG696" s="490"/>
      <c r="AH696" s="490"/>
    </row>
    <row r="697" spans="1:34" ht="19.5" customHeight="1">
      <c r="C697" s="449"/>
      <c r="D697" s="68"/>
      <c r="E697" s="68"/>
      <c r="G697" s="98"/>
      <c r="H697" s="68"/>
      <c r="I697" s="68"/>
      <c r="N697" s="398"/>
      <c r="R697" s="50"/>
      <c r="S697" s="47"/>
      <c r="T697" s="98"/>
      <c r="U697" s="98"/>
      <c r="AD697" s="511"/>
      <c r="AF697" s="39"/>
      <c r="AG697" s="490"/>
      <c r="AH697" s="490"/>
    </row>
    <row r="698" spans="1:34" ht="19.5" customHeight="1">
      <c r="C698" s="449"/>
      <c r="D698" s="68"/>
      <c r="E698" s="68"/>
      <c r="G698" s="98"/>
      <c r="H698" s="68"/>
      <c r="I698" s="68"/>
      <c r="N698" s="398"/>
      <c r="R698" s="50"/>
      <c r="S698" s="47"/>
      <c r="T698" s="98"/>
      <c r="U698" s="98"/>
      <c r="AD698" s="511"/>
      <c r="AF698" s="39"/>
      <c r="AG698" s="490"/>
      <c r="AH698" s="490"/>
    </row>
    <row r="699" spans="1:34" ht="19.5" customHeight="1">
      <c r="C699" s="449"/>
      <c r="D699" s="68"/>
      <c r="E699" s="68"/>
      <c r="G699" s="98"/>
      <c r="H699" s="68"/>
      <c r="I699" s="68"/>
      <c r="N699" s="398"/>
      <c r="R699" s="50"/>
      <c r="S699" s="47"/>
      <c r="T699" s="98"/>
      <c r="U699" s="98"/>
      <c r="AD699" s="511"/>
      <c r="AF699" s="39"/>
      <c r="AG699" s="490"/>
      <c r="AH699" s="490"/>
    </row>
    <row r="700" spans="1:34" ht="19.5" customHeight="1">
      <c r="C700" s="449"/>
      <c r="D700" s="68"/>
      <c r="E700" s="68"/>
      <c r="G700" s="98"/>
      <c r="H700" s="68"/>
      <c r="I700" s="68"/>
      <c r="N700" s="398"/>
      <c r="R700" s="50"/>
      <c r="S700" s="47"/>
      <c r="T700" s="98"/>
      <c r="U700" s="98"/>
      <c r="AD700" s="511"/>
      <c r="AF700" s="39"/>
      <c r="AG700" s="490"/>
      <c r="AH700" s="490"/>
    </row>
    <row r="701" spans="1:34" ht="19.5" customHeight="1">
      <c r="C701" s="449"/>
      <c r="D701" s="68"/>
      <c r="E701" s="68"/>
      <c r="G701" s="98"/>
      <c r="H701" s="68"/>
      <c r="I701" s="68"/>
      <c r="N701" s="398"/>
      <c r="R701" s="50"/>
      <c r="S701" s="47"/>
      <c r="T701" s="98"/>
      <c r="U701" s="98"/>
      <c r="AD701" s="511"/>
      <c r="AF701" s="39"/>
      <c r="AG701" s="490"/>
      <c r="AH701" s="490"/>
    </row>
    <row r="702" spans="1:34" ht="19.5" customHeight="1">
      <c r="C702" s="449"/>
      <c r="D702" s="68"/>
      <c r="E702" s="68"/>
      <c r="G702" s="98"/>
      <c r="H702" s="68"/>
      <c r="I702" s="68"/>
      <c r="N702" s="398"/>
      <c r="R702" s="50"/>
      <c r="S702" s="47"/>
      <c r="T702" s="98"/>
      <c r="U702" s="98"/>
      <c r="AD702" s="511"/>
      <c r="AF702" s="39"/>
      <c r="AG702" s="490"/>
      <c r="AH702" s="490"/>
    </row>
    <row r="703" spans="1:34" ht="19.5" customHeight="1">
      <c r="C703" s="449"/>
      <c r="D703" s="68"/>
      <c r="E703" s="68"/>
      <c r="G703" s="98"/>
      <c r="H703" s="68"/>
      <c r="I703" s="68"/>
      <c r="N703" s="398"/>
      <c r="R703" s="50"/>
      <c r="S703" s="47"/>
      <c r="T703" s="98"/>
      <c r="U703" s="98"/>
      <c r="AD703" s="511"/>
      <c r="AF703" s="39"/>
      <c r="AG703" s="490"/>
      <c r="AH703" s="490"/>
    </row>
    <row r="704" spans="1:34" ht="19.5" customHeight="1">
      <c r="C704" s="449"/>
      <c r="D704" s="68"/>
      <c r="E704" s="68"/>
      <c r="G704" s="98"/>
      <c r="H704" s="68"/>
      <c r="I704" s="68"/>
      <c r="N704" s="398"/>
      <c r="R704" s="50"/>
      <c r="S704" s="47"/>
      <c r="T704" s="98"/>
      <c r="U704" s="98"/>
      <c r="AD704" s="511"/>
      <c r="AF704" s="39"/>
      <c r="AG704" s="490"/>
      <c r="AH704" s="490"/>
    </row>
    <row r="705" spans="3:34" ht="19.5" customHeight="1">
      <c r="C705" s="449"/>
      <c r="D705" s="68"/>
      <c r="E705" s="68"/>
      <c r="G705" s="98"/>
      <c r="H705" s="68"/>
      <c r="I705" s="68"/>
      <c r="N705" s="398"/>
      <c r="R705" s="50"/>
      <c r="S705" s="47"/>
      <c r="T705" s="98"/>
      <c r="U705" s="98"/>
      <c r="AD705" s="511"/>
      <c r="AF705" s="39"/>
      <c r="AG705" s="490"/>
      <c r="AH705" s="490"/>
    </row>
    <row r="706" spans="3:34" ht="19.5" customHeight="1">
      <c r="C706" s="449"/>
      <c r="D706" s="68"/>
      <c r="E706" s="68"/>
      <c r="G706" s="98"/>
      <c r="H706" s="68"/>
      <c r="I706" s="68"/>
      <c r="N706" s="398"/>
      <c r="R706" s="50"/>
      <c r="S706" s="47"/>
      <c r="T706" s="98"/>
      <c r="U706" s="98"/>
      <c r="AD706" s="511"/>
      <c r="AF706" s="39"/>
      <c r="AG706" s="490"/>
      <c r="AH706" s="490"/>
    </row>
    <row r="707" spans="3:34" ht="19.5" customHeight="1">
      <c r="C707" s="449"/>
      <c r="D707" s="68"/>
      <c r="E707" s="68"/>
      <c r="G707" s="98"/>
      <c r="H707" s="68"/>
      <c r="I707" s="68"/>
      <c r="N707" s="398"/>
      <c r="R707" s="50"/>
      <c r="S707" s="47"/>
      <c r="T707" s="98"/>
      <c r="U707" s="98"/>
      <c r="AD707" s="511"/>
      <c r="AF707" s="39"/>
      <c r="AG707" s="490"/>
      <c r="AH707" s="490"/>
    </row>
    <row r="708" spans="3:34" ht="19.5" customHeight="1">
      <c r="C708" s="449"/>
      <c r="D708" s="68"/>
      <c r="E708" s="68"/>
      <c r="G708" s="98"/>
      <c r="H708" s="68"/>
      <c r="I708" s="68"/>
      <c r="N708" s="398"/>
      <c r="R708" s="50"/>
      <c r="S708" s="47"/>
      <c r="T708" s="98"/>
      <c r="U708" s="98"/>
      <c r="AD708" s="511"/>
      <c r="AF708" s="39"/>
      <c r="AG708" s="490"/>
      <c r="AH708" s="490"/>
    </row>
    <row r="709" spans="3:34" ht="19.5" customHeight="1">
      <c r="C709" s="449"/>
      <c r="D709" s="68"/>
      <c r="E709" s="68"/>
      <c r="G709" s="98"/>
      <c r="H709" s="68"/>
      <c r="I709" s="68"/>
      <c r="N709" s="398"/>
      <c r="R709" s="50"/>
      <c r="S709" s="47"/>
      <c r="T709" s="98"/>
      <c r="U709" s="98"/>
      <c r="AD709" s="511"/>
      <c r="AF709" s="39"/>
      <c r="AG709" s="490"/>
      <c r="AH709" s="490"/>
    </row>
    <row r="710" spans="3:34" ht="19.5" customHeight="1">
      <c r="C710" s="449"/>
      <c r="D710" s="68"/>
      <c r="E710" s="68"/>
      <c r="G710" s="98"/>
      <c r="H710" s="68"/>
      <c r="I710" s="68"/>
      <c r="N710" s="398"/>
      <c r="R710" s="50"/>
      <c r="S710" s="47"/>
      <c r="T710" s="98"/>
      <c r="U710" s="98"/>
      <c r="AD710" s="511"/>
      <c r="AF710" s="39"/>
      <c r="AG710" s="490"/>
      <c r="AH710" s="490"/>
    </row>
    <row r="711" spans="3:34" ht="19.5" customHeight="1">
      <c r="C711" s="449"/>
      <c r="D711" s="68"/>
      <c r="E711" s="68"/>
      <c r="G711" s="98"/>
      <c r="H711" s="68"/>
      <c r="I711" s="68"/>
      <c r="N711" s="398"/>
      <c r="R711" s="50"/>
      <c r="S711" s="47"/>
      <c r="T711" s="98"/>
      <c r="U711" s="98"/>
      <c r="AD711" s="511"/>
      <c r="AF711" s="39"/>
      <c r="AG711" s="490"/>
      <c r="AH711" s="490"/>
    </row>
    <row r="712" spans="3:34" ht="19.5" customHeight="1">
      <c r="C712" s="449"/>
      <c r="D712" s="68"/>
      <c r="E712" s="68"/>
      <c r="G712" s="98"/>
      <c r="H712" s="68"/>
      <c r="I712" s="68"/>
      <c r="N712" s="398"/>
      <c r="R712" s="50"/>
      <c r="S712" s="47"/>
      <c r="T712" s="98"/>
      <c r="U712" s="98"/>
      <c r="AD712" s="511"/>
      <c r="AF712" s="39"/>
      <c r="AG712" s="490"/>
      <c r="AH712" s="490"/>
    </row>
    <row r="713" spans="3:34" ht="19.5" customHeight="1">
      <c r="C713" s="449"/>
      <c r="D713" s="68"/>
      <c r="E713" s="68"/>
      <c r="G713" s="98"/>
      <c r="H713" s="68"/>
      <c r="I713" s="68"/>
      <c r="N713" s="398"/>
      <c r="R713" s="50"/>
      <c r="S713" s="47"/>
      <c r="T713" s="98"/>
      <c r="U713" s="98"/>
      <c r="AD713" s="511"/>
      <c r="AF713" s="39"/>
      <c r="AG713" s="490"/>
      <c r="AH713" s="490"/>
    </row>
    <row r="714" spans="3:34" ht="19.5" customHeight="1">
      <c r="C714" s="449"/>
      <c r="D714" s="68"/>
      <c r="E714" s="68"/>
      <c r="G714" s="98"/>
      <c r="H714" s="68"/>
      <c r="I714" s="68"/>
      <c r="N714" s="398"/>
      <c r="R714" s="50"/>
      <c r="S714" s="47"/>
      <c r="T714" s="98"/>
      <c r="U714" s="98"/>
      <c r="AD714" s="511"/>
      <c r="AF714" s="39"/>
      <c r="AG714" s="490"/>
      <c r="AH714" s="490"/>
    </row>
    <row r="715" spans="3:34" ht="19.5" customHeight="1">
      <c r="C715" s="449"/>
      <c r="D715" s="68"/>
      <c r="E715" s="68"/>
      <c r="G715" s="98"/>
      <c r="H715" s="68"/>
      <c r="I715" s="68"/>
      <c r="N715" s="398"/>
      <c r="R715" s="50"/>
      <c r="S715" s="47"/>
      <c r="T715" s="98"/>
      <c r="U715" s="98"/>
      <c r="AD715" s="511"/>
      <c r="AF715" s="39"/>
      <c r="AG715" s="490"/>
      <c r="AH715" s="490"/>
    </row>
    <row r="716" spans="3:34" ht="19.5" customHeight="1">
      <c r="C716" s="449"/>
      <c r="D716" s="68"/>
      <c r="E716" s="68"/>
      <c r="G716" s="98"/>
      <c r="H716" s="68"/>
      <c r="I716" s="68"/>
      <c r="N716" s="398"/>
      <c r="R716" s="50"/>
      <c r="S716" s="47"/>
      <c r="T716" s="98"/>
      <c r="U716" s="98"/>
      <c r="AD716" s="511"/>
      <c r="AF716" s="39"/>
      <c r="AG716" s="490"/>
      <c r="AH716" s="490"/>
    </row>
    <row r="717" spans="3:34" ht="19.5" customHeight="1">
      <c r="C717" s="449"/>
      <c r="D717" s="68"/>
      <c r="E717" s="68"/>
      <c r="G717" s="98"/>
      <c r="H717" s="68"/>
      <c r="I717" s="68"/>
      <c r="N717" s="398"/>
      <c r="R717" s="50"/>
      <c r="S717" s="47"/>
      <c r="T717" s="98"/>
      <c r="U717" s="98"/>
      <c r="AD717" s="511"/>
      <c r="AF717" s="39"/>
      <c r="AG717" s="490"/>
      <c r="AH717" s="490"/>
    </row>
    <row r="718" spans="3:34" ht="19.5" customHeight="1">
      <c r="C718" s="449"/>
      <c r="D718" s="68"/>
      <c r="E718" s="68"/>
      <c r="G718" s="98"/>
      <c r="H718" s="68"/>
      <c r="I718" s="68"/>
      <c r="N718" s="398"/>
      <c r="R718" s="50"/>
      <c r="S718" s="47"/>
      <c r="T718" s="98"/>
      <c r="U718" s="98"/>
      <c r="AD718" s="511"/>
      <c r="AF718" s="39"/>
      <c r="AG718" s="490"/>
      <c r="AH718" s="490"/>
    </row>
    <row r="719" spans="3:34" ht="19.5" customHeight="1">
      <c r="C719" s="449"/>
      <c r="D719" s="68"/>
      <c r="E719" s="68"/>
      <c r="G719" s="98"/>
      <c r="H719" s="68"/>
      <c r="I719" s="68"/>
      <c r="N719" s="398"/>
      <c r="R719" s="50"/>
      <c r="S719" s="47"/>
      <c r="T719" s="98"/>
      <c r="U719" s="98"/>
      <c r="AD719" s="511"/>
      <c r="AF719" s="39"/>
      <c r="AG719" s="490"/>
      <c r="AH719" s="490"/>
    </row>
    <row r="720" spans="3:34" ht="19.5" customHeight="1">
      <c r="C720" s="449"/>
      <c r="D720" s="68"/>
      <c r="E720" s="68"/>
      <c r="G720" s="98"/>
      <c r="H720" s="68"/>
      <c r="I720" s="68"/>
      <c r="N720" s="398"/>
      <c r="R720" s="50"/>
      <c r="S720" s="47"/>
      <c r="T720" s="98"/>
      <c r="U720" s="98"/>
      <c r="AD720" s="511"/>
      <c r="AF720" s="39"/>
      <c r="AG720" s="490"/>
      <c r="AH720" s="490"/>
    </row>
    <row r="721" spans="3:34" ht="19.5" customHeight="1">
      <c r="C721" s="449"/>
      <c r="D721" s="68"/>
      <c r="E721" s="68"/>
      <c r="G721" s="98"/>
      <c r="H721" s="68"/>
      <c r="I721" s="68"/>
      <c r="N721" s="398"/>
      <c r="R721" s="50"/>
      <c r="S721" s="47"/>
      <c r="T721" s="98"/>
      <c r="U721" s="98"/>
      <c r="AD721" s="511"/>
      <c r="AF721" s="39"/>
      <c r="AG721" s="490"/>
      <c r="AH721" s="490"/>
    </row>
    <row r="722" spans="3:34" ht="19.5" customHeight="1">
      <c r="C722" s="449"/>
      <c r="D722" s="68"/>
      <c r="E722" s="68"/>
      <c r="G722" s="98"/>
      <c r="H722" s="68"/>
      <c r="I722" s="68"/>
      <c r="N722" s="398"/>
      <c r="R722" s="50"/>
      <c r="S722" s="47"/>
      <c r="T722" s="98"/>
      <c r="U722" s="98"/>
      <c r="AD722" s="511"/>
      <c r="AF722" s="39"/>
      <c r="AG722" s="490"/>
      <c r="AH722" s="490"/>
    </row>
    <row r="723" spans="3:34" ht="19.5" customHeight="1">
      <c r="C723" s="449"/>
      <c r="D723" s="68"/>
      <c r="E723" s="68"/>
      <c r="G723" s="98"/>
      <c r="H723" s="68"/>
      <c r="I723" s="68"/>
      <c r="N723" s="398"/>
      <c r="R723" s="50"/>
      <c r="S723" s="47"/>
      <c r="T723" s="98"/>
      <c r="U723" s="98"/>
      <c r="AD723" s="511"/>
      <c r="AF723" s="39"/>
      <c r="AG723" s="490"/>
      <c r="AH723" s="490"/>
    </row>
    <row r="724" spans="3:34" ht="19.5" customHeight="1">
      <c r="C724" s="449"/>
      <c r="D724" s="68"/>
      <c r="E724" s="68"/>
      <c r="G724" s="98"/>
      <c r="H724" s="68"/>
      <c r="I724" s="68"/>
      <c r="N724" s="398"/>
      <c r="R724" s="50"/>
      <c r="S724" s="47"/>
      <c r="T724" s="98"/>
      <c r="U724" s="98"/>
      <c r="AD724" s="511"/>
      <c r="AF724" s="39"/>
      <c r="AG724" s="490"/>
      <c r="AH724" s="490"/>
    </row>
    <row r="725" spans="3:34" ht="19.5" customHeight="1">
      <c r="C725" s="449"/>
      <c r="D725" s="68"/>
      <c r="E725" s="68"/>
      <c r="G725" s="98"/>
      <c r="H725" s="68"/>
      <c r="I725" s="68"/>
      <c r="N725" s="398"/>
      <c r="R725" s="50"/>
      <c r="S725" s="47"/>
      <c r="T725" s="98"/>
      <c r="U725" s="98"/>
      <c r="AD725" s="511"/>
      <c r="AF725" s="39"/>
      <c r="AG725" s="490"/>
      <c r="AH725" s="490"/>
    </row>
    <row r="726" spans="3:34" ht="19.5" customHeight="1">
      <c r="C726" s="449"/>
      <c r="D726" s="68"/>
      <c r="E726" s="68"/>
      <c r="G726" s="98"/>
      <c r="H726" s="68"/>
      <c r="I726" s="68"/>
      <c r="N726" s="398"/>
      <c r="R726" s="50"/>
      <c r="S726" s="47"/>
      <c r="T726" s="98"/>
      <c r="U726" s="98"/>
      <c r="AD726" s="511"/>
      <c r="AF726" s="39"/>
      <c r="AG726" s="490"/>
      <c r="AH726" s="490"/>
    </row>
    <row r="727" spans="3:34" ht="19.5" customHeight="1">
      <c r="C727" s="449"/>
      <c r="D727" s="68"/>
      <c r="E727" s="68"/>
      <c r="G727" s="98"/>
      <c r="H727" s="68"/>
      <c r="I727" s="68"/>
      <c r="N727" s="398"/>
      <c r="R727" s="50"/>
      <c r="S727" s="47"/>
      <c r="T727" s="98"/>
      <c r="U727" s="98"/>
      <c r="AD727" s="511"/>
      <c r="AF727" s="39"/>
      <c r="AG727" s="490"/>
      <c r="AH727" s="490"/>
    </row>
    <row r="728" spans="3:34" ht="19.5" customHeight="1">
      <c r="C728" s="449"/>
      <c r="D728" s="68"/>
      <c r="E728" s="68"/>
      <c r="G728" s="98"/>
      <c r="H728" s="68"/>
      <c r="I728" s="68"/>
      <c r="N728" s="398"/>
      <c r="R728" s="50"/>
      <c r="S728" s="47"/>
      <c r="T728" s="98"/>
      <c r="U728" s="98"/>
      <c r="AD728" s="511"/>
      <c r="AF728" s="39"/>
      <c r="AG728" s="490"/>
      <c r="AH728" s="490"/>
    </row>
    <row r="729" spans="3:34" ht="19.5" customHeight="1">
      <c r="C729" s="449"/>
      <c r="D729" s="68"/>
      <c r="E729" s="68"/>
      <c r="G729" s="98"/>
      <c r="H729" s="68"/>
      <c r="I729" s="68"/>
      <c r="N729" s="398"/>
      <c r="R729" s="50"/>
      <c r="S729" s="47"/>
      <c r="T729" s="98"/>
      <c r="U729" s="98"/>
      <c r="AD729" s="511"/>
      <c r="AF729" s="39"/>
      <c r="AG729" s="490"/>
      <c r="AH729" s="490"/>
    </row>
    <row r="730" spans="3:34" ht="19.5" customHeight="1">
      <c r="C730" s="449"/>
      <c r="D730" s="68"/>
      <c r="E730" s="68"/>
      <c r="G730" s="98"/>
      <c r="H730" s="68"/>
      <c r="I730" s="68"/>
      <c r="N730" s="398"/>
      <c r="R730" s="50"/>
      <c r="S730" s="47"/>
      <c r="T730" s="98"/>
      <c r="U730" s="98"/>
      <c r="AD730" s="511"/>
      <c r="AF730" s="39"/>
      <c r="AG730" s="490"/>
      <c r="AH730" s="490"/>
    </row>
    <row r="731" spans="3:34" ht="19.5" customHeight="1">
      <c r="C731" s="449"/>
      <c r="D731" s="68"/>
      <c r="E731" s="68"/>
      <c r="G731" s="98"/>
      <c r="H731" s="68"/>
      <c r="I731" s="68"/>
      <c r="N731" s="398"/>
      <c r="R731" s="50"/>
      <c r="S731" s="47"/>
      <c r="T731" s="98"/>
      <c r="U731" s="98"/>
      <c r="AD731" s="511"/>
      <c r="AF731" s="39"/>
      <c r="AG731" s="490"/>
      <c r="AH731" s="490"/>
    </row>
    <row r="732" spans="3:34" ht="19.5" customHeight="1">
      <c r="C732" s="449"/>
      <c r="D732" s="68"/>
      <c r="E732" s="68"/>
      <c r="G732" s="98"/>
      <c r="H732" s="68"/>
      <c r="I732" s="68"/>
      <c r="N732" s="398"/>
      <c r="R732" s="50"/>
      <c r="S732" s="47"/>
      <c r="T732" s="98"/>
      <c r="U732" s="98"/>
      <c r="AD732" s="511"/>
      <c r="AF732" s="39"/>
      <c r="AG732" s="490"/>
      <c r="AH732" s="490"/>
    </row>
    <row r="733" spans="3:34" ht="19.5" customHeight="1">
      <c r="C733" s="449"/>
      <c r="D733" s="68"/>
      <c r="E733" s="68"/>
      <c r="G733" s="98"/>
      <c r="H733" s="68"/>
      <c r="I733" s="68"/>
      <c r="N733" s="398"/>
      <c r="R733" s="50"/>
      <c r="S733" s="47"/>
      <c r="T733" s="98"/>
      <c r="U733" s="98"/>
      <c r="AD733" s="511"/>
      <c r="AF733" s="39"/>
      <c r="AG733" s="490"/>
      <c r="AH733" s="490"/>
    </row>
    <row r="734" spans="3:34" ht="19.5" customHeight="1">
      <c r="C734" s="449"/>
      <c r="D734" s="68"/>
      <c r="E734" s="68"/>
      <c r="G734" s="98"/>
      <c r="H734" s="68"/>
      <c r="I734" s="68"/>
      <c r="N734" s="398"/>
      <c r="R734" s="50"/>
      <c r="S734" s="47"/>
      <c r="T734" s="98"/>
      <c r="U734" s="98"/>
      <c r="AD734" s="511"/>
      <c r="AF734" s="39"/>
      <c r="AG734" s="490"/>
      <c r="AH734" s="490"/>
    </row>
    <row r="735" spans="3:34" ht="19.5" customHeight="1">
      <c r="C735" s="449"/>
      <c r="D735" s="68"/>
      <c r="E735" s="68"/>
      <c r="G735" s="98"/>
      <c r="H735" s="68"/>
      <c r="I735" s="68"/>
      <c r="N735" s="398"/>
      <c r="R735" s="50"/>
      <c r="S735" s="47"/>
      <c r="T735" s="98"/>
      <c r="U735" s="98"/>
      <c r="AD735" s="511"/>
      <c r="AF735" s="39"/>
      <c r="AG735" s="490"/>
      <c r="AH735" s="490"/>
    </row>
    <row r="736" spans="3:34" ht="19.5" customHeight="1">
      <c r="C736" s="449"/>
      <c r="D736" s="68"/>
      <c r="E736" s="68"/>
      <c r="G736" s="98"/>
      <c r="H736" s="68"/>
      <c r="I736" s="68"/>
      <c r="N736" s="398"/>
      <c r="R736" s="50"/>
      <c r="S736" s="47"/>
      <c r="T736" s="98"/>
      <c r="U736" s="98"/>
      <c r="AD736" s="511"/>
      <c r="AF736" s="39"/>
      <c r="AG736" s="490"/>
      <c r="AH736" s="490"/>
    </row>
    <row r="737" spans="3:34" ht="19.5" customHeight="1">
      <c r="C737" s="449"/>
      <c r="D737" s="68"/>
      <c r="E737" s="68"/>
      <c r="G737" s="98"/>
      <c r="H737" s="68"/>
      <c r="I737" s="68"/>
      <c r="N737" s="398"/>
      <c r="R737" s="50"/>
      <c r="S737" s="47"/>
      <c r="T737" s="98"/>
      <c r="U737" s="98"/>
      <c r="AD737" s="511"/>
      <c r="AF737" s="39"/>
      <c r="AG737" s="490"/>
      <c r="AH737" s="490"/>
    </row>
    <row r="738" spans="3:34" ht="19.5" customHeight="1">
      <c r="C738" s="449"/>
      <c r="D738" s="68"/>
      <c r="E738" s="68"/>
      <c r="G738" s="98"/>
      <c r="H738" s="68"/>
      <c r="I738" s="68"/>
      <c r="N738" s="398"/>
      <c r="R738" s="50"/>
      <c r="S738" s="47"/>
      <c r="T738" s="98"/>
      <c r="U738" s="98"/>
      <c r="AD738" s="511"/>
      <c r="AF738" s="39"/>
      <c r="AG738" s="490"/>
      <c r="AH738" s="490"/>
    </row>
    <row r="739" spans="3:34" ht="19.5" customHeight="1">
      <c r="C739" s="449"/>
      <c r="D739" s="68"/>
      <c r="E739" s="68"/>
      <c r="G739" s="98"/>
      <c r="H739" s="68"/>
      <c r="I739" s="68"/>
      <c r="N739" s="398"/>
      <c r="R739" s="50"/>
      <c r="S739" s="47"/>
      <c r="T739" s="98"/>
      <c r="U739" s="98"/>
      <c r="AD739" s="511"/>
      <c r="AF739" s="39"/>
      <c r="AG739" s="490"/>
      <c r="AH739" s="490"/>
    </row>
    <row r="740" spans="3:34" ht="19.5" customHeight="1">
      <c r="C740" s="449"/>
      <c r="D740" s="68"/>
      <c r="E740" s="68"/>
      <c r="G740" s="98"/>
      <c r="H740" s="68"/>
      <c r="I740" s="68"/>
      <c r="N740" s="398"/>
      <c r="R740" s="50"/>
      <c r="S740" s="47"/>
      <c r="T740" s="98"/>
      <c r="U740" s="98"/>
      <c r="AD740" s="511"/>
      <c r="AF740" s="39"/>
      <c r="AG740" s="490"/>
      <c r="AH740" s="490"/>
    </row>
    <row r="741" spans="3:34" ht="19.5" customHeight="1">
      <c r="C741" s="449"/>
      <c r="D741" s="68"/>
      <c r="E741" s="68"/>
      <c r="G741" s="98"/>
      <c r="H741" s="68"/>
      <c r="I741" s="68"/>
      <c r="N741" s="398"/>
      <c r="R741" s="50"/>
      <c r="S741" s="47"/>
      <c r="T741" s="98"/>
      <c r="U741" s="98"/>
      <c r="AD741" s="511"/>
      <c r="AF741" s="39"/>
      <c r="AG741" s="490"/>
      <c r="AH741" s="490"/>
    </row>
    <row r="742" spans="3:34" ht="19.5" customHeight="1">
      <c r="C742" s="449"/>
      <c r="D742" s="68"/>
      <c r="E742" s="68"/>
      <c r="G742" s="98"/>
      <c r="H742" s="68"/>
      <c r="I742" s="68"/>
      <c r="N742" s="398"/>
      <c r="R742" s="50"/>
      <c r="S742" s="47"/>
      <c r="T742" s="98"/>
      <c r="U742" s="98"/>
      <c r="AD742" s="511"/>
      <c r="AF742" s="39"/>
      <c r="AG742" s="490"/>
      <c r="AH742" s="490"/>
    </row>
    <row r="743" spans="3:34" ht="19.5" customHeight="1">
      <c r="C743" s="449"/>
      <c r="D743" s="68"/>
      <c r="E743" s="68"/>
      <c r="G743" s="98"/>
      <c r="H743" s="68"/>
      <c r="I743" s="68"/>
      <c r="N743" s="398"/>
      <c r="R743" s="50"/>
      <c r="S743" s="47"/>
      <c r="T743" s="98"/>
      <c r="U743" s="98"/>
      <c r="AD743" s="511"/>
      <c r="AF743" s="39"/>
      <c r="AG743" s="490"/>
      <c r="AH743" s="490"/>
    </row>
    <row r="744" spans="3:34" ht="19.5" customHeight="1">
      <c r="C744" s="449"/>
      <c r="D744" s="68"/>
      <c r="E744" s="68"/>
      <c r="G744" s="98"/>
      <c r="H744" s="68"/>
      <c r="I744" s="68"/>
      <c r="N744" s="398"/>
      <c r="R744" s="50"/>
      <c r="S744" s="47"/>
      <c r="T744" s="98"/>
      <c r="U744" s="98"/>
      <c r="AD744" s="511"/>
      <c r="AF744" s="39"/>
      <c r="AG744" s="490"/>
      <c r="AH744" s="490"/>
    </row>
    <row r="745" spans="3:34" ht="19.5" customHeight="1">
      <c r="C745" s="449"/>
      <c r="D745" s="68"/>
      <c r="E745" s="68"/>
      <c r="G745" s="98"/>
      <c r="H745" s="68"/>
      <c r="I745" s="68"/>
      <c r="N745" s="398"/>
      <c r="R745" s="50"/>
      <c r="S745" s="47"/>
      <c r="T745" s="98"/>
      <c r="U745" s="98"/>
      <c r="AD745" s="511"/>
      <c r="AF745" s="39"/>
      <c r="AG745" s="490"/>
      <c r="AH745" s="490"/>
    </row>
    <row r="746" spans="3:34" ht="19.5" customHeight="1">
      <c r="C746" s="449"/>
      <c r="D746" s="68"/>
      <c r="E746" s="68"/>
      <c r="G746" s="98"/>
      <c r="H746" s="68"/>
      <c r="I746" s="68"/>
      <c r="N746" s="398"/>
      <c r="R746" s="50"/>
      <c r="S746" s="47"/>
      <c r="T746" s="98"/>
      <c r="U746" s="98"/>
      <c r="AD746" s="511"/>
      <c r="AF746" s="39"/>
      <c r="AG746" s="490"/>
      <c r="AH746" s="490"/>
    </row>
    <row r="747" spans="3:34" ht="19.5" customHeight="1">
      <c r="C747" s="449"/>
      <c r="D747" s="68"/>
      <c r="E747" s="68"/>
      <c r="G747" s="98"/>
      <c r="H747" s="68"/>
      <c r="I747" s="68"/>
      <c r="N747" s="398"/>
      <c r="R747" s="50"/>
      <c r="S747" s="47"/>
      <c r="T747" s="98"/>
      <c r="U747" s="98"/>
      <c r="AD747" s="511"/>
      <c r="AF747" s="39"/>
      <c r="AG747" s="490"/>
      <c r="AH747" s="490"/>
    </row>
    <row r="748" spans="3:34" ht="19.5" customHeight="1">
      <c r="C748" s="449"/>
      <c r="D748" s="68"/>
      <c r="E748" s="68"/>
      <c r="G748" s="98"/>
      <c r="H748" s="68"/>
      <c r="I748" s="68"/>
      <c r="N748" s="398"/>
      <c r="R748" s="50"/>
      <c r="S748" s="47"/>
      <c r="T748" s="98"/>
      <c r="U748" s="98"/>
      <c r="AD748" s="511"/>
      <c r="AF748" s="39"/>
      <c r="AG748" s="490"/>
      <c r="AH748" s="490"/>
    </row>
    <row r="749" spans="3:34" ht="19.5" customHeight="1">
      <c r="C749" s="449"/>
      <c r="D749" s="68"/>
      <c r="E749" s="68"/>
      <c r="G749" s="98"/>
      <c r="H749" s="68"/>
      <c r="I749" s="68"/>
      <c r="N749" s="398"/>
      <c r="R749" s="50"/>
      <c r="S749" s="47"/>
      <c r="T749" s="98"/>
      <c r="U749" s="98"/>
      <c r="AD749" s="511"/>
      <c r="AF749" s="39"/>
      <c r="AG749" s="490"/>
      <c r="AH749" s="490"/>
    </row>
    <row r="750" spans="3:34" ht="19.5" customHeight="1">
      <c r="C750" s="449"/>
      <c r="D750" s="68"/>
      <c r="E750" s="68"/>
      <c r="G750" s="98"/>
      <c r="H750" s="68"/>
      <c r="I750" s="68"/>
      <c r="N750" s="398"/>
      <c r="R750" s="50"/>
      <c r="S750" s="47"/>
      <c r="T750" s="98"/>
      <c r="U750" s="98"/>
      <c r="AD750" s="511"/>
      <c r="AF750" s="39"/>
      <c r="AG750" s="490"/>
      <c r="AH750" s="490"/>
    </row>
    <row r="751" spans="3:34" ht="19.5" customHeight="1">
      <c r="C751" s="449"/>
      <c r="D751" s="68"/>
      <c r="E751" s="68"/>
      <c r="G751" s="98"/>
      <c r="H751" s="68"/>
      <c r="I751" s="68"/>
      <c r="N751" s="398"/>
      <c r="R751" s="50"/>
      <c r="S751" s="47"/>
      <c r="T751" s="98"/>
      <c r="U751" s="98"/>
      <c r="AD751" s="511"/>
      <c r="AF751" s="39"/>
      <c r="AG751" s="490"/>
      <c r="AH751" s="490"/>
    </row>
    <row r="752" spans="3:34" ht="19.5" customHeight="1">
      <c r="C752" s="449"/>
      <c r="D752" s="68"/>
      <c r="E752" s="68"/>
      <c r="G752" s="98"/>
      <c r="H752" s="68"/>
      <c r="I752" s="68"/>
      <c r="N752" s="398"/>
      <c r="R752" s="50"/>
      <c r="S752" s="47"/>
      <c r="T752" s="98"/>
      <c r="U752" s="98"/>
      <c r="AD752" s="511"/>
      <c r="AF752" s="39"/>
      <c r="AG752" s="490"/>
      <c r="AH752" s="490"/>
    </row>
    <row r="753" spans="3:34" ht="19.5" customHeight="1">
      <c r="C753" s="449"/>
      <c r="D753" s="68"/>
      <c r="E753" s="68"/>
      <c r="G753" s="98"/>
      <c r="H753" s="68"/>
      <c r="I753" s="68"/>
      <c r="N753" s="398"/>
      <c r="R753" s="50"/>
      <c r="S753" s="47"/>
      <c r="T753" s="98"/>
      <c r="U753" s="98"/>
      <c r="AD753" s="511"/>
      <c r="AF753" s="39"/>
      <c r="AG753" s="490"/>
      <c r="AH753" s="490"/>
    </row>
    <row r="754" spans="3:34" ht="19.5" customHeight="1">
      <c r="C754" s="449"/>
      <c r="D754" s="68"/>
      <c r="E754" s="68"/>
      <c r="G754" s="98"/>
      <c r="H754" s="68"/>
      <c r="I754" s="68"/>
      <c r="N754" s="398"/>
      <c r="R754" s="50"/>
      <c r="S754" s="47"/>
      <c r="T754" s="98"/>
      <c r="U754" s="98"/>
      <c r="AD754" s="511"/>
      <c r="AF754" s="39"/>
      <c r="AG754" s="490"/>
      <c r="AH754" s="490"/>
    </row>
    <row r="755" spans="3:34" ht="19.5" customHeight="1">
      <c r="C755" s="449"/>
      <c r="D755" s="68"/>
      <c r="E755" s="68"/>
      <c r="G755" s="98"/>
      <c r="H755" s="68"/>
      <c r="I755" s="68"/>
      <c r="N755" s="398"/>
      <c r="R755" s="50"/>
      <c r="S755" s="47"/>
      <c r="T755" s="98"/>
      <c r="U755" s="98"/>
      <c r="AD755" s="511"/>
      <c r="AF755" s="39"/>
      <c r="AG755" s="490"/>
      <c r="AH755" s="490"/>
    </row>
    <row r="756" spans="3:34" ht="19.5" customHeight="1">
      <c r="C756" s="449"/>
      <c r="D756" s="68"/>
      <c r="E756" s="68"/>
      <c r="G756" s="98"/>
      <c r="H756" s="68"/>
      <c r="I756" s="68"/>
      <c r="N756" s="398"/>
      <c r="R756" s="50"/>
      <c r="S756" s="47"/>
      <c r="T756" s="98"/>
      <c r="U756" s="98"/>
      <c r="AD756" s="511"/>
      <c r="AF756" s="39"/>
      <c r="AG756" s="490"/>
      <c r="AH756" s="490"/>
    </row>
    <row r="757" spans="3:34" ht="19.5" customHeight="1">
      <c r="C757" s="449"/>
      <c r="D757" s="68"/>
      <c r="E757" s="68"/>
      <c r="G757" s="98"/>
      <c r="H757" s="68"/>
      <c r="I757" s="68"/>
      <c r="N757" s="398"/>
      <c r="R757" s="50"/>
      <c r="S757" s="47"/>
      <c r="T757" s="98"/>
      <c r="U757" s="98"/>
      <c r="AD757" s="511"/>
      <c r="AF757" s="39"/>
      <c r="AG757" s="490"/>
      <c r="AH757" s="490"/>
    </row>
    <row r="758" spans="3:34" ht="19.5" customHeight="1">
      <c r="C758" s="449"/>
      <c r="D758" s="68"/>
      <c r="E758" s="68"/>
      <c r="G758" s="98"/>
      <c r="H758" s="68"/>
      <c r="I758" s="68"/>
      <c r="N758" s="398"/>
      <c r="R758" s="50"/>
      <c r="S758" s="47"/>
      <c r="T758" s="98"/>
      <c r="U758" s="98"/>
      <c r="AD758" s="511"/>
      <c r="AF758" s="39"/>
      <c r="AG758" s="490"/>
      <c r="AH758" s="490"/>
    </row>
    <row r="759" spans="3:34" ht="19.5" customHeight="1">
      <c r="C759" s="449"/>
      <c r="D759" s="68"/>
      <c r="E759" s="68"/>
      <c r="G759" s="98"/>
      <c r="H759" s="68"/>
      <c r="I759" s="68"/>
      <c r="N759" s="398"/>
      <c r="R759" s="50"/>
      <c r="S759" s="47"/>
      <c r="T759" s="98"/>
      <c r="U759" s="98"/>
      <c r="AD759" s="511"/>
      <c r="AF759" s="39"/>
      <c r="AG759" s="490"/>
      <c r="AH759" s="490"/>
    </row>
    <row r="760" spans="3:34" ht="19.5" customHeight="1">
      <c r="C760" s="449"/>
      <c r="D760" s="68"/>
      <c r="E760" s="68"/>
      <c r="G760" s="98"/>
      <c r="H760" s="68"/>
      <c r="I760" s="68"/>
      <c r="N760" s="398"/>
      <c r="R760" s="50"/>
      <c r="S760" s="47"/>
      <c r="T760" s="98"/>
      <c r="U760" s="98"/>
      <c r="AD760" s="511"/>
      <c r="AF760" s="39"/>
      <c r="AG760" s="490"/>
      <c r="AH760" s="490"/>
    </row>
    <row r="761" spans="3:34" ht="19.5" customHeight="1">
      <c r="C761" s="449"/>
      <c r="D761" s="68"/>
      <c r="E761" s="68"/>
      <c r="G761" s="98"/>
      <c r="H761" s="68"/>
      <c r="I761" s="68"/>
      <c r="N761" s="398"/>
      <c r="R761" s="50"/>
      <c r="S761" s="47"/>
      <c r="T761" s="98"/>
      <c r="U761" s="98"/>
      <c r="AD761" s="511"/>
      <c r="AF761" s="39"/>
      <c r="AG761" s="490"/>
      <c r="AH761" s="490"/>
    </row>
    <row r="762" spans="3:34" ht="19.5" customHeight="1">
      <c r="C762" s="449"/>
      <c r="D762" s="68"/>
      <c r="E762" s="68"/>
      <c r="G762" s="98"/>
      <c r="H762" s="68"/>
      <c r="I762" s="68"/>
      <c r="N762" s="398"/>
      <c r="R762" s="50"/>
      <c r="S762" s="47"/>
      <c r="T762" s="98"/>
      <c r="U762" s="98"/>
      <c r="AD762" s="511"/>
      <c r="AF762" s="39"/>
      <c r="AG762" s="490"/>
      <c r="AH762" s="490"/>
    </row>
    <row r="763" spans="3:34" ht="19.5" customHeight="1">
      <c r="C763" s="449"/>
      <c r="D763" s="68"/>
      <c r="E763" s="68"/>
      <c r="G763" s="98"/>
      <c r="H763" s="68"/>
      <c r="I763" s="68"/>
      <c r="N763" s="398"/>
      <c r="R763" s="50"/>
      <c r="S763" s="47"/>
      <c r="T763" s="98"/>
      <c r="U763" s="98"/>
      <c r="AD763" s="511"/>
      <c r="AF763" s="39"/>
      <c r="AG763" s="490"/>
      <c r="AH763" s="490"/>
    </row>
    <row r="764" spans="3:34" ht="19.5" customHeight="1">
      <c r="C764" s="449"/>
      <c r="D764" s="68"/>
      <c r="E764" s="68"/>
      <c r="G764" s="98"/>
      <c r="H764" s="68"/>
      <c r="I764" s="68"/>
      <c r="N764" s="398"/>
      <c r="R764" s="50"/>
      <c r="S764" s="47"/>
      <c r="T764" s="98"/>
      <c r="U764" s="98"/>
      <c r="AD764" s="511"/>
      <c r="AF764" s="39"/>
      <c r="AG764" s="490"/>
      <c r="AH764" s="490"/>
    </row>
    <row r="765" spans="3:34" ht="19.5" customHeight="1">
      <c r="C765" s="449"/>
      <c r="D765" s="68"/>
      <c r="E765" s="68"/>
      <c r="G765" s="98"/>
      <c r="H765" s="68"/>
      <c r="I765" s="68"/>
      <c r="N765" s="398"/>
      <c r="R765" s="50"/>
      <c r="S765" s="47"/>
      <c r="T765" s="98"/>
      <c r="U765" s="98"/>
      <c r="AD765" s="511"/>
      <c r="AF765" s="39"/>
      <c r="AG765" s="490"/>
      <c r="AH765" s="490"/>
    </row>
    <row r="766" spans="3:34" ht="19.5" customHeight="1">
      <c r="C766" s="449"/>
      <c r="D766" s="68"/>
      <c r="E766" s="68"/>
      <c r="G766" s="98"/>
      <c r="H766" s="68"/>
      <c r="I766" s="68"/>
      <c r="N766" s="398"/>
      <c r="R766" s="50"/>
      <c r="S766" s="47"/>
      <c r="T766" s="98"/>
      <c r="U766" s="98"/>
      <c r="AD766" s="511"/>
      <c r="AF766" s="39"/>
      <c r="AG766" s="490"/>
      <c r="AH766" s="490"/>
    </row>
    <row r="767" spans="3:34" ht="19.5" customHeight="1">
      <c r="C767" s="449"/>
      <c r="D767" s="68"/>
      <c r="E767" s="68"/>
      <c r="G767" s="98"/>
      <c r="H767" s="68"/>
      <c r="I767" s="68"/>
      <c r="N767" s="398"/>
      <c r="R767" s="50"/>
      <c r="S767" s="47"/>
      <c r="T767" s="98"/>
      <c r="U767" s="98"/>
      <c r="AD767" s="511"/>
      <c r="AF767" s="39"/>
      <c r="AG767" s="490"/>
      <c r="AH767" s="490"/>
    </row>
    <row r="768" spans="3:34" ht="19.5" customHeight="1">
      <c r="C768" s="449"/>
      <c r="D768" s="68"/>
      <c r="E768" s="68"/>
      <c r="G768" s="98"/>
      <c r="H768" s="68"/>
      <c r="I768" s="68"/>
      <c r="N768" s="398"/>
      <c r="R768" s="50"/>
      <c r="S768" s="47"/>
      <c r="T768" s="98"/>
      <c r="U768" s="98"/>
      <c r="AD768" s="511"/>
      <c r="AF768" s="39"/>
      <c r="AG768" s="490"/>
      <c r="AH768" s="490"/>
    </row>
    <row r="769" spans="3:34" ht="19.5" customHeight="1">
      <c r="C769" s="449"/>
      <c r="D769" s="68"/>
      <c r="E769" s="68"/>
      <c r="G769" s="98"/>
      <c r="H769" s="68"/>
      <c r="I769" s="68"/>
      <c r="N769" s="398"/>
      <c r="R769" s="50"/>
      <c r="S769" s="47"/>
      <c r="T769" s="98"/>
      <c r="U769" s="98"/>
      <c r="AD769" s="511"/>
      <c r="AF769" s="39"/>
      <c r="AG769" s="490"/>
      <c r="AH769" s="490"/>
    </row>
    <row r="770" spans="3:34" ht="19.5" customHeight="1">
      <c r="C770" s="449"/>
      <c r="D770" s="68"/>
      <c r="E770" s="68"/>
      <c r="G770" s="98"/>
      <c r="H770" s="68"/>
      <c r="I770" s="68"/>
      <c r="N770" s="398"/>
      <c r="R770" s="50"/>
      <c r="S770" s="47"/>
      <c r="T770" s="98"/>
      <c r="U770" s="98"/>
      <c r="AD770" s="511"/>
      <c r="AF770" s="39"/>
      <c r="AG770" s="490"/>
      <c r="AH770" s="490"/>
    </row>
    <row r="771" spans="3:34" ht="19.5" customHeight="1">
      <c r="C771" s="449"/>
      <c r="D771" s="68"/>
      <c r="E771" s="68"/>
      <c r="G771" s="98"/>
      <c r="H771" s="68"/>
      <c r="I771" s="68"/>
      <c r="N771" s="398"/>
      <c r="R771" s="50"/>
      <c r="S771" s="47"/>
      <c r="T771" s="98"/>
      <c r="U771" s="98"/>
      <c r="AD771" s="511"/>
      <c r="AF771" s="39"/>
      <c r="AG771" s="490"/>
      <c r="AH771" s="490"/>
    </row>
    <row r="772" spans="3:34" ht="19.5" customHeight="1">
      <c r="C772" s="449"/>
      <c r="D772" s="68"/>
      <c r="E772" s="68"/>
      <c r="G772" s="98"/>
      <c r="H772" s="68"/>
      <c r="I772" s="68"/>
      <c r="N772" s="398"/>
      <c r="R772" s="50"/>
      <c r="S772" s="47"/>
      <c r="T772" s="98"/>
      <c r="U772" s="98"/>
      <c r="AD772" s="511"/>
      <c r="AF772" s="39"/>
      <c r="AG772" s="490"/>
      <c r="AH772" s="490"/>
    </row>
    <row r="773" spans="3:34" ht="19.5" customHeight="1">
      <c r="C773" s="449"/>
      <c r="D773" s="68"/>
      <c r="E773" s="68"/>
      <c r="G773" s="98"/>
      <c r="H773" s="68"/>
      <c r="I773" s="68"/>
      <c r="N773" s="398"/>
      <c r="R773" s="50"/>
      <c r="S773" s="47"/>
      <c r="T773" s="98"/>
      <c r="U773" s="98"/>
      <c r="AD773" s="511"/>
      <c r="AF773" s="39"/>
      <c r="AG773" s="490"/>
      <c r="AH773" s="490"/>
    </row>
    <row r="774" spans="3:34" ht="19.5" customHeight="1">
      <c r="C774" s="449"/>
      <c r="D774" s="68"/>
      <c r="E774" s="68"/>
      <c r="G774" s="98"/>
      <c r="H774" s="68"/>
      <c r="I774" s="68"/>
      <c r="N774" s="398"/>
      <c r="R774" s="50"/>
      <c r="S774" s="47"/>
      <c r="T774" s="98"/>
      <c r="U774" s="98"/>
      <c r="AD774" s="511"/>
      <c r="AF774" s="39"/>
      <c r="AG774" s="490"/>
      <c r="AH774" s="490"/>
    </row>
    <row r="775" spans="3:34" ht="19.5" customHeight="1">
      <c r="C775" s="449"/>
      <c r="D775" s="68"/>
      <c r="E775" s="68"/>
      <c r="G775" s="98"/>
      <c r="H775" s="68"/>
      <c r="I775" s="68"/>
      <c r="N775" s="398"/>
      <c r="R775" s="50"/>
      <c r="S775" s="47"/>
      <c r="T775" s="98"/>
      <c r="U775" s="98"/>
      <c r="AD775" s="511"/>
      <c r="AF775" s="39"/>
      <c r="AG775" s="490"/>
      <c r="AH775" s="490"/>
    </row>
    <row r="776" spans="3:34" ht="19.5" customHeight="1">
      <c r="C776" s="449"/>
      <c r="D776" s="68"/>
      <c r="E776" s="68"/>
      <c r="G776" s="98"/>
      <c r="H776" s="68"/>
      <c r="I776" s="68"/>
      <c r="N776" s="398"/>
      <c r="R776" s="50"/>
      <c r="S776" s="47"/>
      <c r="T776" s="98"/>
      <c r="U776" s="98"/>
      <c r="AD776" s="511"/>
      <c r="AF776" s="39"/>
      <c r="AG776" s="490"/>
      <c r="AH776" s="490"/>
    </row>
    <row r="777" spans="3:34" ht="19.5" customHeight="1">
      <c r="C777" s="449"/>
      <c r="D777" s="68"/>
      <c r="E777" s="68"/>
      <c r="G777" s="98"/>
      <c r="H777" s="68"/>
      <c r="I777" s="68"/>
      <c r="N777" s="398"/>
      <c r="R777" s="50"/>
      <c r="S777" s="47"/>
      <c r="T777" s="98"/>
      <c r="U777" s="98"/>
      <c r="AD777" s="511"/>
      <c r="AF777" s="39"/>
      <c r="AG777" s="490"/>
      <c r="AH777" s="490"/>
    </row>
    <row r="778" spans="3:34" ht="19.5" customHeight="1">
      <c r="C778" s="449"/>
      <c r="D778" s="68"/>
      <c r="E778" s="68"/>
      <c r="G778" s="98"/>
      <c r="H778" s="68"/>
      <c r="I778" s="68"/>
      <c r="N778" s="398"/>
      <c r="R778" s="50"/>
      <c r="S778" s="47"/>
      <c r="T778" s="98"/>
      <c r="U778" s="98"/>
      <c r="AD778" s="511"/>
      <c r="AF778" s="39"/>
      <c r="AG778" s="490"/>
      <c r="AH778" s="490"/>
    </row>
    <row r="779" spans="3:34" ht="19.5" customHeight="1">
      <c r="C779" s="449"/>
      <c r="D779" s="68"/>
      <c r="E779" s="68"/>
      <c r="G779" s="98"/>
      <c r="H779" s="68"/>
      <c r="I779" s="68"/>
      <c r="N779" s="398"/>
      <c r="R779" s="50"/>
      <c r="S779" s="47"/>
      <c r="T779" s="98"/>
      <c r="U779" s="98"/>
      <c r="AD779" s="511"/>
      <c r="AF779" s="39"/>
      <c r="AG779" s="490"/>
      <c r="AH779" s="490"/>
    </row>
    <row r="780" spans="3:34" ht="19.5" customHeight="1">
      <c r="C780" s="449"/>
      <c r="D780" s="68"/>
      <c r="E780" s="68"/>
      <c r="G780" s="98"/>
      <c r="H780" s="68"/>
      <c r="I780" s="68"/>
      <c r="N780" s="398"/>
      <c r="R780" s="50"/>
      <c r="S780" s="47"/>
      <c r="T780" s="98"/>
      <c r="U780" s="98"/>
      <c r="AD780" s="511"/>
      <c r="AF780" s="39"/>
      <c r="AG780" s="490"/>
      <c r="AH780" s="490"/>
    </row>
    <row r="781" spans="3:34" ht="19.5" customHeight="1">
      <c r="C781" s="449"/>
      <c r="D781" s="68"/>
      <c r="E781" s="68"/>
      <c r="G781" s="98"/>
      <c r="H781" s="68"/>
      <c r="I781" s="68"/>
      <c r="N781" s="398"/>
      <c r="R781" s="50"/>
      <c r="S781" s="47"/>
      <c r="T781" s="98"/>
      <c r="U781" s="98"/>
      <c r="AD781" s="511"/>
      <c r="AF781" s="39"/>
      <c r="AG781" s="490"/>
      <c r="AH781" s="490"/>
    </row>
    <row r="782" spans="3:34" ht="19.5" customHeight="1">
      <c r="C782" s="449"/>
      <c r="D782" s="68"/>
      <c r="E782" s="68"/>
      <c r="G782" s="98"/>
      <c r="H782" s="68"/>
      <c r="I782" s="68"/>
      <c r="N782" s="398"/>
      <c r="R782" s="50"/>
      <c r="S782" s="47"/>
      <c r="T782" s="98"/>
      <c r="U782" s="98"/>
      <c r="AD782" s="511"/>
      <c r="AF782" s="39"/>
      <c r="AG782" s="490"/>
      <c r="AH782" s="490"/>
    </row>
    <row r="783" spans="3:34" ht="19.5" customHeight="1">
      <c r="C783" s="449"/>
      <c r="D783" s="68"/>
      <c r="E783" s="68"/>
      <c r="G783" s="98"/>
      <c r="H783" s="68"/>
      <c r="I783" s="68"/>
      <c r="N783" s="398"/>
      <c r="R783" s="50"/>
      <c r="S783" s="47"/>
      <c r="T783" s="98"/>
      <c r="U783" s="98"/>
      <c r="AD783" s="511"/>
      <c r="AF783" s="39"/>
      <c r="AG783" s="490"/>
      <c r="AH783" s="490"/>
    </row>
    <row r="784" spans="3:34" ht="19.5" customHeight="1">
      <c r="C784" s="449"/>
      <c r="D784" s="68"/>
      <c r="E784" s="68"/>
      <c r="G784" s="98"/>
      <c r="H784" s="68"/>
      <c r="I784" s="68"/>
      <c r="N784" s="398"/>
      <c r="R784" s="50"/>
      <c r="S784" s="47"/>
      <c r="T784" s="98"/>
      <c r="U784" s="98"/>
      <c r="AD784" s="511"/>
      <c r="AF784" s="39"/>
      <c r="AG784" s="490"/>
      <c r="AH784" s="490"/>
    </row>
    <row r="785" spans="3:34" ht="19.5" customHeight="1">
      <c r="C785" s="449"/>
      <c r="D785" s="68"/>
      <c r="E785" s="68"/>
      <c r="G785" s="98"/>
      <c r="H785" s="68"/>
      <c r="I785" s="68"/>
      <c r="N785" s="398"/>
      <c r="R785" s="50"/>
      <c r="S785" s="47"/>
      <c r="T785" s="98"/>
      <c r="U785" s="98"/>
      <c r="AD785" s="511"/>
      <c r="AF785" s="39"/>
      <c r="AG785" s="490"/>
      <c r="AH785" s="490"/>
    </row>
    <row r="786" spans="3:34" ht="19.5" customHeight="1">
      <c r="C786" s="449"/>
      <c r="D786" s="68"/>
      <c r="E786" s="68"/>
      <c r="G786" s="98"/>
      <c r="H786" s="68"/>
      <c r="I786" s="68"/>
      <c r="N786" s="398"/>
      <c r="R786" s="50"/>
      <c r="S786" s="47"/>
      <c r="T786" s="98"/>
      <c r="U786" s="98"/>
      <c r="AD786" s="511"/>
      <c r="AF786" s="39"/>
      <c r="AG786" s="490"/>
      <c r="AH786" s="490"/>
    </row>
    <row r="787" spans="3:34" ht="19.5" customHeight="1">
      <c r="C787" s="449"/>
      <c r="D787" s="68"/>
      <c r="E787" s="68"/>
      <c r="G787" s="98"/>
      <c r="H787" s="68"/>
      <c r="I787" s="68"/>
      <c r="N787" s="398"/>
      <c r="R787" s="50"/>
      <c r="S787" s="47"/>
      <c r="T787" s="98"/>
      <c r="U787" s="98"/>
      <c r="AD787" s="511"/>
      <c r="AF787" s="39"/>
      <c r="AG787" s="490"/>
      <c r="AH787" s="490"/>
    </row>
    <row r="788" spans="3:34" ht="19.5" customHeight="1">
      <c r="C788" s="449"/>
      <c r="D788" s="68"/>
      <c r="E788" s="68"/>
      <c r="G788" s="98"/>
      <c r="H788" s="68"/>
      <c r="I788" s="68"/>
      <c r="N788" s="398"/>
      <c r="R788" s="50"/>
      <c r="S788" s="47"/>
      <c r="T788" s="98"/>
      <c r="U788" s="98"/>
      <c r="AD788" s="511"/>
      <c r="AF788" s="39"/>
      <c r="AG788" s="490"/>
      <c r="AH788" s="490"/>
    </row>
    <row r="789" spans="3:34" ht="19.5" customHeight="1">
      <c r="C789" s="449"/>
      <c r="D789" s="68"/>
      <c r="E789" s="68"/>
      <c r="G789" s="98"/>
      <c r="H789" s="68"/>
      <c r="I789" s="68"/>
      <c r="N789" s="398"/>
      <c r="R789" s="50"/>
      <c r="S789" s="47"/>
      <c r="T789" s="98"/>
      <c r="U789" s="98"/>
      <c r="AD789" s="511"/>
      <c r="AF789" s="39"/>
      <c r="AG789" s="490"/>
      <c r="AH789" s="490"/>
    </row>
    <row r="790" spans="3:34" ht="19.5" customHeight="1">
      <c r="C790" s="449"/>
      <c r="D790" s="68"/>
      <c r="E790" s="68"/>
      <c r="G790" s="98"/>
      <c r="H790" s="68"/>
      <c r="I790" s="68"/>
      <c r="N790" s="398"/>
      <c r="R790" s="50"/>
      <c r="S790" s="47"/>
      <c r="T790" s="98"/>
      <c r="U790" s="98"/>
      <c r="AD790" s="511"/>
      <c r="AF790" s="39"/>
      <c r="AG790" s="490"/>
      <c r="AH790" s="490"/>
    </row>
    <row r="791" spans="3:34" ht="19.5" customHeight="1">
      <c r="C791" s="449"/>
      <c r="D791" s="68"/>
      <c r="E791" s="68"/>
      <c r="G791" s="98"/>
      <c r="H791" s="68"/>
      <c r="I791" s="68"/>
      <c r="N791" s="398"/>
      <c r="R791" s="50"/>
      <c r="S791" s="47"/>
      <c r="T791" s="98"/>
      <c r="U791" s="98"/>
      <c r="AD791" s="511"/>
      <c r="AF791" s="39"/>
      <c r="AG791" s="490"/>
      <c r="AH791" s="490"/>
    </row>
    <row r="792" spans="3:34" ht="19.5" customHeight="1">
      <c r="C792" s="449"/>
      <c r="D792" s="68"/>
      <c r="E792" s="68"/>
      <c r="G792" s="98"/>
      <c r="H792" s="68"/>
      <c r="I792" s="68"/>
      <c r="N792" s="398"/>
      <c r="R792" s="50"/>
      <c r="S792" s="47"/>
      <c r="T792" s="98"/>
      <c r="U792" s="98"/>
      <c r="AD792" s="511"/>
      <c r="AF792" s="39"/>
      <c r="AG792" s="490"/>
      <c r="AH792" s="490"/>
    </row>
    <row r="793" spans="3:34" ht="19.5" customHeight="1">
      <c r="C793" s="449"/>
      <c r="D793" s="68"/>
      <c r="E793" s="68"/>
      <c r="G793" s="98"/>
      <c r="H793" s="68"/>
      <c r="I793" s="68"/>
      <c r="N793" s="398"/>
      <c r="R793" s="50"/>
      <c r="S793" s="47"/>
      <c r="T793" s="98"/>
      <c r="U793" s="98"/>
      <c r="AF793" s="39"/>
      <c r="AG793" s="490"/>
      <c r="AH793" s="490"/>
    </row>
    <row r="794" spans="3:34" ht="19.5" customHeight="1">
      <c r="C794" s="449"/>
      <c r="D794" s="68"/>
      <c r="E794" s="68"/>
      <c r="G794" s="98"/>
      <c r="H794" s="68"/>
      <c r="I794" s="68"/>
      <c r="N794" s="398"/>
      <c r="R794" s="50"/>
      <c r="S794" s="47"/>
      <c r="T794" s="98"/>
      <c r="U794" s="98"/>
      <c r="AF794" s="39"/>
      <c r="AG794" s="490"/>
      <c r="AH794" s="490"/>
    </row>
    <row r="795" spans="3:34" ht="19.5" customHeight="1">
      <c r="C795" s="449"/>
      <c r="D795" s="68"/>
      <c r="E795" s="68"/>
      <c r="G795" s="98"/>
      <c r="H795" s="68"/>
      <c r="I795" s="68"/>
      <c r="N795" s="398"/>
      <c r="R795" s="50"/>
      <c r="S795" s="47"/>
      <c r="T795" s="98"/>
      <c r="U795" s="98"/>
      <c r="AF795" s="39"/>
      <c r="AG795" s="490"/>
      <c r="AH795" s="490"/>
    </row>
    <row r="796" spans="3:34" ht="19.5" customHeight="1">
      <c r="C796" s="449"/>
      <c r="D796" s="68"/>
      <c r="E796" s="68"/>
      <c r="G796" s="98"/>
      <c r="H796" s="68"/>
      <c r="I796" s="68"/>
      <c r="N796" s="398"/>
      <c r="R796" s="50"/>
      <c r="S796" s="47"/>
      <c r="T796" s="98"/>
      <c r="U796" s="98"/>
      <c r="AF796" s="39"/>
      <c r="AG796" s="490"/>
      <c r="AH796" s="490"/>
    </row>
    <row r="797" spans="3:34" ht="19.5" customHeight="1">
      <c r="C797" s="449"/>
      <c r="D797" s="68"/>
      <c r="E797" s="68"/>
      <c r="G797" s="98"/>
      <c r="H797" s="68"/>
      <c r="I797" s="68"/>
      <c r="N797" s="398"/>
      <c r="R797" s="50"/>
      <c r="S797" s="47"/>
      <c r="T797" s="98"/>
      <c r="U797" s="98"/>
      <c r="AF797" s="39"/>
      <c r="AG797" s="490"/>
      <c r="AH797" s="490"/>
    </row>
    <row r="798" spans="3:34" ht="19.5" customHeight="1">
      <c r="C798" s="449"/>
      <c r="D798" s="68"/>
      <c r="E798" s="68"/>
      <c r="G798" s="98"/>
      <c r="H798" s="68"/>
      <c r="I798" s="68"/>
      <c r="N798" s="398"/>
      <c r="R798" s="50"/>
      <c r="S798" s="47"/>
      <c r="T798" s="98"/>
      <c r="U798" s="98"/>
      <c r="AF798" s="39"/>
      <c r="AG798" s="490"/>
      <c r="AH798" s="490"/>
    </row>
    <row r="799" spans="3:34" ht="19.5" customHeight="1">
      <c r="C799" s="449"/>
      <c r="D799" s="68"/>
      <c r="E799" s="68"/>
      <c r="G799" s="98"/>
      <c r="H799" s="68"/>
      <c r="I799" s="68"/>
      <c r="N799" s="398"/>
      <c r="R799" s="50"/>
      <c r="S799" s="47"/>
      <c r="T799" s="98"/>
      <c r="U799" s="98"/>
      <c r="AF799" s="39"/>
      <c r="AG799" s="490"/>
      <c r="AH799" s="490"/>
    </row>
    <row r="800" spans="3:34" ht="19.5" customHeight="1">
      <c r="C800" s="449"/>
      <c r="D800" s="68"/>
      <c r="E800" s="68"/>
      <c r="G800" s="98"/>
      <c r="H800" s="68"/>
      <c r="I800" s="68"/>
      <c r="N800" s="398"/>
      <c r="R800" s="50"/>
      <c r="S800" s="47"/>
      <c r="T800" s="98"/>
      <c r="U800" s="98"/>
      <c r="AF800" s="39"/>
      <c r="AG800" s="490"/>
      <c r="AH800" s="490"/>
    </row>
    <row r="801" spans="3:34" ht="19.5" customHeight="1">
      <c r="C801" s="449"/>
      <c r="D801" s="68"/>
      <c r="E801" s="68"/>
      <c r="G801" s="98"/>
      <c r="H801" s="68"/>
      <c r="I801" s="68"/>
      <c r="N801" s="398"/>
      <c r="R801" s="50"/>
      <c r="S801" s="47"/>
      <c r="T801" s="98"/>
      <c r="U801" s="98"/>
      <c r="AF801" s="39"/>
      <c r="AG801" s="490"/>
      <c r="AH801" s="490"/>
    </row>
    <row r="802" spans="3:34" ht="19.5" customHeight="1">
      <c r="C802" s="449"/>
      <c r="D802" s="68"/>
      <c r="E802" s="68"/>
      <c r="G802" s="98"/>
      <c r="H802" s="68"/>
      <c r="I802" s="68"/>
      <c r="N802" s="398"/>
      <c r="R802" s="50"/>
      <c r="S802" s="47"/>
      <c r="T802" s="98"/>
      <c r="U802" s="98"/>
      <c r="AF802" s="39"/>
      <c r="AG802" s="490"/>
      <c r="AH802" s="490"/>
    </row>
    <row r="803" spans="3:34" ht="19.5" customHeight="1">
      <c r="C803" s="449"/>
      <c r="D803" s="68"/>
      <c r="E803" s="68"/>
      <c r="G803" s="98"/>
      <c r="H803" s="68"/>
      <c r="I803" s="68"/>
      <c r="N803" s="398"/>
      <c r="R803" s="50"/>
      <c r="S803" s="47"/>
      <c r="T803" s="98"/>
      <c r="U803" s="98"/>
      <c r="AF803" s="39"/>
      <c r="AG803" s="490"/>
      <c r="AH803" s="490"/>
    </row>
    <row r="804" spans="3:34" ht="19.5" customHeight="1">
      <c r="C804" s="449"/>
      <c r="D804" s="68"/>
      <c r="E804" s="68"/>
      <c r="G804" s="98"/>
      <c r="H804" s="68"/>
      <c r="I804" s="68"/>
      <c r="N804" s="398"/>
      <c r="R804" s="50"/>
      <c r="S804" s="47"/>
      <c r="T804" s="98"/>
      <c r="U804" s="98"/>
      <c r="AF804" s="39"/>
      <c r="AG804" s="490"/>
      <c r="AH804" s="490"/>
    </row>
    <row r="805" spans="3:34" ht="19.5" customHeight="1">
      <c r="C805" s="449"/>
      <c r="D805" s="68"/>
      <c r="E805" s="68"/>
      <c r="G805" s="98"/>
      <c r="H805" s="68"/>
      <c r="I805" s="68"/>
      <c r="N805" s="398"/>
      <c r="R805" s="50"/>
      <c r="S805" s="47"/>
      <c r="T805" s="98"/>
      <c r="U805" s="98"/>
      <c r="AF805" s="39"/>
      <c r="AG805" s="490"/>
      <c r="AH805" s="490"/>
    </row>
    <row r="806" spans="3:34" ht="19.5" customHeight="1">
      <c r="C806" s="449"/>
      <c r="D806" s="68"/>
      <c r="E806" s="68"/>
      <c r="G806" s="98"/>
      <c r="H806" s="68"/>
      <c r="I806" s="68"/>
      <c r="N806" s="398"/>
      <c r="R806" s="50"/>
      <c r="S806" s="47"/>
      <c r="T806" s="98"/>
      <c r="U806" s="98"/>
      <c r="AF806" s="39"/>
      <c r="AG806" s="490"/>
      <c r="AH806" s="490"/>
    </row>
    <row r="807" spans="3:34" ht="19.5" customHeight="1">
      <c r="C807" s="449"/>
      <c r="D807" s="68"/>
      <c r="E807" s="68"/>
      <c r="G807" s="98"/>
      <c r="H807" s="68"/>
      <c r="I807" s="68"/>
      <c r="N807" s="398"/>
      <c r="R807" s="50"/>
      <c r="S807" s="47"/>
      <c r="T807" s="98"/>
      <c r="U807" s="98"/>
      <c r="AF807" s="39"/>
      <c r="AG807" s="490"/>
      <c r="AH807" s="490"/>
    </row>
    <row r="808" spans="3:34" ht="19.5" customHeight="1">
      <c r="C808" s="449"/>
      <c r="D808" s="68"/>
      <c r="E808" s="68"/>
      <c r="G808" s="98"/>
      <c r="H808" s="68"/>
      <c r="I808" s="68"/>
      <c r="N808" s="398"/>
      <c r="R808" s="50"/>
      <c r="S808" s="47"/>
      <c r="T808" s="98"/>
      <c r="U808" s="98"/>
      <c r="AF808" s="39"/>
      <c r="AG808" s="490"/>
      <c r="AH808" s="490"/>
    </row>
    <row r="809" spans="3:34" ht="19.5" customHeight="1">
      <c r="C809" s="449"/>
      <c r="D809" s="68"/>
      <c r="E809" s="68"/>
      <c r="G809" s="98"/>
      <c r="H809" s="68"/>
      <c r="I809" s="68"/>
      <c r="N809" s="398"/>
      <c r="R809" s="50"/>
      <c r="S809" s="47"/>
      <c r="T809" s="98"/>
      <c r="U809" s="98"/>
      <c r="AF809" s="39"/>
      <c r="AG809" s="490"/>
      <c r="AH809" s="490"/>
    </row>
    <row r="810" spans="3:34" ht="19.5" customHeight="1">
      <c r="C810" s="449"/>
      <c r="D810" s="68"/>
      <c r="E810" s="68"/>
      <c r="G810" s="98"/>
      <c r="H810" s="68"/>
      <c r="I810" s="68"/>
      <c r="N810" s="398"/>
      <c r="R810" s="50"/>
      <c r="S810" s="47"/>
      <c r="T810" s="98"/>
      <c r="U810" s="98"/>
      <c r="AF810" s="39"/>
      <c r="AG810" s="490"/>
      <c r="AH810" s="490"/>
    </row>
    <row r="811" spans="3:34" ht="19.5" customHeight="1">
      <c r="C811" s="449"/>
      <c r="D811" s="68"/>
      <c r="E811" s="68"/>
      <c r="G811" s="98"/>
      <c r="H811" s="68"/>
      <c r="I811" s="68"/>
      <c r="N811" s="398"/>
      <c r="R811" s="50"/>
      <c r="S811" s="47"/>
      <c r="T811" s="98"/>
      <c r="U811" s="98"/>
      <c r="AF811" s="39"/>
      <c r="AG811" s="490"/>
      <c r="AH811" s="490"/>
    </row>
    <row r="812" spans="3:34" ht="19.5" customHeight="1">
      <c r="C812" s="449"/>
      <c r="D812" s="68"/>
      <c r="E812" s="68"/>
      <c r="G812" s="98"/>
      <c r="H812" s="68"/>
      <c r="I812" s="68"/>
      <c r="N812" s="398"/>
      <c r="R812" s="50"/>
      <c r="S812" s="47"/>
      <c r="T812" s="98"/>
      <c r="U812" s="98"/>
      <c r="AF812" s="39"/>
      <c r="AG812" s="490"/>
      <c r="AH812" s="490"/>
    </row>
    <row r="813" spans="3:34" ht="19.5" customHeight="1">
      <c r="C813" s="449"/>
      <c r="D813" s="68"/>
      <c r="E813" s="68"/>
      <c r="G813" s="98"/>
      <c r="H813" s="68"/>
      <c r="I813" s="68"/>
      <c r="N813" s="398"/>
      <c r="R813" s="50"/>
      <c r="S813" s="47"/>
      <c r="T813" s="98"/>
      <c r="U813" s="98"/>
      <c r="AF813" s="39"/>
      <c r="AG813" s="490"/>
      <c r="AH813" s="490"/>
    </row>
    <row r="814" spans="3:34" ht="19.5" customHeight="1">
      <c r="C814" s="449"/>
      <c r="D814" s="68"/>
      <c r="E814" s="68"/>
      <c r="G814" s="98"/>
      <c r="H814" s="68"/>
      <c r="I814" s="68"/>
      <c r="N814" s="398"/>
      <c r="R814" s="50"/>
      <c r="S814" s="47"/>
      <c r="T814" s="98"/>
      <c r="U814" s="98"/>
      <c r="AF814" s="39"/>
      <c r="AG814" s="490"/>
      <c r="AH814" s="490"/>
    </row>
    <row r="815" spans="3:34" ht="19.5" customHeight="1">
      <c r="C815" s="449"/>
      <c r="D815" s="68"/>
      <c r="E815" s="68"/>
      <c r="G815" s="98"/>
      <c r="H815" s="68"/>
      <c r="I815" s="68"/>
      <c r="N815" s="398"/>
      <c r="R815" s="50"/>
      <c r="S815" s="47"/>
      <c r="T815" s="98"/>
      <c r="U815" s="98"/>
      <c r="AF815" s="39"/>
      <c r="AG815" s="490"/>
      <c r="AH815" s="490"/>
    </row>
    <row r="816" spans="3:34" ht="19.5" customHeight="1">
      <c r="C816" s="449"/>
      <c r="D816" s="68"/>
      <c r="E816" s="68"/>
      <c r="G816" s="98"/>
      <c r="H816" s="68"/>
      <c r="I816" s="68"/>
      <c r="N816" s="398"/>
      <c r="R816" s="50"/>
      <c r="S816" s="47"/>
      <c r="T816" s="98"/>
      <c r="U816" s="98"/>
      <c r="AF816" s="39"/>
      <c r="AG816" s="490"/>
      <c r="AH816" s="490"/>
    </row>
    <row r="817" spans="3:34" ht="19.5" customHeight="1">
      <c r="C817" s="449"/>
      <c r="D817" s="68"/>
      <c r="E817" s="68"/>
      <c r="G817" s="98"/>
      <c r="H817" s="68"/>
      <c r="I817" s="68"/>
      <c r="N817" s="398"/>
      <c r="R817" s="50"/>
      <c r="S817" s="47"/>
      <c r="T817" s="98"/>
      <c r="U817" s="98"/>
      <c r="AF817" s="39"/>
      <c r="AG817" s="490"/>
      <c r="AH817" s="490"/>
    </row>
    <row r="818" spans="3:34" ht="19.5" customHeight="1">
      <c r="C818" s="449"/>
      <c r="D818" s="68"/>
      <c r="E818" s="68"/>
      <c r="G818" s="98"/>
      <c r="H818" s="68"/>
      <c r="I818" s="68"/>
      <c r="N818" s="398"/>
      <c r="R818" s="50"/>
      <c r="S818" s="47"/>
      <c r="T818" s="98"/>
      <c r="U818" s="98"/>
      <c r="AF818" s="39"/>
      <c r="AG818" s="490"/>
      <c r="AH818" s="490"/>
    </row>
    <row r="819" spans="3:34" ht="19.5" customHeight="1">
      <c r="C819" s="449"/>
      <c r="D819" s="68"/>
      <c r="E819" s="68"/>
      <c r="G819" s="98"/>
      <c r="H819" s="68"/>
      <c r="I819" s="68"/>
      <c r="N819" s="398"/>
      <c r="R819" s="50"/>
      <c r="S819" s="47"/>
      <c r="T819" s="98"/>
      <c r="U819" s="98"/>
      <c r="AF819" s="39"/>
      <c r="AG819" s="490"/>
      <c r="AH819" s="490"/>
    </row>
    <row r="820" spans="3:34" ht="19.5" customHeight="1">
      <c r="C820" s="449"/>
      <c r="D820" s="68"/>
      <c r="E820" s="68"/>
      <c r="G820" s="98"/>
      <c r="H820" s="68"/>
      <c r="I820" s="68"/>
      <c r="N820" s="398"/>
      <c r="R820" s="50"/>
      <c r="S820" s="47"/>
      <c r="T820" s="98"/>
      <c r="U820" s="98"/>
      <c r="AF820" s="39"/>
      <c r="AG820" s="490"/>
      <c r="AH820" s="490"/>
    </row>
    <row r="821" spans="3:34" ht="19.5" customHeight="1">
      <c r="C821" s="449"/>
      <c r="D821" s="68"/>
      <c r="E821" s="68"/>
      <c r="G821" s="98"/>
      <c r="H821" s="68"/>
      <c r="I821" s="68"/>
      <c r="N821" s="398"/>
      <c r="R821" s="50"/>
      <c r="S821" s="47"/>
      <c r="T821" s="98"/>
      <c r="U821" s="98"/>
      <c r="AF821" s="39"/>
      <c r="AG821" s="490"/>
      <c r="AH821" s="490"/>
    </row>
    <row r="822" spans="3:34" ht="19.5" customHeight="1">
      <c r="C822" s="449"/>
      <c r="D822" s="68"/>
      <c r="E822" s="68"/>
      <c r="G822" s="98"/>
      <c r="H822" s="68"/>
      <c r="I822" s="68"/>
      <c r="N822" s="398"/>
      <c r="R822" s="50"/>
      <c r="S822" s="47"/>
      <c r="T822" s="98"/>
      <c r="U822" s="98"/>
      <c r="AF822" s="39"/>
      <c r="AG822" s="490"/>
      <c r="AH822" s="490"/>
    </row>
    <row r="823" spans="3:34" ht="19.5" customHeight="1">
      <c r="C823" s="449"/>
      <c r="D823" s="68"/>
      <c r="E823" s="68"/>
      <c r="G823" s="98"/>
      <c r="H823" s="68"/>
      <c r="I823" s="68"/>
      <c r="N823" s="398"/>
      <c r="R823" s="50"/>
      <c r="S823" s="47"/>
      <c r="T823" s="98"/>
      <c r="U823" s="98"/>
      <c r="AF823" s="39"/>
      <c r="AG823" s="490"/>
      <c r="AH823" s="490"/>
    </row>
    <row r="824" spans="3:34" ht="19.5" customHeight="1">
      <c r="C824" s="449"/>
      <c r="D824" s="68"/>
      <c r="E824" s="68"/>
      <c r="G824" s="98"/>
      <c r="H824" s="68"/>
      <c r="I824" s="68"/>
      <c r="N824" s="398"/>
      <c r="R824" s="50"/>
      <c r="S824" s="47"/>
      <c r="T824" s="98"/>
      <c r="U824" s="98"/>
      <c r="AF824" s="39"/>
      <c r="AG824" s="490"/>
      <c r="AH824" s="490"/>
    </row>
    <row r="825" spans="3:34" ht="19.5" customHeight="1">
      <c r="C825" s="449"/>
      <c r="D825" s="68"/>
      <c r="E825" s="68"/>
      <c r="G825" s="98"/>
      <c r="H825" s="68"/>
      <c r="I825" s="68"/>
      <c r="N825" s="398"/>
      <c r="R825" s="50"/>
      <c r="S825" s="47"/>
      <c r="T825" s="98"/>
      <c r="U825" s="98"/>
      <c r="AF825" s="39"/>
      <c r="AG825" s="490"/>
      <c r="AH825" s="490"/>
    </row>
    <row r="826" spans="3:34" ht="19.5" customHeight="1">
      <c r="C826" s="449"/>
      <c r="D826" s="68"/>
      <c r="E826" s="68"/>
      <c r="G826" s="98"/>
      <c r="H826" s="68"/>
      <c r="I826" s="68"/>
      <c r="N826" s="398"/>
      <c r="R826" s="50"/>
      <c r="S826" s="47"/>
      <c r="T826" s="98"/>
      <c r="U826" s="98"/>
      <c r="AF826" s="39"/>
      <c r="AG826" s="490"/>
      <c r="AH826" s="490"/>
    </row>
    <row r="827" spans="3:34" ht="19.5" customHeight="1">
      <c r="C827" s="449"/>
      <c r="D827" s="68"/>
      <c r="E827" s="68"/>
      <c r="G827" s="98"/>
      <c r="H827" s="68"/>
      <c r="I827" s="68"/>
      <c r="N827" s="398"/>
      <c r="R827" s="50"/>
      <c r="S827" s="47"/>
      <c r="T827" s="98"/>
      <c r="U827" s="98"/>
      <c r="AF827" s="39"/>
      <c r="AG827" s="490"/>
      <c r="AH827" s="490"/>
    </row>
    <row r="828" spans="3:34" ht="19.5" customHeight="1">
      <c r="C828" s="449"/>
      <c r="D828" s="68"/>
      <c r="E828" s="68"/>
      <c r="G828" s="98"/>
      <c r="H828" s="68"/>
      <c r="I828" s="68"/>
      <c r="N828" s="398"/>
      <c r="R828" s="50"/>
      <c r="S828" s="47"/>
      <c r="T828" s="98"/>
      <c r="U828" s="98"/>
      <c r="AF828" s="39"/>
      <c r="AG828" s="490"/>
      <c r="AH828" s="490"/>
    </row>
    <row r="829" spans="3:34" ht="19.5" customHeight="1">
      <c r="C829" s="449"/>
      <c r="D829" s="68"/>
      <c r="E829" s="68"/>
      <c r="G829" s="98"/>
      <c r="H829" s="68"/>
      <c r="I829" s="68"/>
      <c r="N829" s="398"/>
      <c r="R829" s="50"/>
      <c r="S829" s="47"/>
      <c r="T829" s="98"/>
      <c r="U829" s="98"/>
      <c r="AF829" s="39"/>
      <c r="AG829" s="490"/>
      <c r="AH829" s="490"/>
    </row>
    <row r="830" spans="3:34" ht="19.5" customHeight="1">
      <c r="C830" s="449"/>
      <c r="D830" s="68"/>
      <c r="E830" s="68"/>
      <c r="G830" s="98"/>
      <c r="H830" s="68"/>
      <c r="I830" s="68"/>
      <c r="N830" s="398"/>
      <c r="R830" s="50"/>
      <c r="S830" s="47"/>
      <c r="T830" s="98"/>
      <c r="U830" s="98"/>
      <c r="AF830" s="39"/>
      <c r="AG830" s="490"/>
      <c r="AH830" s="490"/>
    </row>
    <row r="831" spans="3:34" ht="19.5" customHeight="1">
      <c r="C831" s="449"/>
      <c r="D831" s="68"/>
      <c r="E831" s="68"/>
      <c r="G831" s="98"/>
      <c r="H831" s="68"/>
      <c r="I831" s="68"/>
      <c r="N831" s="398"/>
      <c r="R831" s="50"/>
      <c r="S831" s="47"/>
      <c r="T831" s="98"/>
      <c r="U831" s="98"/>
      <c r="AF831" s="39"/>
      <c r="AG831" s="490"/>
      <c r="AH831" s="490"/>
    </row>
    <row r="832" spans="3:34" ht="19.5" customHeight="1">
      <c r="C832" s="449"/>
      <c r="D832" s="68"/>
      <c r="E832" s="68"/>
      <c r="G832" s="98"/>
      <c r="H832" s="68"/>
      <c r="I832" s="68"/>
      <c r="N832" s="398"/>
      <c r="R832" s="50"/>
      <c r="S832" s="47"/>
      <c r="T832" s="98"/>
      <c r="U832" s="98"/>
      <c r="AF832" s="39"/>
      <c r="AG832" s="490"/>
      <c r="AH832" s="490"/>
    </row>
    <row r="833" spans="3:34" ht="19.5" customHeight="1">
      <c r="C833" s="449"/>
      <c r="D833" s="68"/>
      <c r="E833" s="68"/>
      <c r="G833" s="98"/>
      <c r="H833" s="68"/>
      <c r="I833" s="68"/>
      <c r="N833" s="398"/>
      <c r="R833" s="50"/>
      <c r="S833" s="47"/>
      <c r="T833" s="98"/>
      <c r="U833" s="98"/>
      <c r="AF833" s="39"/>
      <c r="AG833" s="490"/>
      <c r="AH833" s="490"/>
    </row>
    <row r="834" spans="3:34" ht="19.5" customHeight="1">
      <c r="C834" s="449"/>
      <c r="D834" s="68"/>
      <c r="E834" s="68"/>
      <c r="G834" s="98"/>
      <c r="H834" s="68"/>
      <c r="I834" s="68"/>
      <c r="N834" s="398"/>
      <c r="R834" s="50"/>
      <c r="S834" s="47"/>
      <c r="T834" s="98"/>
      <c r="U834" s="98"/>
      <c r="AF834" s="39"/>
      <c r="AG834" s="490"/>
      <c r="AH834" s="490"/>
    </row>
    <row r="835" spans="3:34" ht="19.5" customHeight="1">
      <c r="C835" s="449"/>
      <c r="D835" s="68"/>
      <c r="E835" s="68"/>
      <c r="G835" s="98"/>
      <c r="H835" s="68"/>
      <c r="I835" s="68"/>
      <c r="N835" s="398"/>
      <c r="R835" s="50"/>
      <c r="S835" s="47"/>
      <c r="T835" s="98"/>
      <c r="U835" s="98"/>
      <c r="AF835" s="39"/>
      <c r="AG835" s="490"/>
      <c r="AH835" s="490"/>
    </row>
    <row r="836" spans="3:34" ht="19.5" customHeight="1">
      <c r="C836" s="449"/>
      <c r="D836" s="68"/>
      <c r="E836" s="68"/>
      <c r="G836" s="98"/>
      <c r="H836" s="68"/>
      <c r="I836" s="68"/>
      <c r="N836" s="398"/>
      <c r="R836" s="50"/>
      <c r="S836" s="47"/>
      <c r="T836" s="98"/>
      <c r="U836" s="98"/>
      <c r="AF836" s="39"/>
      <c r="AG836" s="490"/>
      <c r="AH836" s="490"/>
    </row>
    <row r="837" spans="3:34" ht="19.5" customHeight="1">
      <c r="C837" s="449"/>
      <c r="D837" s="68"/>
      <c r="E837" s="68"/>
      <c r="G837" s="98"/>
      <c r="H837" s="68"/>
      <c r="I837" s="68"/>
      <c r="N837" s="398"/>
      <c r="R837" s="50"/>
      <c r="S837" s="47"/>
      <c r="T837" s="98"/>
      <c r="U837" s="98"/>
      <c r="AF837" s="39"/>
      <c r="AG837" s="490"/>
      <c r="AH837" s="490"/>
    </row>
    <row r="838" spans="3:34" ht="19.5" customHeight="1">
      <c r="C838" s="449"/>
      <c r="D838" s="68"/>
      <c r="E838" s="68"/>
      <c r="G838" s="98"/>
      <c r="H838" s="68"/>
      <c r="I838" s="68"/>
      <c r="N838" s="398"/>
      <c r="R838" s="50"/>
      <c r="S838" s="47"/>
      <c r="T838" s="98"/>
      <c r="U838" s="98"/>
      <c r="AF838" s="39"/>
      <c r="AG838" s="490"/>
      <c r="AH838" s="490"/>
    </row>
    <row r="839" spans="3:34" ht="19.5" customHeight="1">
      <c r="C839" s="449"/>
      <c r="D839" s="68"/>
      <c r="E839" s="68"/>
      <c r="G839" s="98"/>
      <c r="H839" s="68"/>
      <c r="I839" s="68"/>
      <c r="N839" s="398"/>
      <c r="R839" s="50"/>
      <c r="S839" s="47"/>
      <c r="T839" s="98"/>
      <c r="U839" s="98"/>
      <c r="AF839" s="39"/>
      <c r="AG839" s="490"/>
      <c r="AH839" s="490"/>
    </row>
    <row r="840" spans="3:34" ht="19.5" customHeight="1">
      <c r="C840" s="449"/>
      <c r="D840" s="68"/>
      <c r="E840" s="68"/>
      <c r="G840" s="98"/>
      <c r="H840" s="68"/>
      <c r="I840" s="68"/>
      <c r="N840" s="398"/>
      <c r="R840" s="50"/>
      <c r="S840" s="47"/>
      <c r="T840" s="98"/>
      <c r="U840" s="98"/>
      <c r="AF840" s="39"/>
      <c r="AG840" s="490"/>
      <c r="AH840" s="490"/>
    </row>
    <row r="841" spans="3:34" ht="19.5" customHeight="1">
      <c r="C841" s="449"/>
      <c r="D841" s="68"/>
      <c r="E841" s="68"/>
      <c r="G841" s="98"/>
      <c r="H841" s="68"/>
      <c r="I841" s="68"/>
      <c r="N841" s="398"/>
      <c r="R841" s="50"/>
      <c r="S841" s="47"/>
      <c r="T841" s="98"/>
      <c r="U841" s="98"/>
      <c r="AF841" s="39"/>
      <c r="AG841" s="490"/>
      <c r="AH841" s="490"/>
    </row>
    <row r="842" spans="3:34" ht="19.5" customHeight="1">
      <c r="C842" s="449"/>
      <c r="D842" s="68"/>
      <c r="E842" s="68"/>
      <c r="G842" s="98"/>
      <c r="H842" s="68"/>
      <c r="I842" s="68"/>
      <c r="N842" s="398"/>
      <c r="R842" s="50"/>
      <c r="S842" s="47"/>
      <c r="T842" s="98"/>
      <c r="U842" s="98"/>
      <c r="AF842" s="39"/>
      <c r="AG842" s="490"/>
      <c r="AH842" s="490"/>
    </row>
    <row r="843" spans="3:34" ht="19.5" customHeight="1">
      <c r="C843" s="449"/>
      <c r="D843" s="68"/>
      <c r="E843" s="68"/>
      <c r="G843" s="98"/>
      <c r="H843" s="68"/>
      <c r="I843" s="68"/>
      <c r="N843" s="398"/>
      <c r="R843" s="50"/>
      <c r="S843" s="47"/>
      <c r="T843" s="98"/>
      <c r="U843" s="98"/>
      <c r="AF843" s="39"/>
      <c r="AG843" s="490"/>
      <c r="AH843" s="490"/>
    </row>
    <row r="844" spans="3:34" ht="19.5" customHeight="1">
      <c r="C844" s="449"/>
      <c r="D844" s="68"/>
      <c r="E844" s="68"/>
      <c r="G844" s="98"/>
      <c r="H844" s="68"/>
      <c r="I844" s="68"/>
      <c r="N844" s="398"/>
      <c r="R844" s="50"/>
      <c r="S844" s="47"/>
      <c r="T844" s="98"/>
      <c r="U844" s="98"/>
      <c r="AF844" s="39"/>
      <c r="AG844" s="490"/>
      <c r="AH844" s="490"/>
    </row>
    <row r="845" spans="3:34" ht="19.5" customHeight="1">
      <c r="C845" s="449"/>
      <c r="D845" s="68"/>
      <c r="E845" s="68"/>
      <c r="G845" s="98"/>
      <c r="H845" s="68"/>
      <c r="I845" s="68"/>
      <c r="N845" s="398"/>
      <c r="R845" s="50"/>
      <c r="S845" s="47"/>
      <c r="T845" s="98"/>
      <c r="U845" s="98"/>
      <c r="AF845" s="39"/>
      <c r="AG845" s="490"/>
      <c r="AH845" s="490"/>
    </row>
    <row r="846" spans="3:34" ht="19.5" customHeight="1">
      <c r="C846" s="449"/>
      <c r="D846" s="68"/>
      <c r="E846" s="68"/>
      <c r="G846" s="98"/>
      <c r="H846" s="68"/>
      <c r="I846" s="68"/>
      <c r="N846" s="398"/>
      <c r="R846" s="50"/>
      <c r="S846" s="47"/>
      <c r="T846" s="98"/>
      <c r="U846" s="98"/>
      <c r="AF846" s="39"/>
      <c r="AG846" s="490"/>
      <c r="AH846" s="490"/>
    </row>
    <row r="847" spans="3:34" ht="19.5" customHeight="1">
      <c r="C847" s="449"/>
      <c r="D847" s="68"/>
      <c r="E847" s="68"/>
      <c r="G847" s="98"/>
      <c r="H847" s="68"/>
      <c r="I847" s="68"/>
      <c r="N847" s="398"/>
      <c r="R847" s="50"/>
      <c r="S847" s="47"/>
      <c r="T847" s="98"/>
      <c r="U847" s="98"/>
      <c r="AF847" s="39"/>
      <c r="AG847" s="490"/>
      <c r="AH847" s="490"/>
    </row>
    <row r="848" spans="3:34" ht="19.5" customHeight="1">
      <c r="C848" s="449"/>
      <c r="D848" s="68"/>
      <c r="E848" s="68"/>
      <c r="G848" s="98"/>
      <c r="H848" s="68"/>
      <c r="I848" s="68"/>
      <c r="N848" s="398"/>
      <c r="R848" s="50"/>
      <c r="S848" s="47"/>
      <c r="T848" s="98"/>
      <c r="U848" s="98"/>
      <c r="AF848" s="39"/>
      <c r="AG848" s="490"/>
      <c r="AH848" s="490"/>
    </row>
    <row r="849" spans="3:34" ht="19.5" customHeight="1">
      <c r="C849" s="449"/>
      <c r="D849" s="68"/>
      <c r="E849" s="68"/>
      <c r="G849" s="98"/>
      <c r="H849" s="68"/>
      <c r="I849" s="68"/>
      <c r="N849" s="398"/>
      <c r="R849" s="50"/>
      <c r="S849" s="47"/>
      <c r="T849" s="98"/>
      <c r="U849" s="98"/>
      <c r="AF849" s="39"/>
      <c r="AG849" s="490"/>
      <c r="AH849" s="490"/>
    </row>
    <row r="850" spans="3:34" ht="19.5" customHeight="1">
      <c r="C850" s="449"/>
      <c r="D850" s="68"/>
      <c r="E850" s="68"/>
      <c r="G850" s="98"/>
      <c r="H850" s="68"/>
      <c r="I850" s="68"/>
      <c r="N850" s="398"/>
      <c r="R850" s="50"/>
      <c r="S850" s="47"/>
      <c r="T850" s="98"/>
      <c r="U850" s="98"/>
      <c r="AF850" s="39"/>
      <c r="AG850" s="490"/>
      <c r="AH850" s="490"/>
    </row>
    <row r="851" spans="3:34" ht="19.5" customHeight="1">
      <c r="C851" s="449"/>
      <c r="D851" s="68"/>
      <c r="E851" s="68"/>
      <c r="G851" s="98"/>
      <c r="H851" s="68"/>
      <c r="I851" s="68"/>
      <c r="N851" s="398"/>
      <c r="R851" s="50"/>
      <c r="S851" s="47"/>
      <c r="T851" s="98"/>
      <c r="U851" s="98"/>
      <c r="AF851" s="39"/>
      <c r="AG851" s="490"/>
      <c r="AH851" s="490"/>
    </row>
    <row r="852" spans="3:34" ht="19.5" customHeight="1">
      <c r="C852" s="449"/>
      <c r="D852" s="68"/>
      <c r="E852" s="68"/>
      <c r="G852" s="98"/>
      <c r="H852" s="68"/>
      <c r="I852" s="68"/>
      <c r="N852" s="398"/>
      <c r="R852" s="50"/>
      <c r="S852" s="47"/>
      <c r="T852" s="98"/>
      <c r="U852" s="98"/>
      <c r="AF852" s="39"/>
      <c r="AG852" s="490"/>
      <c r="AH852" s="490"/>
    </row>
    <row r="853" spans="3:34" ht="19.5" customHeight="1">
      <c r="C853" s="449"/>
      <c r="D853" s="68"/>
      <c r="E853" s="68"/>
      <c r="G853" s="98"/>
      <c r="H853" s="68"/>
      <c r="I853" s="68"/>
      <c r="N853" s="398"/>
      <c r="R853" s="50"/>
      <c r="S853" s="47"/>
      <c r="T853" s="98"/>
      <c r="U853" s="98"/>
      <c r="AF853" s="39"/>
      <c r="AG853" s="490"/>
      <c r="AH853" s="490"/>
    </row>
    <row r="854" spans="3:34" ht="19.5" customHeight="1">
      <c r="C854" s="449"/>
      <c r="D854" s="68"/>
      <c r="E854" s="68"/>
      <c r="G854" s="98"/>
      <c r="H854" s="68"/>
      <c r="I854" s="68"/>
      <c r="N854" s="398"/>
      <c r="R854" s="50"/>
      <c r="S854" s="47"/>
      <c r="T854" s="98"/>
      <c r="U854" s="98"/>
      <c r="AF854" s="39"/>
      <c r="AG854" s="490"/>
      <c r="AH854" s="490"/>
    </row>
    <row r="855" spans="3:34" ht="19.5" customHeight="1">
      <c r="C855" s="449"/>
      <c r="D855" s="68"/>
      <c r="E855" s="68"/>
      <c r="G855" s="98"/>
      <c r="H855" s="68"/>
      <c r="I855" s="68"/>
      <c r="N855" s="398"/>
      <c r="R855" s="50"/>
      <c r="S855" s="47"/>
      <c r="T855" s="98"/>
      <c r="U855" s="98"/>
      <c r="AF855" s="39"/>
      <c r="AG855" s="490"/>
      <c r="AH855" s="490"/>
    </row>
    <row r="856" spans="3:34" ht="19.5" customHeight="1">
      <c r="C856" s="449"/>
      <c r="D856" s="68"/>
      <c r="E856" s="68"/>
      <c r="G856" s="98"/>
      <c r="H856" s="68"/>
      <c r="I856" s="68"/>
      <c r="N856" s="398"/>
      <c r="R856" s="50"/>
      <c r="S856" s="47"/>
      <c r="T856" s="98"/>
      <c r="U856" s="98"/>
      <c r="AF856" s="39"/>
      <c r="AG856" s="490"/>
      <c r="AH856" s="490"/>
    </row>
    <row r="857" spans="3:34" ht="19.5" customHeight="1">
      <c r="C857" s="449"/>
      <c r="D857" s="68"/>
      <c r="E857" s="68"/>
      <c r="G857" s="98"/>
      <c r="H857" s="68"/>
      <c r="I857" s="68"/>
      <c r="N857" s="398"/>
      <c r="R857" s="50"/>
      <c r="S857" s="47"/>
      <c r="T857" s="98"/>
      <c r="U857" s="98"/>
      <c r="AF857" s="39"/>
      <c r="AG857" s="490"/>
      <c r="AH857" s="490"/>
    </row>
    <row r="858" spans="3:34" ht="19.5" customHeight="1">
      <c r="C858" s="449"/>
      <c r="D858" s="68"/>
      <c r="E858" s="68"/>
      <c r="G858" s="98"/>
      <c r="H858" s="68"/>
      <c r="I858" s="68"/>
      <c r="N858" s="398"/>
      <c r="R858" s="50"/>
      <c r="S858" s="47"/>
      <c r="T858" s="98"/>
      <c r="U858" s="98"/>
      <c r="AF858" s="39"/>
      <c r="AG858" s="490"/>
      <c r="AH858" s="490"/>
    </row>
    <row r="859" spans="3:34" ht="19.5" customHeight="1">
      <c r="C859" s="449"/>
      <c r="D859" s="68"/>
      <c r="E859" s="68"/>
      <c r="G859" s="98"/>
      <c r="H859" s="68"/>
      <c r="I859" s="68"/>
      <c r="N859" s="398"/>
      <c r="R859" s="50"/>
      <c r="S859" s="47"/>
      <c r="T859" s="98"/>
      <c r="U859" s="98"/>
      <c r="AF859" s="39"/>
      <c r="AG859" s="490"/>
      <c r="AH859" s="490"/>
    </row>
    <row r="860" spans="3:34" ht="19.5" customHeight="1">
      <c r="C860" s="449"/>
      <c r="D860" s="68"/>
      <c r="E860" s="68"/>
      <c r="G860" s="98"/>
      <c r="H860" s="68"/>
      <c r="I860" s="68"/>
      <c r="N860" s="398"/>
      <c r="R860" s="50"/>
      <c r="S860" s="47"/>
      <c r="T860" s="98"/>
      <c r="U860" s="98"/>
      <c r="AF860" s="39"/>
      <c r="AG860" s="490"/>
      <c r="AH860" s="490"/>
    </row>
    <row r="861" spans="3:34" ht="19.5" customHeight="1">
      <c r="C861" s="449"/>
      <c r="D861" s="68"/>
      <c r="E861" s="68"/>
      <c r="G861" s="98"/>
      <c r="H861" s="68"/>
      <c r="I861" s="68"/>
      <c r="N861" s="398"/>
      <c r="R861" s="50"/>
      <c r="S861" s="47"/>
      <c r="T861" s="98"/>
      <c r="U861" s="98"/>
      <c r="AF861" s="39"/>
      <c r="AG861" s="490"/>
      <c r="AH861" s="490"/>
    </row>
    <row r="862" spans="3:34" ht="19.5" customHeight="1">
      <c r="C862" s="449"/>
      <c r="D862" s="68"/>
      <c r="E862" s="68"/>
      <c r="G862" s="98"/>
      <c r="H862" s="68"/>
      <c r="I862" s="68"/>
      <c r="N862" s="398"/>
      <c r="R862" s="50"/>
      <c r="S862" s="47"/>
      <c r="T862" s="98"/>
      <c r="U862" s="98"/>
      <c r="AF862" s="39"/>
      <c r="AG862" s="490"/>
      <c r="AH862" s="490"/>
    </row>
    <row r="863" spans="3:34" ht="19.5" customHeight="1">
      <c r="C863" s="449"/>
      <c r="D863" s="68"/>
      <c r="E863" s="68"/>
      <c r="G863" s="98"/>
      <c r="H863" s="68"/>
      <c r="I863" s="68"/>
      <c r="N863" s="398"/>
      <c r="R863" s="50"/>
      <c r="S863" s="47"/>
      <c r="T863" s="98"/>
      <c r="U863" s="98"/>
      <c r="AF863" s="39"/>
      <c r="AG863" s="490"/>
      <c r="AH863" s="490"/>
    </row>
    <row r="864" spans="3:34" ht="19.5" customHeight="1">
      <c r="C864" s="449"/>
      <c r="D864" s="68"/>
      <c r="E864" s="68"/>
      <c r="G864" s="98"/>
      <c r="H864" s="68"/>
      <c r="I864" s="68"/>
      <c r="N864" s="398"/>
      <c r="R864" s="50"/>
      <c r="S864" s="47"/>
      <c r="T864" s="98"/>
      <c r="U864" s="98"/>
      <c r="AF864" s="39"/>
      <c r="AG864" s="490"/>
      <c r="AH864" s="490"/>
    </row>
    <row r="865" spans="3:34" ht="19.5" customHeight="1">
      <c r="C865" s="449"/>
      <c r="D865" s="68"/>
      <c r="E865" s="68"/>
      <c r="G865" s="98"/>
      <c r="H865" s="68"/>
      <c r="I865" s="68"/>
      <c r="N865" s="398"/>
      <c r="R865" s="50"/>
      <c r="S865" s="47"/>
      <c r="T865" s="98"/>
      <c r="U865" s="98"/>
      <c r="AF865" s="39"/>
      <c r="AG865" s="490"/>
      <c r="AH865" s="490"/>
    </row>
    <row r="866" spans="3:34" ht="19.5" customHeight="1">
      <c r="C866" s="449"/>
      <c r="D866" s="68"/>
      <c r="E866" s="68"/>
      <c r="G866" s="98"/>
      <c r="H866" s="68"/>
      <c r="I866" s="68"/>
      <c r="N866" s="398"/>
      <c r="R866" s="50"/>
      <c r="S866" s="47"/>
      <c r="T866" s="98"/>
      <c r="U866" s="98"/>
      <c r="AF866" s="39"/>
      <c r="AG866" s="490"/>
      <c r="AH866" s="490"/>
    </row>
    <row r="867" spans="3:34" ht="19.5" customHeight="1">
      <c r="C867" s="449"/>
      <c r="D867" s="68"/>
      <c r="E867" s="68"/>
      <c r="G867" s="98"/>
      <c r="H867" s="68"/>
      <c r="I867" s="68"/>
      <c r="N867" s="398"/>
      <c r="R867" s="50"/>
      <c r="S867" s="47"/>
      <c r="T867" s="98"/>
      <c r="U867" s="98"/>
      <c r="AF867" s="39"/>
      <c r="AG867" s="490"/>
      <c r="AH867" s="490"/>
    </row>
    <row r="868" spans="3:34" ht="19.5" customHeight="1">
      <c r="C868" s="449"/>
      <c r="D868" s="68"/>
      <c r="E868" s="68"/>
      <c r="G868" s="98"/>
      <c r="H868" s="68"/>
      <c r="I868" s="68"/>
      <c r="N868" s="398"/>
      <c r="R868" s="50"/>
      <c r="S868" s="47"/>
      <c r="T868" s="98"/>
      <c r="U868" s="98"/>
      <c r="AF868" s="39"/>
      <c r="AG868" s="490"/>
      <c r="AH868" s="490"/>
    </row>
    <row r="869" spans="3:34" ht="19.5" customHeight="1">
      <c r="C869" s="449"/>
      <c r="D869" s="68"/>
      <c r="E869" s="68"/>
      <c r="G869" s="98"/>
      <c r="H869" s="68"/>
      <c r="I869" s="68"/>
      <c r="N869" s="398"/>
      <c r="R869" s="50"/>
      <c r="S869" s="47"/>
      <c r="T869" s="98"/>
      <c r="U869" s="98"/>
      <c r="AF869" s="39"/>
      <c r="AG869" s="490"/>
      <c r="AH869" s="490"/>
    </row>
    <row r="870" spans="3:34" ht="19.5" customHeight="1">
      <c r="C870" s="449"/>
      <c r="D870" s="68"/>
      <c r="E870" s="68"/>
      <c r="G870" s="98"/>
      <c r="H870" s="68"/>
      <c r="I870" s="68"/>
      <c r="N870" s="398"/>
      <c r="R870" s="50"/>
      <c r="S870" s="47"/>
      <c r="T870" s="98"/>
      <c r="U870" s="98"/>
      <c r="AF870" s="39"/>
      <c r="AG870" s="490"/>
      <c r="AH870" s="490"/>
    </row>
    <row r="871" spans="3:34" ht="19.5" customHeight="1">
      <c r="C871" s="449"/>
      <c r="D871" s="68"/>
      <c r="E871" s="68"/>
      <c r="G871" s="98"/>
      <c r="H871" s="68"/>
      <c r="I871" s="68"/>
      <c r="N871" s="398"/>
      <c r="R871" s="50"/>
      <c r="S871" s="47"/>
      <c r="T871" s="98"/>
      <c r="U871" s="98"/>
      <c r="AF871" s="39"/>
      <c r="AG871" s="490"/>
      <c r="AH871" s="490"/>
    </row>
    <row r="872" spans="3:34" ht="19.5" customHeight="1">
      <c r="C872" s="449"/>
      <c r="D872" s="68"/>
      <c r="E872" s="68"/>
      <c r="G872" s="98"/>
      <c r="H872" s="68"/>
      <c r="I872" s="68"/>
      <c r="N872" s="398"/>
      <c r="R872" s="50"/>
      <c r="S872" s="47"/>
      <c r="T872" s="98"/>
      <c r="U872" s="98"/>
      <c r="AF872" s="39"/>
      <c r="AG872" s="490"/>
      <c r="AH872" s="490"/>
    </row>
    <row r="873" spans="3:34" ht="19.5" customHeight="1">
      <c r="C873" s="449"/>
      <c r="D873" s="68"/>
      <c r="E873" s="68"/>
      <c r="G873" s="98"/>
      <c r="H873" s="68"/>
      <c r="I873" s="68"/>
      <c r="N873" s="398"/>
      <c r="R873" s="50"/>
      <c r="S873" s="47"/>
      <c r="T873" s="98"/>
      <c r="U873" s="98"/>
      <c r="AF873" s="39"/>
      <c r="AG873" s="490"/>
      <c r="AH873" s="490"/>
    </row>
    <row r="874" spans="3:34" ht="19.5" customHeight="1">
      <c r="C874" s="449"/>
      <c r="D874" s="68"/>
      <c r="E874" s="68"/>
      <c r="G874" s="98"/>
      <c r="H874" s="68"/>
      <c r="I874" s="68"/>
      <c r="N874" s="398"/>
      <c r="R874" s="50"/>
      <c r="S874" s="47"/>
      <c r="T874" s="98"/>
      <c r="U874" s="98"/>
      <c r="AF874" s="39"/>
      <c r="AG874" s="490"/>
      <c r="AH874" s="490"/>
    </row>
    <row r="875" spans="3:34" ht="19.5" customHeight="1">
      <c r="C875" s="449"/>
      <c r="D875" s="68"/>
      <c r="E875" s="68"/>
      <c r="G875" s="98"/>
      <c r="H875" s="68"/>
      <c r="I875" s="68"/>
      <c r="N875" s="398"/>
      <c r="R875" s="50"/>
      <c r="S875" s="47"/>
      <c r="T875" s="98"/>
      <c r="U875" s="98"/>
      <c r="AF875" s="39"/>
      <c r="AG875" s="490"/>
      <c r="AH875" s="490"/>
    </row>
    <row r="876" spans="3:34" ht="19.5" customHeight="1">
      <c r="C876" s="449"/>
      <c r="D876" s="68"/>
      <c r="E876" s="68"/>
      <c r="G876" s="98"/>
      <c r="H876" s="68"/>
      <c r="I876" s="68"/>
      <c r="N876" s="398"/>
      <c r="R876" s="50"/>
      <c r="S876" s="47"/>
      <c r="T876" s="98"/>
      <c r="U876" s="98"/>
      <c r="AF876" s="39"/>
      <c r="AG876" s="490"/>
      <c r="AH876" s="490"/>
    </row>
    <row r="877" spans="3:34" ht="19.5" customHeight="1">
      <c r="C877" s="449"/>
      <c r="D877" s="68"/>
      <c r="E877" s="68"/>
      <c r="G877" s="98"/>
      <c r="H877" s="68"/>
      <c r="I877" s="68"/>
      <c r="N877" s="398"/>
      <c r="R877" s="50"/>
      <c r="S877" s="47"/>
      <c r="T877" s="98"/>
      <c r="U877" s="98"/>
      <c r="AF877" s="39"/>
      <c r="AG877" s="490"/>
      <c r="AH877" s="490"/>
    </row>
    <row r="878" spans="3:34" ht="19.5" customHeight="1">
      <c r="C878" s="449"/>
      <c r="D878" s="68"/>
      <c r="E878" s="68"/>
      <c r="G878" s="98"/>
      <c r="H878" s="68"/>
      <c r="I878" s="68"/>
      <c r="N878" s="398"/>
      <c r="R878" s="50"/>
      <c r="S878" s="47"/>
      <c r="T878" s="98"/>
      <c r="U878" s="98"/>
      <c r="AF878" s="39"/>
      <c r="AG878" s="490"/>
      <c r="AH878" s="490"/>
    </row>
    <row r="879" spans="3:34" ht="19.5" customHeight="1">
      <c r="C879" s="449"/>
      <c r="D879" s="68"/>
      <c r="E879" s="68"/>
      <c r="G879" s="98"/>
      <c r="H879" s="68"/>
      <c r="I879" s="68"/>
      <c r="N879" s="398"/>
      <c r="R879" s="50"/>
      <c r="S879" s="47"/>
      <c r="T879" s="98"/>
      <c r="U879" s="98"/>
      <c r="AF879" s="39"/>
      <c r="AG879" s="490"/>
      <c r="AH879" s="490"/>
    </row>
    <row r="880" spans="3:34" ht="19.5" customHeight="1">
      <c r="C880" s="449"/>
      <c r="D880" s="68"/>
      <c r="E880" s="68"/>
      <c r="G880" s="98"/>
      <c r="H880" s="68"/>
      <c r="I880" s="68"/>
      <c r="N880" s="398"/>
      <c r="R880" s="50"/>
      <c r="S880" s="47"/>
      <c r="T880" s="98"/>
      <c r="U880" s="98"/>
      <c r="AF880" s="39"/>
      <c r="AG880" s="490"/>
      <c r="AH880" s="490"/>
    </row>
    <row r="881" spans="3:34" ht="19.5" customHeight="1">
      <c r="C881" s="449"/>
      <c r="D881" s="68"/>
      <c r="E881" s="68"/>
      <c r="G881" s="98"/>
      <c r="H881" s="68"/>
      <c r="I881" s="68"/>
      <c r="N881" s="398"/>
      <c r="R881" s="50"/>
      <c r="S881" s="47"/>
      <c r="T881" s="98"/>
      <c r="U881" s="98"/>
      <c r="AF881" s="39"/>
      <c r="AG881" s="490"/>
      <c r="AH881" s="490"/>
    </row>
    <row r="882" spans="3:34" ht="19.5" customHeight="1">
      <c r="C882" s="449"/>
      <c r="D882" s="68"/>
      <c r="E882" s="68"/>
      <c r="G882" s="98"/>
      <c r="H882" s="68"/>
      <c r="I882" s="68"/>
      <c r="N882" s="398"/>
      <c r="R882" s="50"/>
      <c r="S882" s="47"/>
      <c r="T882" s="98"/>
      <c r="U882" s="98"/>
      <c r="AF882" s="39"/>
      <c r="AG882" s="490"/>
      <c r="AH882" s="490"/>
    </row>
    <row r="883" spans="3:34" ht="19.5" customHeight="1">
      <c r="C883" s="449"/>
      <c r="D883" s="68"/>
      <c r="E883" s="68"/>
      <c r="G883" s="98"/>
      <c r="H883" s="68"/>
      <c r="I883" s="68"/>
      <c r="N883" s="398"/>
      <c r="R883" s="50"/>
      <c r="S883" s="47"/>
      <c r="T883" s="98"/>
      <c r="U883" s="98"/>
      <c r="AF883" s="39"/>
      <c r="AG883" s="490"/>
      <c r="AH883" s="490"/>
    </row>
    <row r="884" spans="3:34" ht="19.5" customHeight="1">
      <c r="C884" s="449"/>
      <c r="D884" s="68"/>
      <c r="E884" s="68"/>
      <c r="G884" s="98"/>
      <c r="H884" s="68"/>
      <c r="I884" s="68"/>
      <c r="N884" s="398"/>
      <c r="R884" s="50"/>
      <c r="S884" s="47"/>
      <c r="T884" s="98"/>
      <c r="U884" s="98"/>
      <c r="AF884" s="39"/>
      <c r="AG884" s="490"/>
      <c r="AH884" s="490"/>
    </row>
    <row r="885" spans="3:34" ht="19.5" customHeight="1">
      <c r="C885" s="449"/>
      <c r="D885" s="68"/>
      <c r="E885" s="68"/>
      <c r="G885" s="98"/>
      <c r="H885" s="68"/>
      <c r="I885" s="68"/>
      <c r="N885" s="398"/>
      <c r="R885" s="50"/>
      <c r="S885" s="47"/>
      <c r="T885" s="98"/>
      <c r="U885" s="98"/>
      <c r="AF885" s="39"/>
      <c r="AG885" s="490"/>
      <c r="AH885" s="490"/>
    </row>
    <row r="886" spans="3:34" ht="19.5" customHeight="1">
      <c r="C886" s="449"/>
      <c r="D886" s="68"/>
      <c r="E886" s="68"/>
      <c r="G886" s="98"/>
      <c r="H886" s="68"/>
      <c r="I886" s="68"/>
      <c r="N886" s="398"/>
      <c r="R886" s="50"/>
      <c r="S886" s="47"/>
      <c r="T886" s="98"/>
      <c r="U886" s="98"/>
      <c r="AF886" s="39"/>
      <c r="AG886" s="490"/>
      <c r="AH886" s="490"/>
    </row>
    <row r="887" spans="3:34" ht="19.5" customHeight="1">
      <c r="C887" s="449"/>
      <c r="D887" s="68"/>
      <c r="E887" s="68"/>
      <c r="G887" s="98"/>
      <c r="H887" s="68"/>
      <c r="I887" s="68"/>
      <c r="N887" s="398"/>
      <c r="R887" s="50"/>
      <c r="S887" s="47"/>
      <c r="T887" s="98"/>
      <c r="U887" s="98"/>
      <c r="AF887" s="39"/>
      <c r="AG887" s="490"/>
      <c r="AH887" s="490"/>
    </row>
    <row r="888" spans="3:34" ht="19.5" customHeight="1">
      <c r="C888" s="449"/>
      <c r="D888" s="68"/>
      <c r="E888" s="68"/>
      <c r="G888" s="98"/>
      <c r="H888" s="68"/>
      <c r="I888" s="68"/>
      <c r="N888" s="398"/>
      <c r="R888" s="50"/>
      <c r="S888" s="47"/>
      <c r="T888" s="98"/>
      <c r="U888" s="98"/>
      <c r="AF888" s="39"/>
      <c r="AG888" s="490"/>
      <c r="AH888" s="490"/>
    </row>
    <row r="889" spans="3:34" ht="19.5" customHeight="1">
      <c r="C889" s="449"/>
      <c r="D889" s="68"/>
      <c r="E889" s="68"/>
      <c r="G889" s="98"/>
      <c r="H889" s="68"/>
      <c r="I889" s="68"/>
      <c r="N889" s="398"/>
      <c r="R889" s="50"/>
      <c r="S889" s="47"/>
      <c r="T889" s="98"/>
      <c r="U889" s="98"/>
      <c r="AF889" s="39"/>
      <c r="AG889" s="490"/>
      <c r="AH889" s="490"/>
    </row>
    <row r="890" spans="3:34" ht="19.5" customHeight="1">
      <c r="C890" s="449"/>
      <c r="D890" s="68"/>
      <c r="E890" s="68"/>
      <c r="G890" s="98"/>
      <c r="H890" s="68"/>
      <c r="I890" s="68"/>
      <c r="N890" s="398"/>
      <c r="R890" s="50"/>
      <c r="S890" s="47"/>
      <c r="T890" s="98"/>
      <c r="U890" s="98"/>
      <c r="AF890" s="39"/>
      <c r="AG890" s="490"/>
      <c r="AH890" s="490"/>
    </row>
    <row r="891" spans="3:34" ht="19.5" customHeight="1">
      <c r="C891" s="449"/>
      <c r="D891" s="68"/>
      <c r="E891" s="68"/>
      <c r="G891" s="98"/>
      <c r="H891" s="68"/>
      <c r="I891" s="68"/>
      <c r="N891" s="398"/>
      <c r="R891" s="50"/>
      <c r="S891" s="47"/>
      <c r="T891" s="98"/>
      <c r="U891" s="98"/>
      <c r="AF891" s="39"/>
      <c r="AG891" s="490"/>
      <c r="AH891" s="490"/>
    </row>
    <row r="892" spans="3:34" ht="19.5" customHeight="1">
      <c r="C892" s="449"/>
      <c r="D892" s="68"/>
      <c r="E892" s="68"/>
      <c r="G892" s="98"/>
      <c r="H892" s="68"/>
      <c r="I892" s="68"/>
      <c r="N892" s="398"/>
      <c r="R892" s="50"/>
      <c r="S892" s="47"/>
      <c r="T892" s="98"/>
      <c r="U892" s="98"/>
      <c r="AF892" s="39"/>
      <c r="AG892" s="490"/>
      <c r="AH892" s="490"/>
    </row>
    <row r="893" spans="3:34" ht="19.5" customHeight="1">
      <c r="C893" s="449"/>
      <c r="D893" s="68"/>
      <c r="E893" s="68"/>
      <c r="G893" s="98"/>
      <c r="H893" s="68"/>
      <c r="I893" s="68"/>
      <c r="N893" s="398"/>
      <c r="R893" s="50"/>
      <c r="S893" s="47"/>
      <c r="T893" s="98"/>
      <c r="U893" s="98"/>
      <c r="AF893" s="39"/>
      <c r="AG893" s="490"/>
      <c r="AH893" s="490"/>
    </row>
    <row r="894" spans="3:34" ht="19.5" customHeight="1">
      <c r="C894" s="449"/>
      <c r="D894" s="68"/>
      <c r="E894" s="68"/>
      <c r="G894" s="98"/>
      <c r="H894" s="68"/>
      <c r="I894" s="68"/>
      <c r="N894" s="398"/>
      <c r="R894" s="50"/>
      <c r="S894" s="47"/>
      <c r="T894" s="98"/>
      <c r="U894" s="98"/>
      <c r="AF894" s="39"/>
      <c r="AG894" s="490"/>
      <c r="AH894" s="490"/>
    </row>
    <row r="895" spans="3:34" ht="19.5" customHeight="1">
      <c r="C895" s="449"/>
      <c r="D895" s="68"/>
      <c r="E895" s="68"/>
      <c r="G895" s="98"/>
      <c r="H895" s="68"/>
      <c r="I895" s="68"/>
      <c r="N895" s="398"/>
      <c r="R895" s="50"/>
      <c r="S895" s="47"/>
      <c r="T895" s="98"/>
      <c r="U895" s="98"/>
      <c r="AF895" s="39"/>
      <c r="AG895" s="490"/>
      <c r="AH895" s="490"/>
    </row>
    <row r="896" spans="3:34" ht="19.5" customHeight="1">
      <c r="C896" s="449"/>
      <c r="D896" s="68"/>
      <c r="E896" s="68"/>
      <c r="G896" s="98"/>
      <c r="H896" s="68"/>
      <c r="I896" s="68"/>
      <c r="N896" s="398"/>
      <c r="R896" s="50"/>
      <c r="S896" s="47"/>
      <c r="T896" s="98"/>
      <c r="U896" s="98"/>
      <c r="AF896" s="39"/>
      <c r="AG896" s="490"/>
      <c r="AH896" s="490"/>
    </row>
    <row r="897" spans="3:34" ht="19.5" customHeight="1">
      <c r="C897" s="449"/>
      <c r="D897" s="68"/>
      <c r="E897" s="68"/>
      <c r="G897" s="98"/>
      <c r="H897" s="68"/>
      <c r="I897" s="68"/>
      <c r="N897" s="398"/>
      <c r="R897" s="50"/>
      <c r="S897" s="47"/>
      <c r="T897" s="98"/>
      <c r="U897" s="98"/>
      <c r="AF897" s="39"/>
      <c r="AG897" s="490"/>
      <c r="AH897" s="490"/>
    </row>
    <row r="898" spans="3:34" ht="19.5" customHeight="1">
      <c r="C898" s="449"/>
      <c r="D898" s="68"/>
      <c r="E898" s="68"/>
      <c r="G898" s="98"/>
      <c r="H898" s="68"/>
      <c r="I898" s="68"/>
      <c r="N898" s="398"/>
      <c r="R898" s="50"/>
      <c r="S898" s="47"/>
      <c r="T898" s="98"/>
      <c r="U898" s="98"/>
      <c r="AF898" s="39"/>
      <c r="AG898" s="490"/>
      <c r="AH898" s="490"/>
    </row>
    <row r="899" spans="3:34" ht="19.5" customHeight="1">
      <c r="C899" s="449"/>
      <c r="D899" s="68"/>
      <c r="E899" s="68"/>
      <c r="G899" s="98"/>
      <c r="H899" s="68"/>
      <c r="I899" s="68"/>
      <c r="N899" s="398"/>
      <c r="R899" s="50"/>
      <c r="S899" s="47"/>
      <c r="T899" s="98"/>
      <c r="U899" s="98"/>
      <c r="AF899" s="39"/>
      <c r="AG899" s="490"/>
      <c r="AH899" s="490"/>
    </row>
    <row r="900" spans="3:34" ht="19.5" customHeight="1">
      <c r="C900" s="449"/>
      <c r="D900" s="68"/>
      <c r="E900" s="68"/>
      <c r="G900" s="98"/>
      <c r="H900" s="68"/>
      <c r="I900" s="68"/>
      <c r="N900" s="398"/>
      <c r="R900" s="50"/>
      <c r="S900" s="47"/>
      <c r="T900" s="98"/>
      <c r="U900" s="98"/>
      <c r="AF900" s="39"/>
      <c r="AG900" s="490"/>
      <c r="AH900" s="490"/>
    </row>
    <row r="901" spans="3:34" ht="19.5" customHeight="1">
      <c r="C901" s="449"/>
      <c r="D901" s="68"/>
      <c r="E901" s="68"/>
      <c r="G901" s="98"/>
      <c r="H901" s="68"/>
      <c r="I901" s="68"/>
      <c r="N901" s="398"/>
      <c r="R901" s="50"/>
      <c r="S901" s="47"/>
      <c r="T901" s="98"/>
      <c r="U901" s="98"/>
      <c r="AF901" s="39"/>
      <c r="AG901" s="490"/>
      <c r="AH901" s="490"/>
    </row>
    <row r="902" spans="3:34" ht="19.5" customHeight="1">
      <c r="C902" s="449"/>
      <c r="D902" s="68"/>
      <c r="E902" s="68"/>
      <c r="G902" s="98"/>
      <c r="H902" s="68"/>
      <c r="I902" s="68"/>
      <c r="N902" s="398"/>
      <c r="R902" s="50"/>
      <c r="S902" s="47"/>
      <c r="T902" s="98"/>
      <c r="U902" s="98"/>
      <c r="AF902" s="39"/>
      <c r="AG902" s="490"/>
      <c r="AH902" s="490"/>
    </row>
    <row r="903" spans="3:34" ht="19.5" customHeight="1">
      <c r="C903" s="449"/>
      <c r="D903" s="68"/>
      <c r="E903" s="68"/>
      <c r="G903" s="98"/>
      <c r="H903" s="68"/>
      <c r="I903" s="68"/>
      <c r="N903" s="398"/>
      <c r="R903" s="50"/>
      <c r="S903" s="47"/>
      <c r="T903" s="98"/>
      <c r="U903" s="98"/>
      <c r="AF903" s="39"/>
      <c r="AG903" s="490"/>
      <c r="AH903" s="490"/>
    </row>
    <row r="904" spans="3:34" ht="19.5" customHeight="1">
      <c r="C904" s="449"/>
      <c r="D904" s="68"/>
      <c r="E904" s="68"/>
      <c r="G904" s="98"/>
      <c r="H904" s="68"/>
      <c r="I904" s="68"/>
      <c r="N904" s="398"/>
      <c r="R904" s="50"/>
      <c r="S904" s="47"/>
      <c r="T904" s="98"/>
      <c r="U904" s="98"/>
      <c r="AF904" s="39"/>
      <c r="AG904" s="490"/>
      <c r="AH904" s="490"/>
    </row>
    <row r="905" spans="3:34" ht="19.5" customHeight="1">
      <c r="C905" s="449"/>
      <c r="D905" s="68"/>
      <c r="E905" s="68"/>
      <c r="G905" s="98"/>
      <c r="H905" s="68"/>
      <c r="I905" s="68"/>
      <c r="N905" s="398"/>
      <c r="R905" s="50"/>
      <c r="S905" s="47"/>
      <c r="T905" s="98"/>
      <c r="U905" s="98"/>
      <c r="AF905" s="39"/>
      <c r="AG905" s="490"/>
      <c r="AH905" s="490"/>
    </row>
    <row r="906" spans="3:34" ht="19.5" customHeight="1">
      <c r="C906" s="449"/>
      <c r="D906" s="68"/>
      <c r="E906" s="68"/>
      <c r="G906" s="98"/>
      <c r="H906" s="68"/>
      <c r="I906" s="68"/>
      <c r="N906" s="398"/>
      <c r="R906" s="50"/>
      <c r="S906" s="47"/>
      <c r="T906" s="98"/>
      <c r="U906" s="98"/>
      <c r="AF906" s="39"/>
      <c r="AG906" s="490"/>
      <c r="AH906" s="490"/>
    </row>
    <row r="907" spans="3:34" ht="19.5" customHeight="1">
      <c r="C907" s="449"/>
      <c r="D907" s="68"/>
      <c r="E907" s="68"/>
      <c r="G907" s="98"/>
      <c r="H907" s="68"/>
      <c r="I907" s="68"/>
      <c r="N907" s="398"/>
      <c r="R907" s="50"/>
      <c r="S907" s="47"/>
      <c r="T907" s="98"/>
      <c r="U907" s="98"/>
      <c r="AF907" s="39"/>
      <c r="AG907" s="490"/>
      <c r="AH907" s="490"/>
    </row>
    <row r="908" spans="3:34" ht="19.5" customHeight="1">
      <c r="C908" s="449"/>
      <c r="D908" s="68"/>
      <c r="E908" s="68"/>
      <c r="G908" s="98"/>
      <c r="H908" s="68"/>
      <c r="I908" s="68"/>
      <c r="N908" s="398"/>
      <c r="R908" s="50"/>
      <c r="S908" s="47"/>
      <c r="T908" s="98"/>
      <c r="U908" s="98"/>
      <c r="AF908" s="39"/>
      <c r="AG908" s="490"/>
      <c r="AH908" s="490"/>
    </row>
    <row r="909" spans="3:34" ht="19.5" customHeight="1">
      <c r="C909" s="449"/>
      <c r="D909" s="68"/>
      <c r="E909" s="68"/>
      <c r="G909" s="98"/>
      <c r="H909" s="68"/>
      <c r="I909" s="68"/>
      <c r="N909" s="398"/>
      <c r="R909" s="50"/>
      <c r="S909" s="47"/>
      <c r="T909" s="98"/>
      <c r="U909" s="98"/>
      <c r="AF909" s="39"/>
      <c r="AG909" s="490"/>
      <c r="AH909" s="490"/>
    </row>
    <row r="910" spans="3:34" ht="19.5" customHeight="1">
      <c r="C910" s="449"/>
      <c r="D910" s="68"/>
      <c r="E910" s="68"/>
      <c r="G910" s="98"/>
      <c r="H910" s="68"/>
      <c r="I910" s="68"/>
      <c r="N910" s="398"/>
      <c r="R910" s="50"/>
      <c r="S910" s="47"/>
      <c r="T910" s="98"/>
      <c r="U910" s="98"/>
      <c r="AF910" s="39"/>
      <c r="AG910" s="490"/>
      <c r="AH910" s="490"/>
    </row>
    <row r="911" spans="3:34" ht="19.5" customHeight="1">
      <c r="C911" s="449"/>
      <c r="D911" s="68"/>
      <c r="E911" s="68"/>
      <c r="G911" s="98"/>
      <c r="H911" s="68"/>
      <c r="I911" s="68"/>
      <c r="N911" s="398"/>
      <c r="R911" s="50"/>
      <c r="S911" s="47"/>
      <c r="T911" s="98"/>
      <c r="U911" s="98"/>
      <c r="AF911" s="39"/>
      <c r="AG911" s="490"/>
      <c r="AH911" s="490"/>
    </row>
    <row r="912" spans="3:34" ht="19.5" customHeight="1">
      <c r="C912" s="449"/>
      <c r="D912" s="68"/>
      <c r="E912" s="68"/>
      <c r="G912" s="98"/>
      <c r="H912" s="68"/>
      <c r="I912" s="68"/>
      <c r="N912" s="398"/>
      <c r="R912" s="50"/>
      <c r="S912" s="47"/>
      <c r="T912" s="98"/>
      <c r="U912" s="98"/>
      <c r="AF912" s="39"/>
      <c r="AG912" s="490"/>
      <c r="AH912" s="490"/>
    </row>
    <row r="913" spans="3:34" ht="19.5" customHeight="1">
      <c r="C913" s="449"/>
      <c r="D913" s="68"/>
      <c r="E913" s="68"/>
      <c r="G913" s="98"/>
      <c r="H913" s="68"/>
      <c r="I913" s="68"/>
      <c r="N913" s="398"/>
      <c r="R913" s="50"/>
      <c r="S913" s="47"/>
      <c r="T913" s="98"/>
      <c r="U913" s="98"/>
      <c r="AF913" s="39"/>
      <c r="AG913" s="490"/>
      <c r="AH913" s="490"/>
    </row>
    <row r="914" spans="3:34" ht="19.5" customHeight="1">
      <c r="C914" s="449"/>
      <c r="D914" s="68"/>
      <c r="E914" s="68"/>
      <c r="G914" s="98"/>
      <c r="H914" s="68"/>
      <c r="I914" s="68"/>
      <c r="N914" s="398"/>
      <c r="R914" s="50"/>
      <c r="S914" s="47"/>
      <c r="T914" s="98"/>
      <c r="U914" s="98"/>
      <c r="AF914" s="39"/>
      <c r="AG914" s="490"/>
      <c r="AH914" s="490"/>
    </row>
    <row r="915" spans="3:34" ht="19.5" customHeight="1">
      <c r="C915" s="449"/>
      <c r="D915" s="68"/>
      <c r="E915" s="68"/>
      <c r="G915" s="98"/>
      <c r="H915" s="68"/>
      <c r="I915" s="68"/>
      <c r="N915" s="398"/>
      <c r="R915" s="50"/>
      <c r="S915" s="47"/>
      <c r="T915" s="98"/>
      <c r="U915" s="98"/>
      <c r="AF915" s="39"/>
      <c r="AG915" s="490"/>
      <c r="AH915" s="490"/>
    </row>
    <row r="916" spans="3:34" ht="19.5" customHeight="1">
      <c r="C916" s="449"/>
      <c r="D916" s="68"/>
      <c r="E916" s="68"/>
      <c r="G916" s="98"/>
      <c r="H916" s="68"/>
      <c r="I916" s="68"/>
      <c r="N916" s="398"/>
      <c r="R916" s="50"/>
      <c r="S916" s="47"/>
      <c r="T916" s="98"/>
      <c r="U916" s="98"/>
      <c r="AF916" s="39"/>
      <c r="AG916" s="490"/>
      <c r="AH916" s="490"/>
    </row>
    <row r="917" spans="3:34" ht="19.5" customHeight="1">
      <c r="C917" s="449"/>
      <c r="D917" s="68"/>
      <c r="E917" s="68"/>
      <c r="G917" s="98"/>
      <c r="H917" s="68"/>
      <c r="I917" s="68"/>
      <c r="N917" s="398"/>
      <c r="R917" s="50"/>
      <c r="S917" s="47"/>
      <c r="T917" s="98"/>
      <c r="U917" s="98"/>
      <c r="AF917" s="39"/>
      <c r="AG917" s="490"/>
      <c r="AH917" s="490"/>
    </row>
    <row r="918" spans="3:34" ht="19.5" customHeight="1">
      <c r="C918" s="449"/>
      <c r="D918" s="68"/>
      <c r="E918" s="68"/>
      <c r="G918" s="98"/>
      <c r="H918" s="68"/>
      <c r="I918" s="68"/>
      <c r="N918" s="398"/>
      <c r="R918" s="50"/>
      <c r="S918" s="47"/>
      <c r="T918" s="98"/>
      <c r="U918" s="98"/>
      <c r="AF918" s="39"/>
      <c r="AG918" s="490"/>
      <c r="AH918" s="490"/>
    </row>
    <row r="919" spans="3:34" ht="19.5" customHeight="1">
      <c r="C919" s="449"/>
      <c r="D919" s="68"/>
      <c r="E919" s="68"/>
      <c r="G919" s="98"/>
      <c r="H919" s="68"/>
      <c r="I919" s="68"/>
      <c r="N919" s="398"/>
      <c r="R919" s="50"/>
      <c r="S919" s="47"/>
      <c r="T919" s="98"/>
      <c r="U919" s="98"/>
      <c r="AF919" s="39"/>
      <c r="AG919" s="490"/>
      <c r="AH919" s="490"/>
    </row>
    <row r="920" spans="3:34" ht="19.5" customHeight="1">
      <c r="C920" s="449"/>
      <c r="D920" s="68"/>
      <c r="E920" s="68"/>
      <c r="G920" s="98"/>
      <c r="H920" s="68"/>
      <c r="I920" s="68"/>
      <c r="N920" s="398"/>
      <c r="R920" s="50"/>
      <c r="S920" s="47"/>
      <c r="T920" s="98"/>
      <c r="U920" s="98"/>
      <c r="AF920" s="39"/>
      <c r="AG920" s="490"/>
      <c r="AH920" s="490"/>
    </row>
    <row r="921" spans="3:34" ht="19.5" customHeight="1">
      <c r="C921" s="449"/>
      <c r="D921" s="68"/>
      <c r="E921" s="68"/>
      <c r="G921" s="98"/>
      <c r="H921" s="68"/>
      <c r="I921" s="68"/>
      <c r="N921" s="398"/>
      <c r="R921" s="50"/>
      <c r="S921" s="47"/>
      <c r="T921" s="98"/>
      <c r="U921" s="98"/>
      <c r="AF921" s="39"/>
      <c r="AG921" s="490"/>
      <c r="AH921" s="490"/>
    </row>
    <row r="922" spans="3:34" ht="19.5" customHeight="1">
      <c r="C922" s="449"/>
      <c r="D922" s="68"/>
      <c r="E922" s="68"/>
      <c r="G922" s="98"/>
      <c r="H922" s="68"/>
      <c r="I922" s="68"/>
      <c r="N922" s="398"/>
      <c r="R922" s="50"/>
      <c r="S922" s="47"/>
      <c r="T922" s="98"/>
      <c r="U922" s="98"/>
      <c r="AF922" s="39"/>
      <c r="AG922" s="490"/>
      <c r="AH922" s="490"/>
    </row>
    <row r="923" spans="3:34" ht="19.5" customHeight="1">
      <c r="C923" s="449"/>
      <c r="D923" s="68"/>
      <c r="E923" s="68"/>
      <c r="G923" s="98"/>
      <c r="H923" s="68"/>
      <c r="I923" s="68"/>
      <c r="N923" s="398"/>
      <c r="R923" s="50"/>
      <c r="S923" s="47"/>
      <c r="T923" s="98"/>
      <c r="U923" s="98"/>
      <c r="AF923" s="39"/>
      <c r="AG923" s="490"/>
      <c r="AH923" s="490"/>
    </row>
    <row r="924" spans="3:34" ht="19.5" customHeight="1">
      <c r="C924" s="449"/>
      <c r="D924" s="68"/>
      <c r="E924" s="68"/>
      <c r="G924" s="98"/>
      <c r="H924" s="68"/>
      <c r="I924" s="68"/>
      <c r="N924" s="398"/>
      <c r="R924" s="50"/>
      <c r="S924" s="47"/>
      <c r="T924" s="98"/>
      <c r="U924" s="98"/>
      <c r="AF924" s="39"/>
      <c r="AG924" s="490"/>
      <c r="AH924" s="490"/>
    </row>
    <row r="925" spans="3:34" ht="19.5" customHeight="1">
      <c r="C925" s="449"/>
      <c r="D925" s="68"/>
      <c r="E925" s="68"/>
      <c r="G925" s="98"/>
      <c r="H925" s="68"/>
      <c r="I925" s="68"/>
      <c r="N925" s="398"/>
      <c r="R925" s="50"/>
      <c r="S925" s="47"/>
      <c r="T925" s="98"/>
      <c r="U925" s="98"/>
      <c r="AF925" s="39"/>
      <c r="AG925" s="490"/>
      <c r="AH925" s="490"/>
    </row>
    <row r="926" spans="3:34" ht="19.5" customHeight="1">
      <c r="C926" s="449"/>
      <c r="D926" s="68"/>
      <c r="E926" s="68"/>
      <c r="G926" s="98"/>
      <c r="H926" s="68"/>
      <c r="I926" s="68"/>
      <c r="N926" s="398"/>
      <c r="R926" s="50"/>
      <c r="S926" s="47"/>
      <c r="T926" s="98"/>
      <c r="U926" s="98"/>
      <c r="AF926" s="39"/>
      <c r="AG926" s="490"/>
      <c r="AH926" s="490"/>
    </row>
    <row r="927" spans="3:34" ht="19.5" customHeight="1">
      <c r="C927" s="449"/>
      <c r="D927" s="68"/>
      <c r="E927" s="68"/>
      <c r="G927" s="98"/>
      <c r="H927" s="68"/>
      <c r="I927" s="68"/>
      <c r="N927" s="398"/>
      <c r="R927" s="50"/>
      <c r="S927" s="47"/>
      <c r="T927" s="98"/>
      <c r="U927" s="98"/>
      <c r="AF927" s="39"/>
      <c r="AG927" s="490"/>
      <c r="AH927" s="490"/>
    </row>
    <row r="928" spans="3:34" ht="19.5" customHeight="1">
      <c r="C928" s="449"/>
      <c r="D928" s="68"/>
      <c r="E928" s="68"/>
      <c r="G928" s="98"/>
      <c r="H928" s="68"/>
      <c r="I928" s="68"/>
      <c r="N928" s="398"/>
      <c r="R928" s="50"/>
      <c r="S928" s="47"/>
      <c r="T928" s="98"/>
      <c r="U928" s="98"/>
      <c r="AF928" s="39"/>
      <c r="AG928" s="490"/>
      <c r="AH928" s="490"/>
    </row>
    <row r="929" spans="3:34" ht="19.5" customHeight="1">
      <c r="C929" s="449"/>
      <c r="D929" s="68"/>
      <c r="E929" s="68"/>
      <c r="G929" s="98"/>
      <c r="H929" s="68"/>
      <c r="I929" s="68"/>
      <c r="N929" s="398"/>
      <c r="R929" s="50"/>
      <c r="S929" s="47"/>
      <c r="T929" s="98"/>
      <c r="U929" s="98"/>
      <c r="AF929" s="39"/>
      <c r="AG929" s="490"/>
      <c r="AH929" s="490"/>
    </row>
    <row r="930" spans="3:34" ht="19.5" customHeight="1">
      <c r="C930" s="449"/>
      <c r="D930" s="68"/>
      <c r="E930" s="68"/>
      <c r="G930" s="98"/>
      <c r="H930" s="68"/>
      <c r="I930" s="68"/>
      <c r="N930" s="398"/>
      <c r="R930" s="50"/>
      <c r="S930" s="47"/>
      <c r="T930" s="98"/>
      <c r="U930" s="98"/>
      <c r="AF930" s="39"/>
      <c r="AG930" s="490"/>
      <c r="AH930" s="490"/>
    </row>
    <row r="931" spans="3:34" ht="19.5" customHeight="1">
      <c r="C931" s="449"/>
      <c r="D931" s="68"/>
      <c r="E931" s="68"/>
      <c r="G931" s="98"/>
      <c r="H931" s="68"/>
      <c r="I931" s="68"/>
      <c r="N931" s="398"/>
      <c r="R931" s="50"/>
      <c r="S931" s="47"/>
      <c r="T931" s="98"/>
      <c r="U931" s="98"/>
      <c r="AF931" s="39"/>
      <c r="AG931" s="490"/>
      <c r="AH931" s="490"/>
    </row>
    <row r="932" spans="3:34" ht="19.5" customHeight="1">
      <c r="C932" s="449"/>
      <c r="D932" s="68"/>
      <c r="E932" s="68"/>
      <c r="G932" s="98"/>
      <c r="H932" s="68"/>
      <c r="I932" s="68"/>
      <c r="N932" s="398"/>
      <c r="R932" s="50"/>
      <c r="S932" s="47"/>
      <c r="T932" s="98"/>
      <c r="U932" s="98"/>
      <c r="AF932" s="39"/>
      <c r="AG932" s="490"/>
      <c r="AH932" s="490"/>
    </row>
    <row r="933" spans="3:34" ht="19.5" customHeight="1">
      <c r="C933" s="449"/>
      <c r="D933" s="68"/>
      <c r="E933" s="68"/>
      <c r="G933" s="98"/>
      <c r="H933" s="68"/>
      <c r="I933" s="68"/>
      <c r="N933" s="398"/>
      <c r="R933" s="50"/>
      <c r="S933" s="47"/>
      <c r="T933" s="98"/>
      <c r="U933" s="98"/>
      <c r="AF933" s="39"/>
      <c r="AG933" s="490"/>
      <c r="AH933" s="490"/>
    </row>
    <row r="934" spans="3:34" ht="19.5" customHeight="1">
      <c r="C934" s="449"/>
      <c r="D934" s="68"/>
      <c r="E934" s="68"/>
      <c r="G934" s="98"/>
      <c r="H934" s="68"/>
      <c r="I934" s="68"/>
      <c r="N934" s="398"/>
      <c r="R934" s="50"/>
      <c r="S934" s="47"/>
      <c r="T934" s="98"/>
      <c r="U934" s="98"/>
      <c r="AF934" s="39"/>
      <c r="AG934" s="490"/>
      <c r="AH934" s="490"/>
    </row>
    <row r="935" spans="3:34" ht="19.5" customHeight="1">
      <c r="C935" s="449"/>
      <c r="D935" s="68"/>
      <c r="E935" s="68"/>
      <c r="G935" s="98"/>
      <c r="H935" s="68"/>
      <c r="I935" s="68"/>
      <c r="N935" s="398"/>
      <c r="R935" s="50"/>
      <c r="S935" s="47"/>
      <c r="T935" s="98"/>
      <c r="U935" s="98"/>
      <c r="AF935" s="39"/>
      <c r="AG935" s="490"/>
      <c r="AH935" s="490"/>
    </row>
    <row r="936" spans="3:34" ht="19.5" customHeight="1">
      <c r="C936" s="449"/>
      <c r="D936" s="68"/>
      <c r="E936" s="68"/>
      <c r="G936" s="98"/>
      <c r="H936" s="68"/>
      <c r="I936" s="68"/>
      <c r="N936" s="398"/>
      <c r="R936" s="50"/>
      <c r="S936" s="47"/>
      <c r="T936" s="98"/>
      <c r="U936" s="98"/>
      <c r="AF936" s="39"/>
      <c r="AG936" s="490"/>
      <c r="AH936" s="490"/>
    </row>
    <row r="937" spans="3:34" ht="19.5" customHeight="1">
      <c r="C937" s="449"/>
      <c r="D937" s="68"/>
      <c r="E937" s="68"/>
      <c r="G937" s="98"/>
      <c r="H937" s="68"/>
      <c r="I937" s="68"/>
      <c r="N937" s="398"/>
      <c r="R937" s="50"/>
      <c r="S937" s="47"/>
      <c r="T937" s="98"/>
      <c r="U937" s="98"/>
      <c r="AF937" s="39"/>
      <c r="AG937" s="490"/>
      <c r="AH937" s="490"/>
    </row>
    <row r="938" spans="3:34" ht="19.5" customHeight="1">
      <c r="C938" s="449"/>
      <c r="D938" s="68"/>
      <c r="E938" s="68"/>
      <c r="G938" s="98"/>
      <c r="H938" s="68"/>
      <c r="I938" s="68"/>
      <c r="N938" s="398"/>
      <c r="R938" s="50"/>
      <c r="S938" s="47"/>
      <c r="T938" s="98"/>
      <c r="U938" s="98"/>
      <c r="AF938" s="39"/>
      <c r="AG938" s="490"/>
      <c r="AH938" s="490"/>
    </row>
    <row r="939" spans="3:34" ht="19.5" customHeight="1">
      <c r="C939" s="449"/>
      <c r="D939" s="68"/>
      <c r="E939" s="68"/>
      <c r="G939" s="98"/>
      <c r="H939" s="68"/>
      <c r="I939" s="68"/>
      <c r="N939" s="398"/>
      <c r="R939" s="50"/>
      <c r="S939" s="47"/>
      <c r="T939" s="98"/>
      <c r="U939" s="98"/>
      <c r="AF939" s="39"/>
      <c r="AG939" s="490"/>
      <c r="AH939" s="490"/>
    </row>
    <row r="940" spans="3:34" ht="19.5" customHeight="1">
      <c r="C940" s="449"/>
      <c r="D940" s="68"/>
      <c r="E940" s="68"/>
      <c r="G940" s="98"/>
      <c r="H940" s="68"/>
      <c r="I940" s="68"/>
      <c r="N940" s="398"/>
      <c r="R940" s="50"/>
      <c r="S940" s="47"/>
      <c r="T940" s="98"/>
      <c r="U940" s="98"/>
      <c r="AF940" s="39"/>
      <c r="AG940" s="490"/>
      <c r="AH940" s="490"/>
    </row>
    <row r="941" spans="3:34" ht="19.5" customHeight="1">
      <c r="C941" s="449"/>
      <c r="D941" s="68"/>
      <c r="E941" s="68"/>
      <c r="G941" s="98"/>
      <c r="H941" s="68"/>
      <c r="I941" s="68"/>
      <c r="N941" s="398"/>
      <c r="R941" s="50"/>
      <c r="S941" s="47"/>
      <c r="T941" s="98"/>
      <c r="U941" s="98"/>
      <c r="AF941" s="39"/>
      <c r="AG941" s="490"/>
      <c r="AH941" s="490"/>
    </row>
    <row r="942" spans="3:34" ht="19.5" customHeight="1">
      <c r="C942" s="449"/>
      <c r="D942" s="68"/>
      <c r="E942" s="68"/>
      <c r="G942" s="98"/>
      <c r="H942" s="68"/>
      <c r="I942" s="68"/>
      <c r="N942" s="398"/>
      <c r="R942" s="50"/>
      <c r="S942" s="47"/>
      <c r="T942" s="98"/>
      <c r="U942" s="98"/>
      <c r="AF942" s="39"/>
      <c r="AG942" s="490"/>
      <c r="AH942" s="490"/>
    </row>
    <row r="943" spans="3:34" ht="19.5" customHeight="1">
      <c r="C943" s="449"/>
      <c r="D943" s="68"/>
      <c r="E943" s="68"/>
      <c r="G943" s="98"/>
      <c r="H943" s="68"/>
      <c r="I943" s="68"/>
      <c r="N943" s="398"/>
      <c r="R943" s="50"/>
      <c r="S943" s="47"/>
      <c r="T943" s="98"/>
      <c r="U943" s="98"/>
      <c r="AF943" s="39"/>
      <c r="AG943" s="490"/>
      <c r="AH943" s="490"/>
    </row>
    <row r="944" spans="3:34" ht="19.5" customHeight="1">
      <c r="C944" s="449"/>
      <c r="D944" s="68"/>
      <c r="E944" s="68"/>
      <c r="G944" s="98"/>
      <c r="H944" s="68"/>
      <c r="I944" s="68"/>
      <c r="N944" s="398"/>
      <c r="R944" s="50"/>
      <c r="S944" s="47"/>
      <c r="T944" s="98"/>
      <c r="U944" s="98"/>
      <c r="AF944" s="39"/>
      <c r="AG944" s="490"/>
      <c r="AH944" s="490"/>
    </row>
    <row r="945" spans="3:34" ht="19.5" customHeight="1">
      <c r="C945" s="449"/>
      <c r="D945" s="68"/>
      <c r="E945" s="68"/>
      <c r="G945" s="98"/>
      <c r="H945" s="68"/>
      <c r="I945" s="68"/>
      <c r="N945" s="398"/>
      <c r="R945" s="50"/>
      <c r="S945" s="47"/>
      <c r="T945" s="98"/>
      <c r="U945" s="98"/>
      <c r="AF945" s="39"/>
      <c r="AG945" s="490"/>
      <c r="AH945" s="490"/>
    </row>
    <row r="946" spans="3:34" ht="19.5" customHeight="1">
      <c r="C946" s="449"/>
      <c r="D946" s="68"/>
      <c r="E946" s="68"/>
      <c r="G946" s="98"/>
      <c r="H946" s="68"/>
      <c r="I946" s="68"/>
      <c r="N946" s="398"/>
      <c r="R946" s="50"/>
      <c r="S946" s="47"/>
      <c r="T946" s="98"/>
      <c r="U946" s="98"/>
      <c r="AF946" s="39"/>
      <c r="AG946" s="490"/>
      <c r="AH946" s="490"/>
    </row>
    <row r="947" spans="3:34" ht="19.5" customHeight="1">
      <c r="C947" s="449"/>
      <c r="D947" s="68"/>
      <c r="E947" s="68"/>
      <c r="G947" s="98"/>
      <c r="H947" s="68"/>
      <c r="I947" s="68"/>
      <c r="N947" s="398"/>
      <c r="R947" s="50"/>
      <c r="S947" s="47"/>
      <c r="T947" s="98"/>
      <c r="U947" s="98"/>
      <c r="AF947" s="39"/>
      <c r="AG947" s="490"/>
      <c r="AH947" s="490"/>
    </row>
    <row r="948" spans="3:34" ht="19.5" customHeight="1">
      <c r="C948" s="449"/>
      <c r="D948" s="68"/>
      <c r="E948" s="68"/>
      <c r="G948" s="98"/>
      <c r="H948" s="68"/>
      <c r="I948" s="68"/>
      <c r="N948" s="398"/>
      <c r="R948" s="50"/>
      <c r="S948" s="47"/>
      <c r="T948" s="98"/>
      <c r="U948" s="98"/>
      <c r="AF948" s="39"/>
      <c r="AG948" s="490"/>
      <c r="AH948" s="490"/>
    </row>
    <row r="949" spans="3:34" ht="19.5" customHeight="1">
      <c r="C949" s="449"/>
      <c r="D949" s="68"/>
      <c r="E949" s="68"/>
      <c r="G949" s="98"/>
      <c r="H949" s="68"/>
      <c r="I949" s="68"/>
      <c r="N949" s="398"/>
      <c r="R949" s="50"/>
      <c r="S949" s="47"/>
      <c r="T949" s="98"/>
      <c r="U949" s="98"/>
      <c r="AF949" s="39"/>
      <c r="AG949" s="490"/>
      <c r="AH949" s="490"/>
    </row>
    <row r="950" spans="3:34" ht="19.5" customHeight="1">
      <c r="C950" s="449"/>
      <c r="D950" s="68"/>
      <c r="E950" s="68"/>
      <c r="G950" s="98"/>
      <c r="H950" s="68"/>
      <c r="I950" s="68"/>
      <c r="N950" s="398"/>
      <c r="R950" s="50"/>
      <c r="S950" s="47"/>
      <c r="T950" s="98"/>
      <c r="U950" s="98"/>
      <c r="AF950" s="39"/>
      <c r="AG950" s="490"/>
      <c r="AH950" s="490"/>
    </row>
    <row r="951" spans="3:34" ht="19.5" customHeight="1">
      <c r="C951" s="449"/>
      <c r="D951" s="68"/>
      <c r="E951" s="68"/>
      <c r="G951" s="98"/>
      <c r="H951" s="68"/>
      <c r="I951" s="68"/>
      <c r="N951" s="398"/>
      <c r="R951" s="50"/>
      <c r="S951" s="47"/>
      <c r="T951" s="98"/>
      <c r="U951" s="98"/>
      <c r="AF951" s="39"/>
      <c r="AG951" s="490"/>
      <c r="AH951" s="490"/>
    </row>
    <row r="952" spans="3:34" ht="19.5" customHeight="1">
      <c r="C952" s="449"/>
      <c r="D952" s="68"/>
      <c r="E952" s="68"/>
      <c r="G952" s="98"/>
      <c r="H952" s="68"/>
      <c r="I952" s="68"/>
      <c r="N952" s="398"/>
      <c r="R952" s="50"/>
      <c r="S952" s="47"/>
      <c r="T952" s="98"/>
      <c r="U952" s="98"/>
      <c r="AF952" s="39"/>
      <c r="AG952" s="490"/>
      <c r="AH952" s="490"/>
    </row>
    <row r="953" spans="3:34" ht="19.5" customHeight="1">
      <c r="C953" s="449"/>
      <c r="D953" s="68"/>
      <c r="E953" s="68"/>
      <c r="G953" s="98"/>
      <c r="H953" s="68"/>
      <c r="I953" s="68"/>
      <c r="N953" s="398"/>
      <c r="R953" s="50"/>
      <c r="S953" s="47"/>
      <c r="T953" s="98"/>
      <c r="U953" s="98"/>
      <c r="AF953" s="39"/>
      <c r="AG953" s="490"/>
      <c r="AH953" s="490"/>
    </row>
    <row r="954" spans="3:34" ht="19.5" customHeight="1">
      <c r="C954" s="449"/>
      <c r="D954" s="68"/>
      <c r="E954" s="68"/>
      <c r="G954" s="98"/>
      <c r="H954" s="68"/>
      <c r="I954" s="68"/>
      <c r="N954" s="398"/>
      <c r="R954" s="50"/>
      <c r="S954" s="47"/>
      <c r="T954" s="98"/>
      <c r="U954" s="98"/>
      <c r="AF954" s="39"/>
      <c r="AG954" s="490"/>
      <c r="AH954" s="490"/>
    </row>
    <row r="955" spans="3:34" ht="19.5" customHeight="1">
      <c r="C955" s="449"/>
      <c r="D955" s="68"/>
      <c r="E955" s="68"/>
      <c r="G955" s="98"/>
      <c r="H955" s="68"/>
      <c r="I955" s="68"/>
      <c r="N955" s="398"/>
      <c r="R955" s="50"/>
      <c r="S955" s="47"/>
      <c r="T955" s="98"/>
      <c r="U955" s="98"/>
      <c r="AF955" s="39"/>
      <c r="AG955" s="490"/>
      <c r="AH955" s="490"/>
    </row>
    <row r="956" spans="3:34" ht="19.5" customHeight="1">
      <c r="C956" s="449"/>
      <c r="D956" s="68"/>
      <c r="E956" s="68"/>
      <c r="G956" s="98"/>
      <c r="H956" s="68"/>
      <c r="I956" s="68"/>
      <c r="N956" s="398"/>
      <c r="R956" s="50"/>
      <c r="S956" s="47"/>
      <c r="T956" s="98"/>
      <c r="U956" s="98"/>
      <c r="AF956" s="39"/>
      <c r="AG956" s="490"/>
      <c r="AH956" s="490"/>
    </row>
    <row r="957" spans="3:34" ht="19.5" customHeight="1">
      <c r="C957" s="449"/>
      <c r="D957" s="68"/>
      <c r="E957" s="68"/>
      <c r="G957" s="98"/>
      <c r="H957" s="68"/>
      <c r="I957" s="68"/>
      <c r="N957" s="398"/>
      <c r="R957" s="50"/>
      <c r="S957" s="47"/>
      <c r="T957" s="98"/>
      <c r="U957" s="98"/>
      <c r="AF957" s="39"/>
      <c r="AG957" s="490"/>
      <c r="AH957" s="490"/>
    </row>
    <row r="958" spans="3:34" ht="19.5" customHeight="1">
      <c r="C958" s="449"/>
      <c r="D958" s="68"/>
      <c r="E958" s="68"/>
      <c r="G958" s="98"/>
      <c r="H958" s="68"/>
      <c r="I958" s="68"/>
      <c r="N958" s="398"/>
      <c r="R958" s="50"/>
      <c r="S958" s="47"/>
      <c r="T958" s="98"/>
      <c r="U958" s="98"/>
      <c r="AF958" s="39"/>
      <c r="AG958" s="490"/>
      <c r="AH958" s="490"/>
    </row>
    <row r="959" spans="3:34" ht="19.5" customHeight="1">
      <c r="C959" s="449"/>
      <c r="D959" s="68"/>
      <c r="E959" s="68"/>
      <c r="G959" s="98"/>
      <c r="H959" s="68"/>
      <c r="I959" s="68"/>
      <c r="N959" s="398"/>
      <c r="R959" s="50"/>
      <c r="S959" s="47"/>
      <c r="T959" s="98"/>
      <c r="U959" s="98"/>
      <c r="AF959" s="39"/>
      <c r="AG959" s="490"/>
      <c r="AH959" s="490"/>
    </row>
    <row r="960" spans="3:34" ht="19.5" customHeight="1">
      <c r="C960" s="449"/>
      <c r="D960" s="68"/>
      <c r="E960" s="68"/>
      <c r="G960" s="98"/>
      <c r="H960" s="68"/>
      <c r="I960" s="68"/>
      <c r="N960" s="398"/>
      <c r="R960" s="50"/>
      <c r="S960" s="47"/>
      <c r="T960" s="98"/>
      <c r="U960" s="98"/>
      <c r="AF960" s="39"/>
      <c r="AG960" s="490"/>
      <c r="AH960" s="490"/>
    </row>
    <row r="961" spans="3:34" ht="19.5" customHeight="1">
      <c r="C961" s="449"/>
      <c r="D961" s="68"/>
      <c r="E961" s="68"/>
      <c r="G961" s="98"/>
      <c r="H961" s="68"/>
      <c r="I961" s="68"/>
      <c r="N961" s="398"/>
      <c r="R961" s="50"/>
      <c r="S961" s="47"/>
      <c r="T961" s="98"/>
      <c r="U961" s="98"/>
      <c r="AF961" s="39"/>
      <c r="AG961" s="490"/>
      <c r="AH961" s="490"/>
    </row>
    <row r="962" spans="3:34" ht="19.5" customHeight="1">
      <c r="C962" s="449"/>
      <c r="D962" s="68"/>
      <c r="E962" s="68"/>
      <c r="G962" s="98"/>
      <c r="H962" s="68"/>
      <c r="I962" s="68"/>
      <c r="N962" s="398"/>
      <c r="R962" s="50"/>
      <c r="S962" s="47"/>
      <c r="T962" s="98"/>
      <c r="U962" s="98"/>
      <c r="AF962" s="39"/>
      <c r="AG962" s="490"/>
      <c r="AH962" s="490"/>
    </row>
    <row r="963" spans="3:34" ht="19.5" customHeight="1">
      <c r="C963" s="449"/>
      <c r="D963" s="68"/>
      <c r="E963" s="68"/>
      <c r="G963" s="98"/>
      <c r="H963" s="68"/>
      <c r="I963" s="68"/>
      <c r="N963" s="398"/>
      <c r="R963" s="50"/>
      <c r="S963" s="47"/>
      <c r="T963" s="98"/>
      <c r="U963" s="98"/>
      <c r="AF963" s="39"/>
      <c r="AG963" s="490"/>
      <c r="AH963" s="490"/>
    </row>
    <row r="964" spans="3:34" ht="19.5" customHeight="1">
      <c r="C964" s="449"/>
      <c r="D964" s="68"/>
      <c r="E964" s="68"/>
      <c r="G964" s="98"/>
      <c r="H964" s="68"/>
      <c r="I964" s="68"/>
      <c r="N964" s="398"/>
      <c r="R964" s="50"/>
      <c r="S964" s="47"/>
      <c r="T964" s="98"/>
      <c r="U964" s="98"/>
      <c r="AF964" s="39"/>
      <c r="AG964" s="490"/>
      <c r="AH964" s="490"/>
    </row>
    <row r="965" spans="3:34" ht="19.5" customHeight="1">
      <c r="C965" s="449"/>
      <c r="D965" s="68"/>
      <c r="E965" s="68"/>
      <c r="G965" s="98"/>
      <c r="H965" s="68"/>
      <c r="I965" s="68"/>
      <c r="N965" s="398"/>
      <c r="R965" s="50"/>
      <c r="S965" s="47"/>
      <c r="T965" s="98"/>
      <c r="U965" s="98"/>
      <c r="AF965" s="39"/>
      <c r="AG965" s="490"/>
      <c r="AH965" s="490"/>
    </row>
    <row r="966" spans="3:34" ht="19.5" customHeight="1">
      <c r="C966" s="449"/>
      <c r="D966" s="68"/>
      <c r="E966" s="68"/>
      <c r="G966" s="98"/>
      <c r="H966" s="68"/>
      <c r="I966" s="68"/>
      <c r="N966" s="398"/>
      <c r="R966" s="50"/>
      <c r="S966" s="47"/>
      <c r="T966" s="98"/>
      <c r="U966" s="98"/>
      <c r="AF966" s="39"/>
      <c r="AG966" s="490"/>
      <c r="AH966" s="490"/>
    </row>
    <row r="967" spans="3:34" ht="19.5" customHeight="1">
      <c r="C967" s="449"/>
      <c r="D967" s="68"/>
      <c r="E967" s="68"/>
      <c r="G967" s="98"/>
      <c r="H967" s="68"/>
      <c r="I967" s="68"/>
      <c r="N967" s="398"/>
      <c r="R967" s="50"/>
      <c r="S967" s="47"/>
      <c r="T967" s="98"/>
      <c r="U967" s="98"/>
      <c r="AF967" s="39"/>
      <c r="AG967" s="490"/>
      <c r="AH967" s="490"/>
    </row>
    <row r="968" spans="3:34" ht="19.5" customHeight="1">
      <c r="C968" s="449"/>
      <c r="D968" s="68"/>
      <c r="E968" s="68"/>
      <c r="G968" s="98"/>
      <c r="H968" s="68"/>
      <c r="I968" s="68"/>
      <c r="N968" s="398"/>
      <c r="R968" s="50"/>
      <c r="S968" s="47"/>
      <c r="T968" s="98"/>
      <c r="U968" s="98"/>
      <c r="AF968" s="39"/>
      <c r="AG968" s="490"/>
      <c r="AH968" s="490"/>
    </row>
    <row r="969" spans="3:34" ht="19.5" customHeight="1">
      <c r="C969" s="449"/>
      <c r="D969" s="68"/>
      <c r="E969" s="68"/>
      <c r="G969" s="98"/>
      <c r="H969" s="68"/>
      <c r="I969" s="68"/>
      <c r="N969" s="398"/>
      <c r="R969" s="50"/>
      <c r="S969" s="47"/>
      <c r="T969" s="98"/>
      <c r="U969" s="98"/>
      <c r="AF969" s="39"/>
      <c r="AG969" s="490"/>
      <c r="AH969" s="490"/>
    </row>
    <row r="970" spans="3:34" ht="19.5" customHeight="1">
      <c r="C970" s="449"/>
      <c r="D970" s="68"/>
      <c r="E970" s="68"/>
      <c r="G970" s="98"/>
      <c r="H970" s="68"/>
      <c r="I970" s="68"/>
      <c r="N970" s="398"/>
      <c r="R970" s="50"/>
      <c r="S970" s="47"/>
      <c r="T970" s="98"/>
      <c r="U970" s="98"/>
      <c r="AF970" s="39"/>
      <c r="AG970" s="490"/>
      <c r="AH970" s="490"/>
    </row>
    <row r="971" spans="3:34" ht="19.5" customHeight="1">
      <c r="C971" s="449"/>
      <c r="D971" s="68"/>
      <c r="E971" s="68"/>
      <c r="G971" s="98"/>
      <c r="H971" s="68"/>
      <c r="I971" s="68"/>
      <c r="N971" s="398"/>
      <c r="R971" s="50"/>
      <c r="S971" s="47"/>
      <c r="T971" s="98"/>
      <c r="U971" s="98"/>
      <c r="AF971" s="39"/>
      <c r="AG971" s="490"/>
      <c r="AH971" s="490"/>
    </row>
    <row r="972" spans="3:34" ht="19.5" customHeight="1">
      <c r="C972" s="449"/>
      <c r="D972" s="68"/>
      <c r="E972" s="68"/>
      <c r="G972" s="98"/>
      <c r="H972" s="68"/>
      <c r="I972" s="68"/>
      <c r="N972" s="398"/>
      <c r="R972" s="50"/>
      <c r="S972" s="47"/>
      <c r="T972" s="98"/>
      <c r="U972" s="98"/>
      <c r="AF972" s="39"/>
      <c r="AG972" s="490"/>
      <c r="AH972" s="490"/>
    </row>
    <row r="973" spans="3:34" ht="19.5" customHeight="1">
      <c r="C973" s="449"/>
      <c r="D973" s="68"/>
      <c r="E973" s="68"/>
      <c r="G973" s="98"/>
      <c r="H973" s="68"/>
      <c r="I973" s="68"/>
      <c r="N973" s="398"/>
      <c r="R973" s="50"/>
      <c r="S973" s="47"/>
      <c r="T973" s="98"/>
      <c r="U973" s="98"/>
      <c r="AF973" s="39"/>
      <c r="AG973" s="490"/>
      <c r="AH973" s="490"/>
    </row>
    <row r="974" spans="3:34" ht="19.5" customHeight="1">
      <c r="C974" s="449"/>
      <c r="D974" s="68"/>
      <c r="E974" s="68"/>
      <c r="G974" s="98"/>
      <c r="H974" s="68"/>
      <c r="I974" s="68"/>
      <c r="N974" s="398"/>
      <c r="R974" s="50"/>
      <c r="S974" s="47"/>
      <c r="T974" s="98"/>
      <c r="U974" s="98"/>
      <c r="AF974" s="39"/>
      <c r="AG974" s="490"/>
      <c r="AH974" s="490"/>
    </row>
    <row r="975" spans="3:34" ht="19.5" customHeight="1">
      <c r="C975" s="449"/>
      <c r="D975" s="68"/>
      <c r="E975" s="68"/>
      <c r="G975" s="98"/>
      <c r="H975" s="68"/>
      <c r="I975" s="68"/>
      <c r="N975" s="398"/>
      <c r="R975" s="50"/>
      <c r="S975" s="47"/>
      <c r="T975" s="98"/>
      <c r="U975" s="98"/>
      <c r="AF975" s="39"/>
      <c r="AG975" s="490"/>
      <c r="AH975" s="490"/>
    </row>
    <row r="976" spans="3:34" ht="19.5" customHeight="1">
      <c r="C976" s="449"/>
      <c r="D976" s="68"/>
      <c r="E976" s="68"/>
      <c r="G976" s="98"/>
      <c r="H976" s="68"/>
      <c r="I976" s="68"/>
      <c r="N976" s="398"/>
      <c r="R976" s="50"/>
      <c r="S976" s="47"/>
      <c r="T976" s="98"/>
      <c r="U976" s="98"/>
      <c r="AF976" s="39"/>
      <c r="AG976" s="490"/>
      <c r="AH976" s="490"/>
    </row>
    <row r="977" spans="3:34" ht="19.5" customHeight="1">
      <c r="C977" s="449"/>
      <c r="D977" s="68"/>
      <c r="E977" s="68"/>
      <c r="G977" s="98"/>
      <c r="H977" s="68"/>
      <c r="I977" s="68"/>
      <c r="N977" s="398"/>
      <c r="R977" s="50"/>
      <c r="S977" s="47"/>
      <c r="T977" s="98"/>
      <c r="U977" s="98"/>
      <c r="AF977" s="39"/>
      <c r="AG977" s="490"/>
      <c r="AH977" s="490"/>
    </row>
    <row r="978" spans="3:34" ht="19.5" customHeight="1">
      <c r="C978" s="449"/>
      <c r="D978" s="68"/>
      <c r="E978" s="68"/>
      <c r="G978" s="98"/>
      <c r="H978" s="68"/>
      <c r="I978" s="68"/>
      <c r="N978" s="398"/>
      <c r="R978" s="50"/>
      <c r="S978" s="47"/>
      <c r="T978" s="98"/>
      <c r="U978" s="98"/>
      <c r="AF978" s="39"/>
      <c r="AG978" s="490"/>
      <c r="AH978" s="490"/>
    </row>
    <row r="979" spans="3:34" ht="19.5" customHeight="1">
      <c r="C979" s="449"/>
      <c r="D979" s="68"/>
      <c r="E979" s="68"/>
      <c r="G979" s="98"/>
      <c r="H979" s="68"/>
      <c r="I979" s="68"/>
      <c r="N979" s="398"/>
      <c r="R979" s="50"/>
      <c r="S979" s="47"/>
      <c r="T979" s="98"/>
      <c r="U979" s="98"/>
      <c r="AF979" s="39"/>
      <c r="AG979" s="490"/>
      <c r="AH979" s="490"/>
    </row>
    <row r="980" spans="3:34" ht="19.5" customHeight="1">
      <c r="C980" s="449"/>
      <c r="D980" s="68"/>
      <c r="E980" s="68"/>
      <c r="G980" s="98"/>
      <c r="H980" s="68"/>
      <c r="I980" s="68"/>
      <c r="N980" s="398"/>
      <c r="R980" s="50"/>
      <c r="S980" s="47"/>
      <c r="T980" s="98"/>
      <c r="U980" s="98"/>
      <c r="AF980" s="39"/>
      <c r="AG980" s="490"/>
      <c r="AH980" s="490"/>
    </row>
    <row r="981" spans="3:34" ht="19.5" customHeight="1">
      <c r="C981" s="449"/>
      <c r="D981" s="68"/>
      <c r="E981" s="68"/>
      <c r="G981" s="98"/>
      <c r="H981" s="68"/>
      <c r="I981" s="68"/>
      <c r="N981" s="398"/>
      <c r="R981" s="50"/>
      <c r="S981" s="47"/>
      <c r="T981" s="98"/>
      <c r="U981" s="98"/>
      <c r="AF981" s="39"/>
      <c r="AG981" s="490"/>
      <c r="AH981" s="490"/>
    </row>
    <row r="982" spans="3:34" ht="19.5" customHeight="1">
      <c r="C982" s="449"/>
      <c r="D982" s="68"/>
      <c r="E982" s="68"/>
      <c r="G982" s="98"/>
      <c r="H982" s="68"/>
      <c r="I982" s="68"/>
      <c r="N982" s="398"/>
      <c r="R982" s="50"/>
      <c r="S982" s="47"/>
      <c r="T982" s="98"/>
      <c r="U982" s="98"/>
      <c r="AF982" s="39"/>
      <c r="AG982" s="490"/>
      <c r="AH982" s="490"/>
    </row>
    <row r="983" spans="3:34" ht="19.5" customHeight="1">
      <c r="C983" s="449"/>
      <c r="D983" s="68"/>
      <c r="E983" s="68"/>
      <c r="G983" s="98"/>
      <c r="H983" s="68"/>
      <c r="I983" s="68"/>
      <c r="N983" s="398"/>
      <c r="R983" s="50"/>
      <c r="S983" s="47"/>
      <c r="T983" s="98"/>
      <c r="U983" s="98"/>
      <c r="AF983" s="39"/>
      <c r="AG983" s="490"/>
      <c r="AH983" s="490"/>
    </row>
    <row r="984" spans="3:34" ht="19.5" customHeight="1">
      <c r="C984" s="449"/>
      <c r="D984" s="68"/>
      <c r="E984" s="68"/>
      <c r="G984" s="98"/>
      <c r="H984" s="68"/>
      <c r="I984" s="68"/>
      <c r="N984" s="398"/>
      <c r="R984" s="50"/>
      <c r="S984" s="47"/>
      <c r="T984" s="98"/>
      <c r="U984" s="98"/>
      <c r="AF984" s="39"/>
      <c r="AG984" s="490"/>
      <c r="AH984" s="490"/>
    </row>
    <row r="985" spans="3:34" ht="19.5" customHeight="1">
      <c r="C985" s="449"/>
      <c r="D985" s="68"/>
      <c r="E985" s="68"/>
      <c r="G985" s="98"/>
      <c r="H985" s="68"/>
      <c r="I985" s="68"/>
      <c r="N985" s="398"/>
      <c r="R985" s="50"/>
      <c r="S985" s="47"/>
      <c r="T985" s="98"/>
      <c r="U985" s="98"/>
      <c r="AF985" s="39"/>
      <c r="AG985" s="490"/>
      <c r="AH985" s="490"/>
    </row>
    <row r="986" spans="3:34" ht="19.5" customHeight="1">
      <c r="C986" s="449"/>
      <c r="D986" s="68"/>
      <c r="E986" s="68"/>
      <c r="G986" s="98"/>
      <c r="H986" s="68"/>
      <c r="I986" s="68"/>
      <c r="N986" s="398"/>
      <c r="R986" s="50"/>
      <c r="S986" s="47"/>
      <c r="T986" s="98"/>
      <c r="U986" s="98"/>
      <c r="AF986" s="39"/>
      <c r="AG986" s="490"/>
      <c r="AH986" s="490"/>
    </row>
    <row r="987" spans="3:34" ht="19.5" customHeight="1">
      <c r="C987" s="449"/>
      <c r="D987" s="68"/>
      <c r="E987" s="68"/>
      <c r="G987" s="98"/>
      <c r="H987" s="68"/>
      <c r="I987" s="68"/>
      <c r="N987" s="398"/>
      <c r="R987" s="50"/>
      <c r="S987" s="47"/>
      <c r="T987" s="98"/>
      <c r="U987" s="98"/>
      <c r="AF987" s="39"/>
      <c r="AG987" s="490"/>
      <c r="AH987" s="490"/>
    </row>
    <row r="988" spans="3:34" ht="19.5" customHeight="1">
      <c r="C988" s="449"/>
      <c r="D988" s="68"/>
      <c r="E988" s="68"/>
      <c r="G988" s="98"/>
      <c r="H988" s="68"/>
      <c r="I988" s="68"/>
      <c r="N988" s="398"/>
      <c r="R988" s="50"/>
      <c r="S988" s="47"/>
      <c r="T988" s="98"/>
      <c r="U988" s="98"/>
      <c r="AF988" s="39"/>
      <c r="AG988" s="490"/>
      <c r="AH988" s="490"/>
    </row>
    <row r="989" spans="3:34" ht="19.5" customHeight="1">
      <c r="C989" s="449"/>
      <c r="D989" s="68"/>
      <c r="E989" s="68"/>
      <c r="G989" s="98"/>
      <c r="H989" s="68"/>
      <c r="I989" s="68"/>
      <c r="N989" s="398"/>
      <c r="R989" s="50"/>
      <c r="S989" s="47"/>
      <c r="T989" s="98"/>
      <c r="U989" s="98"/>
      <c r="AF989" s="39"/>
      <c r="AG989" s="490"/>
      <c r="AH989" s="490"/>
    </row>
    <row r="990" spans="3:34" ht="19.5" customHeight="1">
      <c r="C990" s="449"/>
      <c r="D990" s="68"/>
      <c r="E990" s="68"/>
      <c r="G990" s="98"/>
      <c r="H990" s="68"/>
      <c r="I990" s="68"/>
      <c r="N990" s="398"/>
      <c r="R990" s="50"/>
      <c r="S990" s="47"/>
      <c r="T990" s="98"/>
      <c r="U990" s="98"/>
      <c r="AF990" s="39"/>
      <c r="AG990" s="490"/>
      <c r="AH990" s="490"/>
    </row>
    <row r="991" spans="3:34" ht="19.5" customHeight="1">
      <c r="C991" s="449"/>
      <c r="D991" s="68"/>
      <c r="E991" s="68"/>
      <c r="G991" s="98"/>
      <c r="H991" s="68"/>
      <c r="I991" s="68"/>
      <c r="N991" s="398"/>
      <c r="R991" s="50"/>
      <c r="S991" s="47"/>
      <c r="T991" s="98"/>
      <c r="U991" s="98"/>
      <c r="AF991" s="39"/>
      <c r="AG991" s="490"/>
      <c r="AH991" s="490"/>
    </row>
    <row r="992" spans="3:34" ht="19.5" customHeight="1">
      <c r="C992" s="449"/>
      <c r="D992" s="68"/>
      <c r="E992" s="68"/>
      <c r="G992" s="98"/>
      <c r="H992" s="68"/>
      <c r="I992" s="68"/>
      <c r="N992" s="398"/>
      <c r="R992" s="50"/>
      <c r="S992" s="47"/>
      <c r="T992" s="98"/>
      <c r="U992" s="98"/>
      <c r="AF992" s="39"/>
      <c r="AG992" s="490"/>
      <c r="AH992" s="490"/>
    </row>
    <row r="993" spans="3:34" ht="19.5" customHeight="1">
      <c r="C993" s="449"/>
      <c r="D993" s="68"/>
      <c r="E993" s="68"/>
      <c r="G993" s="98"/>
      <c r="H993" s="68"/>
      <c r="I993" s="68"/>
      <c r="N993" s="398"/>
      <c r="R993" s="50"/>
      <c r="S993" s="47"/>
      <c r="T993" s="98"/>
      <c r="U993" s="98"/>
      <c r="AF993" s="39"/>
      <c r="AG993" s="490"/>
      <c r="AH993" s="490"/>
    </row>
    <row r="994" spans="3:34" ht="19.5" customHeight="1">
      <c r="C994" s="449"/>
      <c r="D994" s="68"/>
      <c r="E994" s="68"/>
      <c r="G994" s="98"/>
      <c r="H994" s="68"/>
      <c r="I994" s="68"/>
      <c r="N994" s="398"/>
      <c r="R994" s="50"/>
      <c r="S994" s="47"/>
      <c r="T994" s="98"/>
      <c r="U994" s="98"/>
      <c r="AF994" s="39"/>
      <c r="AG994" s="490"/>
      <c r="AH994" s="490"/>
    </row>
    <row r="995" spans="3:34" ht="19.5" customHeight="1">
      <c r="C995" s="449"/>
      <c r="D995" s="68"/>
      <c r="E995" s="68"/>
      <c r="G995" s="98"/>
      <c r="H995" s="68"/>
      <c r="I995" s="68"/>
      <c r="N995" s="398"/>
      <c r="R995" s="50"/>
      <c r="S995" s="47"/>
      <c r="T995" s="98"/>
      <c r="U995" s="98"/>
      <c r="AF995" s="39"/>
      <c r="AG995" s="490"/>
      <c r="AH995" s="490"/>
    </row>
    <row r="996" spans="3:34" ht="19.5" customHeight="1">
      <c r="C996" s="449"/>
      <c r="D996" s="68"/>
      <c r="E996" s="68"/>
      <c r="G996" s="98"/>
      <c r="H996" s="68"/>
      <c r="I996" s="68"/>
      <c r="N996" s="398"/>
      <c r="R996" s="50"/>
      <c r="S996" s="47"/>
      <c r="T996" s="98"/>
      <c r="U996" s="98"/>
      <c r="AF996" s="39"/>
      <c r="AG996" s="490"/>
      <c r="AH996" s="490"/>
    </row>
    <row r="997" spans="3:34" ht="19.5" customHeight="1">
      <c r="C997" s="449"/>
      <c r="D997" s="68"/>
      <c r="E997" s="68"/>
      <c r="G997" s="98"/>
      <c r="H997" s="68"/>
      <c r="I997" s="68"/>
      <c r="N997" s="398"/>
      <c r="R997" s="50"/>
      <c r="S997" s="47"/>
      <c r="T997" s="98"/>
      <c r="U997" s="98"/>
      <c r="AF997" s="39"/>
      <c r="AG997" s="490"/>
      <c r="AH997" s="490"/>
    </row>
    <row r="998" spans="3:34" ht="19.5" customHeight="1">
      <c r="C998" s="449"/>
      <c r="D998" s="68"/>
      <c r="E998" s="68"/>
      <c r="G998" s="98"/>
      <c r="H998" s="68"/>
      <c r="I998" s="68"/>
      <c r="N998" s="398"/>
      <c r="R998" s="50"/>
      <c r="S998" s="47"/>
      <c r="T998" s="98"/>
      <c r="U998" s="98"/>
      <c r="AF998" s="39"/>
      <c r="AG998" s="490"/>
      <c r="AH998" s="490"/>
    </row>
    <row r="999" spans="3:34" ht="19.5" customHeight="1">
      <c r="C999" s="449"/>
      <c r="D999" s="68"/>
      <c r="E999" s="68"/>
      <c r="G999" s="98"/>
      <c r="H999" s="68"/>
      <c r="I999" s="68"/>
      <c r="N999" s="398"/>
      <c r="R999" s="50"/>
      <c r="S999" s="47"/>
      <c r="T999" s="98"/>
      <c r="U999" s="98"/>
      <c r="AF999" s="39"/>
      <c r="AG999" s="490"/>
      <c r="AH999" s="490"/>
    </row>
    <row r="1000" spans="3:34" ht="19.5" customHeight="1">
      <c r="C1000" s="449"/>
      <c r="D1000" s="68"/>
      <c r="E1000" s="68"/>
      <c r="G1000" s="98"/>
      <c r="H1000" s="68"/>
      <c r="I1000" s="68"/>
      <c r="N1000" s="398"/>
      <c r="R1000" s="50"/>
      <c r="S1000" s="47"/>
      <c r="T1000" s="98"/>
      <c r="U1000" s="98"/>
      <c r="AF1000" s="39"/>
      <c r="AG1000" s="490"/>
      <c r="AH1000" s="490"/>
    </row>
    <row r="1001" spans="3:34" ht="19.5" customHeight="1">
      <c r="C1001" s="449"/>
      <c r="D1001" s="68"/>
      <c r="E1001" s="68"/>
      <c r="G1001" s="98"/>
      <c r="H1001" s="68"/>
      <c r="I1001" s="68"/>
      <c r="N1001" s="398"/>
      <c r="R1001" s="50"/>
      <c r="S1001" s="47"/>
      <c r="T1001" s="98"/>
      <c r="U1001" s="98"/>
      <c r="AF1001" s="39"/>
      <c r="AG1001" s="490"/>
      <c r="AH1001" s="490"/>
    </row>
    <row r="1002" spans="3:34" ht="19.5" customHeight="1">
      <c r="C1002" s="449"/>
      <c r="D1002" s="68"/>
      <c r="E1002" s="68"/>
      <c r="G1002" s="98"/>
      <c r="H1002" s="68"/>
      <c r="I1002" s="68"/>
      <c r="N1002" s="398"/>
      <c r="R1002" s="50"/>
      <c r="S1002" s="47"/>
      <c r="T1002" s="98"/>
      <c r="U1002" s="98"/>
      <c r="AF1002" s="39"/>
      <c r="AG1002" s="490"/>
      <c r="AH1002" s="490"/>
    </row>
    <row r="1003" spans="3:34" ht="19.5" customHeight="1">
      <c r="C1003" s="449"/>
      <c r="D1003" s="68"/>
      <c r="E1003" s="68"/>
      <c r="G1003" s="98"/>
      <c r="H1003" s="68"/>
      <c r="I1003" s="68"/>
      <c r="N1003" s="398"/>
      <c r="R1003" s="50"/>
      <c r="S1003" s="47"/>
      <c r="T1003" s="98"/>
      <c r="U1003" s="98"/>
      <c r="AF1003" s="39"/>
      <c r="AG1003" s="490"/>
      <c r="AH1003" s="490"/>
    </row>
    <row r="1004" spans="3:34" ht="19.5" customHeight="1">
      <c r="C1004" s="449"/>
      <c r="D1004" s="68"/>
      <c r="E1004" s="68"/>
      <c r="G1004" s="98"/>
      <c r="H1004" s="68"/>
      <c r="I1004" s="68"/>
      <c r="N1004" s="398"/>
      <c r="R1004" s="50"/>
      <c r="S1004" s="47"/>
      <c r="T1004" s="98"/>
      <c r="U1004" s="98"/>
      <c r="AF1004" s="39"/>
      <c r="AG1004" s="490"/>
      <c r="AH1004" s="490"/>
    </row>
    <row r="1005" spans="3:34" ht="19.5" customHeight="1">
      <c r="C1005" s="449"/>
      <c r="D1005" s="68"/>
      <c r="E1005" s="68"/>
      <c r="G1005" s="98"/>
      <c r="H1005" s="68"/>
      <c r="I1005" s="68"/>
      <c r="N1005" s="398"/>
      <c r="R1005" s="50"/>
      <c r="S1005" s="47"/>
      <c r="T1005" s="98"/>
      <c r="U1005" s="98"/>
      <c r="AF1005" s="39"/>
      <c r="AG1005" s="490"/>
      <c r="AH1005" s="490"/>
    </row>
    <row r="1006" spans="3:34" ht="19.5" customHeight="1">
      <c r="C1006" s="449"/>
      <c r="D1006" s="68"/>
      <c r="E1006" s="68"/>
      <c r="G1006" s="98"/>
      <c r="H1006" s="68"/>
      <c r="I1006" s="68"/>
      <c r="N1006" s="398"/>
      <c r="R1006" s="50"/>
      <c r="S1006" s="47"/>
      <c r="T1006" s="98"/>
      <c r="U1006" s="98"/>
      <c r="AF1006" s="39"/>
      <c r="AG1006" s="490"/>
      <c r="AH1006" s="490"/>
    </row>
    <row r="1007" spans="3:34" ht="19.5" customHeight="1">
      <c r="C1007" s="449"/>
      <c r="D1007" s="68"/>
      <c r="E1007" s="68"/>
      <c r="G1007" s="98"/>
      <c r="H1007" s="68"/>
      <c r="I1007" s="68"/>
      <c r="N1007" s="398"/>
      <c r="R1007" s="50"/>
      <c r="S1007" s="47"/>
      <c r="T1007" s="98"/>
      <c r="U1007" s="98"/>
      <c r="AF1007" s="39"/>
      <c r="AG1007" s="490"/>
      <c r="AH1007" s="490"/>
    </row>
    <row r="1008" spans="3:34" ht="19.5" customHeight="1">
      <c r="C1008" s="449"/>
      <c r="D1008" s="68"/>
      <c r="E1008" s="68"/>
      <c r="G1008" s="98"/>
      <c r="H1008" s="68"/>
      <c r="I1008" s="68"/>
      <c r="N1008" s="398"/>
      <c r="R1008" s="50"/>
      <c r="S1008" s="47"/>
      <c r="T1008" s="98"/>
      <c r="U1008" s="98"/>
      <c r="AF1008" s="39"/>
      <c r="AG1008" s="490"/>
      <c r="AH1008" s="490"/>
    </row>
    <row r="1009" spans="3:34" ht="19.5" customHeight="1">
      <c r="C1009" s="449"/>
      <c r="D1009" s="68"/>
      <c r="E1009" s="68"/>
      <c r="G1009" s="98"/>
      <c r="H1009" s="68"/>
      <c r="I1009" s="68"/>
      <c r="N1009" s="398"/>
      <c r="R1009" s="50"/>
      <c r="S1009" s="47"/>
      <c r="T1009" s="98"/>
      <c r="U1009" s="98"/>
      <c r="AF1009" s="39"/>
      <c r="AG1009" s="490"/>
      <c r="AH1009" s="490"/>
    </row>
    <row r="1010" spans="3:34" ht="19.5" customHeight="1">
      <c r="C1010" s="449"/>
      <c r="D1010" s="68"/>
      <c r="E1010" s="68"/>
      <c r="G1010" s="98"/>
      <c r="H1010" s="68"/>
      <c r="I1010" s="68"/>
      <c r="N1010" s="398"/>
      <c r="R1010" s="50"/>
      <c r="S1010" s="47"/>
      <c r="T1010" s="98"/>
      <c r="U1010" s="98"/>
      <c r="AF1010" s="39"/>
      <c r="AG1010" s="490"/>
      <c r="AH1010" s="490"/>
    </row>
    <row r="1011" spans="3:34" ht="19.5" customHeight="1">
      <c r="C1011" s="449"/>
      <c r="D1011" s="68"/>
      <c r="E1011" s="68"/>
      <c r="G1011" s="98"/>
      <c r="H1011" s="68"/>
      <c r="I1011" s="68"/>
      <c r="N1011" s="398"/>
      <c r="R1011" s="50"/>
      <c r="S1011" s="47"/>
      <c r="T1011" s="98"/>
      <c r="U1011" s="98"/>
      <c r="AF1011" s="39"/>
      <c r="AG1011" s="490"/>
      <c r="AH1011" s="490"/>
    </row>
    <row r="1012" spans="3:34" ht="19.5" customHeight="1">
      <c r="C1012" s="449"/>
      <c r="D1012" s="68"/>
      <c r="E1012" s="68"/>
      <c r="G1012" s="98"/>
      <c r="H1012" s="68"/>
      <c r="I1012" s="68"/>
      <c r="N1012" s="398"/>
      <c r="R1012" s="50"/>
      <c r="S1012" s="47"/>
      <c r="T1012" s="98"/>
      <c r="U1012" s="98"/>
      <c r="AF1012" s="39"/>
      <c r="AG1012" s="490"/>
      <c r="AH1012" s="490"/>
    </row>
    <row r="1013" spans="3:34" ht="19.5" customHeight="1">
      <c r="C1013" s="449"/>
      <c r="D1013" s="68"/>
      <c r="E1013" s="68"/>
      <c r="G1013" s="98"/>
      <c r="H1013" s="68"/>
      <c r="I1013" s="68"/>
      <c r="N1013" s="398"/>
      <c r="R1013" s="50"/>
      <c r="S1013" s="47"/>
      <c r="T1013" s="98"/>
      <c r="U1013" s="98"/>
      <c r="AF1013" s="39"/>
      <c r="AG1013" s="490"/>
      <c r="AH1013" s="490"/>
    </row>
    <row r="1014" spans="3:34" ht="19.5" customHeight="1">
      <c r="C1014" s="449"/>
      <c r="D1014" s="68"/>
      <c r="E1014" s="68"/>
      <c r="G1014" s="98"/>
      <c r="H1014" s="68"/>
      <c r="I1014" s="68"/>
      <c r="N1014" s="398"/>
      <c r="R1014" s="50"/>
      <c r="S1014" s="47"/>
      <c r="T1014" s="98"/>
      <c r="U1014" s="98"/>
      <c r="AF1014" s="39"/>
      <c r="AG1014" s="490"/>
      <c r="AH1014" s="490"/>
    </row>
    <row r="1015" spans="3:34" ht="19.5" customHeight="1">
      <c r="C1015" s="449"/>
      <c r="D1015" s="68"/>
      <c r="E1015" s="68"/>
      <c r="G1015" s="98"/>
      <c r="H1015" s="68"/>
      <c r="I1015" s="68"/>
      <c r="N1015" s="398"/>
      <c r="R1015" s="50"/>
      <c r="S1015" s="47"/>
      <c r="T1015" s="98"/>
      <c r="U1015" s="98"/>
      <c r="AF1015" s="39"/>
      <c r="AG1015" s="490"/>
      <c r="AH1015" s="490"/>
    </row>
    <row r="1016" spans="3:34" ht="19.5" customHeight="1">
      <c r="C1016" s="449"/>
      <c r="D1016" s="68"/>
      <c r="E1016" s="68"/>
      <c r="G1016" s="98"/>
      <c r="H1016" s="68"/>
      <c r="I1016" s="68"/>
      <c r="N1016" s="398"/>
      <c r="R1016" s="50"/>
      <c r="S1016" s="47"/>
      <c r="T1016" s="98"/>
      <c r="U1016" s="98"/>
      <c r="AF1016" s="39"/>
      <c r="AG1016" s="490"/>
      <c r="AH1016" s="490"/>
    </row>
    <row r="1017" spans="3:34" ht="19.5" customHeight="1">
      <c r="C1017" s="449"/>
      <c r="D1017" s="68"/>
      <c r="E1017" s="68"/>
      <c r="G1017" s="98"/>
      <c r="H1017" s="68"/>
      <c r="I1017" s="68"/>
      <c r="N1017" s="398"/>
      <c r="R1017" s="50"/>
      <c r="S1017" s="47"/>
      <c r="T1017" s="98"/>
      <c r="U1017" s="98"/>
      <c r="AF1017" s="39"/>
      <c r="AG1017" s="490"/>
      <c r="AH1017" s="490"/>
    </row>
    <row r="1018" spans="3:34" ht="19.5" customHeight="1">
      <c r="C1018" s="449"/>
      <c r="D1018" s="68"/>
      <c r="E1018" s="68"/>
      <c r="G1018" s="98"/>
      <c r="H1018" s="68"/>
      <c r="I1018" s="68"/>
      <c r="N1018" s="398"/>
      <c r="R1018" s="50"/>
      <c r="S1018" s="47"/>
      <c r="T1018" s="98"/>
      <c r="U1018" s="98"/>
      <c r="AF1018" s="39"/>
      <c r="AG1018" s="490"/>
      <c r="AH1018" s="490"/>
    </row>
    <row r="1019" spans="3:34" ht="19.5" customHeight="1">
      <c r="C1019" s="449"/>
      <c r="D1019" s="68"/>
      <c r="E1019" s="68"/>
      <c r="G1019" s="98"/>
      <c r="H1019" s="68"/>
      <c r="I1019" s="68"/>
      <c r="N1019" s="398"/>
      <c r="R1019" s="50"/>
      <c r="S1019" s="47"/>
      <c r="T1019" s="98"/>
      <c r="U1019" s="98"/>
      <c r="AF1019" s="39"/>
      <c r="AG1019" s="490"/>
      <c r="AH1019" s="490"/>
    </row>
    <row r="1020" spans="3:34" ht="19.5" customHeight="1">
      <c r="C1020" s="449"/>
      <c r="D1020" s="68"/>
      <c r="E1020" s="68"/>
      <c r="G1020" s="98"/>
      <c r="H1020" s="68"/>
      <c r="I1020" s="68"/>
      <c r="N1020" s="398"/>
      <c r="R1020" s="50"/>
      <c r="S1020" s="47"/>
      <c r="T1020" s="98"/>
      <c r="U1020" s="98"/>
      <c r="AF1020" s="39"/>
      <c r="AG1020" s="490"/>
      <c r="AH1020" s="490"/>
    </row>
    <row r="1021" spans="3:34" ht="19.5" customHeight="1">
      <c r="C1021" s="449"/>
      <c r="D1021" s="68"/>
      <c r="E1021" s="68"/>
      <c r="G1021" s="98"/>
      <c r="H1021" s="68"/>
      <c r="I1021" s="68"/>
      <c r="N1021" s="398"/>
      <c r="R1021" s="50"/>
      <c r="S1021" s="47"/>
      <c r="T1021" s="98"/>
      <c r="U1021" s="98"/>
      <c r="AF1021" s="39"/>
      <c r="AG1021" s="490"/>
      <c r="AH1021" s="490"/>
    </row>
    <row r="1022" spans="3:34" ht="19.5" customHeight="1">
      <c r="C1022" s="449"/>
      <c r="D1022" s="68"/>
      <c r="E1022" s="68"/>
      <c r="G1022" s="98"/>
      <c r="H1022" s="68"/>
      <c r="I1022" s="68"/>
      <c r="N1022" s="398"/>
      <c r="R1022" s="50"/>
      <c r="S1022" s="47"/>
      <c r="T1022" s="98"/>
      <c r="U1022" s="98"/>
      <c r="AF1022" s="39"/>
      <c r="AG1022" s="490"/>
      <c r="AH1022" s="490"/>
    </row>
    <row r="1023" spans="3:34" ht="19.5" customHeight="1">
      <c r="C1023" s="449"/>
      <c r="D1023" s="68"/>
      <c r="E1023" s="68"/>
      <c r="G1023" s="98"/>
      <c r="H1023" s="68"/>
      <c r="I1023" s="68"/>
      <c r="N1023" s="398"/>
      <c r="R1023" s="50"/>
      <c r="S1023" s="47"/>
      <c r="T1023" s="98"/>
      <c r="U1023" s="98"/>
      <c r="AF1023" s="39"/>
      <c r="AG1023" s="490"/>
      <c r="AH1023" s="490"/>
    </row>
    <row r="1024" spans="3:34" ht="19.5" customHeight="1">
      <c r="C1024" s="449"/>
      <c r="D1024" s="68"/>
      <c r="E1024" s="68"/>
      <c r="G1024" s="98"/>
      <c r="H1024" s="68"/>
      <c r="I1024" s="68"/>
      <c r="N1024" s="398"/>
      <c r="R1024" s="50"/>
      <c r="S1024" s="47"/>
      <c r="T1024" s="98"/>
      <c r="U1024" s="98"/>
      <c r="AF1024" s="39"/>
      <c r="AG1024" s="490"/>
      <c r="AH1024" s="490"/>
    </row>
    <row r="1025" spans="3:34" ht="19.5" customHeight="1">
      <c r="C1025" s="449"/>
      <c r="D1025" s="68"/>
      <c r="E1025" s="68"/>
      <c r="G1025" s="98"/>
      <c r="H1025" s="68"/>
      <c r="I1025" s="68"/>
      <c r="N1025" s="398"/>
      <c r="R1025" s="50"/>
      <c r="S1025" s="47"/>
      <c r="T1025" s="98"/>
      <c r="U1025" s="98"/>
      <c r="AF1025" s="39"/>
      <c r="AG1025" s="490"/>
      <c r="AH1025" s="490"/>
    </row>
    <row r="1026" spans="3:34" ht="19.5" customHeight="1">
      <c r="C1026" s="449"/>
      <c r="D1026" s="68"/>
      <c r="E1026" s="68"/>
      <c r="G1026" s="98"/>
      <c r="H1026" s="68"/>
      <c r="I1026" s="68"/>
      <c r="N1026" s="398"/>
      <c r="R1026" s="50"/>
      <c r="S1026" s="47"/>
      <c r="T1026" s="98"/>
      <c r="U1026" s="98"/>
      <c r="AF1026" s="39"/>
      <c r="AG1026" s="490"/>
      <c r="AH1026" s="490"/>
    </row>
    <row r="1027" spans="3:34" ht="19.5" customHeight="1">
      <c r="C1027" s="449"/>
      <c r="D1027" s="68"/>
      <c r="E1027" s="68"/>
      <c r="G1027" s="98"/>
      <c r="H1027" s="68"/>
      <c r="I1027" s="68"/>
      <c r="N1027" s="398"/>
      <c r="R1027" s="50"/>
      <c r="S1027" s="47"/>
      <c r="T1027" s="98"/>
      <c r="U1027" s="98"/>
      <c r="AF1027" s="39"/>
      <c r="AG1027" s="490"/>
      <c r="AH1027" s="490"/>
    </row>
    <row r="1028" spans="3:34" ht="19.5" customHeight="1">
      <c r="C1028" s="449"/>
      <c r="D1028" s="68"/>
      <c r="E1028" s="68"/>
      <c r="G1028" s="98"/>
      <c r="H1028" s="68"/>
      <c r="I1028" s="68"/>
      <c r="N1028" s="398"/>
      <c r="R1028" s="50"/>
      <c r="S1028" s="47"/>
      <c r="T1028" s="98"/>
      <c r="U1028" s="98"/>
      <c r="AF1028" s="39"/>
      <c r="AG1028" s="490"/>
      <c r="AH1028" s="490"/>
    </row>
    <row r="1029" spans="3:34" ht="19.5" customHeight="1">
      <c r="C1029" s="449"/>
      <c r="D1029" s="68"/>
      <c r="E1029" s="68"/>
      <c r="G1029" s="98"/>
      <c r="H1029" s="68"/>
      <c r="I1029" s="68"/>
      <c r="N1029" s="398"/>
      <c r="R1029" s="50"/>
      <c r="S1029" s="47"/>
      <c r="T1029" s="98"/>
      <c r="U1029" s="98"/>
      <c r="AF1029" s="39"/>
      <c r="AG1029" s="490"/>
      <c r="AH1029" s="490"/>
    </row>
    <row r="1030" spans="3:34" ht="19.5" customHeight="1">
      <c r="C1030" s="449"/>
      <c r="D1030" s="68"/>
      <c r="E1030" s="68"/>
      <c r="G1030" s="98"/>
      <c r="H1030" s="68"/>
      <c r="I1030" s="68"/>
      <c r="N1030" s="398"/>
      <c r="R1030" s="50"/>
      <c r="S1030" s="47"/>
      <c r="T1030" s="98"/>
      <c r="U1030" s="98"/>
      <c r="AF1030" s="39"/>
      <c r="AG1030" s="490"/>
      <c r="AH1030" s="490"/>
    </row>
    <row r="1031" spans="3:34" ht="19.5" customHeight="1">
      <c r="C1031" s="449"/>
      <c r="D1031" s="68"/>
      <c r="E1031" s="68"/>
      <c r="G1031" s="98"/>
      <c r="H1031" s="68"/>
      <c r="I1031" s="68"/>
      <c r="N1031" s="398"/>
      <c r="R1031" s="50"/>
      <c r="S1031" s="47"/>
      <c r="T1031" s="98"/>
      <c r="U1031" s="98"/>
      <c r="AF1031" s="39"/>
      <c r="AG1031" s="490"/>
      <c r="AH1031" s="490"/>
    </row>
    <row r="1032" spans="3:34" ht="19.5" customHeight="1">
      <c r="C1032" s="449"/>
      <c r="D1032" s="68"/>
      <c r="E1032" s="68"/>
      <c r="G1032" s="98"/>
      <c r="H1032" s="68"/>
      <c r="I1032" s="68"/>
      <c r="N1032" s="398"/>
      <c r="R1032" s="50"/>
      <c r="S1032" s="47"/>
      <c r="T1032" s="98"/>
      <c r="U1032" s="98"/>
      <c r="AF1032" s="39"/>
      <c r="AG1032" s="490"/>
      <c r="AH1032" s="490"/>
    </row>
    <row r="1033" spans="3:34" ht="19.5" customHeight="1">
      <c r="C1033" s="449"/>
      <c r="D1033" s="68"/>
      <c r="E1033" s="68"/>
      <c r="G1033" s="98"/>
      <c r="H1033" s="68"/>
      <c r="I1033" s="68"/>
      <c r="N1033" s="398"/>
      <c r="R1033" s="50"/>
      <c r="S1033" s="47"/>
      <c r="T1033" s="98"/>
      <c r="U1033" s="98"/>
      <c r="AF1033" s="39"/>
      <c r="AG1033" s="490"/>
      <c r="AH1033" s="490"/>
    </row>
    <row r="1034" spans="3:34" ht="19.5" customHeight="1">
      <c r="C1034" s="449"/>
      <c r="D1034" s="68"/>
      <c r="E1034" s="68"/>
      <c r="G1034" s="98"/>
      <c r="H1034" s="68"/>
      <c r="I1034" s="68"/>
      <c r="N1034" s="398"/>
      <c r="R1034" s="50"/>
      <c r="S1034" s="47"/>
      <c r="T1034" s="98"/>
      <c r="U1034" s="98"/>
      <c r="AF1034" s="39"/>
      <c r="AG1034" s="490"/>
      <c r="AH1034" s="490"/>
    </row>
    <row r="1035" spans="3:34" ht="19.5" customHeight="1">
      <c r="C1035" s="449"/>
      <c r="D1035" s="68"/>
      <c r="E1035" s="68"/>
      <c r="G1035" s="98"/>
      <c r="H1035" s="68"/>
      <c r="I1035" s="68"/>
      <c r="N1035" s="398"/>
      <c r="R1035" s="50"/>
      <c r="S1035" s="47"/>
      <c r="T1035" s="98"/>
      <c r="U1035" s="98"/>
      <c r="AF1035" s="39"/>
      <c r="AG1035" s="490"/>
      <c r="AH1035" s="490"/>
    </row>
    <row r="1036" spans="3:34" ht="19.5" customHeight="1">
      <c r="C1036" s="449"/>
      <c r="D1036" s="68"/>
      <c r="E1036" s="68"/>
      <c r="G1036" s="98"/>
      <c r="H1036" s="68"/>
      <c r="I1036" s="68"/>
      <c r="N1036" s="398"/>
      <c r="R1036" s="50"/>
      <c r="S1036" s="47"/>
      <c r="T1036" s="98"/>
      <c r="U1036" s="98"/>
      <c r="AF1036" s="39"/>
      <c r="AG1036" s="490"/>
      <c r="AH1036" s="490"/>
    </row>
    <row r="1037" spans="3:34" ht="19.5" customHeight="1">
      <c r="C1037" s="449"/>
      <c r="D1037" s="68"/>
      <c r="E1037" s="68"/>
      <c r="G1037" s="98"/>
      <c r="H1037" s="68"/>
      <c r="I1037" s="68"/>
      <c r="N1037" s="398"/>
      <c r="R1037" s="50"/>
      <c r="S1037" s="47"/>
      <c r="T1037" s="98"/>
      <c r="U1037" s="98"/>
      <c r="AF1037" s="39"/>
      <c r="AG1037" s="490"/>
      <c r="AH1037" s="490"/>
    </row>
    <row r="1038" spans="3:34" ht="19.5" customHeight="1">
      <c r="C1038" s="449"/>
      <c r="D1038" s="68"/>
      <c r="E1038" s="68"/>
      <c r="G1038" s="98"/>
      <c r="H1038" s="68"/>
      <c r="I1038" s="68"/>
      <c r="N1038" s="398"/>
      <c r="R1038" s="50"/>
      <c r="S1038" s="47"/>
      <c r="T1038" s="98"/>
      <c r="U1038" s="98"/>
      <c r="AF1038" s="39"/>
      <c r="AG1038" s="490"/>
      <c r="AH1038" s="490"/>
    </row>
    <row r="1039" spans="3:34" ht="19.5" customHeight="1">
      <c r="C1039" s="449"/>
      <c r="D1039" s="68"/>
      <c r="E1039" s="68"/>
      <c r="G1039" s="98"/>
      <c r="H1039" s="68"/>
      <c r="I1039" s="68"/>
      <c r="N1039" s="398"/>
      <c r="R1039" s="50"/>
      <c r="S1039" s="47"/>
      <c r="T1039" s="98"/>
      <c r="U1039" s="98"/>
      <c r="AF1039" s="39"/>
      <c r="AG1039" s="490"/>
      <c r="AH1039" s="490"/>
    </row>
    <row r="1040" spans="3:34" ht="19.5" customHeight="1">
      <c r="C1040" s="449"/>
      <c r="D1040" s="68"/>
      <c r="E1040" s="68"/>
      <c r="G1040" s="98"/>
      <c r="H1040" s="68"/>
      <c r="I1040" s="68"/>
      <c r="N1040" s="398"/>
      <c r="R1040" s="50"/>
      <c r="S1040" s="47"/>
      <c r="T1040" s="98"/>
      <c r="U1040" s="98"/>
      <c r="AF1040" s="39"/>
      <c r="AG1040" s="490"/>
      <c r="AH1040" s="490"/>
    </row>
    <row r="1041" spans="3:34" ht="19.5" customHeight="1">
      <c r="C1041" s="449"/>
      <c r="D1041" s="68"/>
      <c r="E1041" s="68"/>
      <c r="G1041" s="98"/>
      <c r="H1041" s="68"/>
      <c r="I1041" s="68"/>
      <c r="N1041" s="398"/>
      <c r="R1041" s="50"/>
      <c r="S1041" s="47"/>
      <c r="T1041" s="98"/>
      <c r="U1041" s="98"/>
      <c r="AF1041" s="39"/>
      <c r="AG1041" s="490"/>
      <c r="AH1041" s="490"/>
    </row>
    <row r="1042" spans="3:34" ht="19.5" customHeight="1">
      <c r="C1042" s="449"/>
      <c r="D1042" s="68"/>
      <c r="E1042" s="68"/>
      <c r="G1042" s="98"/>
      <c r="H1042" s="68"/>
      <c r="I1042" s="68"/>
      <c r="N1042" s="398"/>
      <c r="R1042" s="50"/>
      <c r="S1042" s="47"/>
      <c r="T1042" s="98"/>
      <c r="U1042" s="98"/>
      <c r="AF1042" s="39"/>
      <c r="AG1042" s="490"/>
      <c r="AH1042" s="490"/>
    </row>
    <row r="1043" spans="3:34" ht="19.5" customHeight="1">
      <c r="C1043" s="449"/>
      <c r="D1043" s="68"/>
      <c r="E1043" s="68"/>
      <c r="G1043" s="98"/>
      <c r="H1043" s="68"/>
      <c r="I1043" s="68"/>
      <c r="N1043" s="398"/>
      <c r="R1043" s="50"/>
      <c r="S1043" s="47"/>
      <c r="T1043" s="98"/>
      <c r="U1043" s="98"/>
      <c r="AF1043" s="39"/>
      <c r="AG1043" s="490"/>
      <c r="AH1043" s="490"/>
    </row>
    <row r="1044" spans="3:34" ht="19.5" customHeight="1">
      <c r="C1044" s="449"/>
      <c r="D1044" s="68"/>
      <c r="E1044" s="68"/>
      <c r="G1044" s="98"/>
      <c r="H1044" s="68"/>
      <c r="I1044" s="68"/>
      <c r="N1044" s="398"/>
      <c r="R1044" s="50"/>
      <c r="S1044" s="47"/>
      <c r="T1044" s="98"/>
      <c r="U1044" s="98"/>
      <c r="AF1044" s="39"/>
      <c r="AG1044" s="490"/>
      <c r="AH1044" s="490"/>
    </row>
    <row r="1045" spans="3:34" ht="19.5" customHeight="1">
      <c r="C1045" s="449"/>
      <c r="D1045" s="68"/>
      <c r="E1045" s="68"/>
      <c r="G1045" s="98"/>
      <c r="H1045" s="68"/>
      <c r="I1045" s="68"/>
      <c r="N1045" s="398"/>
      <c r="R1045" s="50"/>
      <c r="S1045" s="47"/>
      <c r="T1045" s="98"/>
      <c r="U1045" s="98"/>
      <c r="AF1045" s="39"/>
      <c r="AG1045" s="490"/>
      <c r="AH1045" s="490"/>
    </row>
    <row r="1046" spans="3:34" ht="19.5" customHeight="1">
      <c r="C1046" s="449"/>
      <c r="D1046" s="68"/>
      <c r="E1046" s="68"/>
      <c r="G1046" s="98"/>
      <c r="H1046" s="68"/>
      <c r="I1046" s="68"/>
      <c r="N1046" s="398"/>
      <c r="R1046" s="50"/>
      <c r="S1046" s="47"/>
      <c r="T1046" s="98"/>
      <c r="U1046" s="98"/>
      <c r="AF1046" s="39"/>
      <c r="AG1046" s="490"/>
      <c r="AH1046" s="490"/>
    </row>
    <row r="1047" spans="3:34" ht="19.5" customHeight="1">
      <c r="C1047" s="449"/>
      <c r="D1047" s="68"/>
      <c r="E1047" s="68"/>
      <c r="G1047" s="98"/>
      <c r="H1047" s="68"/>
      <c r="I1047" s="68"/>
      <c r="N1047" s="398"/>
      <c r="R1047" s="50"/>
      <c r="S1047" s="47"/>
      <c r="T1047" s="98"/>
      <c r="U1047" s="98"/>
      <c r="AF1047" s="39"/>
      <c r="AG1047" s="490"/>
      <c r="AH1047" s="490"/>
    </row>
    <row r="1048" spans="3:34" ht="19.5" customHeight="1">
      <c r="C1048" s="449"/>
      <c r="D1048" s="68"/>
      <c r="E1048" s="68"/>
      <c r="G1048" s="98"/>
      <c r="H1048" s="68"/>
      <c r="I1048" s="68"/>
      <c r="N1048" s="398"/>
      <c r="R1048" s="50"/>
      <c r="S1048" s="47"/>
      <c r="T1048" s="98"/>
      <c r="U1048" s="98"/>
      <c r="AF1048" s="39"/>
      <c r="AG1048" s="490"/>
      <c r="AH1048" s="490"/>
    </row>
    <row r="1049" spans="3:34" ht="19.5" customHeight="1">
      <c r="C1049" s="449"/>
      <c r="D1049" s="68"/>
      <c r="E1049" s="68"/>
      <c r="G1049" s="98"/>
      <c r="H1049" s="68"/>
      <c r="I1049" s="68"/>
      <c r="N1049" s="398"/>
      <c r="R1049" s="50"/>
      <c r="S1049" s="47"/>
      <c r="T1049" s="98"/>
      <c r="U1049" s="98"/>
      <c r="AF1049" s="39"/>
      <c r="AG1049" s="490"/>
      <c r="AH1049" s="490"/>
    </row>
    <row r="1050" spans="3:34" ht="19.5" customHeight="1">
      <c r="C1050" s="449"/>
      <c r="D1050" s="68"/>
      <c r="E1050" s="68"/>
      <c r="G1050" s="98"/>
      <c r="H1050" s="68"/>
      <c r="I1050" s="68"/>
      <c r="N1050" s="398"/>
      <c r="R1050" s="50"/>
      <c r="S1050" s="47"/>
      <c r="T1050" s="98"/>
      <c r="U1050" s="98"/>
      <c r="AF1050" s="39"/>
      <c r="AG1050" s="490"/>
      <c r="AH1050" s="490"/>
    </row>
    <row r="1051" spans="3:34" ht="19.5" customHeight="1">
      <c r="C1051" s="449"/>
      <c r="D1051" s="68"/>
      <c r="E1051" s="68"/>
      <c r="G1051" s="98"/>
      <c r="H1051" s="68"/>
      <c r="I1051" s="68"/>
      <c r="N1051" s="398"/>
      <c r="R1051" s="50"/>
      <c r="S1051" s="47"/>
      <c r="T1051" s="98"/>
      <c r="U1051" s="98"/>
      <c r="AF1051" s="39"/>
      <c r="AG1051" s="490"/>
      <c r="AH1051" s="490"/>
    </row>
    <row r="1052" spans="3:34" ht="19.5" customHeight="1">
      <c r="C1052" s="449"/>
      <c r="D1052" s="68"/>
      <c r="E1052" s="68"/>
      <c r="G1052" s="98"/>
      <c r="H1052" s="68"/>
      <c r="I1052" s="68"/>
      <c r="N1052" s="398"/>
      <c r="R1052" s="50"/>
      <c r="S1052" s="47"/>
      <c r="T1052" s="98"/>
      <c r="U1052" s="98"/>
      <c r="AF1052" s="39"/>
      <c r="AG1052" s="490"/>
      <c r="AH1052" s="490"/>
    </row>
    <row r="1053" spans="3:34" ht="19.5" customHeight="1">
      <c r="C1053" s="449"/>
      <c r="D1053" s="68"/>
      <c r="E1053" s="68"/>
      <c r="G1053" s="98"/>
      <c r="H1053" s="68"/>
      <c r="I1053" s="68"/>
      <c r="N1053" s="398"/>
      <c r="R1053" s="50"/>
      <c r="S1053" s="47"/>
      <c r="T1053" s="98"/>
      <c r="U1053" s="98"/>
      <c r="AF1053" s="39"/>
      <c r="AG1053" s="490"/>
      <c r="AH1053" s="490"/>
    </row>
    <row r="1054" spans="3:34" ht="19.5" customHeight="1">
      <c r="C1054" s="449"/>
      <c r="D1054" s="68"/>
      <c r="E1054" s="68"/>
      <c r="G1054" s="98"/>
      <c r="H1054" s="68"/>
      <c r="I1054" s="68"/>
      <c r="N1054" s="398"/>
      <c r="R1054" s="50"/>
      <c r="S1054" s="47"/>
      <c r="T1054" s="98"/>
      <c r="U1054" s="98"/>
      <c r="AF1054" s="39"/>
      <c r="AG1054" s="490"/>
      <c r="AH1054" s="490"/>
    </row>
    <row r="1055" spans="3:34" ht="19.5" customHeight="1">
      <c r="C1055" s="449"/>
      <c r="D1055" s="68"/>
      <c r="E1055" s="68"/>
      <c r="G1055" s="98"/>
      <c r="H1055" s="68"/>
      <c r="I1055" s="68"/>
      <c r="N1055" s="398"/>
      <c r="R1055" s="50"/>
      <c r="S1055" s="47"/>
      <c r="T1055" s="98"/>
      <c r="U1055" s="98"/>
      <c r="AF1055" s="39"/>
      <c r="AG1055" s="490"/>
      <c r="AH1055" s="490"/>
    </row>
    <row r="1056" spans="3:34" ht="19.5" customHeight="1">
      <c r="C1056" s="449"/>
      <c r="D1056" s="68"/>
      <c r="E1056" s="68"/>
      <c r="G1056" s="98"/>
      <c r="H1056" s="68"/>
      <c r="I1056" s="68"/>
      <c r="N1056" s="398"/>
      <c r="R1056" s="50"/>
      <c r="S1056" s="47"/>
      <c r="T1056" s="98"/>
      <c r="U1056" s="98"/>
      <c r="AF1056" s="39"/>
      <c r="AG1056" s="490"/>
      <c r="AH1056" s="490"/>
    </row>
    <row r="1057" spans="3:34" ht="19.5" customHeight="1">
      <c r="C1057" s="449"/>
      <c r="D1057" s="68"/>
      <c r="E1057" s="68"/>
      <c r="G1057" s="98"/>
      <c r="H1057" s="68"/>
      <c r="I1057" s="68"/>
      <c r="N1057" s="398"/>
      <c r="R1057" s="50"/>
      <c r="S1057" s="47"/>
      <c r="T1057" s="98"/>
      <c r="U1057" s="98"/>
      <c r="AF1057" s="39"/>
      <c r="AG1057" s="490"/>
      <c r="AH1057" s="490"/>
    </row>
    <row r="1058" spans="3:34" ht="19.5" customHeight="1">
      <c r="C1058" s="449"/>
      <c r="D1058" s="68"/>
      <c r="E1058" s="68"/>
      <c r="G1058" s="98"/>
      <c r="H1058" s="68"/>
      <c r="I1058" s="68"/>
      <c r="N1058" s="398"/>
      <c r="R1058" s="50"/>
      <c r="S1058" s="47"/>
      <c r="T1058" s="98"/>
      <c r="U1058" s="98"/>
      <c r="AF1058" s="39"/>
      <c r="AG1058" s="490"/>
      <c r="AH1058" s="490"/>
    </row>
    <row r="1059" spans="3:34" ht="19.5" customHeight="1">
      <c r="C1059" s="449"/>
      <c r="D1059" s="68"/>
      <c r="E1059" s="68"/>
      <c r="G1059" s="98"/>
      <c r="H1059" s="68"/>
      <c r="I1059" s="68"/>
      <c r="N1059" s="398"/>
      <c r="R1059" s="50"/>
      <c r="S1059" s="47"/>
      <c r="T1059" s="98"/>
      <c r="U1059" s="98"/>
      <c r="AF1059" s="39"/>
      <c r="AG1059" s="490"/>
      <c r="AH1059" s="490"/>
    </row>
    <row r="1060" spans="3:34" ht="19.5" customHeight="1">
      <c r="C1060" s="449"/>
      <c r="D1060" s="68"/>
      <c r="E1060" s="68"/>
      <c r="G1060" s="98"/>
      <c r="H1060" s="68"/>
      <c r="I1060" s="68"/>
      <c r="N1060" s="398"/>
      <c r="R1060" s="50"/>
      <c r="S1060" s="47"/>
      <c r="T1060" s="98"/>
      <c r="U1060" s="98"/>
      <c r="AF1060" s="39"/>
      <c r="AG1060" s="490"/>
      <c r="AH1060" s="490"/>
    </row>
    <row r="1061" spans="3:34" ht="19.5" customHeight="1">
      <c r="C1061" s="449"/>
      <c r="D1061" s="68"/>
      <c r="E1061" s="68"/>
      <c r="G1061" s="98"/>
      <c r="H1061" s="68"/>
      <c r="I1061" s="68"/>
      <c r="N1061" s="398"/>
      <c r="R1061" s="50"/>
      <c r="S1061" s="47"/>
      <c r="T1061" s="98"/>
      <c r="U1061" s="98"/>
      <c r="AF1061" s="39"/>
      <c r="AG1061" s="490"/>
      <c r="AH1061" s="490"/>
    </row>
    <row r="1062" spans="3:34" ht="19.5" customHeight="1">
      <c r="C1062" s="449"/>
      <c r="D1062" s="68"/>
      <c r="E1062" s="68"/>
      <c r="G1062" s="98"/>
      <c r="H1062" s="68"/>
      <c r="I1062" s="68"/>
      <c r="N1062" s="398"/>
      <c r="R1062" s="50"/>
      <c r="S1062" s="47"/>
      <c r="T1062" s="98"/>
      <c r="U1062" s="98"/>
      <c r="AF1062" s="39"/>
      <c r="AG1062" s="490"/>
      <c r="AH1062" s="490"/>
    </row>
    <row r="1063" spans="3:34" ht="19.5" customHeight="1">
      <c r="C1063" s="449"/>
      <c r="D1063" s="68"/>
      <c r="E1063" s="68"/>
      <c r="G1063" s="98"/>
      <c r="H1063" s="68"/>
      <c r="I1063" s="68"/>
      <c r="N1063" s="398"/>
      <c r="R1063" s="50"/>
      <c r="S1063" s="47"/>
      <c r="T1063" s="98"/>
      <c r="U1063" s="98"/>
      <c r="AF1063" s="39"/>
      <c r="AG1063" s="490"/>
      <c r="AH1063" s="490"/>
    </row>
    <row r="1064" spans="3:34" ht="19.5" customHeight="1">
      <c r="C1064" s="449"/>
      <c r="D1064" s="68"/>
      <c r="E1064" s="68"/>
      <c r="G1064" s="98"/>
      <c r="H1064" s="68"/>
      <c r="I1064" s="68"/>
      <c r="N1064" s="398"/>
      <c r="R1064" s="50"/>
      <c r="S1064" s="47"/>
      <c r="T1064" s="98"/>
      <c r="U1064" s="98"/>
      <c r="AF1064" s="39"/>
      <c r="AG1064" s="490"/>
      <c r="AH1064" s="490"/>
    </row>
    <row r="1065" spans="3:34" ht="19.5" customHeight="1">
      <c r="C1065" s="449"/>
      <c r="D1065" s="68"/>
      <c r="E1065" s="68"/>
      <c r="G1065" s="98"/>
      <c r="H1065" s="68"/>
      <c r="I1065" s="68"/>
      <c r="N1065" s="398"/>
      <c r="R1065" s="50"/>
      <c r="S1065" s="47"/>
      <c r="T1065" s="98"/>
      <c r="U1065" s="98"/>
      <c r="AF1065" s="39"/>
      <c r="AG1065" s="490"/>
      <c r="AH1065" s="490"/>
    </row>
    <row r="1066" spans="3:34" ht="19.5" customHeight="1">
      <c r="C1066" s="449"/>
      <c r="D1066" s="68"/>
      <c r="E1066" s="68"/>
      <c r="G1066" s="98"/>
      <c r="H1066" s="68"/>
      <c r="I1066" s="68"/>
      <c r="N1066" s="398"/>
      <c r="R1066" s="50"/>
      <c r="S1066" s="47"/>
      <c r="T1066" s="98"/>
      <c r="U1066" s="98"/>
      <c r="AF1066" s="39"/>
      <c r="AG1066" s="490"/>
      <c r="AH1066" s="490"/>
    </row>
    <row r="1067" spans="3:34" ht="19.5" customHeight="1">
      <c r="C1067" s="449"/>
      <c r="D1067" s="68"/>
      <c r="E1067" s="68"/>
      <c r="G1067" s="98"/>
      <c r="H1067" s="68"/>
      <c r="I1067" s="68"/>
      <c r="N1067" s="398"/>
      <c r="R1067" s="50"/>
      <c r="S1067" s="47"/>
      <c r="T1067" s="98"/>
      <c r="U1067" s="98"/>
      <c r="AF1067" s="39"/>
      <c r="AG1067" s="490"/>
      <c r="AH1067" s="490"/>
    </row>
    <row r="1068" spans="3:34" ht="19.5" customHeight="1">
      <c r="C1068" s="449"/>
      <c r="D1068" s="68"/>
      <c r="E1068" s="68"/>
      <c r="G1068" s="98"/>
      <c r="H1068" s="68"/>
      <c r="I1068" s="68"/>
      <c r="N1068" s="398"/>
      <c r="R1068" s="50"/>
      <c r="S1068" s="47"/>
      <c r="T1068" s="98"/>
      <c r="U1068" s="98"/>
      <c r="AF1068" s="39"/>
      <c r="AG1068" s="490"/>
      <c r="AH1068" s="490"/>
    </row>
    <row r="1069" spans="3:34" ht="19.5" customHeight="1">
      <c r="C1069" s="449"/>
      <c r="D1069" s="68"/>
      <c r="E1069" s="68"/>
      <c r="G1069" s="98"/>
      <c r="H1069" s="68"/>
      <c r="I1069" s="68"/>
      <c r="N1069" s="398"/>
      <c r="R1069" s="50"/>
      <c r="S1069" s="47"/>
      <c r="T1069" s="98"/>
      <c r="U1069" s="98"/>
      <c r="AF1069" s="39"/>
      <c r="AG1069" s="490"/>
      <c r="AH1069" s="490"/>
    </row>
    <row r="1070" spans="3:34" ht="19.5" customHeight="1">
      <c r="C1070" s="449"/>
      <c r="D1070" s="68"/>
      <c r="E1070" s="68"/>
      <c r="G1070" s="98"/>
      <c r="H1070" s="68"/>
      <c r="I1070" s="68"/>
      <c r="N1070" s="398"/>
      <c r="R1070" s="50"/>
      <c r="S1070" s="47"/>
      <c r="T1070" s="98"/>
      <c r="U1070" s="98"/>
      <c r="AF1070" s="39"/>
      <c r="AG1070" s="490"/>
      <c r="AH1070" s="490"/>
    </row>
    <row r="1071" spans="3:34" ht="19.5" customHeight="1">
      <c r="C1071" s="449"/>
      <c r="D1071" s="68"/>
      <c r="E1071" s="68"/>
      <c r="G1071" s="98"/>
      <c r="H1071" s="68"/>
      <c r="I1071" s="68"/>
      <c r="N1071" s="398"/>
      <c r="R1071" s="50"/>
      <c r="S1071" s="47"/>
      <c r="T1071" s="98"/>
      <c r="U1071" s="98"/>
      <c r="AF1071" s="39"/>
      <c r="AG1071" s="490"/>
      <c r="AH1071" s="490"/>
    </row>
    <row r="1072" spans="3:34" ht="19.5" customHeight="1">
      <c r="C1072" s="449"/>
      <c r="D1072" s="68"/>
      <c r="E1072" s="68"/>
      <c r="G1072" s="98"/>
      <c r="H1072" s="68"/>
      <c r="I1072" s="68"/>
      <c r="N1072" s="398"/>
      <c r="R1072" s="50"/>
      <c r="S1072" s="47"/>
      <c r="T1072" s="98"/>
      <c r="U1072" s="98"/>
      <c r="AF1072" s="39"/>
      <c r="AG1072" s="490"/>
      <c r="AH1072" s="490"/>
    </row>
    <row r="1073" spans="3:34" ht="19.5" customHeight="1">
      <c r="C1073" s="449"/>
      <c r="D1073" s="68"/>
      <c r="E1073" s="68"/>
      <c r="G1073" s="98"/>
      <c r="H1073" s="68"/>
      <c r="I1073" s="68"/>
      <c r="N1073" s="398"/>
      <c r="R1073" s="50"/>
      <c r="S1073" s="47"/>
      <c r="T1073" s="98"/>
      <c r="U1073" s="98"/>
      <c r="AF1073" s="39"/>
      <c r="AG1073" s="490"/>
      <c r="AH1073" s="490"/>
    </row>
    <row r="1074" spans="3:34" ht="19.5" customHeight="1">
      <c r="C1074" s="449"/>
      <c r="D1074" s="68"/>
      <c r="E1074" s="68"/>
      <c r="G1074" s="98"/>
      <c r="H1074" s="68"/>
      <c r="I1074" s="68"/>
      <c r="N1074" s="398"/>
      <c r="R1074" s="50"/>
      <c r="S1074" s="47"/>
      <c r="T1074" s="98"/>
      <c r="U1074" s="98"/>
      <c r="AF1074" s="39"/>
      <c r="AG1074" s="490"/>
      <c r="AH1074" s="490"/>
    </row>
    <row r="1075" spans="3:34" ht="19.5" customHeight="1">
      <c r="C1075" s="449"/>
      <c r="D1075" s="68"/>
      <c r="E1075" s="68"/>
      <c r="G1075" s="98"/>
      <c r="H1075" s="68"/>
      <c r="I1075" s="68"/>
      <c r="N1075" s="398"/>
      <c r="R1075" s="50"/>
      <c r="S1075" s="47"/>
      <c r="T1075" s="98"/>
      <c r="U1075" s="98"/>
      <c r="AF1075" s="39"/>
      <c r="AG1075" s="490"/>
      <c r="AH1075" s="490"/>
    </row>
    <row r="1076" spans="3:34" ht="19.5" customHeight="1">
      <c r="C1076" s="449"/>
      <c r="D1076" s="68"/>
      <c r="E1076" s="68"/>
      <c r="G1076" s="98"/>
      <c r="H1076" s="68"/>
      <c r="I1076" s="68"/>
      <c r="N1076" s="398"/>
      <c r="R1076" s="50"/>
      <c r="S1076" s="47"/>
      <c r="T1076" s="98"/>
      <c r="U1076" s="98"/>
      <c r="AF1076" s="39"/>
      <c r="AG1076" s="490"/>
      <c r="AH1076" s="490"/>
    </row>
    <row r="1077" spans="3:34" ht="19.5" customHeight="1">
      <c r="C1077" s="449"/>
      <c r="D1077" s="68"/>
      <c r="E1077" s="68"/>
      <c r="G1077" s="98"/>
      <c r="H1077" s="68"/>
      <c r="I1077" s="68"/>
      <c r="N1077" s="398"/>
      <c r="R1077" s="50"/>
      <c r="S1077" s="47"/>
      <c r="T1077" s="98"/>
      <c r="U1077" s="98"/>
      <c r="AF1077" s="39"/>
      <c r="AG1077" s="490"/>
      <c r="AH1077" s="490"/>
    </row>
    <row r="1078" spans="3:34" ht="19.5" customHeight="1">
      <c r="C1078" s="449"/>
      <c r="D1078" s="68"/>
      <c r="E1078" s="68"/>
      <c r="G1078" s="98"/>
      <c r="H1078" s="68"/>
      <c r="I1078" s="68"/>
      <c r="N1078" s="398"/>
      <c r="R1078" s="50"/>
      <c r="S1078" s="47"/>
      <c r="T1078" s="98"/>
      <c r="U1078" s="98"/>
      <c r="AF1078" s="39"/>
      <c r="AG1078" s="490"/>
      <c r="AH1078" s="490"/>
    </row>
    <row r="1079" spans="3:34" ht="19.5" customHeight="1">
      <c r="C1079" s="449"/>
      <c r="D1079" s="68"/>
      <c r="E1079" s="68"/>
      <c r="G1079" s="98"/>
      <c r="H1079" s="68"/>
      <c r="I1079" s="68"/>
      <c r="N1079" s="398"/>
      <c r="R1079" s="50"/>
      <c r="S1079" s="47"/>
      <c r="T1079" s="98"/>
      <c r="U1079" s="98"/>
      <c r="AF1079" s="39"/>
      <c r="AG1079" s="490"/>
      <c r="AH1079" s="490"/>
    </row>
    <row r="1080" spans="3:34" ht="19.5" customHeight="1">
      <c r="C1080" s="449"/>
      <c r="D1080" s="68"/>
      <c r="E1080" s="68"/>
      <c r="G1080" s="98"/>
      <c r="H1080" s="68"/>
      <c r="I1080" s="68"/>
      <c r="N1080" s="398"/>
      <c r="R1080" s="50"/>
      <c r="S1080" s="47"/>
      <c r="T1080" s="98"/>
      <c r="U1080" s="98"/>
      <c r="AF1080" s="39"/>
      <c r="AG1080" s="490"/>
      <c r="AH1080" s="490"/>
    </row>
    <row r="1081" spans="3:34" ht="19.5" customHeight="1">
      <c r="C1081" s="449"/>
      <c r="D1081" s="68"/>
      <c r="E1081" s="68"/>
      <c r="G1081" s="98"/>
      <c r="H1081" s="68"/>
      <c r="I1081" s="68"/>
      <c r="N1081" s="398"/>
      <c r="R1081" s="50"/>
      <c r="S1081" s="47"/>
      <c r="T1081" s="98"/>
      <c r="U1081" s="98"/>
      <c r="AF1081" s="39"/>
      <c r="AG1081" s="490"/>
      <c r="AH1081" s="490"/>
    </row>
    <row r="1082" spans="3:34" ht="19.5" customHeight="1">
      <c r="C1082" s="449"/>
      <c r="D1082" s="68"/>
      <c r="E1082" s="68"/>
      <c r="G1082" s="98"/>
      <c r="H1082" s="68"/>
      <c r="I1082" s="68"/>
      <c r="N1082" s="398"/>
      <c r="R1082" s="50"/>
      <c r="S1082" s="47"/>
      <c r="T1082" s="98"/>
      <c r="U1082" s="98"/>
      <c r="AF1082" s="39"/>
      <c r="AG1082" s="490"/>
      <c r="AH1082" s="490"/>
    </row>
    <row r="1083" spans="3:34" ht="19.5" customHeight="1">
      <c r="C1083" s="449"/>
      <c r="D1083" s="68"/>
      <c r="E1083" s="68"/>
      <c r="G1083" s="98"/>
      <c r="H1083" s="68"/>
      <c r="I1083" s="68"/>
      <c r="N1083" s="398"/>
      <c r="R1083" s="50"/>
      <c r="S1083" s="47"/>
      <c r="T1083" s="98"/>
      <c r="U1083" s="98"/>
      <c r="AF1083" s="39"/>
      <c r="AG1083" s="490"/>
      <c r="AH1083" s="490"/>
    </row>
    <row r="1084" spans="3:34" ht="19.5" customHeight="1">
      <c r="C1084" s="449"/>
      <c r="D1084" s="68"/>
      <c r="E1084" s="68"/>
      <c r="G1084" s="98"/>
      <c r="H1084" s="68"/>
      <c r="I1084" s="68"/>
      <c r="N1084" s="398"/>
      <c r="R1084" s="50"/>
      <c r="S1084" s="47"/>
      <c r="T1084" s="98"/>
      <c r="U1084" s="98"/>
      <c r="AF1084" s="39"/>
      <c r="AG1084" s="490"/>
      <c r="AH1084" s="490"/>
    </row>
    <row r="1085" spans="3:34" ht="19.5" customHeight="1">
      <c r="C1085" s="449"/>
      <c r="D1085" s="68"/>
      <c r="E1085" s="68"/>
      <c r="G1085" s="98"/>
      <c r="H1085" s="68"/>
      <c r="I1085" s="68"/>
      <c r="N1085" s="398"/>
      <c r="R1085" s="50"/>
      <c r="S1085" s="47"/>
      <c r="T1085" s="98"/>
      <c r="U1085" s="98"/>
      <c r="AF1085" s="39"/>
      <c r="AG1085" s="490"/>
      <c r="AH1085" s="490"/>
    </row>
    <row r="1086" spans="3:34" ht="19.5" customHeight="1">
      <c r="C1086" s="449"/>
      <c r="D1086" s="68"/>
      <c r="E1086" s="68"/>
      <c r="G1086" s="98"/>
      <c r="H1086" s="68"/>
      <c r="I1086" s="68"/>
      <c r="N1086" s="398"/>
      <c r="R1086" s="50"/>
      <c r="S1086" s="47"/>
      <c r="T1086" s="98"/>
      <c r="U1086" s="98"/>
      <c r="AF1086" s="39"/>
      <c r="AG1086" s="490"/>
      <c r="AH1086" s="490"/>
    </row>
    <row r="1087" spans="3:34" ht="19.5" customHeight="1">
      <c r="C1087" s="449"/>
      <c r="D1087" s="68"/>
      <c r="E1087" s="68"/>
      <c r="G1087" s="98"/>
      <c r="H1087" s="68"/>
      <c r="I1087" s="68"/>
      <c r="N1087" s="398"/>
      <c r="R1087" s="50"/>
      <c r="S1087" s="47"/>
      <c r="T1087" s="98"/>
      <c r="U1087" s="98"/>
      <c r="AF1087" s="39"/>
      <c r="AG1087" s="490"/>
      <c r="AH1087" s="490"/>
    </row>
    <row r="1088" spans="3:34" ht="19.5" customHeight="1">
      <c r="C1088" s="449"/>
      <c r="D1088" s="68"/>
      <c r="E1088" s="68"/>
      <c r="G1088" s="98"/>
      <c r="H1088" s="68"/>
      <c r="I1088" s="68"/>
      <c r="N1088" s="398"/>
      <c r="R1088" s="50"/>
      <c r="S1088" s="47"/>
      <c r="T1088" s="98"/>
      <c r="U1088" s="98"/>
      <c r="AF1088" s="39"/>
      <c r="AG1088" s="490"/>
      <c r="AH1088" s="490"/>
    </row>
    <row r="1089" spans="3:34" ht="19.5" customHeight="1">
      <c r="C1089" s="449"/>
      <c r="D1089" s="68"/>
      <c r="E1089" s="68"/>
      <c r="G1089" s="98"/>
      <c r="H1089" s="68"/>
      <c r="I1089" s="68"/>
      <c r="N1089" s="398"/>
      <c r="R1089" s="50"/>
      <c r="S1089" s="47"/>
      <c r="T1089" s="98"/>
      <c r="U1089" s="98"/>
      <c r="AF1089" s="39"/>
      <c r="AG1089" s="490"/>
      <c r="AH1089" s="490"/>
    </row>
    <row r="1090" spans="3:34" ht="19.5" customHeight="1">
      <c r="C1090" s="449"/>
      <c r="D1090" s="68"/>
      <c r="E1090" s="68"/>
      <c r="G1090" s="98"/>
      <c r="H1090" s="68"/>
      <c r="I1090" s="68"/>
      <c r="N1090" s="398"/>
      <c r="R1090" s="50"/>
      <c r="S1090" s="47"/>
      <c r="T1090" s="98"/>
      <c r="U1090" s="98"/>
      <c r="AF1090" s="39"/>
      <c r="AG1090" s="490"/>
      <c r="AH1090" s="490"/>
    </row>
    <row r="1091" spans="3:34" ht="19.5" customHeight="1">
      <c r="C1091" s="449"/>
      <c r="D1091" s="68"/>
      <c r="E1091" s="68"/>
      <c r="G1091" s="98"/>
      <c r="H1091" s="68"/>
      <c r="I1091" s="68"/>
      <c r="N1091" s="398"/>
      <c r="R1091" s="50"/>
      <c r="S1091" s="47"/>
      <c r="T1091" s="98"/>
      <c r="U1091" s="98"/>
      <c r="AF1091" s="39"/>
      <c r="AG1091" s="490"/>
      <c r="AH1091" s="490"/>
    </row>
    <row r="1092" spans="3:34" ht="19.5" customHeight="1">
      <c r="C1092" s="449"/>
      <c r="D1092" s="68"/>
      <c r="E1092" s="68"/>
      <c r="G1092" s="98"/>
      <c r="H1092" s="68"/>
      <c r="I1092" s="68"/>
      <c r="N1092" s="398"/>
      <c r="R1092" s="50"/>
      <c r="S1092" s="47"/>
      <c r="T1092" s="98"/>
      <c r="U1092" s="98"/>
      <c r="AF1092" s="39"/>
      <c r="AG1092" s="490"/>
      <c r="AH1092" s="490"/>
    </row>
    <row r="1093" spans="3:34" ht="19.5" customHeight="1">
      <c r="C1093" s="449"/>
      <c r="D1093" s="68"/>
      <c r="E1093" s="68"/>
      <c r="G1093" s="98"/>
      <c r="H1093" s="68"/>
      <c r="I1093" s="68"/>
      <c r="N1093" s="398"/>
      <c r="R1093" s="50"/>
      <c r="S1093" s="47"/>
      <c r="T1093" s="98"/>
      <c r="U1093" s="98"/>
      <c r="AF1093" s="39"/>
      <c r="AG1093" s="490"/>
      <c r="AH1093" s="490"/>
    </row>
    <row r="1094" spans="3:34" ht="19.5" customHeight="1">
      <c r="C1094" s="449"/>
      <c r="D1094" s="68"/>
      <c r="E1094" s="68"/>
      <c r="G1094" s="98"/>
      <c r="H1094" s="68"/>
      <c r="I1094" s="68"/>
      <c r="N1094" s="398"/>
      <c r="R1094" s="50"/>
      <c r="S1094" s="47"/>
      <c r="T1094" s="98"/>
      <c r="U1094" s="98"/>
      <c r="AF1094" s="39"/>
      <c r="AG1094" s="490"/>
      <c r="AH1094" s="490"/>
    </row>
    <row r="1095" spans="3:34" ht="19.5" customHeight="1">
      <c r="C1095" s="449"/>
      <c r="D1095" s="68"/>
      <c r="E1095" s="68"/>
      <c r="G1095" s="98"/>
      <c r="H1095" s="68"/>
      <c r="I1095" s="68"/>
      <c r="N1095" s="398"/>
      <c r="R1095" s="50"/>
      <c r="S1095" s="47"/>
      <c r="T1095" s="98"/>
      <c r="U1095" s="98"/>
      <c r="AF1095" s="39"/>
      <c r="AG1095" s="490"/>
      <c r="AH1095" s="490"/>
    </row>
    <row r="1096" spans="3:34" ht="19.5" customHeight="1">
      <c r="C1096" s="449"/>
      <c r="D1096" s="68"/>
      <c r="E1096" s="68"/>
      <c r="G1096" s="98"/>
      <c r="H1096" s="68"/>
      <c r="I1096" s="68"/>
      <c r="N1096" s="398"/>
      <c r="R1096" s="50"/>
      <c r="S1096" s="47"/>
      <c r="T1096" s="98"/>
      <c r="U1096" s="98"/>
      <c r="AF1096" s="39"/>
      <c r="AG1096" s="490"/>
      <c r="AH1096" s="490"/>
    </row>
    <row r="1097" spans="3:34" ht="19.5" customHeight="1">
      <c r="C1097" s="449"/>
      <c r="D1097" s="68"/>
      <c r="E1097" s="68"/>
      <c r="G1097" s="98"/>
      <c r="H1097" s="68"/>
      <c r="I1097" s="68"/>
      <c r="N1097" s="398"/>
      <c r="R1097" s="50"/>
      <c r="S1097" s="47"/>
      <c r="T1097" s="98"/>
      <c r="U1097" s="98"/>
      <c r="AF1097" s="39"/>
      <c r="AG1097" s="490"/>
      <c r="AH1097" s="490"/>
    </row>
    <row r="1098" spans="3:34" ht="19.5" customHeight="1">
      <c r="C1098" s="449"/>
      <c r="D1098" s="68"/>
      <c r="E1098" s="68"/>
      <c r="G1098" s="98"/>
      <c r="H1098" s="68"/>
      <c r="I1098" s="68"/>
      <c r="N1098" s="398"/>
      <c r="R1098" s="50"/>
      <c r="S1098" s="47"/>
      <c r="T1098" s="98"/>
      <c r="U1098" s="98"/>
      <c r="AF1098" s="39"/>
      <c r="AG1098" s="490"/>
      <c r="AH1098" s="490"/>
    </row>
    <row r="1099" spans="3:34" ht="19.5" customHeight="1">
      <c r="C1099" s="449"/>
      <c r="D1099" s="68"/>
      <c r="E1099" s="68"/>
      <c r="G1099" s="98"/>
      <c r="H1099" s="68"/>
      <c r="I1099" s="68"/>
      <c r="N1099" s="398"/>
      <c r="R1099" s="50"/>
      <c r="S1099" s="47"/>
      <c r="T1099" s="98"/>
      <c r="U1099" s="98"/>
      <c r="AF1099" s="39"/>
      <c r="AG1099" s="490"/>
      <c r="AH1099" s="490"/>
    </row>
    <row r="1100" spans="3:34" ht="19.5" customHeight="1">
      <c r="C1100" s="449"/>
      <c r="D1100" s="68"/>
      <c r="E1100" s="68"/>
      <c r="G1100" s="98"/>
      <c r="H1100" s="68"/>
      <c r="I1100" s="68"/>
      <c r="N1100" s="398"/>
      <c r="R1100" s="50"/>
      <c r="S1100" s="47"/>
      <c r="T1100" s="98"/>
      <c r="U1100" s="98"/>
      <c r="AF1100" s="39"/>
      <c r="AG1100" s="490"/>
      <c r="AH1100" s="490"/>
    </row>
    <row r="1101" spans="3:34" ht="19.5" customHeight="1">
      <c r="C1101" s="449"/>
      <c r="D1101" s="68"/>
      <c r="E1101" s="68"/>
      <c r="G1101" s="98"/>
      <c r="H1101" s="68"/>
      <c r="I1101" s="68"/>
      <c r="N1101" s="398"/>
      <c r="R1101" s="50"/>
      <c r="S1101" s="47"/>
      <c r="T1101" s="98"/>
      <c r="U1101" s="98"/>
      <c r="AF1101" s="39"/>
      <c r="AG1101" s="490"/>
      <c r="AH1101" s="490"/>
    </row>
    <row r="1102" spans="3:34" ht="19.5" customHeight="1">
      <c r="C1102" s="449"/>
      <c r="D1102" s="68"/>
      <c r="E1102" s="68"/>
      <c r="G1102" s="98"/>
      <c r="H1102" s="68"/>
      <c r="I1102" s="68"/>
      <c r="N1102" s="398"/>
      <c r="R1102" s="50"/>
      <c r="S1102" s="47"/>
      <c r="T1102" s="98"/>
      <c r="U1102" s="98"/>
      <c r="AF1102" s="39"/>
      <c r="AG1102" s="490"/>
      <c r="AH1102" s="490"/>
    </row>
    <row r="1103" spans="3:34" ht="19.5" customHeight="1">
      <c r="C1103" s="449"/>
      <c r="D1103" s="68"/>
      <c r="E1103" s="68"/>
      <c r="G1103" s="98"/>
      <c r="H1103" s="68"/>
      <c r="I1103" s="68"/>
      <c r="N1103" s="398"/>
      <c r="R1103" s="50"/>
      <c r="S1103" s="47"/>
      <c r="T1103" s="98"/>
      <c r="U1103" s="98"/>
      <c r="AF1103" s="39"/>
      <c r="AG1103" s="490"/>
      <c r="AH1103" s="490"/>
    </row>
    <row r="1104" spans="3:34" ht="19.5" customHeight="1">
      <c r="C1104" s="449"/>
      <c r="D1104" s="68"/>
      <c r="E1104" s="68"/>
      <c r="G1104" s="98"/>
      <c r="H1104" s="68"/>
      <c r="I1104" s="68"/>
      <c r="N1104" s="398"/>
      <c r="R1104" s="50"/>
      <c r="S1104" s="47"/>
      <c r="T1104" s="98"/>
      <c r="U1104" s="98"/>
      <c r="AF1104" s="39"/>
      <c r="AG1104" s="490"/>
      <c r="AH1104" s="490"/>
    </row>
    <row r="1105" spans="3:34" ht="19.5" customHeight="1">
      <c r="C1105" s="449"/>
      <c r="D1105" s="68"/>
      <c r="E1105" s="68"/>
      <c r="G1105" s="98"/>
      <c r="H1105" s="68"/>
      <c r="I1105" s="68"/>
      <c r="N1105" s="398"/>
      <c r="R1105" s="50"/>
      <c r="S1105" s="47"/>
      <c r="T1105" s="98"/>
      <c r="U1105" s="98"/>
      <c r="AF1105" s="39"/>
      <c r="AG1105" s="490"/>
      <c r="AH1105" s="490"/>
    </row>
    <row r="1106" spans="3:34" ht="19.5" customHeight="1">
      <c r="C1106" s="449"/>
      <c r="D1106" s="68"/>
      <c r="E1106" s="68"/>
      <c r="G1106" s="98"/>
      <c r="H1106" s="68"/>
      <c r="I1106" s="68"/>
      <c r="N1106" s="398"/>
      <c r="R1106" s="50"/>
      <c r="S1106" s="47"/>
      <c r="T1106" s="98"/>
      <c r="U1106" s="98"/>
      <c r="AF1106" s="39"/>
      <c r="AG1106" s="490"/>
      <c r="AH1106" s="490"/>
    </row>
    <row r="1107" spans="3:34" ht="19.5" customHeight="1">
      <c r="C1107" s="449"/>
      <c r="D1107" s="68"/>
      <c r="E1107" s="68"/>
      <c r="G1107" s="98"/>
      <c r="H1107" s="68"/>
      <c r="I1107" s="68"/>
      <c r="N1107" s="398"/>
      <c r="R1107" s="50"/>
      <c r="S1107" s="47"/>
      <c r="T1107" s="98"/>
      <c r="U1107" s="98"/>
      <c r="AF1107" s="39"/>
      <c r="AG1107" s="490"/>
      <c r="AH1107" s="490"/>
    </row>
    <row r="1108" spans="3:34" ht="19.5" customHeight="1">
      <c r="C1108" s="449"/>
      <c r="D1108" s="68"/>
      <c r="E1108" s="68"/>
      <c r="G1108" s="98"/>
      <c r="H1108" s="68"/>
      <c r="I1108" s="68"/>
      <c r="N1108" s="398"/>
      <c r="R1108" s="50"/>
      <c r="S1108" s="47"/>
      <c r="T1108" s="98"/>
      <c r="U1108" s="98"/>
      <c r="AF1108" s="39"/>
      <c r="AG1108" s="490"/>
      <c r="AH1108" s="490"/>
    </row>
    <row r="1109" spans="3:34" ht="19.5" customHeight="1">
      <c r="C1109" s="449"/>
      <c r="D1109" s="68"/>
      <c r="E1109" s="68"/>
      <c r="G1109" s="98"/>
      <c r="H1109" s="68"/>
      <c r="I1109" s="68"/>
      <c r="N1109" s="398"/>
      <c r="R1109" s="50"/>
      <c r="S1109" s="47"/>
      <c r="T1109" s="98"/>
      <c r="U1109" s="98"/>
      <c r="AF1109" s="39"/>
      <c r="AG1109" s="490"/>
      <c r="AH1109" s="490"/>
    </row>
    <row r="1110" spans="3:34" ht="19.5" customHeight="1">
      <c r="C1110" s="449"/>
      <c r="D1110" s="68"/>
      <c r="E1110" s="68"/>
      <c r="G1110" s="98"/>
      <c r="H1110" s="68"/>
      <c r="I1110" s="68"/>
      <c r="N1110" s="398"/>
      <c r="R1110" s="50"/>
      <c r="S1110" s="47"/>
      <c r="T1110" s="98"/>
      <c r="U1110" s="98"/>
      <c r="AF1110" s="39"/>
      <c r="AG1110" s="490"/>
      <c r="AH1110" s="490"/>
    </row>
    <row r="1111" spans="3:34" ht="19.5" customHeight="1">
      <c r="C1111" s="449"/>
      <c r="D1111" s="68"/>
      <c r="E1111" s="68"/>
      <c r="G1111" s="98"/>
      <c r="H1111" s="68"/>
      <c r="I1111" s="68"/>
      <c r="N1111" s="398"/>
      <c r="R1111" s="50"/>
      <c r="S1111" s="47"/>
      <c r="T1111" s="98"/>
      <c r="U1111" s="98"/>
      <c r="AF1111" s="39"/>
      <c r="AG1111" s="490"/>
      <c r="AH1111" s="490"/>
    </row>
    <row r="1112" spans="3:34" ht="19.5" customHeight="1">
      <c r="C1112" s="449"/>
      <c r="D1112" s="68"/>
      <c r="E1112" s="68"/>
      <c r="G1112" s="98"/>
      <c r="H1112" s="68"/>
      <c r="I1112" s="68"/>
      <c r="N1112" s="398"/>
      <c r="R1112" s="50"/>
      <c r="S1112" s="47"/>
      <c r="T1112" s="98"/>
      <c r="U1112" s="98"/>
      <c r="AF1112" s="39"/>
      <c r="AG1112" s="490"/>
      <c r="AH1112" s="490"/>
    </row>
    <row r="1113" spans="3:34" ht="19.5" customHeight="1">
      <c r="C1113" s="449"/>
      <c r="D1113" s="68"/>
      <c r="E1113" s="68"/>
      <c r="G1113" s="98"/>
      <c r="H1113" s="68"/>
      <c r="I1113" s="68"/>
      <c r="N1113" s="398"/>
      <c r="R1113" s="50"/>
      <c r="S1113" s="47"/>
      <c r="T1113" s="98"/>
      <c r="U1113" s="98"/>
      <c r="AF1113" s="39"/>
      <c r="AG1113" s="490"/>
      <c r="AH1113" s="490"/>
    </row>
    <row r="1114" spans="3:34" ht="19.5" customHeight="1">
      <c r="C1114" s="449"/>
      <c r="D1114" s="68"/>
      <c r="E1114" s="68"/>
      <c r="G1114" s="98"/>
      <c r="H1114" s="68"/>
      <c r="I1114" s="68"/>
      <c r="N1114" s="398"/>
      <c r="R1114" s="50"/>
      <c r="S1114" s="47"/>
      <c r="T1114" s="98"/>
      <c r="U1114" s="98"/>
      <c r="AF1114" s="39"/>
      <c r="AG1114" s="490"/>
      <c r="AH1114" s="490"/>
    </row>
    <row r="1115" spans="3:34" ht="19.5" customHeight="1">
      <c r="C1115" s="449"/>
      <c r="D1115" s="68"/>
      <c r="E1115" s="68"/>
      <c r="G1115" s="98"/>
      <c r="H1115" s="68"/>
      <c r="I1115" s="68"/>
      <c r="N1115" s="398"/>
      <c r="R1115" s="50"/>
      <c r="S1115" s="47"/>
      <c r="T1115" s="98"/>
      <c r="U1115" s="98"/>
      <c r="AF1115" s="39"/>
      <c r="AG1115" s="490"/>
      <c r="AH1115" s="490"/>
    </row>
    <row r="1116" spans="3:34" ht="19.5" customHeight="1">
      <c r="C1116" s="449"/>
      <c r="D1116" s="68"/>
      <c r="E1116" s="68"/>
      <c r="G1116" s="98"/>
      <c r="H1116" s="68"/>
      <c r="I1116" s="68"/>
      <c r="N1116" s="398"/>
      <c r="R1116" s="50"/>
      <c r="S1116" s="47"/>
      <c r="T1116" s="98"/>
      <c r="U1116" s="98"/>
      <c r="AF1116" s="39"/>
      <c r="AG1116" s="490"/>
      <c r="AH1116" s="490"/>
    </row>
    <row r="1117" spans="3:34" ht="19.5" customHeight="1">
      <c r="C1117" s="449"/>
      <c r="D1117" s="68"/>
      <c r="E1117" s="68"/>
      <c r="G1117" s="98"/>
      <c r="H1117" s="68"/>
      <c r="I1117" s="68"/>
      <c r="N1117" s="398"/>
      <c r="R1117" s="50"/>
      <c r="S1117" s="47"/>
      <c r="T1117" s="98"/>
      <c r="U1117" s="98"/>
      <c r="AF1117" s="39"/>
      <c r="AG1117" s="490"/>
      <c r="AH1117" s="490"/>
    </row>
    <row r="1118" spans="3:34" ht="19.5" customHeight="1">
      <c r="C1118" s="449"/>
      <c r="D1118" s="68"/>
      <c r="E1118" s="68"/>
      <c r="G1118" s="98"/>
      <c r="H1118" s="68"/>
      <c r="I1118" s="68"/>
      <c r="N1118" s="398"/>
      <c r="R1118" s="50"/>
      <c r="S1118" s="47"/>
      <c r="T1118" s="98"/>
      <c r="U1118" s="98"/>
      <c r="AF1118" s="39"/>
      <c r="AG1118" s="490"/>
      <c r="AH1118" s="490"/>
    </row>
    <row r="1119" spans="3:34" ht="19.5" customHeight="1">
      <c r="C1119" s="449"/>
      <c r="D1119" s="68"/>
      <c r="E1119" s="68"/>
      <c r="G1119" s="98"/>
      <c r="H1119" s="68"/>
      <c r="I1119" s="68"/>
      <c r="N1119" s="398"/>
      <c r="R1119" s="50"/>
      <c r="S1119" s="47"/>
      <c r="T1119" s="98"/>
      <c r="U1119" s="98"/>
      <c r="AF1119" s="39"/>
      <c r="AG1119" s="490"/>
      <c r="AH1119" s="490"/>
    </row>
    <row r="1120" spans="3:34" ht="19.5" customHeight="1">
      <c r="C1120" s="449"/>
      <c r="D1120" s="68"/>
      <c r="E1120" s="68"/>
      <c r="G1120" s="98"/>
      <c r="H1120" s="68"/>
      <c r="I1120" s="68"/>
      <c r="N1120" s="398"/>
      <c r="R1120" s="50"/>
      <c r="S1120" s="47"/>
      <c r="T1120" s="98"/>
      <c r="U1120" s="98"/>
      <c r="AF1120" s="39"/>
      <c r="AG1120" s="490"/>
      <c r="AH1120" s="490"/>
    </row>
    <row r="1121" spans="3:34" ht="19.5" customHeight="1">
      <c r="C1121" s="449"/>
      <c r="D1121" s="68"/>
      <c r="E1121" s="68"/>
      <c r="G1121" s="98"/>
      <c r="H1121" s="68"/>
      <c r="I1121" s="68"/>
      <c r="N1121" s="398"/>
      <c r="R1121" s="50"/>
      <c r="S1121" s="47"/>
      <c r="T1121" s="98"/>
      <c r="U1121" s="98"/>
      <c r="AF1121" s="39"/>
      <c r="AG1121" s="490"/>
      <c r="AH1121" s="490"/>
    </row>
    <row r="1122" spans="3:34" ht="19.5" customHeight="1">
      <c r="C1122" s="449"/>
      <c r="D1122" s="68"/>
      <c r="E1122" s="68"/>
      <c r="G1122" s="98"/>
      <c r="H1122" s="68"/>
      <c r="I1122" s="68"/>
      <c r="N1122" s="398"/>
      <c r="R1122" s="50"/>
      <c r="S1122" s="47"/>
      <c r="T1122" s="98"/>
      <c r="U1122" s="98"/>
      <c r="AF1122" s="39"/>
      <c r="AG1122" s="490"/>
      <c r="AH1122" s="490"/>
    </row>
    <row r="1123" spans="3:34" ht="19.5" customHeight="1">
      <c r="C1123" s="449"/>
      <c r="D1123" s="68"/>
      <c r="E1123" s="68"/>
      <c r="G1123" s="98"/>
      <c r="H1123" s="68"/>
      <c r="I1123" s="68"/>
      <c r="N1123" s="398"/>
      <c r="R1123" s="50"/>
      <c r="S1123" s="47"/>
      <c r="T1123" s="98"/>
      <c r="U1123" s="98"/>
      <c r="AF1123" s="39"/>
      <c r="AG1123" s="490"/>
      <c r="AH1123" s="490"/>
    </row>
    <row r="1124" spans="3:34" ht="19.5" customHeight="1">
      <c r="C1124" s="449"/>
      <c r="D1124" s="68"/>
      <c r="E1124" s="68"/>
      <c r="G1124" s="98"/>
      <c r="H1124" s="68"/>
      <c r="I1124" s="68"/>
      <c r="N1124" s="398"/>
      <c r="R1124" s="50"/>
      <c r="S1124" s="47"/>
      <c r="T1124" s="98"/>
      <c r="U1124" s="98"/>
      <c r="AF1124" s="39"/>
      <c r="AG1124" s="490"/>
      <c r="AH1124" s="490"/>
    </row>
    <row r="1125" spans="3:34" ht="19.5" customHeight="1">
      <c r="C1125" s="449"/>
      <c r="D1125" s="68"/>
      <c r="E1125" s="68"/>
      <c r="G1125" s="98"/>
      <c r="H1125" s="68"/>
      <c r="I1125" s="68"/>
      <c r="N1125" s="398"/>
      <c r="R1125" s="50"/>
      <c r="S1125" s="47"/>
      <c r="T1125" s="98"/>
      <c r="U1125" s="98"/>
      <c r="AF1125" s="39"/>
      <c r="AG1125" s="490"/>
      <c r="AH1125" s="490"/>
    </row>
    <row r="1126" spans="3:34" ht="19.5" customHeight="1">
      <c r="C1126" s="449"/>
      <c r="D1126" s="68"/>
      <c r="E1126" s="68"/>
      <c r="G1126" s="98"/>
      <c r="H1126" s="68"/>
      <c r="I1126" s="68"/>
      <c r="N1126" s="398"/>
      <c r="R1126" s="50"/>
      <c r="S1126" s="47"/>
      <c r="T1126" s="98"/>
      <c r="U1126" s="98"/>
      <c r="AF1126" s="39"/>
      <c r="AG1126" s="490"/>
      <c r="AH1126" s="490"/>
    </row>
    <row r="1127" spans="3:34" ht="19.5" customHeight="1">
      <c r="C1127" s="449"/>
      <c r="D1127" s="68"/>
      <c r="E1127" s="68"/>
      <c r="G1127" s="98"/>
      <c r="H1127" s="68"/>
      <c r="I1127" s="68"/>
      <c r="N1127" s="398"/>
      <c r="R1127" s="50"/>
      <c r="S1127" s="47"/>
      <c r="T1127" s="98"/>
      <c r="U1127" s="98"/>
      <c r="AF1127" s="39"/>
      <c r="AG1127" s="490"/>
      <c r="AH1127" s="490"/>
    </row>
    <row r="1128" spans="3:34" ht="19.5" customHeight="1">
      <c r="C1128" s="449"/>
      <c r="D1128" s="68"/>
      <c r="E1128" s="68"/>
      <c r="G1128" s="98"/>
      <c r="H1128" s="68"/>
      <c r="I1128" s="68"/>
      <c r="N1128" s="398"/>
      <c r="R1128" s="50"/>
      <c r="S1128" s="47"/>
      <c r="T1128" s="98"/>
      <c r="U1128" s="98"/>
      <c r="AF1128" s="39"/>
      <c r="AG1128" s="490"/>
      <c r="AH1128" s="490"/>
    </row>
    <row r="1129" spans="3:34" ht="19.5" customHeight="1">
      <c r="C1129" s="449"/>
      <c r="D1129" s="68"/>
      <c r="E1129" s="68"/>
      <c r="G1129" s="98"/>
      <c r="H1129" s="68"/>
      <c r="I1129" s="68"/>
      <c r="N1129" s="398"/>
      <c r="R1129" s="50"/>
      <c r="S1129" s="47"/>
      <c r="T1129" s="98"/>
      <c r="U1129" s="98"/>
      <c r="AF1129" s="39"/>
      <c r="AG1129" s="490"/>
      <c r="AH1129" s="490"/>
    </row>
    <row r="1130" spans="3:34" ht="19.5" customHeight="1">
      <c r="C1130" s="449"/>
      <c r="D1130" s="68"/>
      <c r="E1130" s="68"/>
      <c r="G1130" s="98"/>
      <c r="H1130" s="68"/>
      <c r="I1130" s="68"/>
      <c r="N1130" s="398"/>
      <c r="R1130" s="50"/>
      <c r="S1130" s="47"/>
      <c r="T1130" s="98"/>
      <c r="U1130" s="98"/>
      <c r="AF1130" s="39"/>
      <c r="AG1130" s="490"/>
      <c r="AH1130" s="490"/>
    </row>
    <row r="1131" spans="3:34" ht="19.5" customHeight="1">
      <c r="C1131" s="449"/>
      <c r="D1131" s="68"/>
      <c r="E1131" s="68"/>
      <c r="G1131" s="98"/>
      <c r="H1131" s="68"/>
      <c r="I1131" s="68"/>
      <c r="N1131" s="398"/>
      <c r="R1131" s="50"/>
      <c r="S1131" s="47"/>
      <c r="T1131" s="98"/>
      <c r="U1131" s="98"/>
      <c r="AF1131" s="39"/>
      <c r="AG1131" s="490"/>
      <c r="AH1131" s="490"/>
    </row>
    <row r="1132" spans="3:34" ht="19.5" customHeight="1">
      <c r="C1132" s="449"/>
      <c r="D1132" s="68"/>
      <c r="E1132" s="68"/>
      <c r="G1132" s="98"/>
      <c r="H1132" s="68"/>
      <c r="I1132" s="68"/>
      <c r="N1132" s="398"/>
      <c r="R1132" s="50"/>
      <c r="S1132" s="47"/>
      <c r="T1132" s="98"/>
      <c r="U1132" s="98"/>
      <c r="AF1132" s="39"/>
      <c r="AG1132" s="490"/>
      <c r="AH1132" s="490"/>
    </row>
    <row r="1133" spans="3:34" ht="19.5" customHeight="1">
      <c r="C1133" s="449"/>
      <c r="D1133" s="68"/>
      <c r="E1133" s="68"/>
      <c r="G1133" s="98"/>
      <c r="H1133" s="68"/>
      <c r="I1133" s="68"/>
      <c r="N1133" s="398"/>
      <c r="R1133" s="50"/>
      <c r="S1133" s="47"/>
      <c r="T1133" s="98"/>
      <c r="U1133" s="98"/>
      <c r="AF1133" s="39"/>
      <c r="AG1133" s="490"/>
      <c r="AH1133" s="490"/>
    </row>
    <row r="1134" spans="3:34" ht="19.5" customHeight="1">
      <c r="C1134" s="449"/>
      <c r="D1134" s="68"/>
      <c r="E1134" s="68"/>
      <c r="G1134" s="98"/>
      <c r="H1134" s="68"/>
      <c r="I1134" s="68"/>
      <c r="N1134" s="398"/>
      <c r="R1134" s="50"/>
      <c r="S1134" s="47"/>
      <c r="T1134" s="98"/>
      <c r="U1134" s="98"/>
      <c r="AF1134" s="39"/>
      <c r="AG1134" s="490"/>
      <c r="AH1134" s="490"/>
    </row>
    <row r="1135" spans="3:34" ht="19.5" customHeight="1">
      <c r="C1135" s="449"/>
      <c r="D1135" s="68"/>
      <c r="E1135" s="68"/>
      <c r="G1135" s="98"/>
      <c r="H1135" s="68"/>
      <c r="I1135" s="68"/>
      <c r="N1135" s="398"/>
      <c r="R1135" s="50"/>
      <c r="S1135" s="47"/>
      <c r="T1135" s="98"/>
      <c r="U1135" s="98"/>
      <c r="AF1135" s="39"/>
      <c r="AG1135" s="490"/>
      <c r="AH1135" s="490"/>
    </row>
    <row r="1136" spans="3:34" ht="19.5" customHeight="1">
      <c r="C1136" s="449"/>
      <c r="D1136" s="68"/>
      <c r="E1136" s="68"/>
      <c r="G1136" s="98"/>
      <c r="H1136" s="68"/>
      <c r="I1136" s="68"/>
      <c r="N1136" s="398"/>
      <c r="R1136" s="50"/>
      <c r="S1136" s="47"/>
      <c r="T1136" s="98"/>
      <c r="U1136" s="98"/>
      <c r="AF1136" s="39"/>
      <c r="AG1136" s="490"/>
      <c r="AH1136" s="490"/>
    </row>
    <row r="1137" spans="3:34" ht="19.5" customHeight="1">
      <c r="C1137" s="449"/>
      <c r="D1137" s="68"/>
      <c r="E1137" s="68"/>
      <c r="G1137" s="98"/>
      <c r="H1137" s="68"/>
      <c r="I1137" s="68"/>
      <c r="N1137" s="398"/>
      <c r="R1137" s="50"/>
      <c r="S1137" s="47"/>
      <c r="T1137" s="98"/>
      <c r="U1137" s="98"/>
      <c r="AF1137" s="39"/>
      <c r="AG1137" s="490"/>
      <c r="AH1137" s="490"/>
    </row>
    <row r="1138" spans="3:34" ht="19.5" customHeight="1">
      <c r="C1138" s="449"/>
      <c r="D1138" s="68"/>
      <c r="E1138" s="68"/>
      <c r="G1138" s="98"/>
      <c r="H1138" s="68"/>
      <c r="I1138" s="68"/>
      <c r="N1138" s="398"/>
      <c r="R1138" s="50"/>
      <c r="S1138" s="47"/>
      <c r="T1138" s="98"/>
      <c r="U1138" s="98"/>
      <c r="AF1138" s="39"/>
      <c r="AG1138" s="490"/>
      <c r="AH1138" s="490"/>
    </row>
    <row r="1139" spans="3:34" ht="19.5" customHeight="1">
      <c r="C1139" s="449"/>
      <c r="D1139" s="68"/>
      <c r="E1139" s="68"/>
      <c r="G1139" s="98"/>
      <c r="H1139" s="68"/>
      <c r="I1139" s="68"/>
      <c r="N1139" s="398"/>
      <c r="R1139" s="50"/>
      <c r="S1139" s="47"/>
      <c r="T1139" s="98"/>
      <c r="U1139" s="98"/>
      <c r="AF1139" s="39"/>
      <c r="AG1139" s="490"/>
      <c r="AH1139" s="490"/>
    </row>
    <row r="1140" spans="3:34" ht="19.5" customHeight="1">
      <c r="C1140" s="449"/>
      <c r="D1140" s="68"/>
      <c r="E1140" s="68"/>
      <c r="G1140" s="98"/>
      <c r="H1140" s="68"/>
      <c r="I1140" s="68"/>
      <c r="N1140" s="398"/>
      <c r="R1140" s="50"/>
      <c r="S1140" s="47"/>
      <c r="T1140" s="98"/>
      <c r="U1140" s="98"/>
      <c r="AF1140" s="39"/>
      <c r="AG1140" s="490"/>
      <c r="AH1140" s="490"/>
    </row>
    <row r="1141" spans="3:34" ht="19.5" customHeight="1">
      <c r="C1141" s="449"/>
      <c r="D1141" s="68"/>
      <c r="E1141" s="68"/>
      <c r="G1141" s="98"/>
      <c r="H1141" s="68"/>
      <c r="I1141" s="68"/>
      <c r="N1141" s="398"/>
      <c r="R1141" s="50"/>
      <c r="S1141" s="47"/>
      <c r="T1141" s="98"/>
      <c r="U1141" s="98"/>
      <c r="AF1141" s="39"/>
      <c r="AG1141" s="490"/>
      <c r="AH1141" s="490"/>
    </row>
    <row r="1142" spans="3:34" ht="19.5" customHeight="1">
      <c r="C1142" s="449"/>
      <c r="D1142" s="68"/>
      <c r="E1142" s="68"/>
      <c r="G1142" s="98"/>
      <c r="H1142" s="68"/>
      <c r="I1142" s="68"/>
      <c r="N1142" s="398"/>
      <c r="R1142" s="50"/>
      <c r="S1142" s="47"/>
      <c r="T1142" s="98"/>
      <c r="U1142" s="98"/>
      <c r="AF1142" s="39"/>
      <c r="AG1142" s="490"/>
      <c r="AH1142" s="490"/>
    </row>
    <row r="1143" spans="3:34" ht="19.5" customHeight="1">
      <c r="C1143" s="449"/>
      <c r="D1143" s="68"/>
      <c r="E1143" s="68"/>
      <c r="G1143" s="98"/>
      <c r="H1143" s="68"/>
      <c r="I1143" s="68"/>
      <c r="N1143" s="398"/>
      <c r="R1143" s="50"/>
      <c r="S1143" s="47"/>
      <c r="T1143" s="98"/>
      <c r="U1143" s="98"/>
      <c r="AF1143" s="39"/>
      <c r="AG1143" s="490"/>
      <c r="AH1143" s="490"/>
    </row>
    <row r="1144" spans="3:34" ht="19.5" customHeight="1">
      <c r="C1144" s="449"/>
      <c r="D1144" s="68"/>
      <c r="E1144" s="68"/>
      <c r="G1144" s="98"/>
      <c r="H1144" s="68"/>
      <c r="I1144" s="68"/>
      <c r="N1144" s="398"/>
      <c r="R1144" s="50"/>
      <c r="S1144" s="47"/>
      <c r="T1144" s="98"/>
      <c r="U1144" s="98"/>
      <c r="AF1144" s="39"/>
      <c r="AG1144" s="490"/>
      <c r="AH1144" s="490"/>
    </row>
    <row r="1145" spans="3:34" ht="19.5" customHeight="1">
      <c r="C1145" s="449"/>
      <c r="D1145" s="68"/>
      <c r="E1145" s="68"/>
      <c r="G1145" s="98"/>
      <c r="H1145" s="68"/>
      <c r="I1145" s="68"/>
      <c r="N1145" s="398"/>
      <c r="R1145" s="50"/>
      <c r="S1145" s="47"/>
      <c r="T1145" s="98"/>
      <c r="U1145" s="98"/>
      <c r="AF1145" s="39"/>
      <c r="AG1145" s="490"/>
      <c r="AH1145" s="490"/>
    </row>
    <row r="1146" spans="3:34" ht="19.5" customHeight="1">
      <c r="C1146" s="449"/>
      <c r="D1146" s="68"/>
      <c r="E1146" s="68"/>
      <c r="G1146" s="98"/>
      <c r="H1146" s="68"/>
      <c r="I1146" s="68"/>
      <c r="N1146" s="398"/>
      <c r="R1146" s="50"/>
      <c r="S1146" s="47"/>
      <c r="T1146" s="98"/>
      <c r="U1146" s="98"/>
      <c r="AF1146" s="39"/>
      <c r="AG1146" s="490"/>
      <c r="AH1146" s="490"/>
    </row>
    <row r="1147" spans="3:34" ht="19.5" customHeight="1">
      <c r="C1147" s="449"/>
      <c r="D1147" s="68"/>
      <c r="E1147" s="68"/>
      <c r="G1147" s="98"/>
      <c r="H1147" s="68"/>
      <c r="I1147" s="68"/>
      <c r="N1147" s="398"/>
      <c r="R1147" s="50"/>
      <c r="S1147" s="47"/>
      <c r="T1147" s="98"/>
      <c r="U1147" s="98"/>
      <c r="AF1147" s="39"/>
      <c r="AG1147" s="490"/>
      <c r="AH1147" s="490"/>
    </row>
    <row r="1148" spans="3:34" ht="19.5" customHeight="1">
      <c r="C1148" s="449"/>
      <c r="D1148" s="68"/>
      <c r="E1148" s="68"/>
      <c r="G1148" s="98"/>
      <c r="H1148" s="68"/>
      <c r="I1148" s="68"/>
      <c r="N1148" s="398"/>
      <c r="R1148" s="50"/>
      <c r="S1148" s="47"/>
      <c r="T1148" s="98"/>
      <c r="U1148" s="98"/>
      <c r="AF1148" s="39"/>
      <c r="AG1148" s="490"/>
      <c r="AH1148" s="490"/>
    </row>
    <row r="1149" spans="3:34" ht="19.5" customHeight="1">
      <c r="C1149" s="449"/>
      <c r="D1149" s="68"/>
      <c r="E1149" s="68"/>
      <c r="G1149" s="98"/>
      <c r="H1149" s="68"/>
      <c r="I1149" s="68"/>
      <c r="N1149" s="398"/>
      <c r="R1149" s="50"/>
      <c r="S1149" s="47"/>
      <c r="T1149" s="98"/>
      <c r="U1149" s="98"/>
      <c r="AF1149" s="39"/>
      <c r="AG1149" s="490"/>
      <c r="AH1149" s="490"/>
    </row>
    <row r="1150" spans="3:34" ht="19.5" customHeight="1">
      <c r="C1150" s="449"/>
      <c r="D1150" s="68"/>
      <c r="E1150" s="68"/>
      <c r="G1150" s="98"/>
      <c r="H1150" s="68"/>
      <c r="I1150" s="68"/>
      <c r="N1150" s="398"/>
      <c r="R1150" s="50"/>
      <c r="S1150" s="47"/>
      <c r="T1150" s="98"/>
      <c r="U1150" s="98"/>
      <c r="AF1150" s="39"/>
      <c r="AG1150" s="490"/>
      <c r="AH1150" s="490"/>
    </row>
    <row r="1151" spans="3:34" ht="19.5" customHeight="1">
      <c r="C1151" s="449"/>
      <c r="D1151" s="68"/>
      <c r="E1151" s="68"/>
      <c r="G1151" s="98"/>
      <c r="H1151" s="68"/>
      <c r="I1151" s="68"/>
      <c r="N1151" s="398"/>
      <c r="R1151" s="50"/>
      <c r="S1151" s="47"/>
      <c r="T1151" s="98"/>
      <c r="U1151" s="98"/>
      <c r="AF1151" s="39"/>
      <c r="AG1151" s="490"/>
      <c r="AH1151" s="490"/>
    </row>
    <row r="1152" spans="3:34" ht="19.5" customHeight="1">
      <c r="C1152" s="449"/>
      <c r="D1152" s="68"/>
      <c r="E1152" s="68"/>
      <c r="G1152" s="98"/>
      <c r="H1152" s="68"/>
      <c r="I1152" s="68"/>
      <c r="N1152" s="398"/>
      <c r="R1152" s="50"/>
      <c r="S1152" s="47"/>
      <c r="T1152" s="98"/>
      <c r="U1152" s="98"/>
      <c r="AF1152" s="39"/>
      <c r="AG1152" s="490"/>
      <c r="AH1152" s="490"/>
    </row>
    <row r="1153" spans="3:34" ht="19.5" customHeight="1">
      <c r="C1153" s="449"/>
      <c r="D1153" s="68"/>
      <c r="E1153" s="68"/>
      <c r="G1153" s="98"/>
      <c r="H1153" s="68"/>
      <c r="I1153" s="68"/>
      <c r="N1153" s="398"/>
      <c r="R1153" s="50"/>
      <c r="S1153" s="47"/>
      <c r="T1153" s="98"/>
      <c r="U1153" s="98"/>
      <c r="AF1153" s="39"/>
      <c r="AG1153" s="490"/>
      <c r="AH1153" s="490"/>
    </row>
    <row r="1154" spans="3:34" ht="19.5" customHeight="1">
      <c r="C1154" s="449"/>
      <c r="D1154" s="68"/>
      <c r="E1154" s="68"/>
      <c r="G1154" s="98"/>
      <c r="H1154" s="68"/>
      <c r="I1154" s="68"/>
      <c r="N1154" s="398"/>
      <c r="R1154" s="50"/>
      <c r="S1154" s="47"/>
      <c r="T1154" s="98"/>
      <c r="U1154" s="98"/>
      <c r="AF1154" s="39"/>
      <c r="AG1154" s="490"/>
      <c r="AH1154" s="490"/>
    </row>
    <row r="1155" spans="3:34" ht="19.5" customHeight="1">
      <c r="C1155" s="449"/>
      <c r="D1155" s="68"/>
      <c r="E1155" s="68"/>
      <c r="G1155" s="98"/>
      <c r="H1155" s="68"/>
      <c r="I1155" s="68"/>
      <c r="N1155" s="398"/>
      <c r="R1155" s="50"/>
      <c r="S1155" s="47"/>
      <c r="T1155" s="98"/>
      <c r="U1155" s="98"/>
      <c r="AF1155" s="39"/>
      <c r="AG1155" s="490"/>
      <c r="AH1155" s="490"/>
    </row>
    <row r="1156" spans="3:34" ht="19.5" customHeight="1">
      <c r="C1156" s="449"/>
      <c r="D1156" s="68"/>
      <c r="E1156" s="68"/>
      <c r="G1156" s="98"/>
      <c r="H1156" s="68"/>
      <c r="I1156" s="68"/>
      <c r="N1156" s="398"/>
      <c r="R1156" s="50"/>
      <c r="S1156" s="47"/>
      <c r="T1156" s="98"/>
      <c r="U1156" s="98"/>
      <c r="AF1156" s="39"/>
      <c r="AG1156" s="490"/>
      <c r="AH1156" s="490"/>
    </row>
    <row r="1157" spans="3:34" ht="19.5" customHeight="1">
      <c r="C1157" s="449"/>
      <c r="D1157" s="68"/>
      <c r="E1157" s="68"/>
      <c r="G1157" s="98"/>
      <c r="H1157" s="68"/>
      <c r="I1157" s="68"/>
      <c r="N1157" s="398"/>
      <c r="R1157" s="50"/>
      <c r="S1157" s="47"/>
      <c r="T1157" s="98"/>
      <c r="U1157" s="98"/>
      <c r="AF1157" s="39"/>
      <c r="AG1157" s="490"/>
      <c r="AH1157" s="490"/>
    </row>
    <row r="1158" spans="3:34" ht="19.5" customHeight="1">
      <c r="C1158" s="449"/>
      <c r="D1158" s="68"/>
      <c r="E1158" s="68"/>
      <c r="G1158" s="98"/>
      <c r="H1158" s="68"/>
      <c r="I1158" s="68"/>
      <c r="N1158" s="398"/>
      <c r="R1158" s="50"/>
      <c r="S1158" s="47"/>
      <c r="T1158" s="98"/>
      <c r="U1158" s="98"/>
      <c r="AF1158" s="39"/>
      <c r="AG1158" s="490"/>
      <c r="AH1158" s="490"/>
    </row>
    <row r="1159" spans="3:34" ht="19.5" customHeight="1">
      <c r="C1159" s="449"/>
      <c r="D1159" s="68"/>
      <c r="E1159" s="68"/>
      <c r="G1159" s="98"/>
      <c r="H1159" s="68"/>
      <c r="I1159" s="68"/>
      <c r="N1159" s="398"/>
      <c r="R1159" s="50"/>
      <c r="S1159" s="47"/>
      <c r="T1159" s="98"/>
      <c r="U1159" s="98"/>
      <c r="AF1159" s="39"/>
      <c r="AG1159" s="490"/>
      <c r="AH1159" s="490"/>
    </row>
    <row r="1160" spans="3:34" ht="19.5" customHeight="1">
      <c r="C1160" s="449"/>
      <c r="D1160" s="68"/>
      <c r="E1160" s="68"/>
      <c r="G1160" s="98"/>
      <c r="H1160" s="68"/>
      <c r="I1160" s="68"/>
      <c r="N1160" s="398"/>
      <c r="R1160" s="50"/>
      <c r="S1160" s="47"/>
      <c r="T1160" s="98"/>
      <c r="U1160" s="98"/>
      <c r="AF1160" s="39"/>
      <c r="AG1160" s="490"/>
      <c r="AH1160" s="490"/>
    </row>
    <row r="1161" spans="3:34" ht="19.5" customHeight="1">
      <c r="C1161" s="449"/>
      <c r="D1161" s="68"/>
      <c r="E1161" s="68"/>
      <c r="G1161" s="98"/>
      <c r="H1161" s="68"/>
      <c r="I1161" s="68"/>
      <c r="N1161" s="398"/>
      <c r="R1161" s="50"/>
      <c r="S1161" s="47"/>
      <c r="T1161" s="98"/>
      <c r="U1161" s="98"/>
      <c r="AF1161" s="39"/>
      <c r="AG1161" s="490"/>
      <c r="AH1161" s="490"/>
    </row>
    <row r="1162" spans="3:34" ht="19.5" customHeight="1">
      <c r="C1162" s="449"/>
      <c r="D1162" s="68"/>
      <c r="E1162" s="68"/>
      <c r="G1162" s="98"/>
      <c r="H1162" s="68"/>
      <c r="I1162" s="68"/>
      <c r="N1162" s="398"/>
      <c r="R1162" s="50"/>
      <c r="S1162" s="47"/>
      <c r="T1162" s="98"/>
      <c r="U1162" s="98"/>
      <c r="AF1162" s="39"/>
      <c r="AG1162" s="490"/>
      <c r="AH1162" s="490"/>
    </row>
    <row r="1163" spans="3:34" ht="19.5" customHeight="1">
      <c r="C1163" s="449"/>
      <c r="D1163" s="68"/>
      <c r="E1163" s="68"/>
      <c r="G1163" s="98"/>
      <c r="H1163" s="68"/>
      <c r="I1163" s="68"/>
      <c r="N1163" s="398"/>
      <c r="R1163" s="50"/>
      <c r="S1163" s="47"/>
      <c r="T1163" s="98"/>
      <c r="U1163" s="98"/>
      <c r="AF1163" s="39"/>
      <c r="AG1163" s="490"/>
      <c r="AH1163" s="490"/>
    </row>
    <row r="1164" spans="3:34" ht="19.5" customHeight="1">
      <c r="C1164" s="449"/>
      <c r="D1164" s="68"/>
      <c r="E1164" s="68"/>
      <c r="G1164" s="98"/>
      <c r="H1164" s="68"/>
      <c r="I1164" s="68"/>
      <c r="N1164" s="398"/>
      <c r="R1164" s="50"/>
      <c r="S1164" s="47"/>
      <c r="T1164" s="98"/>
      <c r="U1164" s="98"/>
      <c r="AF1164" s="39"/>
      <c r="AG1164" s="490"/>
      <c r="AH1164" s="490"/>
    </row>
    <row r="1165" spans="3:34" ht="19.5" customHeight="1">
      <c r="C1165" s="449"/>
      <c r="D1165" s="68"/>
      <c r="E1165" s="68"/>
      <c r="G1165" s="98"/>
      <c r="H1165" s="68"/>
      <c r="I1165" s="68"/>
      <c r="N1165" s="398"/>
      <c r="R1165" s="50"/>
      <c r="S1165" s="47"/>
      <c r="T1165" s="98"/>
      <c r="U1165" s="98"/>
      <c r="AF1165" s="39"/>
      <c r="AG1165" s="490"/>
      <c r="AH1165" s="490"/>
    </row>
    <row r="1166" spans="3:34" ht="19.5" customHeight="1">
      <c r="C1166" s="449"/>
      <c r="D1166" s="68"/>
      <c r="E1166" s="68"/>
      <c r="G1166" s="98"/>
      <c r="H1166" s="68"/>
      <c r="I1166" s="68"/>
      <c r="N1166" s="398"/>
      <c r="R1166" s="50"/>
      <c r="S1166" s="47"/>
      <c r="T1166" s="98"/>
      <c r="U1166" s="98"/>
      <c r="AF1166" s="39"/>
      <c r="AG1166" s="490"/>
      <c r="AH1166" s="490"/>
    </row>
    <row r="1167" spans="3:34" ht="19.5" customHeight="1">
      <c r="C1167" s="449"/>
      <c r="D1167" s="68"/>
      <c r="E1167" s="68"/>
      <c r="G1167" s="98"/>
      <c r="H1167" s="68"/>
      <c r="I1167" s="68"/>
      <c r="N1167" s="398"/>
      <c r="R1167" s="50"/>
      <c r="S1167" s="47"/>
      <c r="T1167" s="98"/>
      <c r="U1167" s="98"/>
      <c r="AF1167" s="39"/>
      <c r="AG1167" s="490"/>
      <c r="AH1167" s="490"/>
    </row>
    <row r="1168" spans="3:34" ht="19.5" customHeight="1">
      <c r="C1168" s="449"/>
      <c r="D1168" s="68"/>
      <c r="E1168" s="68"/>
      <c r="G1168" s="98"/>
      <c r="H1168" s="68"/>
      <c r="I1168" s="68"/>
      <c r="N1168" s="398"/>
      <c r="R1168" s="50"/>
      <c r="S1168" s="47"/>
      <c r="T1168" s="98"/>
      <c r="U1168" s="98"/>
      <c r="AF1168" s="39"/>
      <c r="AG1168" s="490"/>
      <c r="AH1168" s="490"/>
    </row>
    <row r="1169" spans="3:34" ht="19.5" customHeight="1">
      <c r="C1169" s="449"/>
      <c r="D1169" s="68"/>
      <c r="E1169" s="68"/>
      <c r="G1169" s="98"/>
      <c r="H1169" s="68"/>
      <c r="I1169" s="68"/>
      <c r="N1169" s="398"/>
      <c r="R1169" s="50"/>
      <c r="S1169" s="47"/>
      <c r="T1169" s="98"/>
      <c r="U1169" s="98"/>
      <c r="AF1169" s="39"/>
      <c r="AG1169" s="490"/>
      <c r="AH1169" s="490"/>
    </row>
    <row r="1170" spans="3:34" ht="19.5" customHeight="1">
      <c r="C1170" s="449"/>
      <c r="D1170" s="68"/>
      <c r="E1170" s="68"/>
      <c r="G1170" s="98"/>
      <c r="H1170" s="68"/>
      <c r="I1170" s="68"/>
      <c r="N1170" s="398"/>
      <c r="R1170" s="50"/>
      <c r="S1170" s="47"/>
      <c r="T1170" s="98"/>
      <c r="U1170" s="98"/>
      <c r="AF1170" s="39"/>
      <c r="AG1170" s="490"/>
      <c r="AH1170" s="490"/>
    </row>
    <row r="1171" spans="3:34" ht="19.5" customHeight="1">
      <c r="C1171" s="449"/>
      <c r="D1171" s="68"/>
      <c r="E1171" s="68"/>
      <c r="G1171" s="98"/>
      <c r="H1171" s="68"/>
      <c r="I1171" s="68"/>
      <c r="N1171" s="398"/>
      <c r="R1171" s="50"/>
      <c r="S1171" s="47"/>
      <c r="T1171" s="98"/>
      <c r="U1171" s="98"/>
      <c r="AF1171" s="39"/>
      <c r="AG1171" s="490"/>
      <c r="AH1171" s="490"/>
    </row>
    <row r="1172" spans="3:34" ht="19.5" customHeight="1">
      <c r="C1172" s="449"/>
      <c r="D1172" s="68"/>
      <c r="E1172" s="68"/>
      <c r="G1172" s="98"/>
      <c r="H1172" s="68"/>
      <c r="I1172" s="68"/>
      <c r="N1172" s="398"/>
      <c r="R1172" s="50"/>
      <c r="S1172" s="47"/>
      <c r="T1172" s="98"/>
      <c r="U1172" s="98"/>
      <c r="AF1172" s="39"/>
      <c r="AG1172" s="490"/>
      <c r="AH1172" s="490"/>
    </row>
    <row r="1173" spans="3:34" ht="19.5" customHeight="1">
      <c r="C1173" s="449"/>
      <c r="D1173" s="68"/>
      <c r="E1173" s="68"/>
      <c r="G1173" s="98"/>
      <c r="H1173" s="68"/>
      <c r="I1173" s="68"/>
      <c r="N1173" s="398"/>
      <c r="R1173" s="50"/>
      <c r="S1173" s="47"/>
      <c r="T1173" s="98"/>
      <c r="U1173" s="98"/>
      <c r="AF1173" s="39"/>
      <c r="AG1173" s="490"/>
      <c r="AH1173" s="490"/>
    </row>
    <row r="1174" spans="3:34" ht="19.5" customHeight="1">
      <c r="C1174" s="449"/>
      <c r="D1174" s="68"/>
      <c r="E1174" s="68"/>
      <c r="G1174" s="98"/>
      <c r="H1174" s="68"/>
      <c r="I1174" s="68"/>
      <c r="N1174" s="398"/>
      <c r="R1174" s="50"/>
      <c r="S1174" s="47"/>
      <c r="T1174" s="98"/>
      <c r="U1174" s="98"/>
      <c r="AF1174" s="39"/>
      <c r="AG1174" s="490"/>
      <c r="AH1174" s="490"/>
    </row>
    <row r="1175" spans="3:34" ht="19.5" customHeight="1">
      <c r="C1175" s="449"/>
      <c r="D1175" s="68"/>
      <c r="E1175" s="68"/>
      <c r="G1175" s="98"/>
      <c r="H1175" s="68"/>
      <c r="I1175" s="68"/>
      <c r="N1175" s="398"/>
      <c r="R1175" s="50"/>
      <c r="S1175" s="47"/>
      <c r="T1175" s="98"/>
      <c r="U1175" s="98"/>
      <c r="AF1175" s="39"/>
      <c r="AG1175" s="490"/>
      <c r="AH1175" s="490"/>
    </row>
    <row r="1176" spans="3:34" ht="19.5" customHeight="1">
      <c r="C1176" s="449"/>
      <c r="D1176" s="68"/>
      <c r="E1176" s="68"/>
      <c r="G1176" s="98"/>
      <c r="H1176" s="68"/>
      <c r="I1176" s="68"/>
      <c r="N1176" s="398"/>
      <c r="R1176" s="50"/>
      <c r="S1176" s="47"/>
      <c r="T1176" s="98"/>
      <c r="U1176" s="98"/>
      <c r="AF1176" s="39"/>
      <c r="AG1176" s="490"/>
      <c r="AH1176" s="490"/>
    </row>
    <row r="1177" spans="3:34" ht="19.5" customHeight="1">
      <c r="C1177" s="449"/>
      <c r="D1177" s="68"/>
      <c r="E1177" s="68"/>
      <c r="G1177" s="98"/>
      <c r="H1177" s="68"/>
      <c r="I1177" s="68"/>
      <c r="N1177" s="398"/>
      <c r="R1177" s="50"/>
      <c r="S1177" s="47"/>
      <c r="T1177" s="98"/>
      <c r="U1177" s="98"/>
      <c r="AF1177" s="39"/>
      <c r="AG1177" s="490"/>
      <c r="AH1177" s="490"/>
    </row>
    <row r="1178" spans="3:34" ht="19.5" customHeight="1">
      <c r="C1178" s="449"/>
      <c r="D1178" s="68"/>
      <c r="E1178" s="68"/>
      <c r="G1178" s="98"/>
      <c r="H1178" s="68"/>
      <c r="I1178" s="68"/>
      <c r="N1178" s="398"/>
      <c r="R1178" s="50"/>
      <c r="S1178" s="47"/>
      <c r="T1178" s="98"/>
      <c r="U1178" s="98"/>
      <c r="AF1178" s="39"/>
      <c r="AG1178" s="490"/>
      <c r="AH1178" s="490"/>
    </row>
    <row r="1179" spans="3:34" ht="19.5" customHeight="1">
      <c r="C1179" s="449"/>
      <c r="D1179" s="68"/>
      <c r="E1179" s="68"/>
      <c r="G1179" s="98"/>
      <c r="H1179" s="68"/>
      <c r="I1179" s="68"/>
      <c r="N1179" s="398"/>
      <c r="R1179" s="50"/>
      <c r="S1179" s="47"/>
      <c r="T1179" s="98"/>
      <c r="U1179" s="98"/>
      <c r="AF1179" s="39"/>
      <c r="AG1179" s="490"/>
      <c r="AH1179" s="490"/>
    </row>
    <row r="1180" spans="3:34" ht="19.5" customHeight="1">
      <c r="C1180" s="449"/>
      <c r="D1180" s="68"/>
      <c r="E1180" s="68"/>
      <c r="G1180" s="98"/>
      <c r="H1180" s="68"/>
      <c r="I1180" s="68"/>
      <c r="N1180" s="398"/>
      <c r="R1180" s="50"/>
      <c r="S1180" s="47"/>
      <c r="T1180" s="98"/>
      <c r="U1180" s="98"/>
      <c r="AF1180" s="39"/>
      <c r="AG1180" s="490"/>
      <c r="AH1180" s="490"/>
    </row>
    <row r="1181" spans="3:34" ht="19.5" customHeight="1">
      <c r="C1181" s="449"/>
      <c r="D1181" s="68"/>
      <c r="E1181" s="68"/>
      <c r="G1181" s="98"/>
      <c r="H1181" s="68"/>
      <c r="I1181" s="68"/>
      <c r="N1181" s="398"/>
      <c r="R1181" s="50"/>
      <c r="S1181" s="47"/>
      <c r="T1181" s="98"/>
      <c r="U1181" s="98"/>
      <c r="AF1181" s="39"/>
      <c r="AG1181" s="490"/>
      <c r="AH1181" s="490"/>
    </row>
    <row r="1182" spans="3:34" ht="19.5" customHeight="1">
      <c r="C1182" s="449"/>
      <c r="D1182" s="68"/>
      <c r="E1182" s="68"/>
      <c r="G1182" s="98"/>
      <c r="H1182" s="68"/>
      <c r="I1182" s="68"/>
      <c r="N1182" s="398"/>
      <c r="R1182" s="50"/>
      <c r="S1182" s="47"/>
      <c r="T1182" s="98"/>
      <c r="U1182" s="98"/>
      <c r="AF1182" s="39"/>
      <c r="AG1182" s="490"/>
      <c r="AH1182" s="490"/>
    </row>
    <row r="1183" spans="3:34" ht="19.5" customHeight="1">
      <c r="C1183" s="449"/>
      <c r="D1183" s="68"/>
      <c r="E1183" s="68"/>
      <c r="G1183" s="98"/>
      <c r="H1183" s="68"/>
      <c r="I1183" s="68"/>
      <c r="N1183" s="398"/>
      <c r="R1183" s="50"/>
      <c r="S1183" s="47"/>
      <c r="T1183" s="98"/>
      <c r="U1183" s="98"/>
      <c r="AF1183" s="39"/>
      <c r="AG1183" s="490"/>
      <c r="AH1183" s="490"/>
    </row>
    <row r="1184" spans="3:34" ht="19.5" customHeight="1">
      <c r="C1184" s="449"/>
      <c r="D1184" s="68"/>
      <c r="E1184" s="68"/>
      <c r="G1184" s="98"/>
      <c r="H1184" s="68"/>
      <c r="I1184" s="68"/>
      <c r="N1184" s="398"/>
      <c r="R1184" s="50"/>
      <c r="S1184" s="47"/>
      <c r="T1184" s="98"/>
      <c r="U1184" s="98"/>
      <c r="AF1184" s="39"/>
      <c r="AG1184" s="490"/>
      <c r="AH1184" s="490"/>
    </row>
    <row r="1185" spans="3:34" ht="19.5" customHeight="1">
      <c r="C1185" s="449"/>
      <c r="D1185" s="68"/>
      <c r="E1185" s="68"/>
      <c r="G1185" s="98"/>
      <c r="H1185" s="68"/>
      <c r="I1185" s="68"/>
      <c r="N1185" s="398"/>
      <c r="R1185" s="50"/>
      <c r="S1185" s="47"/>
      <c r="T1185" s="98"/>
      <c r="U1185" s="98"/>
      <c r="AF1185" s="39"/>
      <c r="AG1185" s="490"/>
      <c r="AH1185" s="490"/>
    </row>
    <row r="1186" spans="3:34" ht="19.5" customHeight="1">
      <c r="C1186" s="449"/>
      <c r="D1186" s="68"/>
      <c r="E1186" s="68"/>
      <c r="G1186" s="98"/>
      <c r="H1186" s="68"/>
      <c r="I1186" s="68"/>
      <c r="N1186" s="398"/>
      <c r="R1186" s="50"/>
      <c r="S1186" s="47"/>
      <c r="T1186" s="98"/>
      <c r="U1186" s="98"/>
      <c r="AF1186" s="39"/>
      <c r="AG1186" s="490"/>
      <c r="AH1186" s="490"/>
    </row>
    <row r="1187" spans="3:34" ht="19.5" customHeight="1">
      <c r="C1187" s="449"/>
      <c r="D1187" s="68"/>
      <c r="E1187" s="68"/>
      <c r="G1187" s="98"/>
      <c r="H1187" s="68"/>
      <c r="I1187" s="68"/>
      <c r="N1187" s="398"/>
      <c r="R1187" s="50"/>
      <c r="S1187" s="47"/>
      <c r="T1187" s="98"/>
      <c r="U1187" s="98"/>
      <c r="AF1187" s="39"/>
      <c r="AG1187" s="490"/>
      <c r="AH1187" s="490"/>
    </row>
    <row r="1188" spans="3:34" ht="19.5" customHeight="1">
      <c r="C1188" s="449"/>
      <c r="D1188" s="68"/>
      <c r="E1188" s="68"/>
      <c r="G1188" s="98"/>
      <c r="H1188" s="68"/>
      <c r="I1188" s="68"/>
      <c r="N1188" s="398"/>
      <c r="R1188" s="50"/>
      <c r="S1188" s="47"/>
      <c r="T1188" s="98"/>
      <c r="U1188" s="98"/>
      <c r="AF1188" s="39"/>
      <c r="AG1188" s="490"/>
      <c r="AH1188" s="490"/>
    </row>
    <row r="1189" spans="3:34" ht="19.5" customHeight="1">
      <c r="C1189" s="449"/>
      <c r="D1189" s="68"/>
      <c r="E1189" s="68"/>
      <c r="G1189" s="98"/>
      <c r="H1189" s="68"/>
      <c r="I1189" s="68"/>
      <c r="N1189" s="398"/>
      <c r="R1189" s="50"/>
      <c r="S1189" s="47"/>
      <c r="T1189" s="98"/>
      <c r="U1189" s="98"/>
      <c r="AF1189" s="39"/>
      <c r="AG1189" s="490"/>
      <c r="AH1189" s="490"/>
    </row>
    <row r="1190" spans="3:34" ht="19.5" customHeight="1">
      <c r="C1190" s="449"/>
      <c r="D1190" s="68"/>
      <c r="E1190" s="68"/>
      <c r="G1190" s="98"/>
      <c r="H1190" s="68"/>
      <c r="I1190" s="68"/>
      <c r="N1190" s="398"/>
      <c r="R1190" s="50"/>
      <c r="S1190" s="47"/>
      <c r="T1190" s="98"/>
      <c r="U1190" s="98"/>
      <c r="AF1190" s="39"/>
      <c r="AG1190" s="490"/>
      <c r="AH1190" s="490"/>
    </row>
    <row r="1191" spans="3:34" ht="19.5" customHeight="1">
      <c r="C1191" s="449"/>
      <c r="D1191" s="68"/>
      <c r="E1191" s="68"/>
      <c r="G1191" s="98"/>
      <c r="H1191" s="68"/>
      <c r="I1191" s="68"/>
      <c r="N1191" s="398"/>
      <c r="R1191" s="50"/>
      <c r="S1191" s="47"/>
      <c r="T1191" s="98"/>
      <c r="U1191" s="98"/>
      <c r="AF1191" s="39"/>
      <c r="AG1191" s="490"/>
      <c r="AH1191" s="490"/>
    </row>
    <row r="1192" spans="3:34" ht="19.5" customHeight="1">
      <c r="C1192" s="449"/>
      <c r="D1192" s="68"/>
      <c r="E1192" s="68"/>
      <c r="G1192" s="98"/>
      <c r="H1192" s="68"/>
      <c r="I1192" s="68"/>
      <c r="N1192" s="398"/>
      <c r="R1192" s="50"/>
      <c r="S1192" s="47"/>
      <c r="T1192" s="98"/>
      <c r="U1192" s="98"/>
      <c r="AF1192" s="39"/>
      <c r="AG1192" s="490"/>
      <c r="AH1192" s="490"/>
    </row>
    <row r="1193" spans="3:34" ht="19.5" customHeight="1">
      <c r="C1193" s="449"/>
      <c r="D1193" s="68"/>
      <c r="E1193" s="68"/>
      <c r="G1193" s="98"/>
      <c r="H1193" s="68"/>
      <c r="I1193" s="68"/>
      <c r="N1193" s="398"/>
      <c r="R1193" s="50"/>
      <c r="S1193" s="47"/>
      <c r="T1193" s="98"/>
      <c r="U1193" s="98"/>
      <c r="AF1193" s="39"/>
      <c r="AG1193" s="490"/>
      <c r="AH1193" s="490"/>
    </row>
    <row r="1194" spans="3:34" ht="19.5" customHeight="1">
      <c r="C1194" s="449"/>
      <c r="D1194" s="68"/>
      <c r="E1194" s="68"/>
      <c r="G1194" s="98"/>
      <c r="H1194" s="68"/>
      <c r="I1194" s="68"/>
      <c r="N1194" s="398"/>
      <c r="R1194" s="50"/>
      <c r="S1194" s="47"/>
      <c r="T1194" s="98"/>
      <c r="U1194" s="98"/>
      <c r="AF1194" s="39"/>
      <c r="AG1194" s="490"/>
      <c r="AH1194" s="490"/>
    </row>
    <row r="1195" spans="3:34" ht="19.5" customHeight="1">
      <c r="C1195" s="449"/>
      <c r="D1195" s="68"/>
      <c r="E1195" s="68"/>
      <c r="G1195" s="98"/>
      <c r="H1195" s="68"/>
      <c r="I1195" s="68"/>
      <c r="N1195" s="398"/>
      <c r="R1195" s="50"/>
      <c r="S1195" s="47"/>
      <c r="T1195" s="98"/>
      <c r="U1195" s="98"/>
      <c r="AF1195" s="39"/>
      <c r="AG1195" s="490"/>
      <c r="AH1195" s="490"/>
    </row>
    <row r="1196" spans="3:34" ht="19.5" customHeight="1">
      <c r="C1196" s="449"/>
      <c r="D1196" s="68"/>
      <c r="E1196" s="68"/>
      <c r="G1196" s="98"/>
      <c r="H1196" s="68"/>
      <c r="I1196" s="68"/>
      <c r="N1196" s="398"/>
      <c r="R1196" s="50"/>
      <c r="S1196" s="47"/>
      <c r="T1196" s="98"/>
      <c r="U1196" s="98"/>
      <c r="AF1196" s="39"/>
      <c r="AG1196" s="490"/>
      <c r="AH1196" s="490"/>
    </row>
    <row r="1197" spans="3:34" ht="19.5" customHeight="1">
      <c r="C1197" s="449"/>
      <c r="D1197" s="68"/>
      <c r="E1197" s="68"/>
      <c r="G1197" s="98"/>
      <c r="H1197" s="68"/>
      <c r="I1197" s="68"/>
      <c r="N1197" s="398"/>
      <c r="R1197" s="50"/>
      <c r="S1197" s="47"/>
      <c r="T1197" s="98"/>
      <c r="U1197" s="98"/>
      <c r="AF1197" s="39"/>
      <c r="AG1197" s="490"/>
      <c r="AH1197" s="490"/>
    </row>
    <row r="1198" spans="3:34" ht="19.5" customHeight="1">
      <c r="C1198" s="449"/>
      <c r="D1198" s="68"/>
      <c r="E1198" s="68"/>
      <c r="G1198" s="98"/>
      <c r="H1198" s="68"/>
      <c r="I1198" s="68"/>
      <c r="N1198" s="398"/>
      <c r="R1198" s="50"/>
      <c r="S1198" s="47"/>
      <c r="T1198" s="98"/>
      <c r="U1198" s="98"/>
      <c r="AF1198" s="39"/>
      <c r="AG1198" s="490"/>
      <c r="AH1198" s="490"/>
    </row>
    <row r="1199" spans="3:34" ht="19.5" customHeight="1">
      <c r="C1199" s="449"/>
      <c r="D1199" s="68"/>
      <c r="E1199" s="68"/>
      <c r="G1199" s="98"/>
      <c r="H1199" s="68"/>
      <c r="I1199" s="68"/>
      <c r="N1199" s="398"/>
      <c r="R1199" s="50"/>
      <c r="S1199" s="47"/>
      <c r="T1199" s="98"/>
      <c r="U1199" s="98"/>
      <c r="AF1199" s="39"/>
      <c r="AG1199" s="490"/>
      <c r="AH1199" s="490"/>
    </row>
    <row r="1200" spans="3:34" ht="19.5" customHeight="1">
      <c r="C1200" s="449"/>
      <c r="D1200" s="68"/>
      <c r="E1200" s="68"/>
      <c r="G1200" s="98"/>
      <c r="H1200" s="68"/>
      <c r="I1200" s="68"/>
      <c r="N1200" s="398"/>
      <c r="R1200" s="50"/>
      <c r="S1200" s="47"/>
      <c r="T1200" s="98"/>
      <c r="U1200" s="98"/>
      <c r="AF1200" s="39"/>
      <c r="AG1200" s="490"/>
      <c r="AH1200" s="490"/>
    </row>
    <row r="1201" spans="3:34" ht="19.5" customHeight="1">
      <c r="C1201" s="449"/>
      <c r="D1201" s="68"/>
      <c r="E1201" s="68"/>
      <c r="G1201" s="98"/>
      <c r="H1201" s="68"/>
      <c r="I1201" s="68"/>
      <c r="N1201" s="398"/>
      <c r="R1201" s="50"/>
      <c r="S1201" s="47"/>
      <c r="T1201" s="98"/>
      <c r="U1201" s="98"/>
      <c r="AF1201" s="39"/>
      <c r="AG1201" s="490"/>
      <c r="AH1201" s="490"/>
    </row>
    <row r="1202" spans="3:34" ht="19.5" customHeight="1">
      <c r="C1202" s="449"/>
      <c r="D1202" s="68"/>
      <c r="E1202" s="68"/>
      <c r="G1202" s="98"/>
      <c r="H1202" s="68"/>
      <c r="I1202" s="68"/>
      <c r="N1202" s="398"/>
      <c r="R1202" s="50"/>
      <c r="S1202" s="47"/>
      <c r="T1202" s="98"/>
      <c r="U1202" s="98"/>
      <c r="AF1202" s="39"/>
      <c r="AG1202" s="490"/>
      <c r="AH1202" s="490"/>
    </row>
    <row r="1203" spans="3:34" ht="19.5" customHeight="1">
      <c r="C1203" s="449"/>
      <c r="D1203" s="68"/>
      <c r="E1203" s="68"/>
      <c r="G1203" s="98"/>
      <c r="H1203" s="68"/>
      <c r="I1203" s="68"/>
      <c r="N1203" s="398"/>
      <c r="R1203" s="50"/>
      <c r="S1203" s="47"/>
      <c r="T1203" s="98"/>
      <c r="U1203" s="98"/>
      <c r="AF1203" s="39"/>
      <c r="AG1203" s="490"/>
      <c r="AH1203" s="490"/>
    </row>
    <row r="1204" spans="3:34" ht="19.5" customHeight="1">
      <c r="C1204" s="449"/>
      <c r="D1204" s="68"/>
      <c r="E1204" s="68"/>
      <c r="G1204" s="98"/>
      <c r="H1204" s="68"/>
      <c r="I1204" s="68"/>
      <c r="N1204" s="398"/>
      <c r="R1204" s="50"/>
      <c r="S1204" s="47"/>
      <c r="T1204" s="98"/>
      <c r="U1204" s="98"/>
      <c r="AF1204" s="39"/>
      <c r="AG1204" s="490"/>
      <c r="AH1204" s="490"/>
    </row>
    <row r="1205" spans="3:34" ht="19.5" customHeight="1">
      <c r="C1205" s="449"/>
      <c r="D1205" s="68"/>
      <c r="E1205" s="68"/>
      <c r="G1205" s="98"/>
      <c r="H1205" s="68"/>
      <c r="I1205" s="68"/>
      <c r="N1205" s="398"/>
      <c r="R1205" s="50"/>
      <c r="S1205" s="47"/>
      <c r="T1205" s="98"/>
      <c r="U1205" s="98"/>
      <c r="AF1205" s="39"/>
      <c r="AG1205" s="490"/>
      <c r="AH1205" s="490"/>
    </row>
    <row r="1206" spans="3:34" ht="19.5" customHeight="1">
      <c r="C1206" s="449"/>
      <c r="D1206" s="68"/>
      <c r="E1206" s="68"/>
      <c r="G1206" s="98"/>
      <c r="H1206" s="68"/>
      <c r="I1206" s="68"/>
      <c r="N1206" s="398"/>
      <c r="R1206" s="50"/>
      <c r="S1206" s="47"/>
      <c r="T1206" s="98"/>
      <c r="U1206" s="98"/>
      <c r="AF1206" s="39"/>
      <c r="AG1206" s="490"/>
      <c r="AH1206" s="490"/>
    </row>
    <row r="1207" spans="3:34" ht="19.5" customHeight="1">
      <c r="C1207" s="449"/>
      <c r="D1207" s="68"/>
      <c r="E1207" s="68"/>
      <c r="G1207" s="98"/>
      <c r="H1207" s="68"/>
      <c r="I1207" s="68"/>
      <c r="N1207" s="398"/>
      <c r="R1207" s="50"/>
      <c r="S1207" s="47"/>
      <c r="T1207" s="98"/>
      <c r="U1207" s="98"/>
      <c r="AF1207" s="39"/>
      <c r="AG1207" s="490"/>
      <c r="AH1207" s="490"/>
    </row>
    <row r="1208" spans="3:34" ht="19.5" customHeight="1">
      <c r="C1208" s="449"/>
      <c r="D1208" s="68"/>
      <c r="E1208" s="68"/>
      <c r="G1208" s="98"/>
      <c r="H1208" s="68"/>
      <c r="I1208" s="68"/>
      <c r="N1208" s="398"/>
      <c r="R1208" s="50"/>
      <c r="S1208" s="47"/>
      <c r="T1208" s="98"/>
      <c r="U1208" s="98"/>
      <c r="AF1208" s="39"/>
      <c r="AG1208" s="490"/>
      <c r="AH1208" s="490"/>
    </row>
    <row r="1209" spans="3:34" ht="19.5" customHeight="1">
      <c r="C1209" s="449"/>
      <c r="D1209" s="68"/>
      <c r="E1209" s="68"/>
      <c r="G1209" s="98"/>
      <c r="H1209" s="68"/>
      <c r="I1209" s="68"/>
      <c r="N1209" s="398"/>
      <c r="R1209" s="50"/>
      <c r="S1209" s="47"/>
      <c r="T1209" s="98"/>
      <c r="U1209" s="98"/>
      <c r="AF1209" s="39"/>
      <c r="AG1209" s="490"/>
      <c r="AH1209" s="490"/>
    </row>
    <row r="1210" spans="3:34" ht="19.5" customHeight="1">
      <c r="C1210" s="449"/>
      <c r="D1210" s="68"/>
      <c r="E1210" s="68"/>
      <c r="G1210" s="98"/>
      <c r="H1210" s="68"/>
      <c r="I1210" s="68"/>
      <c r="N1210" s="398"/>
      <c r="R1210" s="50"/>
      <c r="S1210" s="47"/>
      <c r="T1210" s="98"/>
      <c r="U1210" s="98"/>
      <c r="AF1210" s="39"/>
      <c r="AG1210" s="490"/>
      <c r="AH1210" s="490"/>
    </row>
    <row r="1211" spans="3:34" ht="19.5" customHeight="1">
      <c r="C1211" s="449"/>
      <c r="D1211" s="68"/>
      <c r="E1211" s="68"/>
      <c r="G1211" s="98"/>
      <c r="H1211" s="68"/>
      <c r="I1211" s="68"/>
      <c r="N1211" s="398"/>
      <c r="R1211" s="50"/>
      <c r="S1211" s="47"/>
      <c r="T1211" s="98"/>
      <c r="U1211" s="98"/>
      <c r="AF1211" s="39"/>
      <c r="AG1211" s="490"/>
      <c r="AH1211" s="490"/>
    </row>
    <row r="1212" spans="3:34" ht="19.5" customHeight="1">
      <c r="C1212" s="449"/>
      <c r="D1212" s="68"/>
      <c r="E1212" s="68"/>
      <c r="G1212" s="98"/>
      <c r="H1212" s="68"/>
      <c r="I1212" s="68"/>
      <c r="N1212" s="398"/>
      <c r="R1212" s="50"/>
      <c r="S1212" s="47"/>
      <c r="T1212" s="98"/>
      <c r="U1212" s="98"/>
      <c r="AF1212" s="39"/>
      <c r="AG1212" s="490"/>
      <c r="AH1212" s="490"/>
    </row>
    <row r="1213" spans="3:34" ht="19.5" customHeight="1">
      <c r="C1213" s="449"/>
      <c r="D1213" s="68"/>
      <c r="E1213" s="68"/>
      <c r="G1213" s="98"/>
      <c r="H1213" s="68"/>
      <c r="I1213" s="68"/>
      <c r="N1213" s="398"/>
      <c r="R1213" s="50"/>
      <c r="S1213" s="47"/>
      <c r="T1213" s="98"/>
      <c r="U1213" s="98"/>
      <c r="AF1213" s="39"/>
      <c r="AG1213" s="490"/>
      <c r="AH1213" s="490"/>
    </row>
    <row r="1214" spans="3:34" ht="19.5" customHeight="1">
      <c r="C1214" s="449"/>
      <c r="D1214" s="68"/>
      <c r="E1214" s="68"/>
      <c r="G1214" s="98"/>
      <c r="H1214" s="68"/>
      <c r="I1214" s="68"/>
      <c r="N1214" s="398"/>
      <c r="R1214" s="50"/>
      <c r="S1214" s="47"/>
      <c r="T1214" s="98"/>
      <c r="U1214" s="98"/>
      <c r="AF1214" s="39"/>
      <c r="AG1214" s="490"/>
      <c r="AH1214" s="490"/>
    </row>
    <row r="1215" spans="3:34" ht="19.5" customHeight="1">
      <c r="C1215" s="449"/>
      <c r="D1215" s="68"/>
      <c r="E1215" s="68"/>
      <c r="G1215" s="98"/>
      <c r="H1215" s="68"/>
      <c r="I1215" s="68"/>
      <c r="N1215" s="398"/>
      <c r="R1215" s="50"/>
      <c r="S1215" s="47"/>
      <c r="T1215" s="98"/>
      <c r="U1215" s="98"/>
      <c r="AF1215" s="39"/>
      <c r="AG1215" s="490"/>
      <c r="AH1215" s="490"/>
    </row>
    <row r="1216" spans="3:34" ht="19.5" customHeight="1">
      <c r="C1216" s="449"/>
      <c r="D1216" s="68"/>
      <c r="E1216" s="68"/>
      <c r="G1216" s="98"/>
      <c r="H1216" s="68"/>
      <c r="I1216" s="68"/>
      <c r="N1216" s="398"/>
      <c r="R1216" s="50"/>
      <c r="S1216" s="47"/>
      <c r="T1216" s="98"/>
      <c r="U1216" s="98"/>
      <c r="AF1216" s="39"/>
      <c r="AG1216" s="490"/>
      <c r="AH1216" s="490"/>
    </row>
    <row r="1217" spans="3:34" ht="19.5" customHeight="1">
      <c r="C1217" s="449"/>
      <c r="D1217" s="68"/>
      <c r="E1217" s="68"/>
      <c r="G1217" s="98"/>
      <c r="H1217" s="68"/>
      <c r="I1217" s="68"/>
      <c r="N1217" s="398"/>
      <c r="R1217" s="50"/>
      <c r="S1217" s="47"/>
      <c r="T1217" s="98"/>
      <c r="U1217" s="98"/>
      <c r="AF1217" s="39"/>
      <c r="AG1217" s="490"/>
      <c r="AH1217" s="490"/>
    </row>
    <row r="1218" spans="3:34" ht="19.5" customHeight="1">
      <c r="C1218" s="449"/>
      <c r="D1218" s="68"/>
      <c r="E1218" s="68"/>
      <c r="G1218" s="98"/>
      <c r="H1218" s="68"/>
      <c r="I1218" s="68"/>
      <c r="N1218" s="398"/>
      <c r="R1218" s="50"/>
      <c r="S1218" s="47"/>
      <c r="T1218" s="98"/>
      <c r="U1218" s="98"/>
      <c r="AF1218" s="39"/>
      <c r="AG1218" s="490"/>
      <c r="AH1218" s="490"/>
    </row>
    <row r="1219" spans="3:34" ht="19.5" customHeight="1">
      <c r="C1219" s="449"/>
      <c r="D1219" s="68"/>
      <c r="E1219" s="68"/>
      <c r="G1219" s="98"/>
      <c r="H1219" s="68"/>
      <c r="I1219" s="68"/>
      <c r="N1219" s="398"/>
      <c r="R1219" s="50"/>
      <c r="S1219" s="47"/>
      <c r="T1219" s="98"/>
      <c r="U1219" s="98"/>
      <c r="AF1219" s="39"/>
      <c r="AG1219" s="490"/>
      <c r="AH1219" s="490"/>
    </row>
    <row r="1220" spans="3:34" ht="19.5" customHeight="1">
      <c r="C1220" s="449"/>
      <c r="D1220" s="68"/>
      <c r="E1220" s="68"/>
      <c r="G1220" s="98"/>
      <c r="H1220" s="68"/>
      <c r="I1220" s="68"/>
      <c r="N1220" s="398"/>
      <c r="R1220" s="50"/>
      <c r="S1220" s="47"/>
      <c r="T1220" s="98"/>
      <c r="U1220" s="98"/>
      <c r="AF1220" s="39"/>
      <c r="AG1220" s="490"/>
      <c r="AH1220" s="490"/>
    </row>
    <row r="1221" spans="3:34" ht="19.5" customHeight="1">
      <c r="C1221" s="449"/>
      <c r="D1221" s="68"/>
      <c r="E1221" s="68"/>
      <c r="G1221" s="98"/>
      <c r="H1221" s="68"/>
      <c r="I1221" s="68"/>
      <c r="N1221" s="398"/>
      <c r="R1221" s="50"/>
      <c r="S1221" s="47"/>
      <c r="T1221" s="98"/>
      <c r="U1221" s="98"/>
      <c r="AF1221" s="39"/>
      <c r="AG1221" s="490"/>
      <c r="AH1221" s="490"/>
    </row>
    <row r="1222" spans="3:34" ht="19.5" customHeight="1">
      <c r="C1222" s="449"/>
      <c r="D1222" s="68"/>
      <c r="E1222" s="68"/>
      <c r="G1222" s="98"/>
      <c r="H1222" s="68"/>
      <c r="I1222" s="68"/>
      <c r="N1222" s="398"/>
      <c r="R1222" s="50"/>
      <c r="S1222" s="47"/>
      <c r="T1222" s="98"/>
      <c r="U1222" s="98"/>
      <c r="AF1222" s="39"/>
      <c r="AG1222" s="490"/>
      <c r="AH1222" s="490"/>
    </row>
    <row r="1223" spans="3:34" ht="19.5" customHeight="1">
      <c r="C1223" s="449"/>
      <c r="D1223" s="68"/>
      <c r="E1223" s="68"/>
      <c r="G1223" s="98"/>
      <c r="H1223" s="68"/>
      <c r="I1223" s="68"/>
      <c r="N1223" s="398"/>
      <c r="R1223" s="50"/>
      <c r="S1223" s="47"/>
      <c r="T1223" s="98"/>
      <c r="U1223" s="98"/>
      <c r="AF1223" s="39"/>
      <c r="AG1223" s="490"/>
      <c r="AH1223" s="490"/>
    </row>
    <row r="1224" spans="3:34" ht="19.5" customHeight="1">
      <c r="C1224" s="449"/>
      <c r="D1224" s="68"/>
      <c r="E1224" s="68"/>
      <c r="G1224" s="98"/>
      <c r="H1224" s="68"/>
      <c r="I1224" s="68"/>
      <c r="N1224" s="398"/>
      <c r="R1224" s="50"/>
      <c r="S1224" s="47"/>
      <c r="T1224" s="98"/>
      <c r="U1224" s="98"/>
      <c r="AF1224" s="39"/>
      <c r="AG1224" s="490"/>
      <c r="AH1224" s="490"/>
    </row>
    <row r="1225" spans="3:34" ht="19.5" customHeight="1">
      <c r="C1225" s="449"/>
      <c r="D1225" s="68"/>
      <c r="E1225" s="68"/>
      <c r="G1225" s="98"/>
      <c r="H1225" s="68"/>
      <c r="I1225" s="68"/>
      <c r="N1225" s="398"/>
      <c r="R1225" s="50"/>
      <c r="S1225" s="47"/>
      <c r="T1225" s="98"/>
      <c r="U1225" s="98"/>
      <c r="AF1225" s="39"/>
      <c r="AG1225" s="490"/>
      <c r="AH1225" s="490"/>
    </row>
    <row r="1226" spans="3:34" ht="19.5" customHeight="1">
      <c r="C1226" s="449"/>
      <c r="D1226" s="68"/>
      <c r="E1226" s="68"/>
      <c r="G1226" s="98"/>
      <c r="H1226" s="68"/>
      <c r="I1226" s="68"/>
      <c r="N1226" s="398"/>
      <c r="R1226" s="50"/>
      <c r="S1226" s="47"/>
      <c r="T1226" s="98"/>
      <c r="U1226" s="98"/>
      <c r="AF1226" s="39"/>
      <c r="AG1226" s="490"/>
      <c r="AH1226" s="490"/>
    </row>
    <row r="1227" spans="3:34" ht="19.5" customHeight="1">
      <c r="C1227" s="449"/>
      <c r="D1227" s="68"/>
      <c r="E1227" s="68"/>
      <c r="G1227" s="98"/>
      <c r="H1227" s="68"/>
      <c r="I1227" s="68"/>
      <c r="N1227" s="398"/>
      <c r="R1227" s="50"/>
      <c r="S1227" s="47"/>
      <c r="T1227" s="98"/>
      <c r="U1227" s="98"/>
      <c r="AF1227" s="39"/>
      <c r="AG1227" s="490"/>
      <c r="AH1227" s="490"/>
    </row>
    <row r="1228" spans="3:34" ht="19.5" customHeight="1">
      <c r="C1228" s="449"/>
      <c r="D1228" s="68"/>
      <c r="E1228" s="68"/>
      <c r="G1228" s="98"/>
      <c r="H1228" s="68"/>
      <c r="I1228" s="68"/>
      <c r="N1228" s="398"/>
      <c r="R1228" s="50"/>
      <c r="S1228" s="47"/>
      <c r="T1228" s="98"/>
      <c r="U1228" s="98"/>
      <c r="AF1228" s="39"/>
      <c r="AG1228" s="490"/>
      <c r="AH1228" s="490"/>
    </row>
    <row r="1229" spans="3:34" ht="19.5" customHeight="1">
      <c r="C1229" s="449"/>
      <c r="D1229" s="68"/>
      <c r="E1229" s="68"/>
      <c r="G1229" s="98"/>
      <c r="H1229" s="68"/>
      <c r="I1229" s="68"/>
      <c r="N1229" s="398"/>
      <c r="R1229" s="50"/>
      <c r="S1229" s="47"/>
      <c r="T1229" s="98"/>
      <c r="U1229" s="98"/>
      <c r="AF1229" s="39"/>
      <c r="AG1229" s="490"/>
      <c r="AH1229" s="490"/>
    </row>
    <row r="1230" spans="3:34" ht="19.5" customHeight="1">
      <c r="C1230" s="449"/>
      <c r="D1230" s="68"/>
      <c r="E1230" s="68"/>
      <c r="G1230" s="98"/>
      <c r="H1230" s="68"/>
      <c r="I1230" s="68"/>
      <c r="N1230" s="398"/>
      <c r="R1230" s="50"/>
      <c r="S1230" s="47"/>
      <c r="T1230" s="98"/>
      <c r="U1230" s="98"/>
      <c r="AF1230" s="39"/>
      <c r="AG1230" s="490"/>
      <c r="AH1230" s="490"/>
    </row>
    <row r="1231" spans="3:34" ht="19.5" customHeight="1">
      <c r="C1231" s="449"/>
      <c r="D1231" s="68"/>
      <c r="E1231" s="68"/>
      <c r="G1231" s="98"/>
      <c r="H1231" s="68"/>
      <c r="I1231" s="68"/>
      <c r="N1231" s="398"/>
      <c r="R1231" s="50"/>
      <c r="S1231" s="47"/>
      <c r="T1231" s="98"/>
      <c r="U1231" s="98"/>
      <c r="AF1231" s="39"/>
      <c r="AG1231" s="490"/>
      <c r="AH1231" s="490"/>
    </row>
    <row r="1232" spans="3:34" ht="19.5" customHeight="1">
      <c r="C1232" s="449"/>
      <c r="D1232" s="68"/>
      <c r="E1232" s="68"/>
      <c r="G1232" s="98"/>
      <c r="H1232" s="68"/>
      <c r="I1232" s="68"/>
      <c r="N1232" s="398"/>
      <c r="R1232" s="50"/>
      <c r="S1232" s="47"/>
      <c r="T1232" s="98"/>
      <c r="U1232" s="98"/>
      <c r="AF1232" s="39"/>
      <c r="AG1232" s="490"/>
      <c r="AH1232" s="490"/>
    </row>
    <row r="1233" spans="3:34" ht="19.5" customHeight="1">
      <c r="C1233" s="449"/>
      <c r="D1233" s="68"/>
      <c r="E1233" s="68"/>
      <c r="G1233" s="98"/>
      <c r="H1233" s="68"/>
      <c r="I1233" s="68"/>
      <c r="N1233" s="398"/>
      <c r="R1233" s="50"/>
      <c r="S1233" s="47"/>
      <c r="T1233" s="98"/>
      <c r="U1233" s="98"/>
      <c r="AF1233" s="39"/>
      <c r="AG1233" s="490"/>
      <c r="AH1233" s="490"/>
    </row>
    <row r="1234" spans="3:34" ht="19.5" customHeight="1">
      <c r="C1234" s="449"/>
      <c r="D1234" s="68"/>
      <c r="E1234" s="68"/>
      <c r="G1234" s="98"/>
      <c r="H1234" s="68"/>
      <c r="I1234" s="68"/>
      <c r="N1234" s="398"/>
      <c r="R1234" s="50"/>
      <c r="S1234" s="47"/>
      <c r="T1234" s="98"/>
      <c r="U1234" s="98"/>
      <c r="AF1234" s="39"/>
      <c r="AG1234" s="490"/>
      <c r="AH1234" s="490"/>
    </row>
    <row r="1235" spans="3:34" ht="19.5" customHeight="1">
      <c r="C1235" s="449"/>
      <c r="D1235" s="68"/>
      <c r="E1235" s="68"/>
      <c r="G1235" s="98"/>
      <c r="H1235" s="68"/>
      <c r="I1235" s="68"/>
      <c r="N1235" s="398"/>
      <c r="R1235" s="50"/>
      <c r="S1235" s="47"/>
      <c r="T1235" s="98"/>
      <c r="U1235" s="98"/>
      <c r="AF1235" s="39"/>
      <c r="AG1235" s="490"/>
      <c r="AH1235" s="490"/>
    </row>
    <row r="1236" spans="3:34" ht="19.5" customHeight="1">
      <c r="C1236" s="449"/>
      <c r="D1236" s="68"/>
      <c r="E1236" s="68"/>
      <c r="G1236" s="98"/>
      <c r="H1236" s="68"/>
      <c r="I1236" s="68"/>
      <c r="N1236" s="398"/>
      <c r="R1236" s="50"/>
      <c r="S1236" s="47"/>
      <c r="T1236" s="98"/>
      <c r="U1236" s="98"/>
      <c r="AF1236" s="39"/>
      <c r="AG1236" s="490"/>
      <c r="AH1236" s="490"/>
    </row>
    <row r="1237" spans="3:34" ht="19.5" customHeight="1">
      <c r="C1237" s="449"/>
      <c r="D1237" s="68"/>
      <c r="E1237" s="68"/>
      <c r="G1237" s="98"/>
      <c r="H1237" s="68"/>
      <c r="I1237" s="68"/>
      <c r="N1237" s="398"/>
      <c r="R1237" s="50"/>
      <c r="S1237" s="47"/>
      <c r="T1237" s="98"/>
      <c r="U1237" s="98"/>
      <c r="AF1237" s="39"/>
      <c r="AG1237" s="490"/>
      <c r="AH1237" s="490"/>
    </row>
    <row r="1238" spans="3:34" ht="19.5" customHeight="1">
      <c r="C1238" s="449"/>
      <c r="D1238" s="68"/>
      <c r="E1238" s="68"/>
      <c r="G1238" s="98"/>
      <c r="H1238" s="68"/>
      <c r="I1238" s="68"/>
      <c r="N1238" s="398"/>
      <c r="R1238" s="50"/>
      <c r="S1238" s="47"/>
      <c r="T1238" s="98"/>
      <c r="U1238" s="98"/>
      <c r="AF1238" s="39"/>
      <c r="AG1238" s="490"/>
      <c r="AH1238" s="490"/>
    </row>
    <row r="1239" spans="3:34" ht="19.5" customHeight="1">
      <c r="C1239" s="449"/>
      <c r="D1239" s="68"/>
      <c r="E1239" s="68"/>
      <c r="G1239" s="98"/>
      <c r="H1239" s="68"/>
      <c r="I1239" s="68"/>
      <c r="N1239" s="398"/>
      <c r="R1239" s="50"/>
      <c r="S1239" s="47"/>
      <c r="T1239" s="98"/>
      <c r="U1239" s="98"/>
      <c r="AF1239" s="39"/>
      <c r="AG1239" s="490"/>
      <c r="AH1239" s="490"/>
    </row>
    <row r="1240" spans="3:34" ht="19.5" customHeight="1">
      <c r="C1240" s="449"/>
      <c r="D1240" s="68"/>
      <c r="E1240" s="68"/>
      <c r="G1240" s="98"/>
      <c r="H1240" s="68"/>
      <c r="I1240" s="68"/>
      <c r="N1240" s="398"/>
      <c r="R1240" s="50"/>
      <c r="S1240" s="47"/>
      <c r="T1240" s="98"/>
      <c r="U1240" s="98"/>
      <c r="AF1240" s="39"/>
      <c r="AG1240" s="490"/>
      <c r="AH1240" s="490"/>
    </row>
    <row r="1241" spans="3:34" ht="19.5" customHeight="1">
      <c r="C1241" s="449"/>
      <c r="D1241" s="68"/>
      <c r="E1241" s="68"/>
      <c r="G1241" s="98"/>
      <c r="H1241" s="68"/>
      <c r="I1241" s="68"/>
      <c r="N1241" s="398"/>
      <c r="R1241" s="50"/>
      <c r="S1241" s="47"/>
      <c r="T1241" s="98"/>
      <c r="U1241" s="98"/>
      <c r="AF1241" s="39"/>
      <c r="AG1241" s="490"/>
      <c r="AH1241" s="490"/>
    </row>
    <row r="1242" spans="3:34" ht="19.5" customHeight="1">
      <c r="C1242" s="449"/>
      <c r="D1242" s="68"/>
      <c r="E1242" s="68"/>
      <c r="G1242" s="98"/>
      <c r="H1242" s="68"/>
      <c r="I1242" s="68"/>
      <c r="N1242" s="398"/>
      <c r="R1242" s="50"/>
      <c r="S1242" s="47"/>
      <c r="T1242" s="98"/>
      <c r="U1242" s="98"/>
      <c r="AF1242" s="39"/>
      <c r="AG1242" s="490"/>
      <c r="AH1242" s="490"/>
    </row>
    <row r="1243" spans="3:34" ht="19.5" customHeight="1">
      <c r="C1243" s="449"/>
      <c r="D1243" s="68"/>
      <c r="E1243" s="68"/>
      <c r="G1243" s="98"/>
      <c r="H1243" s="68"/>
      <c r="I1243" s="68"/>
      <c r="N1243" s="398"/>
      <c r="R1243" s="50"/>
      <c r="S1243" s="47"/>
      <c r="T1243" s="98"/>
      <c r="U1243" s="98"/>
      <c r="AF1243" s="39"/>
      <c r="AG1243" s="490"/>
      <c r="AH1243" s="490"/>
    </row>
    <row r="1244" spans="3:34" ht="19.5" customHeight="1">
      <c r="C1244" s="449"/>
      <c r="D1244" s="68"/>
      <c r="E1244" s="68"/>
      <c r="G1244" s="98"/>
      <c r="H1244" s="68"/>
      <c r="I1244" s="68"/>
      <c r="N1244" s="398"/>
      <c r="R1244" s="50"/>
      <c r="S1244" s="47"/>
      <c r="T1244" s="98"/>
      <c r="U1244" s="98"/>
      <c r="AF1244" s="39"/>
      <c r="AG1244" s="490"/>
      <c r="AH1244" s="490"/>
    </row>
    <row r="1245" spans="3:34" ht="19.5" customHeight="1">
      <c r="C1245" s="449"/>
      <c r="D1245" s="68"/>
      <c r="E1245" s="68"/>
      <c r="G1245" s="98"/>
      <c r="H1245" s="68"/>
      <c r="I1245" s="68"/>
      <c r="N1245" s="398"/>
      <c r="R1245" s="50"/>
      <c r="S1245" s="47"/>
      <c r="T1245" s="98"/>
      <c r="U1245" s="98"/>
      <c r="AF1245" s="39"/>
      <c r="AG1245" s="490"/>
      <c r="AH1245" s="490"/>
    </row>
    <row r="1246" spans="3:34" ht="19.5" customHeight="1">
      <c r="C1246" s="449"/>
      <c r="D1246" s="68"/>
      <c r="E1246" s="68"/>
      <c r="G1246" s="98"/>
      <c r="H1246" s="68"/>
      <c r="I1246" s="68"/>
      <c r="N1246" s="398"/>
      <c r="R1246" s="50"/>
      <c r="S1246" s="47"/>
      <c r="T1246" s="98"/>
      <c r="U1246" s="98"/>
      <c r="AF1246" s="39"/>
      <c r="AG1246" s="490"/>
      <c r="AH1246" s="490"/>
    </row>
    <row r="1247" spans="3:34" ht="19.5" customHeight="1">
      <c r="C1247" s="449"/>
      <c r="D1247" s="68"/>
      <c r="E1247" s="68"/>
      <c r="G1247" s="98"/>
      <c r="H1247" s="68"/>
      <c r="I1247" s="68"/>
      <c r="N1247" s="398"/>
      <c r="R1247" s="50"/>
      <c r="S1247" s="47"/>
      <c r="T1247" s="98"/>
      <c r="U1247" s="98"/>
      <c r="AF1247" s="39"/>
      <c r="AG1247" s="490"/>
      <c r="AH1247" s="490"/>
    </row>
    <row r="1248" spans="3:34" ht="19.5" customHeight="1">
      <c r="C1248" s="449"/>
      <c r="D1248" s="68"/>
      <c r="E1248" s="68"/>
      <c r="G1248" s="98"/>
      <c r="H1248" s="68"/>
      <c r="I1248" s="68"/>
      <c r="N1248" s="398"/>
      <c r="R1248" s="50"/>
      <c r="S1248" s="47"/>
      <c r="T1248" s="98"/>
      <c r="U1248" s="98"/>
      <c r="AF1248" s="39"/>
      <c r="AG1248" s="490"/>
      <c r="AH1248" s="490"/>
    </row>
    <row r="1249" spans="3:34" ht="19.5" customHeight="1">
      <c r="C1249" s="449"/>
      <c r="D1249" s="68"/>
      <c r="E1249" s="68"/>
      <c r="G1249" s="98"/>
      <c r="H1249" s="68"/>
      <c r="I1249" s="68"/>
      <c r="N1249" s="398"/>
      <c r="R1249" s="50"/>
      <c r="S1249" s="47"/>
      <c r="T1249" s="98"/>
      <c r="U1249" s="98"/>
      <c r="AF1249" s="39"/>
      <c r="AG1249" s="490"/>
      <c r="AH1249" s="490"/>
    </row>
    <row r="1250" spans="3:34" ht="19.5" customHeight="1">
      <c r="C1250" s="449"/>
      <c r="D1250" s="68"/>
      <c r="E1250" s="68"/>
      <c r="G1250" s="98"/>
      <c r="H1250" s="68"/>
      <c r="I1250" s="68"/>
      <c r="N1250" s="398"/>
      <c r="R1250" s="50"/>
      <c r="S1250" s="47"/>
      <c r="T1250" s="98"/>
      <c r="U1250" s="98"/>
      <c r="AF1250" s="39"/>
      <c r="AG1250" s="490"/>
      <c r="AH1250" s="490"/>
    </row>
    <row r="1251" spans="3:34" ht="19.5" customHeight="1">
      <c r="C1251" s="449"/>
      <c r="D1251" s="68"/>
      <c r="E1251" s="68"/>
      <c r="G1251" s="98"/>
      <c r="H1251" s="68"/>
      <c r="I1251" s="68"/>
      <c r="N1251" s="398"/>
      <c r="R1251" s="50"/>
      <c r="S1251" s="47"/>
      <c r="T1251" s="98"/>
      <c r="U1251" s="98"/>
      <c r="AF1251" s="39"/>
      <c r="AG1251" s="490"/>
      <c r="AH1251" s="490"/>
    </row>
    <row r="1252" spans="3:34" ht="19.5" customHeight="1">
      <c r="C1252" s="449"/>
      <c r="D1252" s="68"/>
      <c r="E1252" s="68"/>
      <c r="G1252" s="98"/>
      <c r="H1252" s="68"/>
      <c r="I1252" s="68"/>
      <c r="N1252" s="398"/>
      <c r="R1252" s="50"/>
      <c r="S1252" s="47"/>
      <c r="T1252" s="98"/>
      <c r="U1252" s="98"/>
      <c r="AF1252" s="39"/>
      <c r="AG1252" s="490"/>
      <c r="AH1252" s="490"/>
    </row>
    <row r="1253" spans="3:34" ht="19.5" customHeight="1">
      <c r="C1253" s="449"/>
      <c r="D1253" s="68"/>
      <c r="E1253" s="68"/>
      <c r="G1253" s="98"/>
      <c r="H1253" s="68"/>
      <c r="I1253" s="68"/>
      <c r="N1253" s="398"/>
      <c r="R1253" s="50"/>
      <c r="S1253" s="47"/>
      <c r="T1253" s="98"/>
      <c r="U1253" s="98"/>
      <c r="AF1253" s="39"/>
      <c r="AG1253" s="490"/>
      <c r="AH1253" s="490"/>
    </row>
    <row r="1254" spans="3:34" ht="19.5" customHeight="1">
      <c r="C1254" s="449"/>
      <c r="D1254" s="68"/>
      <c r="E1254" s="68"/>
      <c r="G1254" s="98"/>
      <c r="H1254" s="68"/>
      <c r="I1254" s="68"/>
      <c r="N1254" s="398"/>
      <c r="R1254" s="50"/>
      <c r="S1254" s="47"/>
      <c r="T1254" s="98"/>
      <c r="U1254" s="98"/>
      <c r="AF1254" s="39"/>
      <c r="AG1254" s="490"/>
      <c r="AH1254" s="490"/>
    </row>
    <row r="1255" spans="3:34" ht="19.5" customHeight="1">
      <c r="C1255" s="449"/>
      <c r="D1255" s="68"/>
      <c r="E1255" s="68"/>
      <c r="G1255" s="98"/>
      <c r="H1255" s="68"/>
      <c r="I1255" s="68"/>
      <c r="N1255" s="398"/>
      <c r="R1255" s="50"/>
      <c r="S1255" s="47"/>
      <c r="T1255" s="98"/>
      <c r="U1255" s="98"/>
      <c r="AF1255" s="39"/>
      <c r="AG1255" s="490"/>
      <c r="AH1255" s="490"/>
    </row>
    <row r="1256" spans="3:34" ht="19.5" customHeight="1">
      <c r="C1256" s="449"/>
      <c r="D1256" s="68"/>
      <c r="E1256" s="68"/>
      <c r="G1256" s="98"/>
      <c r="H1256" s="68"/>
      <c r="I1256" s="68"/>
      <c r="N1256" s="398"/>
      <c r="R1256" s="50"/>
      <c r="S1256" s="47"/>
      <c r="T1256" s="98"/>
      <c r="U1256" s="98"/>
      <c r="AF1256" s="39"/>
      <c r="AG1256" s="490"/>
      <c r="AH1256" s="490"/>
    </row>
    <row r="1257" spans="3:34" ht="19.5" customHeight="1">
      <c r="C1257" s="449"/>
      <c r="D1257" s="68"/>
      <c r="E1257" s="68"/>
      <c r="G1257" s="98"/>
      <c r="H1257" s="68"/>
      <c r="I1257" s="68"/>
      <c r="N1257" s="398"/>
      <c r="R1257" s="50"/>
      <c r="S1257" s="47"/>
      <c r="T1257" s="98"/>
      <c r="U1257" s="98"/>
      <c r="AF1257" s="39"/>
      <c r="AG1257" s="490"/>
      <c r="AH1257" s="490"/>
    </row>
    <row r="1258" spans="3:34" ht="19.5" customHeight="1">
      <c r="C1258" s="449"/>
      <c r="D1258" s="68"/>
      <c r="E1258" s="68"/>
      <c r="G1258" s="98"/>
      <c r="H1258" s="68"/>
      <c r="I1258" s="68"/>
      <c r="N1258" s="398"/>
      <c r="R1258" s="50"/>
      <c r="S1258" s="47"/>
      <c r="T1258" s="98"/>
      <c r="U1258" s="98"/>
      <c r="AF1258" s="39"/>
      <c r="AG1258" s="490"/>
      <c r="AH1258" s="490"/>
    </row>
    <row r="1259" spans="3:34" ht="19.5" customHeight="1">
      <c r="C1259" s="449"/>
      <c r="D1259" s="68"/>
      <c r="E1259" s="68"/>
      <c r="G1259" s="98"/>
      <c r="H1259" s="68"/>
      <c r="I1259" s="68"/>
      <c r="N1259" s="398"/>
      <c r="R1259" s="50"/>
      <c r="S1259" s="47"/>
      <c r="T1259" s="98"/>
      <c r="U1259" s="98"/>
      <c r="AF1259" s="39"/>
      <c r="AG1259" s="490"/>
      <c r="AH1259" s="490"/>
    </row>
    <row r="1260" spans="3:34" ht="19.5" customHeight="1">
      <c r="C1260" s="449"/>
      <c r="D1260" s="68"/>
      <c r="E1260" s="68"/>
      <c r="G1260" s="98"/>
      <c r="H1260" s="68"/>
      <c r="I1260" s="68"/>
      <c r="N1260" s="398"/>
      <c r="R1260" s="50"/>
      <c r="S1260" s="47"/>
      <c r="T1260" s="98"/>
      <c r="U1260" s="98"/>
      <c r="AF1260" s="39"/>
      <c r="AG1260" s="490"/>
      <c r="AH1260" s="490"/>
    </row>
    <row r="1261" spans="3:34" ht="19.5" customHeight="1">
      <c r="C1261" s="449"/>
      <c r="D1261" s="68"/>
      <c r="E1261" s="68"/>
      <c r="G1261" s="98"/>
      <c r="H1261" s="68"/>
      <c r="I1261" s="68"/>
      <c r="N1261" s="398"/>
      <c r="R1261" s="50"/>
      <c r="S1261" s="47"/>
      <c r="T1261" s="98"/>
      <c r="U1261" s="98"/>
      <c r="AF1261" s="39"/>
      <c r="AG1261" s="490"/>
      <c r="AH1261" s="490"/>
    </row>
    <row r="1262" spans="3:34" ht="19.5" customHeight="1">
      <c r="C1262" s="449"/>
      <c r="D1262" s="68"/>
      <c r="E1262" s="68"/>
      <c r="G1262" s="98"/>
      <c r="H1262" s="68"/>
      <c r="I1262" s="68"/>
      <c r="N1262" s="398"/>
      <c r="R1262" s="50"/>
      <c r="S1262" s="47"/>
      <c r="T1262" s="98"/>
      <c r="U1262" s="98"/>
      <c r="AF1262" s="39"/>
      <c r="AG1262" s="490"/>
      <c r="AH1262" s="490"/>
    </row>
    <row r="1263" spans="3:34" ht="19.5" customHeight="1">
      <c r="C1263" s="449"/>
      <c r="D1263" s="68"/>
      <c r="E1263" s="68"/>
      <c r="G1263" s="98"/>
      <c r="H1263" s="68"/>
      <c r="I1263" s="68"/>
      <c r="N1263" s="398"/>
      <c r="R1263" s="50"/>
      <c r="S1263" s="47"/>
      <c r="T1263" s="98"/>
      <c r="U1263" s="98"/>
      <c r="AF1263" s="39"/>
      <c r="AG1263" s="490"/>
      <c r="AH1263" s="490"/>
    </row>
    <row r="1264" spans="3:34" ht="19.5" customHeight="1">
      <c r="C1264" s="449"/>
      <c r="D1264" s="68"/>
      <c r="E1264" s="68"/>
      <c r="G1264" s="98"/>
      <c r="H1264" s="68"/>
      <c r="I1264" s="68"/>
      <c r="N1264" s="398"/>
      <c r="R1264" s="50"/>
      <c r="S1264" s="47"/>
      <c r="T1264" s="98"/>
      <c r="U1264" s="98"/>
      <c r="AF1264" s="39"/>
      <c r="AG1264" s="490"/>
      <c r="AH1264" s="490"/>
    </row>
    <row r="1265" spans="3:34" ht="19.5" customHeight="1">
      <c r="C1265" s="449"/>
      <c r="D1265" s="68"/>
      <c r="E1265" s="68"/>
      <c r="G1265" s="98"/>
      <c r="H1265" s="68"/>
      <c r="I1265" s="68"/>
      <c r="N1265" s="398"/>
      <c r="R1265" s="50"/>
      <c r="S1265" s="47"/>
      <c r="T1265" s="98"/>
      <c r="U1265" s="98"/>
      <c r="AF1265" s="39"/>
      <c r="AG1265" s="490"/>
      <c r="AH1265" s="490"/>
    </row>
    <row r="1266" spans="3:34" ht="19.5" customHeight="1">
      <c r="C1266" s="449"/>
      <c r="D1266" s="68"/>
      <c r="E1266" s="68"/>
      <c r="G1266" s="98"/>
      <c r="H1266" s="68"/>
      <c r="I1266" s="68"/>
      <c r="N1266" s="398"/>
      <c r="R1266" s="50"/>
      <c r="S1266" s="47"/>
      <c r="T1266" s="98"/>
      <c r="U1266" s="98"/>
      <c r="AF1266" s="39"/>
      <c r="AG1266" s="490"/>
      <c r="AH1266" s="490"/>
    </row>
    <row r="1267" spans="3:34" ht="19.5" customHeight="1">
      <c r="C1267" s="449"/>
      <c r="D1267" s="68"/>
      <c r="E1267" s="68"/>
      <c r="G1267" s="98"/>
      <c r="H1267" s="68"/>
      <c r="I1267" s="68"/>
      <c r="N1267" s="398"/>
      <c r="R1267" s="50"/>
      <c r="S1267" s="47"/>
      <c r="T1267" s="98"/>
      <c r="U1267" s="98"/>
      <c r="AF1267" s="39"/>
      <c r="AG1267" s="490"/>
      <c r="AH1267" s="490"/>
    </row>
    <row r="1268" spans="3:34" ht="19.5" customHeight="1">
      <c r="C1268" s="449"/>
      <c r="D1268" s="68"/>
      <c r="E1268" s="68"/>
      <c r="G1268" s="98"/>
      <c r="H1268" s="68"/>
      <c r="I1268" s="68"/>
      <c r="N1268" s="398"/>
      <c r="R1268" s="50"/>
      <c r="S1268" s="47"/>
      <c r="T1268" s="98"/>
      <c r="U1268" s="98"/>
      <c r="AF1268" s="39"/>
      <c r="AG1268" s="490"/>
      <c r="AH1268" s="490"/>
    </row>
    <row r="1269" spans="3:34" ht="19.5" customHeight="1">
      <c r="C1269" s="449"/>
      <c r="D1269" s="68"/>
      <c r="E1269" s="68"/>
      <c r="G1269" s="98"/>
      <c r="H1269" s="68"/>
      <c r="I1269" s="68"/>
      <c r="N1269" s="398"/>
      <c r="R1269" s="50"/>
      <c r="S1269" s="47"/>
      <c r="T1269" s="98"/>
      <c r="U1269" s="98"/>
      <c r="AF1269" s="39"/>
      <c r="AG1269" s="490"/>
      <c r="AH1269" s="490"/>
    </row>
    <row r="1270" spans="3:34" ht="19.5" customHeight="1">
      <c r="C1270" s="449"/>
      <c r="D1270" s="68"/>
      <c r="E1270" s="68"/>
      <c r="G1270" s="98"/>
      <c r="H1270" s="68"/>
      <c r="I1270" s="68"/>
      <c r="N1270" s="398"/>
      <c r="R1270" s="50"/>
      <c r="S1270" s="47"/>
      <c r="T1270" s="98"/>
      <c r="U1270" s="98"/>
      <c r="AF1270" s="39"/>
      <c r="AG1270" s="490"/>
      <c r="AH1270" s="490"/>
    </row>
    <row r="1271" spans="3:34" ht="19.5" customHeight="1">
      <c r="C1271" s="449"/>
      <c r="D1271" s="68"/>
      <c r="E1271" s="68"/>
      <c r="G1271" s="98"/>
      <c r="H1271" s="68"/>
      <c r="I1271" s="68"/>
      <c r="N1271" s="398"/>
      <c r="R1271" s="50"/>
      <c r="S1271" s="47"/>
      <c r="T1271" s="98"/>
      <c r="U1271" s="98"/>
      <c r="AF1271" s="39"/>
      <c r="AG1271" s="490"/>
      <c r="AH1271" s="490"/>
    </row>
    <row r="1272" spans="3:34" ht="19.5" customHeight="1">
      <c r="C1272" s="449"/>
      <c r="D1272" s="68"/>
      <c r="E1272" s="68"/>
      <c r="G1272" s="98"/>
      <c r="H1272" s="68"/>
      <c r="I1272" s="68"/>
      <c r="N1272" s="398"/>
      <c r="R1272" s="50"/>
      <c r="S1272" s="47"/>
      <c r="T1272" s="98"/>
      <c r="U1272" s="98"/>
      <c r="AF1272" s="39"/>
      <c r="AG1272" s="490"/>
      <c r="AH1272" s="490"/>
    </row>
    <row r="1273" spans="3:34" ht="19.5" customHeight="1">
      <c r="C1273" s="449"/>
      <c r="D1273" s="68"/>
      <c r="E1273" s="68"/>
      <c r="G1273" s="98"/>
      <c r="H1273" s="68"/>
      <c r="I1273" s="68"/>
      <c r="N1273" s="398"/>
      <c r="R1273" s="50"/>
      <c r="S1273" s="47"/>
      <c r="T1273" s="98"/>
      <c r="U1273" s="98"/>
      <c r="AF1273" s="39"/>
      <c r="AG1273" s="490"/>
      <c r="AH1273" s="490"/>
    </row>
    <row r="1274" spans="3:34" ht="19.5" customHeight="1">
      <c r="C1274" s="449"/>
      <c r="D1274" s="68"/>
      <c r="E1274" s="68"/>
      <c r="G1274" s="98"/>
      <c r="H1274" s="68"/>
      <c r="I1274" s="68"/>
      <c r="N1274" s="398"/>
      <c r="R1274" s="50"/>
      <c r="S1274" s="47"/>
      <c r="T1274" s="98"/>
      <c r="U1274" s="98"/>
      <c r="AF1274" s="39"/>
      <c r="AG1274" s="490"/>
      <c r="AH1274" s="490"/>
    </row>
    <row r="1275" spans="3:34" ht="19.5" customHeight="1">
      <c r="C1275" s="449"/>
      <c r="D1275" s="68"/>
      <c r="E1275" s="68"/>
      <c r="G1275" s="98"/>
      <c r="H1275" s="68"/>
      <c r="I1275" s="68"/>
      <c r="N1275" s="398"/>
      <c r="R1275" s="50"/>
      <c r="S1275" s="47"/>
      <c r="T1275" s="98"/>
      <c r="U1275" s="98"/>
      <c r="AF1275" s="39"/>
      <c r="AG1275" s="490"/>
      <c r="AH1275" s="490"/>
    </row>
    <row r="1276" spans="3:34" ht="19.5" customHeight="1">
      <c r="C1276" s="449"/>
      <c r="D1276" s="68"/>
      <c r="E1276" s="68"/>
      <c r="G1276" s="98"/>
      <c r="H1276" s="68"/>
      <c r="I1276" s="68"/>
      <c r="N1276" s="398"/>
      <c r="R1276" s="50"/>
      <c r="S1276" s="47"/>
      <c r="T1276" s="98"/>
      <c r="U1276" s="98"/>
      <c r="AF1276" s="39"/>
      <c r="AG1276" s="490"/>
      <c r="AH1276" s="490"/>
    </row>
    <row r="1277" spans="3:34" ht="19.5" customHeight="1">
      <c r="C1277" s="449"/>
      <c r="D1277" s="68"/>
      <c r="E1277" s="68"/>
      <c r="G1277" s="98"/>
      <c r="H1277" s="68"/>
      <c r="I1277" s="68"/>
      <c r="N1277" s="398"/>
      <c r="R1277" s="50"/>
      <c r="S1277" s="47"/>
      <c r="T1277" s="98"/>
      <c r="U1277" s="98"/>
      <c r="AF1277" s="39"/>
      <c r="AG1277" s="490"/>
      <c r="AH1277" s="490"/>
    </row>
    <row r="1278" spans="3:34" ht="19.5" customHeight="1">
      <c r="C1278" s="449"/>
      <c r="D1278" s="68"/>
      <c r="E1278" s="68"/>
      <c r="G1278" s="98"/>
      <c r="H1278" s="68"/>
      <c r="I1278" s="68"/>
      <c r="N1278" s="398"/>
      <c r="R1278" s="50"/>
      <c r="S1278" s="47"/>
      <c r="T1278" s="98"/>
      <c r="U1278" s="98"/>
      <c r="AF1278" s="39"/>
      <c r="AG1278" s="490"/>
      <c r="AH1278" s="490"/>
    </row>
    <row r="1279" spans="3:34" ht="19.5" customHeight="1">
      <c r="C1279" s="449"/>
      <c r="D1279" s="68"/>
      <c r="E1279" s="68"/>
      <c r="G1279" s="98"/>
      <c r="H1279" s="68"/>
      <c r="I1279" s="68"/>
      <c r="N1279" s="398"/>
      <c r="R1279" s="50"/>
      <c r="S1279" s="47"/>
      <c r="T1279" s="98"/>
      <c r="U1279" s="98"/>
      <c r="AF1279" s="39"/>
      <c r="AG1279" s="490"/>
      <c r="AH1279" s="490"/>
    </row>
    <row r="1280" spans="3:34" ht="19.5" customHeight="1">
      <c r="C1280" s="449"/>
      <c r="D1280" s="68"/>
      <c r="E1280" s="68"/>
      <c r="G1280" s="98"/>
      <c r="H1280" s="68"/>
      <c r="I1280" s="68"/>
      <c r="N1280" s="398"/>
      <c r="R1280" s="50"/>
      <c r="S1280" s="47"/>
      <c r="T1280" s="98"/>
      <c r="U1280" s="98"/>
      <c r="AF1280" s="39"/>
      <c r="AG1280" s="490"/>
      <c r="AH1280" s="490"/>
    </row>
    <row r="1281" spans="3:34" ht="19.5" customHeight="1">
      <c r="C1281" s="449"/>
      <c r="D1281" s="68"/>
      <c r="E1281" s="68"/>
      <c r="G1281" s="98"/>
      <c r="H1281" s="68"/>
      <c r="I1281" s="68"/>
      <c r="N1281" s="398"/>
      <c r="R1281" s="50"/>
      <c r="S1281" s="47"/>
      <c r="T1281" s="98"/>
      <c r="U1281" s="98"/>
      <c r="AF1281" s="39"/>
      <c r="AG1281" s="490"/>
      <c r="AH1281" s="490"/>
    </row>
    <row r="1282" spans="3:34" ht="19.5" customHeight="1">
      <c r="C1282" s="449"/>
      <c r="D1282" s="68"/>
      <c r="E1282" s="68"/>
      <c r="G1282" s="98"/>
      <c r="H1282" s="68"/>
      <c r="I1282" s="68"/>
      <c r="N1282" s="398"/>
      <c r="R1282" s="50"/>
      <c r="S1282" s="47"/>
      <c r="T1282" s="98"/>
      <c r="U1282" s="98"/>
      <c r="AF1282" s="39"/>
      <c r="AG1282" s="490"/>
      <c r="AH1282" s="490"/>
    </row>
    <row r="1283" spans="3:34" ht="19.5" customHeight="1">
      <c r="C1283" s="449"/>
      <c r="D1283" s="68"/>
      <c r="E1283" s="68"/>
      <c r="G1283" s="98"/>
      <c r="H1283" s="68"/>
      <c r="I1283" s="68"/>
      <c r="N1283" s="398"/>
      <c r="R1283" s="50"/>
      <c r="S1283" s="47"/>
      <c r="T1283" s="98"/>
      <c r="U1283" s="98"/>
      <c r="AF1283" s="39"/>
      <c r="AG1283" s="490"/>
      <c r="AH1283" s="490"/>
    </row>
    <row r="1284" spans="3:34" ht="19.5" customHeight="1">
      <c r="C1284" s="449"/>
      <c r="D1284" s="68"/>
      <c r="E1284" s="68"/>
      <c r="G1284" s="98"/>
      <c r="H1284" s="68"/>
      <c r="I1284" s="68"/>
      <c r="N1284" s="398"/>
      <c r="R1284" s="50"/>
      <c r="S1284" s="47"/>
      <c r="T1284" s="98"/>
      <c r="U1284" s="98"/>
      <c r="AF1284" s="39"/>
      <c r="AG1284" s="490"/>
      <c r="AH1284" s="490"/>
    </row>
    <row r="1285" spans="3:34" ht="19.5" customHeight="1">
      <c r="C1285" s="449"/>
      <c r="D1285" s="68"/>
      <c r="E1285" s="68"/>
      <c r="G1285" s="98"/>
      <c r="H1285" s="68"/>
      <c r="I1285" s="68"/>
      <c r="N1285" s="398"/>
      <c r="R1285" s="50"/>
      <c r="S1285" s="47"/>
      <c r="T1285" s="98"/>
      <c r="U1285" s="98"/>
      <c r="AF1285" s="39"/>
      <c r="AG1285" s="490"/>
      <c r="AH1285" s="490"/>
    </row>
    <row r="1286" spans="3:34" ht="19.5" customHeight="1">
      <c r="C1286" s="449"/>
      <c r="D1286" s="68"/>
      <c r="E1286" s="68"/>
      <c r="G1286" s="98"/>
      <c r="H1286" s="68"/>
      <c r="I1286" s="68"/>
      <c r="N1286" s="398"/>
      <c r="R1286" s="50"/>
      <c r="S1286" s="47"/>
      <c r="T1286" s="98"/>
      <c r="U1286" s="98"/>
      <c r="AF1286" s="39"/>
      <c r="AG1286" s="490"/>
      <c r="AH1286" s="490"/>
    </row>
    <row r="1287" spans="3:34" ht="19.5" customHeight="1">
      <c r="C1287" s="449"/>
      <c r="D1287" s="68"/>
      <c r="E1287" s="68"/>
      <c r="G1287" s="98"/>
      <c r="H1287" s="68"/>
      <c r="I1287" s="68"/>
      <c r="N1287" s="398"/>
      <c r="R1287" s="50"/>
      <c r="S1287" s="47"/>
      <c r="T1287" s="98"/>
      <c r="U1287" s="98"/>
      <c r="AF1287" s="39"/>
      <c r="AG1287" s="490"/>
      <c r="AH1287" s="490"/>
    </row>
    <row r="1288" spans="3:34" ht="19.5" customHeight="1">
      <c r="C1288" s="449"/>
      <c r="D1288" s="68"/>
      <c r="E1288" s="68"/>
      <c r="G1288" s="98"/>
      <c r="H1288" s="68"/>
      <c r="I1288" s="68"/>
      <c r="N1288" s="398"/>
      <c r="R1288" s="50"/>
      <c r="S1288" s="47"/>
      <c r="T1288" s="98"/>
      <c r="U1288" s="98"/>
      <c r="AF1288" s="39"/>
      <c r="AG1288" s="490"/>
      <c r="AH1288" s="490"/>
    </row>
    <row r="1289" spans="3:34" ht="19.5" customHeight="1">
      <c r="C1289" s="449"/>
      <c r="D1289" s="68"/>
      <c r="E1289" s="68"/>
      <c r="G1289" s="98"/>
      <c r="H1289" s="68"/>
      <c r="I1289" s="68"/>
      <c r="N1289" s="398"/>
      <c r="R1289" s="50"/>
      <c r="S1289" s="47"/>
      <c r="T1289" s="98"/>
      <c r="U1289" s="98"/>
      <c r="AF1289" s="39"/>
      <c r="AG1289" s="490"/>
      <c r="AH1289" s="490"/>
    </row>
    <row r="1290" spans="3:34" ht="19.5" customHeight="1">
      <c r="C1290" s="449"/>
      <c r="D1290" s="68"/>
      <c r="E1290" s="68"/>
      <c r="G1290" s="98"/>
      <c r="H1290" s="68"/>
      <c r="I1290" s="68"/>
      <c r="N1290" s="398"/>
      <c r="R1290" s="50"/>
      <c r="S1290" s="47"/>
      <c r="T1290" s="98"/>
      <c r="U1290" s="98"/>
      <c r="AF1290" s="39"/>
      <c r="AG1290" s="490"/>
      <c r="AH1290" s="490"/>
    </row>
    <row r="1291" spans="3:34" ht="19.5" customHeight="1">
      <c r="C1291" s="449"/>
      <c r="D1291" s="68"/>
      <c r="E1291" s="68"/>
      <c r="G1291" s="98"/>
      <c r="H1291" s="68"/>
      <c r="I1291" s="68"/>
      <c r="N1291" s="398"/>
      <c r="R1291" s="50"/>
      <c r="S1291" s="47"/>
      <c r="T1291" s="98"/>
      <c r="U1291" s="98"/>
      <c r="AF1291" s="39"/>
      <c r="AG1291" s="490"/>
      <c r="AH1291" s="490"/>
    </row>
    <row r="1292" spans="3:34" ht="19.5" customHeight="1">
      <c r="C1292" s="449"/>
      <c r="D1292" s="68"/>
      <c r="E1292" s="68"/>
      <c r="G1292" s="98"/>
      <c r="H1292" s="68"/>
      <c r="I1292" s="68"/>
      <c r="N1292" s="398"/>
      <c r="R1292" s="50"/>
      <c r="S1292" s="47"/>
      <c r="T1292" s="98"/>
      <c r="U1292" s="98"/>
      <c r="AF1292" s="39"/>
      <c r="AG1292" s="490"/>
      <c r="AH1292" s="490"/>
    </row>
    <row r="1293" spans="3:34" ht="19.5" customHeight="1">
      <c r="C1293" s="449"/>
      <c r="D1293" s="68"/>
      <c r="E1293" s="68"/>
      <c r="G1293" s="98"/>
      <c r="H1293" s="68"/>
      <c r="I1293" s="68"/>
      <c r="N1293" s="398"/>
      <c r="R1293" s="50"/>
      <c r="S1293" s="47"/>
      <c r="T1293" s="98"/>
      <c r="U1293" s="98"/>
      <c r="AF1293" s="39"/>
      <c r="AG1293" s="490"/>
      <c r="AH1293" s="490"/>
    </row>
    <row r="1294" spans="3:34" ht="19.5" customHeight="1">
      <c r="C1294" s="449"/>
      <c r="D1294" s="68"/>
      <c r="E1294" s="68"/>
      <c r="G1294" s="98"/>
      <c r="H1294" s="68"/>
      <c r="I1294" s="68"/>
      <c r="N1294" s="398"/>
      <c r="R1294" s="50"/>
      <c r="S1294" s="47"/>
      <c r="T1294" s="98"/>
      <c r="U1294" s="98"/>
      <c r="AF1294" s="39"/>
      <c r="AG1294" s="490"/>
      <c r="AH1294" s="490"/>
    </row>
    <row r="1295" spans="3:34" ht="19.5" customHeight="1">
      <c r="C1295" s="449"/>
      <c r="D1295" s="68"/>
      <c r="E1295" s="68"/>
      <c r="G1295" s="98"/>
      <c r="H1295" s="68"/>
      <c r="I1295" s="68"/>
      <c r="N1295" s="398"/>
      <c r="R1295" s="50"/>
      <c r="S1295" s="47"/>
      <c r="T1295" s="98"/>
      <c r="U1295" s="98"/>
      <c r="AF1295" s="39"/>
      <c r="AG1295" s="490"/>
      <c r="AH1295" s="490"/>
    </row>
    <row r="1296" spans="3:34" ht="19.5" customHeight="1">
      <c r="C1296" s="449"/>
      <c r="D1296" s="68"/>
      <c r="E1296" s="68"/>
      <c r="G1296" s="98"/>
      <c r="H1296" s="68"/>
      <c r="I1296" s="68"/>
      <c r="N1296" s="398"/>
      <c r="R1296" s="50"/>
      <c r="S1296" s="47"/>
      <c r="T1296" s="98"/>
      <c r="U1296" s="98"/>
      <c r="AF1296" s="39"/>
      <c r="AG1296" s="490"/>
      <c r="AH1296" s="490"/>
    </row>
    <row r="1297" spans="3:34" ht="19.5" customHeight="1">
      <c r="C1297" s="449"/>
      <c r="D1297" s="68"/>
      <c r="E1297" s="68"/>
      <c r="G1297" s="98"/>
      <c r="H1297" s="68"/>
      <c r="I1297" s="68"/>
      <c r="N1297" s="398"/>
      <c r="R1297" s="50"/>
      <c r="S1297" s="47"/>
      <c r="T1297" s="98"/>
      <c r="U1297" s="98"/>
      <c r="AF1297" s="39"/>
      <c r="AG1297" s="490"/>
      <c r="AH1297" s="490"/>
    </row>
    <row r="1298" spans="3:34" ht="19.5" customHeight="1">
      <c r="C1298" s="449"/>
      <c r="D1298" s="68"/>
      <c r="E1298" s="68"/>
      <c r="G1298" s="98"/>
      <c r="H1298" s="68"/>
      <c r="I1298" s="68"/>
      <c r="N1298" s="398"/>
      <c r="R1298" s="50"/>
      <c r="S1298" s="47"/>
      <c r="T1298" s="98"/>
      <c r="U1298" s="98"/>
      <c r="AF1298" s="39"/>
      <c r="AG1298" s="490"/>
      <c r="AH1298" s="490"/>
    </row>
    <row r="1299" spans="3:34" ht="19.5" customHeight="1">
      <c r="C1299" s="449"/>
      <c r="D1299" s="68"/>
      <c r="E1299" s="68"/>
      <c r="G1299" s="98"/>
      <c r="H1299" s="68"/>
      <c r="I1299" s="68"/>
      <c r="N1299" s="398"/>
      <c r="R1299" s="50"/>
      <c r="S1299" s="47"/>
      <c r="T1299" s="98"/>
      <c r="U1299" s="98"/>
      <c r="AF1299" s="39"/>
      <c r="AG1299" s="490"/>
      <c r="AH1299" s="490"/>
    </row>
    <row r="1300" spans="3:34" ht="19.5" customHeight="1">
      <c r="C1300" s="449"/>
      <c r="D1300" s="68"/>
      <c r="E1300" s="68"/>
      <c r="G1300" s="98"/>
      <c r="H1300" s="68"/>
      <c r="I1300" s="68"/>
      <c r="N1300" s="398"/>
      <c r="R1300" s="50"/>
      <c r="S1300" s="47"/>
      <c r="T1300" s="98"/>
      <c r="U1300" s="98"/>
      <c r="AF1300" s="39"/>
      <c r="AG1300" s="490"/>
      <c r="AH1300" s="490"/>
    </row>
    <row r="1301" spans="3:34" ht="19.5" customHeight="1">
      <c r="C1301" s="449"/>
      <c r="D1301" s="68"/>
      <c r="E1301" s="68"/>
      <c r="G1301" s="98"/>
      <c r="H1301" s="68"/>
      <c r="I1301" s="68"/>
      <c r="N1301" s="398"/>
      <c r="R1301" s="50"/>
      <c r="S1301" s="47"/>
      <c r="T1301" s="98"/>
      <c r="U1301" s="98"/>
      <c r="AF1301" s="39"/>
      <c r="AG1301" s="490"/>
      <c r="AH1301" s="490"/>
    </row>
    <row r="1302" spans="3:34" ht="19.5" customHeight="1">
      <c r="C1302" s="449"/>
      <c r="D1302" s="68"/>
      <c r="E1302" s="68"/>
      <c r="G1302" s="98"/>
      <c r="H1302" s="68"/>
      <c r="I1302" s="68"/>
      <c r="N1302" s="398"/>
      <c r="R1302" s="50"/>
      <c r="S1302" s="47"/>
      <c r="T1302" s="98"/>
      <c r="U1302" s="98"/>
      <c r="AF1302" s="39"/>
      <c r="AG1302" s="490"/>
      <c r="AH1302" s="490"/>
    </row>
    <row r="1303" spans="3:34" ht="19.5" customHeight="1">
      <c r="C1303" s="449"/>
      <c r="D1303" s="68"/>
      <c r="E1303" s="68"/>
      <c r="G1303" s="98"/>
      <c r="H1303" s="68"/>
      <c r="I1303" s="68"/>
      <c r="N1303" s="398"/>
      <c r="R1303" s="50"/>
      <c r="S1303" s="47"/>
      <c r="T1303" s="98"/>
      <c r="U1303" s="98"/>
      <c r="AF1303" s="39"/>
      <c r="AG1303" s="490"/>
      <c r="AH1303" s="490"/>
    </row>
    <row r="1304" spans="3:34" ht="19.5" customHeight="1">
      <c r="C1304" s="449"/>
      <c r="D1304" s="68"/>
      <c r="E1304" s="68"/>
      <c r="G1304" s="98"/>
      <c r="H1304" s="68"/>
      <c r="I1304" s="68"/>
      <c r="N1304" s="398"/>
      <c r="R1304" s="50"/>
      <c r="S1304" s="47"/>
      <c r="T1304" s="98"/>
      <c r="U1304" s="98"/>
      <c r="AF1304" s="39"/>
      <c r="AG1304" s="490"/>
      <c r="AH1304" s="490"/>
    </row>
    <row r="1305" spans="3:34" ht="19.5" customHeight="1">
      <c r="C1305" s="449"/>
      <c r="D1305" s="68"/>
      <c r="E1305" s="68"/>
      <c r="G1305" s="98"/>
      <c r="H1305" s="68"/>
      <c r="I1305" s="68"/>
      <c r="N1305" s="398"/>
      <c r="R1305" s="50"/>
      <c r="S1305" s="47"/>
      <c r="T1305" s="98"/>
      <c r="U1305" s="98"/>
      <c r="AF1305" s="39"/>
      <c r="AG1305" s="490"/>
      <c r="AH1305" s="490"/>
    </row>
    <row r="1306" spans="3:34" ht="19.5" customHeight="1">
      <c r="C1306" s="449"/>
      <c r="D1306" s="68"/>
      <c r="E1306" s="68"/>
      <c r="G1306" s="98"/>
      <c r="H1306" s="68"/>
      <c r="I1306" s="68"/>
      <c r="N1306" s="398"/>
      <c r="R1306" s="50"/>
      <c r="S1306" s="47"/>
      <c r="T1306" s="98"/>
      <c r="U1306" s="98"/>
      <c r="AF1306" s="39"/>
      <c r="AG1306" s="490"/>
      <c r="AH1306" s="490"/>
    </row>
    <row r="1307" spans="3:34" ht="19.5" customHeight="1">
      <c r="C1307" s="449"/>
      <c r="D1307" s="68"/>
      <c r="E1307" s="68"/>
      <c r="G1307" s="98"/>
      <c r="H1307" s="68"/>
      <c r="I1307" s="68"/>
      <c r="N1307" s="398"/>
      <c r="R1307" s="50"/>
      <c r="S1307" s="47"/>
      <c r="T1307" s="98"/>
      <c r="U1307" s="98"/>
      <c r="AF1307" s="39"/>
      <c r="AG1307" s="490"/>
      <c r="AH1307" s="490"/>
    </row>
    <row r="1308" spans="3:34" ht="19.5" customHeight="1">
      <c r="C1308" s="449"/>
      <c r="D1308" s="68"/>
      <c r="E1308" s="68"/>
      <c r="G1308" s="98"/>
      <c r="H1308" s="68"/>
      <c r="I1308" s="68"/>
      <c r="N1308" s="398"/>
      <c r="R1308" s="50"/>
      <c r="S1308" s="47"/>
      <c r="T1308" s="98"/>
      <c r="U1308" s="98"/>
      <c r="AF1308" s="39"/>
      <c r="AG1308" s="490"/>
      <c r="AH1308" s="490"/>
    </row>
    <row r="1309" spans="3:34" ht="19.5" customHeight="1">
      <c r="C1309" s="449"/>
      <c r="D1309" s="68"/>
      <c r="E1309" s="68"/>
      <c r="G1309" s="98"/>
      <c r="H1309" s="68"/>
      <c r="I1309" s="68"/>
      <c r="N1309" s="398"/>
      <c r="R1309" s="50"/>
      <c r="S1309" s="47"/>
      <c r="T1309" s="98"/>
      <c r="U1309" s="98"/>
      <c r="AF1309" s="39"/>
      <c r="AG1309" s="490"/>
      <c r="AH1309" s="490"/>
    </row>
    <row r="1310" spans="3:34" ht="19.5" customHeight="1">
      <c r="C1310" s="449"/>
      <c r="D1310" s="68"/>
      <c r="E1310" s="68"/>
      <c r="G1310" s="98"/>
      <c r="H1310" s="68"/>
      <c r="I1310" s="68"/>
      <c r="N1310" s="398"/>
      <c r="R1310" s="50"/>
      <c r="S1310" s="47"/>
      <c r="T1310" s="98"/>
      <c r="U1310" s="98"/>
      <c r="AF1310" s="39"/>
      <c r="AG1310" s="490"/>
      <c r="AH1310" s="490"/>
    </row>
    <row r="1311" spans="3:34" ht="19.5" customHeight="1">
      <c r="C1311" s="449"/>
      <c r="D1311" s="68"/>
      <c r="E1311" s="68"/>
      <c r="G1311" s="98"/>
      <c r="H1311" s="68"/>
      <c r="I1311" s="68"/>
      <c r="N1311" s="398"/>
      <c r="R1311" s="50"/>
      <c r="S1311" s="47"/>
      <c r="T1311" s="98"/>
      <c r="U1311" s="98"/>
      <c r="AF1311" s="39"/>
      <c r="AG1311" s="490"/>
      <c r="AH1311" s="490"/>
    </row>
    <row r="1312" spans="3:34" ht="19.5" customHeight="1">
      <c r="C1312" s="449"/>
      <c r="D1312" s="68"/>
      <c r="E1312" s="68"/>
      <c r="G1312" s="98"/>
      <c r="H1312" s="68"/>
      <c r="I1312" s="68"/>
      <c r="N1312" s="398"/>
      <c r="R1312" s="50"/>
      <c r="S1312" s="47"/>
      <c r="T1312" s="98"/>
      <c r="U1312" s="98"/>
      <c r="AF1312" s="39"/>
      <c r="AG1312" s="490"/>
      <c r="AH1312" s="490"/>
    </row>
    <row r="1313" spans="3:34" ht="19.5" customHeight="1">
      <c r="C1313" s="449"/>
      <c r="D1313" s="68"/>
      <c r="E1313" s="68"/>
      <c r="G1313" s="98"/>
      <c r="H1313" s="68"/>
      <c r="I1313" s="68"/>
      <c r="N1313" s="398"/>
      <c r="R1313" s="50"/>
      <c r="S1313" s="47"/>
      <c r="T1313" s="98"/>
      <c r="U1313" s="98"/>
      <c r="AF1313" s="39"/>
      <c r="AG1313" s="490"/>
      <c r="AH1313" s="490"/>
    </row>
    <row r="1314" spans="3:34" ht="19.5" customHeight="1">
      <c r="C1314" s="449"/>
      <c r="D1314" s="68"/>
      <c r="E1314" s="68"/>
      <c r="G1314" s="98"/>
      <c r="H1314" s="68"/>
      <c r="I1314" s="68"/>
      <c r="N1314" s="398"/>
      <c r="R1314" s="50"/>
      <c r="S1314" s="47"/>
      <c r="T1314" s="98"/>
      <c r="U1314" s="98"/>
      <c r="AF1314" s="39"/>
      <c r="AG1314" s="490"/>
      <c r="AH1314" s="490"/>
    </row>
    <row r="1315" spans="3:34" ht="19.5" customHeight="1">
      <c r="C1315" s="449"/>
      <c r="D1315" s="68"/>
      <c r="E1315" s="68"/>
      <c r="G1315" s="98"/>
      <c r="H1315" s="68"/>
      <c r="I1315" s="68"/>
      <c r="N1315" s="398"/>
      <c r="R1315" s="50"/>
      <c r="S1315" s="47"/>
      <c r="T1315" s="98"/>
      <c r="U1315" s="98"/>
      <c r="AF1315" s="39"/>
      <c r="AG1315" s="490"/>
      <c r="AH1315" s="490"/>
    </row>
    <row r="1316" spans="3:34" ht="19.5" customHeight="1">
      <c r="C1316" s="449"/>
      <c r="D1316" s="68"/>
      <c r="E1316" s="68"/>
      <c r="G1316" s="98"/>
      <c r="H1316" s="68"/>
      <c r="I1316" s="68"/>
      <c r="N1316" s="398"/>
      <c r="R1316" s="50"/>
      <c r="S1316" s="47"/>
      <c r="T1316" s="98"/>
      <c r="U1316" s="98"/>
      <c r="AF1316" s="39"/>
      <c r="AG1316" s="490"/>
      <c r="AH1316" s="490"/>
    </row>
    <row r="1317" spans="3:34" ht="19.5" customHeight="1">
      <c r="C1317" s="449"/>
      <c r="D1317" s="68"/>
      <c r="E1317" s="68"/>
      <c r="G1317" s="98"/>
      <c r="H1317" s="68"/>
      <c r="I1317" s="68"/>
      <c r="N1317" s="398"/>
      <c r="R1317" s="50"/>
      <c r="S1317" s="47"/>
      <c r="T1317" s="98"/>
      <c r="U1317" s="98"/>
      <c r="AF1317" s="39"/>
      <c r="AG1317" s="490"/>
      <c r="AH1317" s="490"/>
    </row>
    <row r="1318" spans="3:34" ht="19.5" customHeight="1">
      <c r="C1318" s="449"/>
      <c r="D1318" s="68"/>
      <c r="E1318" s="68"/>
      <c r="G1318" s="98"/>
      <c r="H1318" s="68"/>
      <c r="I1318" s="68"/>
      <c r="N1318" s="398"/>
      <c r="R1318" s="50"/>
      <c r="S1318" s="47"/>
      <c r="T1318" s="98"/>
      <c r="U1318" s="98"/>
      <c r="AF1318" s="39"/>
      <c r="AG1318" s="490"/>
      <c r="AH1318" s="490"/>
    </row>
    <row r="1319" spans="3:34" ht="19.5" customHeight="1">
      <c r="C1319" s="449"/>
      <c r="D1319" s="68"/>
      <c r="E1319" s="68"/>
      <c r="G1319" s="98"/>
      <c r="H1319" s="68"/>
      <c r="I1319" s="68"/>
      <c r="N1319" s="398"/>
      <c r="R1319" s="50"/>
      <c r="S1319" s="47"/>
      <c r="T1319" s="98"/>
      <c r="U1319" s="98"/>
      <c r="AF1319" s="39"/>
      <c r="AG1319" s="490"/>
      <c r="AH1319" s="490"/>
    </row>
    <row r="1320" spans="3:34" ht="19.5" customHeight="1">
      <c r="C1320" s="449"/>
      <c r="D1320" s="68"/>
      <c r="E1320" s="68"/>
      <c r="G1320" s="98"/>
      <c r="H1320" s="68"/>
      <c r="I1320" s="68"/>
      <c r="N1320" s="398"/>
      <c r="R1320" s="50"/>
      <c r="S1320" s="47"/>
      <c r="T1320" s="98"/>
      <c r="U1320" s="98"/>
      <c r="AF1320" s="39"/>
      <c r="AG1320" s="490"/>
      <c r="AH1320" s="490"/>
    </row>
    <row r="1321" spans="3:34" ht="19.5" customHeight="1">
      <c r="C1321" s="449"/>
      <c r="D1321" s="68"/>
      <c r="E1321" s="68"/>
      <c r="G1321" s="98"/>
      <c r="H1321" s="68"/>
      <c r="I1321" s="68"/>
      <c r="N1321" s="398"/>
      <c r="R1321" s="50"/>
      <c r="S1321" s="47"/>
      <c r="T1321" s="98"/>
      <c r="U1321" s="98"/>
      <c r="AF1321" s="39"/>
      <c r="AG1321" s="490"/>
      <c r="AH1321" s="490"/>
    </row>
    <row r="1322" spans="3:34" ht="19.5" customHeight="1">
      <c r="C1322" s="449"/>
      <c r="D1322" s="68"/>
      <c r="E1322" s="68"/>
      <c r="G1322" s="98"/>
      <c r="H1322" s="68"/>
      <c r="I1322" s="68"/>
      <c r="N1322" s="398"/>
      <c r="R1322" s="50"/>
      <c r="S1322" s="47"/>
      <c r="T1322" s="98"/>
      <c r="U1322" s="98"/>
      <c r="AF1322" s="39"/>
      <c r="AG1322" s="490"/>
      <c r="AH1322" s="490"/>
    </row>
    <row r="1323" spans="3:34" ht="19.5" customHeight="1">
      <c r="C1323" s="449"/>
      <c r="D1323" s="68"/>
      <c r="E1323" s="68"/>
      <c r="G1323" s="98"/>
      <c r="H1323" s="68"/>
      <c r="I1323" s="68"/>
      <c r="N1323" s="398"/>
      <c r="R1323" s="50"/>
      <c r="S1323" s="47"/>
      <c r="T1323" s="98"/>
      <c r="U1323" s="98"/>
      <c r="AF1323" s="39"/>
      <c r="AG1323" s="490"/>
      <c r="AH1323" s="490"/>
    </row>
    <row r="1324" spans="3:34" ht="19.5" customHeight="1">
      <c r="C1324" s="449"/>
      <c r="D1324" s="68"/>
      <c r="E1324" s="68"/>
      <c r="G1324" s="98"/>
      <c r="H1324" s="68"/>
      <c r="I1324" s="68"/>
      <c r="N1324" s="398"/>
      <c r="R1324" s="50"/>
      <c r="S1324" s="47"/>
      <c r="T1324" s="98"/>
      <c r="U1324" s="98"/>
      <c r="AF1324" s="39"/>
      <c r="AG1324" s="490"/>
      <c r="AH1324" s="490"/>
    </row>
    <row r="1325" spans="3:34" ht="19.5" customHeight="1">
      <c r="C1325" s="449"/>
      <c r="D1325" s="68"/>
      <c r="E1325" s="68"/>
      <c r="G1325" s="98"/>
      <c r="H1325" s="68"/>
      <c r="I1325" s="68"/>
      <c r="N1325" s="398"/>
      <c r="R1325" s="50"/>
      <c r="S1325" s="47"/>
      <c r="T1325" s="98"/>
      <c r="U1325" s="98"/>
      <c r="AF1325" s="39"/>
      <c r="AG1325" s="490"/>
      <c r="AH1325" s="490"/>
    </row>
    <row r="1326" spans="3:34" ht="19.5" customHeight="1">
      <c r="C1326" s="449"/>
      <c r="D1326" s="68"/>
      <c r="E1326" s="68"/>
      <c r="G1326" s="98"/>
      <c r="H1326" s="68"/>
      <c r="I1326" s="68"/>
      <c r="N1326" s="398"/>
      <c r="R1326" s="50"/>
      <c r="S1326" s="47"/>
      <c r="T1326" s="98"/>
      <c r="U1326" s="98"/>
      <c r="AF1326" s="39"/>
      <c r="AG1326" s="490"/>
      <c r="AH1326" s="490"/>
    </row>
    <row r="1327" spans="3:34" ht="19.5" customHeight="1">
      <c r="C1327" s="449"/>
      <c r="D1327" s="68"/>
      <c r="E1327" s="68"/>
      <c r="G1327" s="98"/>
      <c r="H1327" s="68"/>
      <c r="I1327" s="68"/>
      <c r="N1327" s="398"/>
      <c r="R1327" s="50"/>
      <c r="S1327" s="47"/>
      <c r="T1327" s="98"/>
      <c r="U1327" s="98"/>
      <c r="AF1327" s="39"/>
      <c r="AG1327" s="490"/>
      <c r="AH1327" s="490"/>
    </row>
    <row r="1328" spans="3:34" ht="19.5" customHeight="1">
      <c r="C1328" s="449"/>
      <c r="D1328" s="68"/>
      <c r="E1328" s="68"/>
      <c r="G1328" s="98"/>
      <c r="H1328" s="68"/>
      <c r="I1328" s="68"/>
      <c r="N1328" s="398"/>
      <c r="R1328" s="50"/>
      <c r="S1328" s="47"/>
      <c r="T1328" s="98"/>
      <c r="U1328" s="98"/>
      <c r="AF1328" s="39"/>
      <c r="AG1328" s="490"/>
      <c r="AH1328" s="490"/>
    </row>
    <row r="1329" spans="3:34" ht="19.5" customHeight="1">
      <c r="C1329" s="449"/>
      <c r="D1329" s="68"/>
      <c r="E1329" s="68"/>
      <c r="G1329" s="98"/>
      <c r="H1329" s="68"/>
      <c r="I1329" s="68"/>
      <c r="N1329" s="398"/>
      <c r="R1329" s="50"/>
      <c r="S1329" s="47"/>
      <c r="T1329" s="98"/>
      <c r="U1329" s="98"/>
      <c r="AF1329" s="39"/>
      <c r="AG1329" s="490"/>
      <c r="AH1329" s="490"/>
    </row>
    <row r="1330" spans="3:34" ht="19.5" customHeight="1">
      <c r="C1330" s="449"/>
      <c r="D1330" s="68"/>
      <c r="E1330" s="68"/>
      <c r="G1330" s="98"/>
      <c r="H1330" s="68"/>
      <c r="I1330" s="68"/>
      <c r="N1330" s="398"/>
      <c r="R1330" s="50"/>
      <c r="S1330" s="47"/>
      <c r="T1330" s="98"/>
      <c r="U1330" s="98"/>
      <c r="AF1330" s="39"/>
      <c r="AG1330" s="490"/>
      <c r="AH1330" s="490"/>
    </row>
    <row r="1331" spans="3:34" ht="19.5" customHeight="1">
      <c r="C1331" s="449"/>
      <c r="D1331" s="68"/>
      <c r="E1331" s="68"/>
      <c r="G1331" s="98"/>
      <c r="H1331" s="68"/>
      <c r="I1331" s="68"/>
      <c r="N1331" s="398"/>
      <c r="R1331" s="50"/>
      <c r="S1331" s="47"/>
      <c r="T1331" s="98"/>
      <c r="U1331" s="98"/>
      <c r="AF1331" s="39"/>
      <c r="AG1331" s="490"/>
      <c r="AH1331" s="490"/>
    </row>
    <row r="1332" spans="3:34" ht="19.5" customHeight="1">
      <c r="C1332" s="449"/>
      <c r="D1332" s="68"/>
      <c r="E1332" s="68"/>
      <c r="G1332" s="98"/>
      <c r="H1332" s="68"/>
      <c r="I1332" s="68"/>
      <c r="N1332" s="398"/>
      <c r="R1332" s="50"/>
      <c r="S1332" s="47"/>
      <c r="T1332" s="98"/>
      <c r="U1332" s="98"/>
      <c r="AF1332" s="39"/>
      <c r="AG1332" s="490"/>
      <c r="AH1332" s="490"/>
    </row>
    <row r="1333" spans="3:34" ht="19.5" customHeight="1">
      <c r="C1333" s="449"/>
      <c r="D1333" s="68"/>
      <c r="E1333" s="68"/>
      <c r="G1333" s="98"/>
      <c r="H1333" s="68"/>
      <c r="I1333" s="68"/>
      <c r="N1333" s="398"/>
      <c r="R1333" s="50"/>
      <c r="S1333" s="47"/>
      <c r="T1333" s="98"/>
      <c r="U1333" s="98"/>
      <c r="AF1333" s="39"/>
      <c r="AG1333" s="490"/>
      <c r="AH1333" s="490"/>
    </row>
    <row r="1334" spans="3:34" ht="19.5" customHeight="1">
      <c r="C1334" s="449"/>
      <c r="D1334" s="68"/>
      <c r="E1334" s="68"/>
      <c r="G1334" s="98"/>
      <c r="H1334" s="68"/>
      <c r="I1334" s="68"/>
      <c r="N1334" s="398"/>
      <c r="R1334" s="50"/>
      <c r="S1334" s="47"/>
      <c r="T1334" s="98"/>
      <c r="U1334" s="98"/>
      <c r="AF1334" s="39"/>
      <c r="AG1334" s="490"/>
      <c r="AH1334" s="490"/>
    </row>
    <row r="1335" spans="3:34" ht="19.5" customHeight="1">
      <c r="C1335" s="449"/>
      <c r="D1335" s="68"/>
      <c r="E1335" s="68"/>
      <c r="G1335" s="98"/>
      <c r="H1335" s="68"/>
      <c r="I1335" s="68"/>
      <c r="N1335" s="398"/>
      <c r="R1335" s="50"/>
      <c r="S1335" s="47"/>
      <c r="T1335" s="98"/>
      <c r="U1335" s="98"/>
      <c r="AF1335" s="39"/>
      <c r="AG1335" s="490"/>
      <c r="AH1335" s="490"/>
    </row>
    <row r="1336" spans="3:34" ht="19.5" customHeight="1">
      <c r="C1336" s="449"/>
      <c r="D1336" s="68"/>
      <c r="E1336" s="68"/>
      <c r="G1336" s="98"/>
      <c r="H1336" s="68"/>
      <c r="I1336" s="68"/>
      <c r="N1336" s="398"/>
      <c r="R1336" s="50"/>
      <c r="S1336" s="47"/>
      <c r="T1336" s="98"/>
      <c r="U1336" s="98"/>
      <c r="AF1336" s="39"/>
      <c r="AG1336" s="490"/>
      <c r="AH1336" s="490"/>
    </row>
    <row r="1337" spans="3:34" ht="19.5" customHeight="1">
      <c r="C1337" s="449"/>
      <c r="D1337" s="68"/>
      <c r="E1337" s="68"/>
      <c r="G1337" s="98"/>
      <c r="H1337" s="68"/>
      <c r="I1337" s="68"/>
      <c r="N1337" s="398"/>
      <c r="R1337" s="50"/>
      <c r="S1337" s="47"/>
      <c r="T1337" s="98"/>
      <c r="U1337" s="98"/>
      <c r="AF1337" s="39"/>
      <c r="AG1337" s="490"/>
      <c r="AH1337" s="490"/>
    </row>
    <row r="1338" spans="3:34" ht="19.5" customHeight="1">
      <c r="C1338" s="449"/>
      <c r="D1338" s="68"/>
      <c r="E1338" s="68"/>
      <c r="G1338" s="98"/>
      <c r="H1338" s="68"/>
      <c r="I1338" s="68"/>
      <c r="N1338" s="398"/>
      <c r="R1338" s="50"/>
      <c r="S1338" s="47"/>
      <c r="T1338" s="98"/>
      <c r="U1338" s="98"/>
      <c r="AF1338" s="39"/>
      <c r="AG1338" s="490"/>
      <c r="AH1338" s="490"/>
    </row>
    <row r="1339" spans="3:34" ht="19.5" customHeight="1">
      <c r="C1339" s="449"/>
      <c r="D1339" s="68"/>
      <c r="E1339" s="68"/>
      <c r="G1339" s="98"/>
      <c r="H1339" s="68"/>
      <c r="I1339" s="68"/>
      <c r="N1339" s="398"/>
      <c r="R1339" s="50"/>
      <c r="S1339" s="47"/>
      <c r="T1339" s="98"/>
      <c r="U1339" s="98"/>
      <c r="AF1339" s="39"/>
      <c r="AG1339" s="490"/>
      <c r="AH1339" s="490"/>
    </row>
    <row r="1340" spans="3:34" ht="19.5" customHeight="1">
      <c r="C1340" s="449"/>
      <c r="D1340" s="68"/>
      <c r="E1340" s="68"/>
      <c r="G1340" s="98"/>
      <c r="H1340" s="68"/>
      <c r="I1340" s="68"/>
      <c r="N1340" s="398"/>
      <c r="R1340" s="50"/>
      <c r="S1340" s="47"/>
      <c r="T1340" s="98"/>
      <c r="U1340" s="98"/>
      <c r="AF1340" s="39"/>
      <c r="AG1340" s="490"/>
      <c r="AH1340" s="490"/>
    </row>
    <row r="1341" spans="3:34" ht="19.5" customHeight="1">
      <c r="C1341" s="449"/>
      <c r="D1341" s="68"/>
      <c r="E1341" s="68"/>
      <c r="G1341" s="98"/>
      <c r="H1341" s="68"/>
      <c r="I1341" s="68"/>
      <c r="N1341" s="398"/>
      <c r="R1341" s="50"/>
      <c r="S1341" s="47"/>
      <c r="T1341" s="98"/>
      <c r="U1341" s="98"/>
      <c r="AF1341" s="39"/>
      <c r="AG1341" s="490"/>
      <c r="AH1341" s="490"/>
    </row>
    <row r="1342" spans="3:34" ht="19.5" customHeight="1">
      <c r="C1342" s="449"/>
      <c r="D1342" s="68"/>
      <c r="E1342" s="68"/>
      <c r="G1342" s="98"/>
      <c r="H1342" s="68"/>
      <c r="I1342" s="68"/>
      <c r="N1342" s="398"/>
      <c r="R1342" s="50"/>
      <c r="S1342" s="47"/>
      <c r="T1342" s="98"/>
      <c r="U1342" s="98"/>
      <c r="AF1342" s="39"/>
      <c r="AG1342" s="490"/>
      <c r="AH1342" s="490"/>
    </row>
    <row r="1343" spans="3:34" ht="19.5" customHeight="1">
      <c r="C1343" s="449"/>
      <c r="D1343" s="68"/>
      <c r="E1343" s="68"/>
      <c r="G1343" s="98"/>
      <c r="H1343" s="68"/>
      <c r="I1343" s="68"/>
      <c r="N1343" s="398"/>
      <c r="R1343" s="50"/>
      <c r="S1343" s="47"/>
      <c r="T1343" s="98"/>
      <c r="U1343" s="98"/>
      <c r="AF1343" s="39"/>
      <c r="AG1343" s="490"/>
      <c r="AH1343" s="490"/>
    </row>
    <row r="1344" spans="3:34" ht="19.5" customHeight="1">
      <c r="C1344" s="449"/>
      <c r="D1344" s="68"/>
      <c r="E1344" s="68"/>
      <c r="G1344" s="98"/>
      <c r="H1344" s="68"/>
      <c r="I1344" s="68"/>
      <c r="N1344" s="398"/>
      <c r="R1344" s="50"/>
      <c r="S1344" s="47"/>
      <c r="T1344" s="98"/>
      <c r="U1344" s="98"/>
      <c r="AF1344" s="39"/>
      <c r="AG1344" s="490"/>
      <c r="AH1344" s="490"/>
    </row>
    <row r="1345" spans="3:34" ht="19.5" customHeight="1">
      <c r="C1345" s="449"/>
      <c r="D1345" s="68"/>
      <c r="E1345" s="68"/>
      <c r="G1345" s="98"/>
      <c r="H1345" s="68"/>
      <c r="I1345" s="68"/>
      <c r="N1345" s="398"/>
      <c r="R1345" s="50"/>
      <c r="S1345" s="47"/>
      <c r="T1345" s="98"/>
      <c r="U1345" s="98"/>
      <c r="AF1345" s="39"/>
      <c r="AG1345" s="490"/>
      <c r="AH1345" s="490"/>
    </row>
    <row r="1346" spans="3:34" ht="19.5" customHeight="1">
      <c r="C1346" s="449"/>
      <c r="D1346" s="68"/>
      <c r="E1346" s="68"/>
      <c r="G1346" s="98"/>
      <c r="H1346" s="68"/>
      <c r="I1346" s="68"/>
      <c r="N1346" s="398"/>
      <c r="R1346" s="50"/>
      <c r="S1346" s="47"/>
      <c r="T1346" s="98"/>
      <c r="U1346" s="98"/>
      <c r="AF1346" s="39"/>
      <c r="AG1346" s="490"/>
      <c r="AH1346" s="490"/>
    </row>
    <row r="1347" spans="3:34" ht="19.5" customHeight="1">
      <c r="C1347" s="449"/>
      <c r="D1347" s="68"/>
      <c r="E1347" s="68"/>
      <c r="G1347" s="98"/>
      <c r="H1347" s="68"/>
      <c r="I1347" s="68"/>
      <c r="N1347" s="398"/>
      <c r="R1347" s="50"/>
      <c r="S1347" s="47"/>
      <c r="T1347" s="98"/>
      <c r="U1347" s="98"/>
      <c r="AF1347" s="39"/>
      <c r="AG1347" s="490"/>
      <c r="AH1347" s="490"/>
    </row>
    <row r="1348" spans="3:34" ht="19.5" customHeight="1">
      <c r="C1348" s="449"/>
      <c r="D1348" s="68"/>
      <c r="E1348" s="68"/>
      <c r="G1348" s="98"/>
      <c r="H1348" s="68"/>
      <c r="I1348" s="68"/>
      <c r="N1348" s="398"/>
      <c r="R1348" s="50"/>
      <c r="S1348" s="47"/>
      <c r="T1348" s="98"/>
      <c r="U1348" s="98"/>
      <c r="AF1348" s="39"/>
      <c r="AG1348" s="490"/>
      <c r="AH1348" s="490"/>
    </row>
    <row r="1349" spans="3:34" ht="19.5" customHeight="1">
      <c r="C1349" s="449"/>
      <c r="D1349" s="68"/>
      <c r="E1349" s="68"/>
      <c r="G1349" s="98"/>
      <c r="H1349" s="68"/>
      <c r="I1349" s="68"/>
      <c r="N1349" s="398"/>
      <c r="R1349" s="50"/>
      <c r="S1349" s="47"/>
      <c r="T1349" s="98"/>
      <c r="U1349" s="98"/>
      <c r="AF1349" s="39"/>
      <c r="AG1349" s="490"/>
      <c r="AH1349" s="490"/>
    </row>
    <row r="1350" spans="3:34" ht="19.5" customHeight="1">
      <c r="C1350" s="449"/>
      <c r="D1350" s="68"/>
      <c r="E1350" s="68"/>
      <c r="G1350" s="98"/>
      <c r="H1350" s="68"/>
      <c r="I1350" s="68"/>
      <c r="N1350" s="398"/>
      <c r="R1350" s="50"/>
      <c r="S1350" s="47"/>
      <c r="T1350" s="98"/>
      <c r="U1350" s="98"/>
      <c r="AF1350" s="39"/>
      <c r="AG1350" s="490"/>
      <c r="AH1350" s="490"/>
    </row>
    <row r="1351" spans="3:34" ht="19.5" customHeight="1">
      <c r="C1351" s="449"/>
      <c r="D1351" s="68"/>
      <c r="E1351" s="68"/>
      <c r="G1351" s="98"/>
      <c r="H1351" s="68"/>
      <c r="I1351" s="68"/>
      <c r="N1351" s="398"/>
      <c r="R1351" s="50"/>
      <c r="S1351" s="47"/>
      <c r="T1351" s="98"/>
      <c r="U1351" s="98"/>
      <c r="AF1351" s="39"/>
      <c r="AG1351" s="490"/>
      <c r="AH1351" s="490"/>
    </row>
    <row r="1352" spans="3:34" ht="19.5" customHeight="1">
      <c r="C1352" s="449"/>
      <c r="D1352" s="68"/>
      <c r="E1352" s="68"/>
      <c r="G1352" s="98"/>
      <c r="H1352" s="68"/>
      <c r="I1352" s="68"/>
      <c r="N1352" s="398"/>
      <c r="R1352" s="50"/>
      <c r="S1352" s="47"/>
      <c r="T1352" s="98"/>
      <c r="U1352" s="98"/>
      <c r="AF1352" s="39"/>
      <c r="AG1352" s="490"/>
      <c r="AH1352" s="490"/>
    </row>
    <row r="1353" spans="3:34" ht="19.5" customHeight="1">
      <c r="C1353" s="449"/>
      <c r="D1353" s="68"/>
      <c r="E1353" s="68"/>
      <c r="G1353" s="98"/>
      <c r="H1353" s="68"/>
      <c r="I1353" s="68"/>
      <c r="N1353" s="398"/>
      <c r="R1353" s="50"/>
      <c r="S1353" s="47"/>
      <c r="T1353" s="98"/>
      <c r="U1353" s="98"/>
      <c r="AF1353" s="39"/>
      <c r="AG1353" s="490"/>
      <c r="AH1353" s="490"/>
    </row>
    <row r="1354" spans="3:34" ht="19.5" customHeight="1">
      <c r="C1354" s="449"/>
      <c r="D1354" s="68"/>
      <c r="E1354" s="68"/>
      <c r="G1354" s="98"/>
      <c r="H1354" s="68"/>
      <c r="I1354" s="68"/>
      <c r="N1354" s="398"/>
      <c r="R1354" s="50"/>
      <c r="S1354" s="47"/>
      <c r="T1354" s="98"/>
      <c r="U1354" s="98"/>
      <c r="AF1354" s="39"/>
      <c r="AG1354" s="490"/>
      <c r="AH1354" s="490"/>
    </row>
    <row r="1355" spans="3:34" ht="19.5" customHeight="1">
      <c r="C1355" s="449"/>
      <c r="D1355" s="68"/>
      <c r="E1355" s="68"/>
      <c r="G1355" s="98"/>
      <c r="H1355" s="68"/>
      <c r="I1355" s="68"/>
      <c r="N1355" s="398"/>
      <c r="R1355" s="50"/>
      <c r="S1355" s="47"/>
      <c r="T1355" s="98"/>
      <c r="U1355" s="98"/>
      <c r="AF1355" s="39"/>
      <c r="AG1355" s="490"/>
      <c r="AH1355" s="490"/>
    </row>
    <row r="1356" spans="3:34" ht="19.5" customHeight="1">
      <c r="C1356" s="449"/>
      <c r="D1356" s="68"/>
      <c r="E1356" s="68"/>
      <c r="G1356" s="98"/>
      <c r="H1356" s="68"/>
      <c r="I1356" s="68"/>
      <c r="N1356" s="398"/>
      <c r="R1356" s="50"/>
      <c r="S1356" s="47"/>
      <c r="T1356" s="98"/>
      <c r="U1356" s="98"/>
      <c r="AF1356" s="39"/>
      <c r="AG1356" s="490"/>
      <c r="AH1356" s="490"/>
    </row>
    <row r="1357" spans="3:34" ht="19.5" customHeight="1">
      <c r="C1357" s="449"/>
      <c r="D1357" s="68"/>
      <c r="E1357" s="68"/>
      <c r="G1357" s="98"/>
      <c r="H1357" s="68"/>
      <c r="I1357" s="68"/>
      <c r="N1357" s="398"/>
      <c r="R1357" s="50"/>
      <c r="S1357" s="47"/>
      <c r="T1357" s="98"/>
      <c r="U1357" s="98"/>
      <c r="AF1357" s="39"/>
      <c r="AG1357" s="490"/>
      <c r="AH1357" s="490"/>
    </row>
    <row r="1358" spans="3:34" ht="19.5" customHeight="1">
      <c r="C1358" s="449"/>
      <c r="D1358" s="68"/>
      <c r="E1358" s="68"/>
      <c r="G1358" s="98"/>
      <c r="H1358" s="68"/>
      <c r="I1358" s="68"/>
      <c r="N1358" s="398"/>
      <c r="R1358" s="50"/>
      <c r="S1358" s="47"/>
      <c r="T1358" s="98"/>
      <c r="U1358" s="98"/>
      <c r="AF1358" s="39"/>
      <c r="AG1358" s="490"/>
      <c r="AH1358" s="490"/>
    </row>
    <row r="1359" spans="3:34" ht="19.5" customHeight="1">
      <c r="C1359" s="449"/>
      <c r="D1359" s="68"/>
      <c r="E1359" s="68"/>
      <c r="G1359" s="98"/>
      <c r="H1359" s="68"/>
      <c r="I1359" s="68"/>
      <c r="N1359" s="398"/>
      <c r="R1359" s="50"/>
      <c r="S1359" s="47"/>
      <c r="T1359" s="98"/>
      <c r="U1359" s="98"/>
      <c r="AF1359" s="39"/>
      <c r="AG1359" s="490"/>
      <c r="AH1359" s="490"/>
    </row>
    <row r="1360" spans="3:34" ht="19.5" customHeight="1">
      <c r="C1360" s="449"/>
      <c r="D1360" s="68"/>
      <c r="E1360" s="68"/>
      <c r="G1360" s="98"/>
      <c r="H1360" s="68"/>
      <c r="I1360" s="68"/>
      <c r="N1360" s="398"/>
      <c r="R1360" s="50"/>
      <c r="S1360" s="47"/>
      <c r="T1360" s="98"/>
      <c r="U1360" s="98"/>
      <c r="AF1360" s="39"/>
      <c r="AG1360" s="490"/>
      <c r="AH1360" s="490"/>
    </row>
    <row r="1361" spans="3:34" ht="19.5" customHeight="1">
      <c r="C1361" s="449"/>
      <c r="D1361" s="68"/>
      <c r="E1361" s="68"/>
      <c r="G1361" s="98"/>
      <c r="H1361" s="68"/>
      <c r="I1361" s="68"/>
      <c r="N1361" s="398"/>
      <c r="R1361" s="50"/>
      <c r="S1361" s="47"/>
      <c r="T1361" s="98"/>
      <c r="U1361" s="98"/>
      <c r="AF1361" s="39"/>
      <c r="AG1361" s="490"/>
      <c r="AH1361" s="490"/>
    </row>
    <row r="1362" spans="3:34" ht="19.5" customHeight="1">
      <c r="C1362" s="449"/>
      <c r="D1362" s="68"/>
      <c r="E1362" s="68"/>
      <c r="G1362" s="98"/>
      <c r="H1362" s="68"/>
      <c r="I1362" s="68"/>
      <c r="N1362" s="398"/>
      <c r="R1362" s="50"/>
      <c r="S1362" s="47"/>
      <c r="T1362" s="98"/>
      <c r="U1362" s="98"/>
      <c r="AF1362" s="39"/>
      <c r="AG1362" s="490"/>
      <c r="AH1362" s="490"/>
    </row>
    <row r="1363" spans="3:34" ht="19.5" customHeight="1">
      <c r="C1363" s="449"/>
      <c r="D1363" s="68"/>
      <c r="E1363" s="68"/>
      <c r="G1363" s="98"/>
      <c r="H1363" s="68"/>
      <c r="I1363" s="68"/>
      <c r="N1363" s="398"/>
      <c r="R1363" s="50"/>
      <c r="S1363" s="47"/>
      <c r="T1363" s="98"/>
      <c r="U1363" s="98"/>
      <c r="AF1363" s="39"/>
      <c r="AG1363" s="490"/>
      <c r="AH1363" s="490"/>
    </row>
    <row r="1364" spans="3:34" ht="19.5" customHeight="1">
      <c r="C1364" s="449"/>
      <c r="D1364" s="68"/>
      <c r="E1364" s="68"/>
      <c r="G1364" s="98"/>
      <c r="H1364" s="68"/>
      <c r="I1364" s="68"/>
      <c r="N1364" s="398"/>
      <c r="R1364" s="50"/>
      <c r="S1364" s="47"/>
      <c r="T1364" s="98"/>
      <c r="U1364" s="98"/>
      <c r="AF1364" s="39"/>
      <c r="AG1364" s="490"/>
      <c r="AH1364" s="490"/>
    </row>
    <row r="1365" spans="3:34" ht="19.5" customHeight="1">
      <c r="C1365" s="449"/>
      <c r="D1365" s="68"/>
      <c r="E1365" s="68"/>
      <c r="G1365" s="98"/>
      <c r="H1365" s="68"/>
      <c r="I1365" s="68"/>
      <c r="N1365" s="398"/>
      <c r="R1365" s="50"/>
      <c r="S1365" s="47"/>
      <c r="T1365" s="98"/>
      <c r="U1365" s="98"/>
      <c r="AF1365" s="39"/>
      <c r="AG1365" s="490"/>
      <c r="AH1365" s="490"/>
    </row>
    <row r="1366" spans="3:34" ht="19.5" customHeight="1">
      <c r="C1366" s="449"/>
      <c r="D1366" s="68"/>
      <c r="E1366" s="68"/>
      <c r="G1366" s="98"/>
      <c r="H1366" s="68"/>
      <c r="I1366" s="68"/>
      <c r="N1366" s="398"/>
      <c r="R1366" s="50"/>
      <c r="S1366" s="47"/>
      <c r="T1366" s="98"/>
      <c r="U1366" s="98"/>
      <c r="AF1366" s="39"/>
      <c r="AG1366" s="490"/>
      <c r="AH1366" s="490"/>
    </row>
    <row r="1367" spans="3:34" ht="19.5" customHeight="1">
      <c r="C1367" s="449"/>
      <c r="D1367" s="68"/>
      <c r="E1367" s="68"/>
      <c r="G1367" s="98"/>
      <c r="H1367" s="68"/>
      <c r="I1367" s="68"/>
      <c r="N1367" s="398"/>
      <c r="R1367" s="50"/>
      <c r="S1367" s="47"/>
      <c r="T1367" s="98"/>
      <c r="U1367" s="98"/>
      <c r="AF1367" s="39"/>
      <c r="AG1367" s="490"/>
      <c r="AH1367" s="490"/>
    </row>
    <row r="1368" spans="3:34" ht="19.5" customHeight="1">
      <c r="C1368" s="449"/>
      <c r="D1368" s="68"/>
      <c r="E1368" s="68"/>
      <c r="G1368" s="98"/>
      <c r="H1368" s="68"/>
      <c r="I1368" s="68"/>
      <c r="N1368" s="398"/>
      <c r="R1368" s="50"/>
      <c r="S1368" s="47"/>
      <c r="T1368" s="98"/>
      <c r="U1368" s="98"/>
      <c r="AF1368" s="39"/>
      <c r="AG1368" s="490"/>
      <c r="AH1368" s="490"/>
    </row>
    <row r="1369" spans="3:34" ht="19.5" customHeight="1">
      <c r="C1369" s="449"/>
      <c r="D1369" s="68"/>
      <c r="E1369" s="68"/>
      <c r="G1369" s="98"/>
      <c r="H1369" s="68"/>
      <c r="I1369" s="68"/>
      <c r="N1369" s="398"/>
      <c r="R1369" s="50"/>
      <c r="S1369" s="47"/>
      <c r="T1369" s="98"/>
      <c r="U1369" s="98"/>
      <c r="AF1369" s="39"/>
      <c r="AG1369" s="490"/>
      <c r="AH1369" s="490"/>
    </row>
    <row r="1370" spans="3:34" ht="19.5" customHeight="1">
      <c r="C1370" s="449"/>
      <c r="D1370" s="68"/>
      <c r="E1370" s="68"/>
      <c r="G1370" s="98"/>
      <c r="H1370" s="68"/>
      <c r="I1370" s="68"/>
      <c r="N1370" s="398"/>
      <c r="R1370" s="50"/>
      <c r="S1370" s="47"/>
      <c r="T1370" s="98"/>
      <c r="U1370" s="98"/>
      <c r="AF1370" s="39"/>
      <c r="AG1370" s="490"/>
      <c r="AH1370" s="490"/>
    </row>
    <row r="1371" spans="3:34" ht="19.5" customHeight="1">
      <c r="C1371" s="449"/>
      <c r="D1371" s="68"/>
      <c r="E1371" s="68"/>
      <c r="G1371" s="98"/>
      <c r="H1371" s="68"/>
      <c r="I1371" s="68"/>
      <c r="N1371" s="398"/>
      <c r="R1371" s="50"/>
      <c r="S1371" s="47"/>
      <c r="T1371" s="98"/>
      <c r="U1371" s="98"/>
      <c r="AF1371" s="39"/>
      <c r="AG1371" s="490"/>
      <c r="AH1371" s="490"/>
    </row>
    <row r="1372" spans="3:34" ht="19.5" customHeight="1">
      <c r="C1372" s="449"/>
      <c r="D1372" s="68"/>
      <c r="E1372" s="68"/>
      <c r="G1372" s="98"/>
      <c r="H1372" s="68"/>
      <c r="I1372" s="68"/>
      <c r="N1372" s="398"/>
      <c r="R1372" s="50"/>
      <c r="S1372" s="47"/>
      <c r="T1372" s="98"/>
      <c r="U1372" s="98"/>
      <c r="AF1372" s="39"/>
      <c r="AG1372" s="490"/>
      <c r="AH1372" s="490"/>
    </row>
    <row r="1373" spans="3:34" ht="19.5" customHeight="1">
      <c r="C1373" s="449"/>
      <c r="D1373" s="68"/>
      <c r="E1373" s="68"/>
      <c r="G1373" s="98"/>
      <c r="H1373" s="68"/>
      <c r="I1373" s="68"/>
      <c r="N1373" s="398"/>
      <c r="R1373" s="50"/>
      <c r="S1373" s="47"/>
      <c r="T1373" s="98"/>
      <c r="U1373" s="98"/>
      <c r="AF1373" s="39"/>
      <c r="AG1373" s="490"/>
      <c r="AH1373" s="490"/>
    </row>
    <row r="1374" spans="3:34" ht="19.5" customHeight="1">
      <c r="C1374" s="449"/>
      <c r="D1374" s="68"/>
      <c r="E1374" s="68"/>
      <c r="G1374" s="98"/>
      <c r="H1374" s="68"/>
      <c r="I1374" s="68"/>
      <c r="N1374" s="398"/>
      <c r="R1374" s="50"/>
      <c r="S1374" s="47"/>
      <c r="T1374" s="98"/>
      <c r="U1374" s="98"/>
      <c r="AF1374" s="39"/>
      <c r="AG1374" s="490"/>
      <c r="AH1374" s="490"/>
    </row>
    <row r="1375" spans="3:34" ht="19.5" customHeight="1">
      <c r="C1375" s="449"/>
      <c r="D1375" s="68"/>
      <c r="E1375" s="68"/>
      <c r="G1375" s="98"/>
      <c r="H1375" s="68"/>
      <c r="I1375" s="68"/>
      <c r="N1375" s="398"/>
      <c r="R1375" s="50"/>
      <c r="S1375" s="47"/>
      <c r="T1375" s="98"/>
      <c r="U1375" s="98"/>
      <c r="AF1375" s="39"/>
      <c r="AG1375" s="490"/>
      <c r="AH1375" s="490"/>
    </row>
    <row r="1376" spans="3:34" ht="19.5" customHeight="1">
      <c r="C1376" s="449"/>
      <c r="D1376" s="68"/>
      <c r="E1376" s="68"/>
      <c r="G1376" s="98"/>
      <c r="H1376" s="68"/>
      <c r="I1376" s="68"/>
      <c r="N1376" s="398"/>
      <c r="R1376" s="50"/>
      <c r="S1376" s="47"/>
      <c r="T1376" s="98"/>
      <c r="U1376" s="98"/>
      <c r="AF1376" s="39"/>
      <c r="AG1376" s="490"/>
      <c r="AH1376" s="490"/>
    </row>
    <row r="1377" spans="3:34" ht="19.5" customHeight="1">
      <c r="C1377" s="449"/>
      <c r="D1377" s="68"/>
      <c r="E1377" s="68"/>
      <c r="G1377" s="98"/>
      <c r="H1377" s="68"/>
      <c r="I1377" s="68"/>
      <c r="N1377" s="398"/>
      <c r="R1377" s="50"/>
      <c r="S1377" s="47"/>
      <c r="T1377" s="98"/>
      <c r="U1377" s="98"/>
      <c r="AF1377" s="39"/>
      <c r="AG1377" s="490"/>
      <c r="AH1377" s="490"/>
    </row>
    <row r="1378" spans="3:34" ht="19.5" customHeight="1">
      <c r="C1378" s="449"/>
      <c r="D1378" s="68"/>
      <c r="E1378" s="68"/>
      <c r="G1378" s="98"/>
      <c r="H1378" s="68"/>
      <c r="I1378" s="68"/>
      <c r="N1378" s="398"/>
      <c r="R1378" s="50"/>
      <c r="S1378" s="47"/>
      <c r="T1378" s="98"/>
      <c r="U1378" s="98"/>
      <c r="AF1378" s="39"/>
      <c r="AG1378" s="490"/>
      <c r="AH1378" s="490"/>
    </row>
    <row r="1379" spans="3:34" ht="19.5" customHeight="1">
      <c r="C1379" s="449"/>
      <c r="D1379" s="68"/>
      <c r="E1379" s="68"/>
      <c r="G1379" s="98"/>
      <c r="H1379" s="68"/>
      <c r="I1379" s="68"/>
      <c r="N1379" s="398"/>
      <c r="R1379" s="50"/>
      <c r="S1379" s="47"/>
      <c r="T1379" s="98"/>
      <c r="U1379" s="98"/>
      <c r="AF1379" s="39"/>
      <c r="AG1379" s="490"/>
      <c r="AH1379" s="490"/>
    </row>
    <row r="1380" spans="3:34" ht="19.5" customHeight="1">
      <c r="C1380" s="449"/>
      <c r="D1380" s="68"/>
      <c r="E1380" s="68"/>
      <c r="G1380" s="98"/>
      <c r="H1380" s="68"/>
      <c r="I1380" s="68"/>
      <c r="N1380" s="398"/>
      <c r="R1380" s="50"/>
      <c r="S1380" s="47"/>
      <c r="T1380" s="98"/>
      <c r="U1380" s="98"/>
      <c r="AF1380" s="39"/>
      <c r="AG1380" s="490"/>
      <c r="AH1380" s="490"/>
    </row>
    <row r="1381" spans="3:34" ht="19.5" customHeight="1">
      <c r="C1381" s="449"/>
      <c r="D1381" s="68"/>
      <c r="E1381" s="68"/>
      <c r="G1381" s="98"/>
      <c r="H1381" s="68"/>
      <c r="I1381" s="68"/>
      <c r="N1381" s="398"/>
      <c r="R1381" s="50"/>
      <c r="S1381" s="47"/>
      <c r="T1381" s="98"/>
      <c r="U1381" s="98"/>
      <c r="AF1381" s="39"/>
      <c r="AG1381" s="490"/>
      <c r="AH1381" s="490"/>
    </row>
    <row r="1382" spans="3:34" ht="19.5" customHeight="1">
      <c r="C1382" s="449"/>
      <c r="D1382" s="68"/>
      <c r="E1382" s="68"/>
      <c r="G1382" s="98"/>
      <c r="H1382" s="68"/>
      <c r="I1382" s="68"/>
      <c r="N1382" s="398"/>
      <c r="R1382" s="50"/>
      <c r="S1382" s="47"/>
      <c r="T1382" s="98"/>
      <c r="U1382" s="98"/>
      <c r="AF1382" s="39"/>
      <c r="AG1382" s="490"/>
      <c r="AH1382" s="490"/>
    </row>
    <row r="1383" spans="3:34" ht="19.5" customHeight="1">
      <c r="C1383" s="449"/>
      <c r="D1383" s="68"/>
      <c r="E1383" s="68"/>
      <c r="G1383" s="98"/>
      <c r="H1383" s="68"/>
      <c r="I1383" s="68"/>
      <c r="N1383" s="398"/>
      <c r="R1383" s="50"/>
      <c r="S1383" s="47"/>
      <c r="T1383" s="98"/>
      <c r="U1383" s="98"/>
      <c r="AF1383" s="39"/>
      <c r="AG1383" s="490"/>
      <c r="AH1383" s="490"/>
    </row>
    <row r="1384" spans="3:34" ht="19.5" customHeight="1">
      <c r="C1384" s="449"/>
      <c r="D1384" s="68"/>
      <c r="E1384" s="68"/>
      <c r="G1384" s="98"/>
      <c r="H1384" s="68"/>
      <c r="I1384" s="68"/>
      <c r="N1384" s="398"/>
      <c r="R1384" s="50"/>
      <c r="S1384" s="47"/>
      <c r="T1384" s="98"/>
      <c r="U1384" s="98"/>
      <c r="AF1384" s="39"/>
      <c r="AG1384" s="490"/>
      <c r="AH1384" s="490"/>
    </row>
    <row r="1385" spans="3:34" ht="19.5" customHeight="1">
      <c r="C1385" s="449"/>
      <c r="D1385" s="68"/>
      <c r="E1385" s="68"/>
      <c r="G1385" s="98"/>
      <c r="H1385" s="68"/>
      <c r="I1385" s="68"/>
      <c r="N1385" s="398"/>
      <c r="R1385" s="50"/>
      <c r="S1385" s="47"/>
      <c r="T1385" s="98"/>
      <c r="U1385" s="98"/>
      <c r="AF1385" s="39"/>
      <c r="AG1385" s="490"/>
      <c r="AH1385" s="490"/>
    </row>
    <row r="1386" spans="3:34" ht="19.5" customHeight="1">
      <c r="C1386" s="449"/>
      <c r="D1386" s="68"/>
      <c r="E1386" s="68"/>
      <c r="G1386" s="98"/>
      <c r="H1386" s="68"/>
      <c r="I1386" s="68"/>
      <c r="N1386" s="398"/>
      <c r="R1386" s="50"/>
      <c r="S1386" s="47"/>
      <c r="T1386" s="98"/>
      <c r="U1386" s="98"/>
      <c r="AF1386" s="39"/>
      <c r="AG1386" s="490"/>
      <c r="AH1386" s="490"/>
    </row>
    <row r="1387" spans="3:34" ht="19.5" customHeight="1">
      <c r="C1387" s="449"/>
      <c r="D1387" s="68"/>
      <c r="E1387" s="68"/>
      <c r="G1387" s="98"/>
      <c r="H1387" s="68"/>
      <c r="I1387" s="68"/>
      <c r="N1387" s="398"/>
      <c r="R1387" s="50"/>
      <c r="S1387" s="47"/>
      <c r="T1387" s="98"/>
      <c r="U1387" s="98"/>
      <c r="AF1387" s="39"/>
      <c r="AG1387" s="490"/>
      <c r="AH1387" s="490"/>
    </row>
    <row r="1388" spans="3:34" ht="19.5" customHeight="1">
      <c r="C1388" s="449"/>
      <c r="D1388" s="68"/>
      <c r="E1388" s="68"/>
      <c r="G1388" s="98"/>
      <c r="H1388" s="68"/>
      <c r="I1388" s="68"/>
      <c r="N1388" s="398"/>
      <c r="R1388" s="50"/>
      <c r="S1388" s="47"/>
      <c r="T1388" s="98"/>
      <c r="U1388" s="98"/>
      <c r="AF1388" s="39"/>
      <c r="AG1388" s="490"/>
      <c r="AH1388" s="490"/>
    </row>
    <row r="1389" spans="3:34" ht="19.5" customHeight="1">
      <c r="C1389" s="449"/>
      <c r="D1389" s="68"/>
      <c r="E1389" s="68"/>
      <c r="G1389" s="98"/>
      <c r="H1389" s="68"/>
      <c r="I1389" s="68"/>
      <c r="N1389" s="398"/>
      <c r="R1389" s="50"/>
      <c r="S1389" s="47"/>
      <c r="T1389" s="98"/>
      <c r="U1389" s="98"/>
      <c r="AF1389" s="39"/>
      <c r="AG1389" s="490"/>
      <c r="AH1389" s="490"/>
    </row>
    <row r="1390" spans="3:34" ht="19.5" customHeight="1">
      <c r="C1390" s="449"/>
      <c r="D1390" s="68"/>
      <c r="E1390" s="68"/>
      <c r="G1390" s="98"/>
      <c r="H1390" s="68"/>
      <c r="I1390" s="68"/>
      <c r="N1390" s="398"/>
      <c r="R1390" s="50"/>
      <c r="S1390" s="47"/>
      <c r="T1390" s="98"/>
      <c r="U1390" s="98"/>
      <c r="AF1390" s="39"/>
      <c r="AG1390" s="490"/>
      <c r="AH1390" s="490"/>
    </row>
    <row r="1391" spans="3:34" ht="19.5" customHeight="1">
      <c r="C1391" s="449"/>
      <c r="D1391" s="68"/>
      <c r="E1391" s="68"/>
      <c r="G1391" s="98"/>
      <c r="H1391" s="68"/>
      <c r="I1391" s="68"/>
      <c r="N1391" s="398"/>
      <c r="R1391" s="50"/>
      <c r="S1391" s="47"/>
      <c r="T1391" s="98"/>
      <c r="U1391" s="98"/>
      <c r="AF1391" s="39"/>
      <c r="AG1391" s="490"/>
      <c r="AH1391" s="490"/>
    </row>
    <row r="1392" spans="3:34" ht="19.5" customHeight="1">
      <c r="C1392" s="449"/>
      <c r="D1392" s="68"/>
      <c r="E1392" s="68"/>
      <c r="G1392" s="98"/>
      <c r="H1392" s="68"/>
      <c r="I1392" s="68"/>
      <c r="N1392" s="398"/>
      <c r="R1392" s="50"/>
      <c r="S1392" s="47"/>
      <c r="T1392" s="98"/>
      <c r="U1392" s="98"/>
      <c r="AF1392" s="39"/>
      <c r="AG1392" s="490"/>
      <c r="AH1392" s="490"/>
    </row>
    <row r="1393" spans="3:34" ht="19.5" customHeight="1">
      <c r="C1393" s="449"/>
      <c r="D1393" s="68"/>
      <c r="E1393" s="68"/>
      <c r="G1393" s="98"/>
      <c r="H1393" s="68"/>
      <c r="I1393" s="68"/>
      <c r="N1393" s="398"/>
      <c r="R1393" s="50"/>
      <c r="S1393" s="47"/>
      <c r="T1393" s="98"/>
      <c r="U1393" s="98"/>
      <c r="AF1393" s="39"/>
      <c r="AG1393" s="490"/>
      <c r="AH1393" s="490"/>
    </row>
    <row r="1394" spans="3:34" ht="19.5" customHeight="1">
      <c r="C1394" s="449"/>
      <c r="D1394" s="68"/>
      <c r="E1394" s="68"/>
      <c r="G1394" s="98"/>
      <c r="H1394" s="68"/>
      <c r="I1394" s="68"/>
      <c r="N1394" s="398"/>
      <c r="R1394" s="50"/>
      <c r="S1394" s="47"/>
      <c r="T1394" s="98"/>
      <c r="U1394" s="98"/>
      <c r="AF1394" s="39"/>
      <c r="AG1394" s="490"/>
      <c r="AH1394" s="490"/>
    </row>
    <row r="1395" spans="3:34" ht="19.5" customHeight="1">
      <c r="C1395" s="449"/>
      <c r="D1395" s="68"/>
      <c r="E1395" s="68"/>
      <c r="G1395" s="98"/>
      <c r="H1395" s="68"/>
      <c r="I1395" s="68"/>
      <c r="N1395" s="398"/>
      <c r="R1395" s="50"/>
      <c r="S1395" s="47"/>
      <c r="T1395" s="98"/>
      <c r="U1395" s="98"/>
      <c r="AF1395" s="39"/>
      <c r="AG1395" s="490"/>
      <c r="AH1395" s="490"/>
    </row>
    <row r="1396" spans="3:34" ht="19.5" customHeight="1">
      <c r="C1396" s="449"/>
      <c r="D1396" s="68"/>
      <c r="E1396" s="68"/>
      <c r="G1396" s="98"/>
      <c r="H1396" s="68"/>
      <c r="I1396" s="68"/>
      <c r="N1396" s="398"/>
      <c r="R1396" s="50"/>
      <c r="S1396" s="47"/>
      <c r="T1396" s="98"/>
      <c r="U1396" s="98"/>
      <c r="AF1396" s="39"/>
      <c r="AG1396" s="490"/>
      <c r="AH1396" s="490"/>
    </row>
    <row r="1397" spans="3:34" ht="19.5" customHeight="1">
      <c r="C1397" s="449"/>
      <c r="D1397" s="68"/>
      <c r="E1397" s="68"/>
      <c r="G1397" s="98"/>
      <c r="H1397" s="68"/>
      <c r="I1397" s="68"/>
      <c r="N1397" s="398"/>
      <c r="R1397" s="50"/>
      <c r="S1397" s="47"/>
      <c r="T1397" s="98"/>
      <c r="U1397" s="98"/>
      <c r="AF1397" s="39"/>
      <c r="AG1397" s="490"/>
      <c r="AH1397" s="490"/>
    </row>
    <row r="1398" spans="3:34" ht="19.5" customHeight="1">
      <c r="C1398" s="449"/>
      <c r="D1398" s="68"/>
      <c r="E1398" s="68"/>
      <c r="G1398" s="98"/>
      <c r="H1398" s="68"/>
      <c r="I1398" s="68"/>
      <c r="N1398" s="398"/>
      <c r="R1398" s="50"/>
      <c r="S1398" s="47"/>
      <c r="T1398" s="98"/>
      <c r="U1398" s="98"/>
      <c r="AF1398" s="39"/>
      <c r="AG1398" s="490"/>
      <c r="AH1398" s="490"/>
    </row>
    <row r="1399" spans="3:34" ht="19.5" customHeight="1">
      <c r="C1399" s="449"/>
      <c r="D1399" s="68"/>
      <c r="E1399" s="68"/>
      <c r="G1399" s="98"/>
      <c r="H1399" s="68"/>
      <c r="I1399" s="68"/>
      <c r="N1399" s="398"/>
      <c r="R1399" s="50"/>
      <c r="S1399" s="47"/>
      <c r="T1399" s="98"/>
      <c r="U1399" s="98"/>
      <c r="AF1399" s="39"/>
      <c r="AG1399" s="490"/>
      <c r="AH1399" s="490"/>
    </row>
    <row r="1400" spans="3:34" ht="19.5" customHeight="1">
      <c r="C1400" s="449"/>
      <c r="D1400" s="68"/>
      <c r="E1400" s="68"/>
      <c r="G1400" s="98"/>
      <c r="H1400" s="68"/>
      <c r="I1400" s="68"/>
      <c r="N1400" s="398"/>
      <c r="R1400" s="50"/>
      <c r="S1400" s="47"/>
      <c r="T1400" s="98"/>
      <c r="U1400" s="98"/>
      <c r="AF1400" s="39"/>
      <c r="AG1400" s="490"/>
      <c r="AH1400" s="490"/>
    </row>
    <row r="1401" spans="3:34" ht="19.5" customHeight="1">
      <c r="C1401" s="449"/>
      <c r="D1401" s="68"/>
      <c r="E1401" s="68"/>
      <c r="G1401" s="98"/>
      <c r="H1401" s="68"/>
      <c r="I1401" s="68"/>
      <c r="N1401" s="398"/>
      <c r="R1401" s="50"/>
      <c r="S1401" s="47"/>
      <c r="T1401" s="98"/>
      <c r="U1401" s="98"/>
      <c r="AF1401" s="39"/>
      <c r="AG1401" s="490"/>
      <c r="AH1401" s="490"/>
    </row>
    <row r="1402" spans="3:34" ht="19.5" customHeight="1">
      <c r="C1402" s="449"/>
      <c r="D1402" s="68"/>
      <c r="E1402" s="68"/>
      <c r="G1402" s="98"/>
      <c r="H1402" s="68"/>
      <c r="I1402" s="68"/>
      <c r="N1402" s="398"/>
      <c r="R1402" s="50"/>
      <c r="S1402" s="47"/>
      <c r="T1402" s="98"/>
      <c r="U1402" s="98"/>
      <c r="AF1402" s="39"/>
      <c r="AG1402" s="490"/>
      <c r="AH1402" s="490"/>
    </row>
    <row r="1403" spans="3:34" ht="19.5" customHeight="1">
      <c r="C1403" s="449"/>
      <c r="D1403" s="68"/>
      <c r="E1403" s="68"/>
      <c r="G1403" s="98"/>
      <c r="H1403" s="68"/>
      <c r="I1403" s="68"/>
      <c r="N1403" s="398"/>
      <c r="R1403" s="50"/>
      <c r="S1403" s="47"/>
      <c r="T1403" s="98"/>
      <c r="U1403" s="98"/>
      <c r="AF1403" s="39"/>
      <c r="AG1403" s="490"/>
      <c r="AH1403" s="490"/>
    </row>
    <row r="1404" spans="3:34" ht="19.5" customHeight="1">
      <c r="C1404" s="449"/>
      <c r="D1404" s="68"/>
      <c r="E1404" s="68"/>
      <c r="G1404" s="98"/>
      <c r="H1404" s="68"/>
      <c r="I1404" s="68"/>
      <c r="N1404" s="398"/>
      <c r="R1404" s="50"/>
      <c r="S1404" s="47"/>
      <c r="T1404" s="98"/>
      <c r="U1404" s="98"/>
      <c r="AF1404" s="39"/>
      <c r="AG1404" s="490"/>
      <c r="AH1404" s="490"/>
    </row>
    <row r="1405" spans="3:34" ht="19.5" customHeight="1">
      <c r="C1405" s="449"/>
      <c r="D1405" s="68"/>
      <c r="E1405" s="68"/>
      <c r="G1405" s="98"/>
      <c r="H1405" s="68"/>
      <c r="I1405" s="68"/>
      <c r="N1405" s="398"/>
      <c r="R1405" s="50"/>
      <c r="S1405" s="47"/>
      <c r="T1405" s="98"/>
      <c r="U1405" s="98"/>
      <c r="AF1405" s="39"/>
      <c r="AG1405" s="490"/>
      <c r="AH1405" s="490"/>
    </row>
    <row r="1406" spans="3:34" ht="19.5" customHeight="1">
      <c r="C1406" s="449"/>
      <c r="D1406" s="68"/>
      <c r="E1406" s="68"/>
      <c r="G1406" s="98"/>
      <c r="H1406" s="68"/>
      <c r="I1406" s="68"/>
      <c r="N1406" s="398"/>
      <c r="R1406" s="50"/>
      <c r="S1406" s="47"/>
      <c r="T1406" s="98"/>
      <c r="U1406" s="98"/>
      <c r="AF1406" s="39"/>
      <c r="AG1406" s="490"/>
      <c r="AH1406" s="490"/>
    </row>
    <row r="1407" spans="3:34" ht="19.5" customHeight="1">
      <c r="C1407" s="449"/>
      <c r="D1407" s="68"/>
      <c r="E1407" s="68"/>
      <c r="G1407" s="98"/>
      <c r="H1407" s="68"/>
      <c r="I1407" s="68"/>
      <c r="N1407" s="398"/>
      <c r="R1407" s="50"/>
      <c r="S1407" s="47"/>
      <c r="T1407" s="98"/>
      <c r="U1407" s="98"/>
      <c r="AF1407" s="39"/>
      <c r="AG1407" s="490"/>
      <c r="AH1407" s="490"/>
    </row>
    <row r="1408" spans="3:34" ht="19.5" customHeight="1">
      <c r="C1408" s="449"/>
      <c r="D1408" s="68"/>
      <c r="E1408" s="68"/>
      <c r="G1408" s="98"/>
      <c r="H1408" s="68"/>
      <c r="I1408" s="68"/>
      <c r="N1408" s="398"/>
      <c r="R1408" s="50"/>
      <c r="S1408" s="47"/>
      <c r="T1408" s="98"/>
      <c r="U1408" s="98"/>
      <c r="AF1408" s="39"/>
      <c r="AG1408" s="490"/>
      <c r="AH1408" s="490"/>
    </row>
    <row r="1409" spans="3:34" ht="19.5" customHeight="1">
      <c r="C1409" s="449"/>
      <c r="D1409" s="68"/>
      <c r="E1409" s="68"/>
      <c r="G1409" s="98"/>
      <c r="H1409" s="68"/>
      <c r="I1409" s="68"/>
      <c r="N1409" s="398"/>
      <c r="R1409" s="50"/>
      <c r="S1409" s="47"/>
      <c r="T1409" s="98"/>
      <c r="U1409" s="98"/>
      <c r="AF1409" s="39"/>
      <c r="AG1409" s="490"/>
      <c r="AH1409" s="490"/>
    </row>
    <row r="1410" spans="3:34" ht="19.5" customHeight="1">
      <c r="C1410" s="449"/>
      <c r="D1410" s="68"/>
      <c r="E1410" s="68"/>
      <c r="G1410" s="98"/>
      <c r="H1410" s="68"/>
      <c r="I1410" s="68"/>
      <c r="N1410" s="398"/>
      <c r="R1410" s="50"/>
      <c r="S1410" s="47"/>
      <c r="T1410" s="98"/>
      <c r="U1410" s="98"/>
      <c r="AF1410" s="39"/>
      <c r="AG1410" s="490"/>
      <c r="AH1410" s="490"/>
    </row>
    <row r="1411" spans="3:34" ht="19.5" customHeight="1">
      <c r="C1411" s="449"/>
      <c r="D1411" s="68"/>
      <c r="E1411" s="68"/>
      <c r="G1411" s="98"/>
      <c r="H1411" s="68"/>
      <c r="I1411" s="68"/>
      <c r="N1411" s="398"/>
      <c r="R1411" s="50"/>
      <c r="S1411" s="47"/>
      <c r="T1411" s="98"/>
      <c r="U1411" s="98"/>
      <c r="AF1411" s="39"/>
      <c r="AG1411" s="490"/>
      <c r="AH1411" s="490"/>
    </row>
    <row r="1412" spans="3:34" ht="19.5" customHeight="1">
      <c r="C1412" s="449"/>
      <c r="D1412" s="68"/>
      <c r="E1412" s="68"/>
      <c r="G1412" s="98"/>
      <c r="H1412" s="68"/>
      <c r="I1412" s="68"/>
      <c r="N1412" s="398"/>
      <c r="R1412" s="50"/>
      <c r="S1412" s="47"/>
      <c r="T1412" s="98"/>
      <c r="U1412" s="98"/>
      <c r="AF1412" s="39"/>
      <c r="AG1412" s="490"/>
      <c r="AH1412" s="490"/>
    </row>
    <row r="1413" spans="3:34" ht="19.5" customHeight="1">
      <c r="C1413" s="449"/>
      <c r="D1413" s="68"/>
      <c r="E1413" s="68"/>
      <c r="G1413" s="98"/>
      <c r="H1413" s="68"/>
      <c r="I1413" s="68"/>
      <c r="N1413" s="398"/>
      <c r="R1413" s="50"/>
      <c r="S1413" s="47"/>
      <c r="T1413" s="98"/>
      <c r="U1413" s="98"/>
      <c r="AF1413" s="39"/>
      <c r="AG1413" s="490"/>
      <c r="AH1413" s="490"/>
    </row>
    <row r="1414" spans="3:34" ht="19.5" customHeight="1">
      <c r="C1414" s="449"/>
      <c r="D1414" s="68"/>
      <c r="E1414" s="68"/>
      <c r="G1414" s="98"/>
      <c r="H1414" s="68"/>
      <c r="I1414" s="68"/>
      <c r="N1414" s="398"/>
      <c r="R1414" s="50"/>
      <c r="S1414" s="47"/>
      <c r="T1414" s="98"/>
      <c r="U1414" s="98"/>
      <c r="AF1414" s="39"/>
      <c r="AG1414" s="490"/>
      <c r="AH1414" s="490"/>
    </row>
    <row r="1415" spans="3:34" ht="19.5" customHeight="1">
      <c r="C1415" s="449"/>
      <c r="D1415" s="68"/>
      <c r="E1415" s="68"/>
      <c r="G1415" s="98"/>
      <c r="H1415" s="68"/>
      <c r="I1415" s="68"/>
      <c r="N1415" s="398"/>
      <c r="R1415" s="50"/>
      <c r="S1415" s="47"/>
      <c r="T1415" s="98"/>
      <c r="U1415" s="98"/>
      <c r="AF1415" s="39"/>
      <c r="AG1415" s="490"/>
      <c r="AH1415" s="490"/>
    </row>
    <row r="1416" spans="3:34" ht="19.5" customHeight="1">
      <c r="C1416" s="449"/>
      <c r="D1416" s="68"/>
      <c r="E1416" s="68"/>
      <c r="G1416" s="98"/>
      <c r="H1416" s="68"/>
      <c r="I1416" s="68"/>
      <c r="N1416" s="398"/>
      <c r="R1416" s="50"/>
      <c r="S1416" s="47"/>
      <c r="T1416" s="98"/>
      <c r="U1416" s="98"/>
      <c r="AF1416" s="39"/>
      <c r="AG1416" s="490"/>
      <c r="AH1416" s="490"/>
    </row>
    <row r="1417" spans="3:34" ht="19.5" customHeight="1">
      <c r="C1417" s="449"/>
      <c r="D1417" s="68"/>
      <c r="E1417" s="68"/>
      <c r="G1417" s="98"/>
      <c r="H1417" s="68"/>
      <c r="I1417" s="68"/>
      <c r="N1417" s="398"/>
      <c r="R1417" s="50"/>
      <c r="S1417" s="47"/>
      <c r="T1417" s="98"/>
      <c r="U1417" s="98"/>
      <c r="AF1417" s="39"/>
      <c r="AG1417" s="490"/>
      <c r="AH1417" s="490"/>
    </row>
    <row r="1418" spans="3:34" ht="19.5" customHeight="1">
      <c r="C1418" s="449"/>
      <c r="D1418" s="68"/>
      <c r="E1418" s="68"/>
      <c r="G1418" s="98"/>
      <c r="H1418" s="68"/>
      <c r="I1418" s="68"/>
      <c r="N1418" s="398"/>
      <c r="R1418" s="50"/>
      <c r="S1418" s="47"/>
      <c r="T1418" s="98"/>
      <c r="U1418" s="98"/>
      <c r="AF1418" s="39"/>
      <c r="AG1418" s="490"/>
      <c r="AH1418" s="490"/>
    </row>
    <row r="1419" spans="3:34" ht="19.5" customHeight="1">
      <c r="C1419" s="449"/>
      <c r="D1419" s="68"/>
      <c r="E1419" s="68"/>
      <c r="G1419" s="98"/>
      <c r="H1419" s="68"/>
      <c r="I1419" s="68"/>
      <c r="N1419" s="398"/>
      <c r="R1419" s="50"/>
      <c r="S1419" s="47"/>
      <c r="T1419" s="98"/>
      <c r="U1419" s="98"/>
      <c r="AF1419" s="39"/>
      <c r="AG1419" s="490"/>
      <c r="AH1419" s="490"/>
    </row>
    <row r="1420" spans="3:34" ht="19.5" customHeight="1">
      <c r="C1420" s="449"/>
      <c r="D1420" s="68"/>
      <c r="E1420" s="68"/>
      <c r="G1420" s="98"/>
      <c r="H1420" s="68"/>
      <c r="I1420" s="68"/>
      <c r="N1420" s="398"/>
      <c r="R1420" s="50"/>
      <c r="S1420" s="47"/>
      <c r="T1420" s="98"/>
      <c r="U1420" s="98"/>
      <c r="AF1420" s="39"/>
      <c r="AG1420" s="490"/>
      <c r="AH1420" s="490"/>
    </row>
    <row r="1421" spans="3:34" ht="19.5" customHeight="1">
      <c r="C1421" s="449"/>
      <c r="D1421" s="68"/>
      <c r="E1421" s="68"/>
      <c r="G1421" s="98"/>
      <c r="H1421" s="68"/>
      <c r="I1421" s="68"/>
      <c r="N1421" s="398"/>
      <c r="R1421" s="50"/>
      <c r="S1421" s="47"/>
      <c r="T1421" s="98"/>
      <c r="U1421" s="98"/>
      <c r="AF1421" s="39"/>
      <c r="AG1421" s="490"/>
      <c r="AH1421" s="490"/>
    </row>
    <row r="1422" spans="3:34" ht="19.5" customHeight="1">
      <c r="C1422" s="449"/>
      <c r="D1422" s="68"/>
      <c r="E1422" s="68"/>
      <c r="G1422" s="98"/>
      <c r="H1422" s="68"/>
      <c r="I1422" s="68"/>
      <c r="N1422" s="398"/>
      <c r="R1422" s="50"/>
      <c r="S1422" s="47"/>
      <c r="T1422" s="98"/>
      <c r="U1422" s="98"/>
      <c r="AF1422" s="39"/>
      <c r="AG1422" s="490"/>
      <c r="AH1422" s="490"/>
    </row>
    <row r="1423" spans="3:34" ht="19.5" customHeight="1">
      <c r="C1423" s="449"/>
      <c r="D1423" s="68"/>
      <c r="E1423" s="68"/>
      <c r="G1423" s="98"/>
      <c r="H1423" s="68"/>
      <c r="I1423" s="68"/>
      <c r="N1423" s="398"/>
      <c r="R1423" s="50"/>
      <c r="S1423" s="47"/>
      <c r="T1423" s="98"/>
      <c r="U1423" s="98"/>
      <c r="AF1423" s="39"/>
      <c r="AG1423" s="490"/>
      <c r="AH1423" s="490"/>
    </row>
    <row r="1424" spans="3:34" ht="19.5" customHeight="1">
      <c r="C1424" s="449"/>
      <c r="D1424" s="68"/>
      <c r="E1424" s="68"/>
      <c r="G1424" s="98"/>
      <c r="H1424" s="68"/>
      <c r="I1424" s="68"/>
      <c r="N1424" s="398"/>
      <c r="R1424" s="50"/>
      <c r="S1424" s="47"/>
      <c r="T1424" s="98"/>
      <c r="U1424" s="98"/>
      <c r="AF1424" s="39"/>
      <c r="AG1424" s="490"/>
      <c r="AH1424" s="490"/>
    </row>
    <row r="1425" spans="3:34" ht="19.5" customHeight="1">
      <c r="C1425" s="449"/>
      <c r="D1425" s="68"/>
      <c r="E1425" s="68"/>
      <c r="G1425" s="98"/>
      <c r="H1425" s="68"/>
      <c r="I1425" s="68"/>
      <c r="N1425" s="398"/>
      <c r="R1425" s="50"/>
      <c r="S1425" s="47"/>
      <c r="T1425" s="98"/>
      <c r="U1425" s="98"/>
      <c r="AF1425" s="39"/>
      <c r="AG1425" s="490"/>
      <c r="AH1425" s="490"/>
    </row>
    <row r="1426" spans="3:34" ht="19.5" customHeight="1">
      <c r="C1426" s="449"/>
      <c r="D1426" s="68"/>
      <c r="E1426" s="68"/>
      <c r="G1426" s="98"/>
      <c r="H1426" s="68"/>
      <c r="I1426" s="68"/>
      <c r="N1426" s="398"/>
      <c r="R1426" s="50"/>
      <c r="S1426" s="47"/>
      <c r="T1426" s="98"/>
      <c r="U1426" s="98"/>
      <c r="AF1426" s="39"/>
      <c r="AG1426" s="490"/>
      <c r="AH1426" s="490"/>
    </row>
    <row r="1427" spans="3:34" ht="19.5" customHeight="1">
      <c r="C1427" s="449"/>
      <c r="D1427" s="68"/>
      <c r="E1427" s="68"/>
      <c r="G1427" s="98"/>
      <c r="H1427" s="68"/>
      <c r="I1427" s="68"/>
      <c r="N1427" s="398"/>
      <c r="R1427" s="50"/>
      <c r="S1427" s="47"/>
      <c r="T1427" s="98"/>
      <c r="U1427" s="98"/>
      <c r="AF1427" s="39"/>
      <c r="AG1427" s="490"/>
      <c r="AH1427" s="490"/>
    </row>
    <row r="1428" spans="3:34" ht="19.5" customHeight="1">
      <c r="C1428" s="449"/>
      <c r="D1428" s="68"/>
      <c r="E1428" s="68"/>
      <c r="G1428" s="98"/>
      <c r="H1428" s="68"/>
      <c r="I1428" s="68"/>
      <c r="N1428" s="398"/>
      <c r="R1428" s="50"/>
      <c r="S1428" s="47"/>
      <c r="T1428" s="98"/>
      <c r="U1428" s="98"/>
      <c r="AF1428" s="39"/>
      <c r="AG1428" s="490"/>
      <c r="AH1428" s="490"/>
    </row>
    <row r="1429" spans="3:34" ht="19.5" customHeight="1">
      <c r="C1429" s="449"/>
      <c r="D1429" s="68"/>
      <c r="E1429" s="68"/>
      <c r="G1429" s="98"/>
      <c r="H1429" s="68"/>
      <c r="I1429" s="68"/>
      <c r="N1429" s="398"/>
      <c r="R1429" s="50"/>
      <c r="S1429" s="47"/>
      <c r="T1429" s="98"/>
      <c r="U1429" s="98"/>
      <c r="AF1429" s="39"/>
      <c r="AG1429" s="490"/>
      <c r="AH1429" s="490"/>
    </row>
    <row r="1430" spans="3:34" ht="19.5" customHeight="1">
      <c r="C1430" s="449"/>
      <c r="D1430" s="68"/>
      <c r="E1430" s="68"/>
      <c r="G1430" s="98"/>
      <c r="H1430" s="68"/>
      <c r="I1430" s="68"/>
      <c r="N1430" s="398"/>
      <c r="R1430" s="50"/>
      <c r="S1430" s="47"/>
      <c r="T1430" s="98"/>
      <c r="U1430" s="98"/>
      <c r="AF1430" s="39"/>
      <c r="AG1430" s="490"/>
      <c r="AH1430" s="490"/>
    </row>
    <row r="1431" spans="3:34" ht="19.5" customHeight="1">
      <c r="C1431" s="449"/>
      <c r="D1431" s="68"/>
      <c r="E1431" s="68"/>
      <c r="G1431" s="98"/>
      <c r="H1431" s="68"/>
      <c r="I1431" s="68"/>
      <c r="N1431" s="398"/>
      <c r="R1431" s="50"/>
      <c r="S1431" s="47"/>
      <c r="T1431" s="98"/>
      <c r="U1431" s="98"/>
      <c r="AF1431" s="39"/>
      <c r="AG1431" s="490"/>
      <c r="AH1431" s="490"/>
    </row>
    <row r="1432" spans="3:34" ht="19.5" customHeight="1">
      <c r="C1432" s="449"/>
      <c r="D1432" s="68"/>
      <c r="E1432" s="68"/>
      <c r="G1432" s="98"/>
      <c r="H1432" s="68"/>
      <c r="I1432" s="68"/>
      <c r="N1432" s="398"/>
      <c r="R1432" s="50"/>
      <c r="S1432" s="47"/>
      <c r="T1432" s="98"/>
      <c r="U1432" s="98"/>
      <c r="AF1432" s="39"/>
      <c r="AG1432" s="490"/>
      <c r="AH1432" s="490"/>
    </row>
    <row r="1433" spans="3:34" ht="19.5" customHeight="1">
      <c r="C1433" s="449"/>
      <c r="D1433" s="68"/>
      <c r="E1433" s="68"/>
      <c r="G1433" s="98"/>
      <c r="H1433" s="68"/>
      <c r="I1433" s="68"/>
      <c r="N1433" s="398"/>
      <c r="R1433" s="50"/>
      <c r="S1433" s="47"/>
      <c r="T1433" s="98"/>
      <c r="U1433" s="98"/>
      <c r="AF1433" s="39"/>
      <c r="AG1433" s="490"/>
      <c r="AH1433" s="490"/>
    </row>
    <row r="1434" spans="3:34" ht="19.5" customHeight="1">
      <c r="C1434" s="449"/>
      <c r="D1434" s="68"/>
      <c r="E1434" s="68"/>
      <c r="G1434" s="98"/>
      <c r="H1434" s="68"/>
      <c r="I1434" s="68"/>
      <c r="N1434" s="398"/>
      <c r="R1434" s="50"/>
      <c r="S1434" s="47"/>
      <c r="T1434" s="98"/>
      <c r="U1434" s="98"/>
      <c r="AF1434" s="39"/>
      <c r="AG1434" s="490"/>
      <c r="AH1434" s="490"/>
    </row>
    <row r="1435" spans="3:34" ht="19.5" customHeight="1">
      <c r="C1435" s="449"/>
      <c r="D1435" s="68"/>
      <c r="E1435" s="68"/>
      <c r="G1435" s="98"/>
      <c r="H1435" s="68"/>
      <c r="I1435" s="68"/>
      <c r="N1435" s="398"/>
      <c r="R1435" s="50"/>
      <c r="S1435" s="47"/>
      <c r="T1435" s="98"/>
      <c r="U1435" s="98"/>
      <c r="AF1435" s="39"/>
      <c r="AG1435" s="490"/>
      <c r="AH1435" s="490"/>
    </row>
    <row r="1436" spans="3:34" ht="19.5" customHeight="1">
      <c r="C1436" s="449"/>
      <c r="D1436" s="68"/>
      <c r="E1436" s="68"/>
      <c r="G1436" s="98"/>
      <c r="H1436" s="68"/>
      <c r="I1436" s="68"/>
      <c r="N1436" s="398"/>
      <c r="R1436" s="50"/>
      <c r="S1436" s="47"/>
      <c r="T1436" s="98"/>
      <c r="U1436" s="98"/>
      <c r="AF1436" s="39"/>
      <c r="AG1436" s="490"/>
      <c r="AH1436" s="490"/>
    </row>
    <row r="1437" spans="3:34" ht="19.5" customHeight="1">
      <c r="C1437" s="449"/>
      <c r="D1437" s="68"/>
      <c r="E1437" s="68"/>
      <c r="G1437" s="98"/>
      <c r="H1437" s="68"/>
      <c r="I1437" s="68"/>
      <c r="N1437" s="398"/>
      <c r="R1437" s="50"/>
      <c r="S1437" s="47"/>
      <c r="T1437" s="98"/>
      <c r="U1437" s="98"/>
      <c r="AF1437" s="39"/>
      <c r="AG1437" s="490"/>
      <c r="AH1437" s="490"/>
    </row>
    <row r="1438" spans="3:34" ht="19.5" customHeight="1">
      <c r="C1438" s="449"/>
      <c r="D1438" s="68"/>
      <c r="E1438" s="68"/>
      <c r="G1438" s="98"/>
      <c r="H1438" s="68"/>
      <c r="I1438" s="68"/>
      <c r="N1438" s="398"/>
      <c r="R1438" s="50"/>
      <c r="S1438" s="47"/>
      <c r="T1438" s="98"/>
      <c r="U1438" s="98"/>
      <c r="AF1438" s="39"/>
      <c r="AG1438" s="490"/>
      <c r="AH1438" s="490"/>
    </row>
    <row r="1439" spans="3:34" ht="19.5" customHeight="1">
      <c r="C1439" s="449"/>
      <c r="D1439" s="68"/>
      <c r="E1439" s="68"/>
      <c r="G1439" s="98"/>
      <c r="H1439" s="68"/>
      <c r="I1439" s="68"/>
      <c r="N1439" s="398"/>
      <c r="R1439" s="50"/>
      <c r="S1439" s="47"/>
      <c r="T1439" s="98"/>
      <c r="U1439" s="98"/>
      <c r="AF1439" s="39"/>
      <c r="AG1439" s="490"/>
      <c r="AH1439" s="490"/>
    </row>
    <row r="1440" spans="3:34" ht="19.5" customHeight="1">
      <c r="C1440" s="449"/>
      <c r="D1440" s="68"/>
      <c r="E1440" s="68"/>
      <c r="G1440" s="98"/>
      <c r="H1440" s="68"/>
      <c r="I1440" s="68"/>
      <c r="N1440" s="398"/>
      <c r="R1440" s="50"/>
      <c r="S1440" s="47"/>
      <c r="T1440" s="98"/>
      <c r="U1440" s="98"/>
      <c r="AF1440" s="39"/>
      <c r="AG1440" s="490"/>
      <c r="AH1440" s="490"/>
    </row>
    <row r="1441" spans="3:34" ht="19.5" customHeight="1">
      <c r="C1441" s="449"/>
      <c r="D1441" s="68"/>
      <c r="E1441" s="68"/>
      <c r="G1441" s="98"/>
      <c r="H1441" s="68"/>
      <c r="I1441" s="68"/>
      <c r="N1441" s="398"/>
      <c r="R1441" s="50"/>
      <c r="S1441" s="47"/>
      <c r="T1441" s="98"/>
      <c r="U1441" s="98"/>
      <c r="AF1441" s="39"/>
      <c r="AG1441" s="490"/>
      <c r="AH1441" s="490"/>
    </row>
    <row r="1442" spans="3:34" ht="19.5" customHeight="1">
      <c r="C1442" s="449"/>
      <c r="D1442" s="68"/>
      <c r="E1442" s="68"/>
      <c r="G1442" s="98"/>
      <c r="H1442" s="68"/>
      <c r="I1442" s="68"/>
      <c r="N1442" s="398"/>
      <c r="R1442" s="50"/>
      <c r="S1442" s="47"/>
      <c r="T1442" s="98"/>
      <c r="U1442" s="98"/>
      <c r="AF1442" s="39"/>
      <c r="AG1442" s="490"/>
      <c r="AH1442" s="490"/>
    </row>
    <row r="1443" spans="3:34" ht="19.5" customHeight="1">
      <c r="C1443" s="449"/>
      <c r="D1443" s="68"/>
      <c r="E1443" s="68"/>
      <c r="G1443" s="98"/>
      <c r="H1443" s="68"/>
      <c r="I1443" s="68"/>
      <c r="N1443" s="398"/>
      <c r="R1443" s="50"/>
      <c r="S1443" s="47"/>
      <c r="T1443" s="98"/>
      <c r="U1443" s="98"/>
      <c r="AF1443" s="39"/>
      <c r="AG1443" s="490"/>
      <c r="AH1443" s="490"/>
    </row>
    <row r="1444" spans="3:34" ht="19.5" customHeight="1">
      <c r="C1444" s="449"/>
      <c r="D1444" s="68"/>
      <c r="E1444" s="68"/>
      <c r="G1444" s="98"/>
      <c r="H1444" s="68"/>
      <c r="I1444" s="68"/>
      <c r="N1444" s="398"/>
      <c r="R1444" s="50"/>
      <c r="S1444" s="47"/>
      <c r="T1444" s="98"/>
      <c r="U1444" s="98"/>
      <c r="AF1444" s="39"/>
      <c r="AG1444" s="490"/>
      <c r="AH1444" s="490"/>
    </row>
    <row r="1445" spans="3:34" ht="19.5" customHeight="1">
      <c r="C1445" s="449"/>
      <c r="D1445" s="68"/>
      <c r="E1445" s="68"/>
      <c r="G1445" s="98"/>
      <c r="H1445" s="68"/>
      <c r="I1445" s="68"/>
      <c r="N1445" s="398"/>
      <c r="R1445" s="50"/>
      <c r="S1445" s="47"/>
      <c r="T1445" s="98"/>
      <c r="U1445" s="98"/>
      <c r="AF1445" s="39"/>
      <c r="AG1445" s="490"/>
      <c r="AH1445" s="490"/>
    </row>
    <row r="1446" spans="3:34" ht="19.5" customHeight="1">
      <c r="C1446" s="449"/>
      <c r="D1446" s="68"/>
      <c r="E1446" s="68"/>
      <c r="G1446" s="98"/>
      <c r="H1446" s="68"/>
      <c r="I1446" s="68"/>
      <c r="N1446" s="398"/>
      <c r="R1446" s="50"/>
      <c r="S1446" s="47"/>
      <c r="T1446" s="98"/>
      <c r="U1446" s="98"/>
      <c r="AF1446" s="39"/>
      <c r="AG1446" s="490"/>
      <c r="AH1446" s="490"/>
    </row>
    <row r="1447" spans="3:34" ht="19.5" customHeight="1">
      <c r="C1447" s="449"/>
      <c r="D1447" s="68"/>
      <c r="E1447" s="68"/>
      <c r="G1447" s="98"/>
      <c r="H1447" s="68"/>
      <c r="I1447" s="68"/>
      <c r="N1447" s="398"/>
      <c r="R1447" s="50"/>
      <c r="S1447" s="47"/>
      <c r="T1447" s="98"/>
      <c r="U1447" s="98"/>
      <c r="AF1447" s="39"/>
      <c r="AG1447" s="490"/>
      <c r="AH1447" s="490"/>
    </row>
    <row r="1448" spans="3:34" ht="19.5" customHeight="1">
      <c r="C1448" s="449"/>
      <c r="D1448" s="68"/>
      <c r="E1448" s="68"/>
      <c r="G1448" s="98"/>
      <c r="H1448" s="68"/>
      <c r="I1448" s="68"/>
      <c r="N1448" s="398"/>
      <c r="R1448" s="50"/>
      <c r="S1448" s="47"/>
      <c r="T1448" s="98"/>
      <c r="U1448" s="98"/>
      <c r="AF1448" s="39"/>
      <c r="AG1448" s="490"/>
      <c r="AH1448" s="490"/>
    </row>
    <row r="1449" spans="3:34" ht="19.5" customHeight="1">
      <c r="C1449" s="449"/>
      <c r="D1449" s="68"/>
      <c r="E1449" s="68"/>
      <c r="G1449" s="98"/>
      <c r="H1449" s="68"/>
      <c r="I1449" s="68"/>
      <c r="N1449" s="398"/>
      <c r="R1449" s="50"/>
      <c r="S1449" s="47"/>
      <c r="T1449" s="98"/>
      <c r="U1449" s="98"/>
      <c r="AF1449" s="39"/>
      <c r="AG1449" s="490"/>
      <c r="AH1449" s="490"/>
    </row>
    <row r="1450" spans="3:34" ht="19.5" customHeight="1">
      <c r="C1450" s="449"/>
      <c r="D1450" s="68"/>
      <c r="E1450" s="68"/>
      <c r="G1450" s="98"/>
      <c r="H1450" s="68"/>
      <c r="I1450" s="68"/>
      <c r="N1450" s="398"/>
      <c r="R1450" s="50"/>
      <c r="S1450" s="47"/>
      <c r="T1450" s="98"/>
      <c r="U1450" s="98"/>
      <c r="AF1450" s="39"/>
      <c r="AG1450" s="490"/>
      <c r="AH1450" s="490"/>
    </row>
    <row r="1451" spans="3:34" ht="19.5" customHeight="1">
      <c r="C1451" s="449"/>
      <c r="D1451" s="68"/>
      <c r="E1451" s="68"/>
      <c r="G1451" s="98"/>
      <c r="H1451" s="68"/>
      <c r="I1451" s="68"/>
      <c r="N1451" s="398"/>
      <c r="R1451" s="50"/>
      <c r="S1451" s="47"/>
      <c r="T1451" s="98"/>
      <c r="U1451" s="98"/>
      <c r="AF1451" s="39"/>
      <c r="AG1451" s="490"/>
      <c r="AH1451" s="490"/>
    </row>
    <row r="1452" spans="3:34" ht="19.5" customHeight="1">
      <c r="C1452" s="449"/>
      <c r="D1452" s="68"/>
      <c r="E1452" s="68"/>
      <c r="G1452" s="98"/>
      <c r="H1452" s="68"/>
      <c r="I1452" s="68"/>
      <c r="N1452" s="398"/>
      <c r="R1452" s="50"/>
      <c r="S1452" s="47"/>
      <c r="T1452" s="98"/>
      <c r="U1452" s="98"/>
      <c r="AF1452" s="39"/>
      <c r="AG1452" s="490"/>
      <c r="AH1452" s="490"/>
    </row>
    <row r="1453" spans="3:34" ht="19.5" customHeight="1">
      <c r="C1453" s="449"/>
      <c r="D1453" s="68"/>
      <c r="E1453" s="68"/>
      <c r="G1453" s="98"/>
      <c r="H1453" s="68"/>
      <c r="I1453" s="68"/>
      <c r="N1453" s="398"/>
      <c r="R1453" s="50"/>
      <c r="S1453" s="47"/>
      <c r="T1453" s="98"/>
      <c r="U1453" s="98"/>
      <c r="AF1453" s="39"/>
      <c r="AG1453" s="490"/>
      <c r="AH1453" s="490"/>
    </row>
    <row r="1454" spans="3:34" ht="19.5" customHeight="1">
      <c r="C1454" s="449"/>
      <c r="D1454" s="68"/>
      <c r="E1454" s="68"/>
      <c r="G1454" s="98"/>
      <c r="H1454" s="68"/>
      <c r="I1454" s="68"/>
      <c r="N1454" s="398"/>
      <c r="R1454" s="50"/>
      <c r="S1454" s="47"/>
      <c r="T1454" s="98"/>
      <c r="U1454" s="98"/>
      <c r="AF1454" s="39"/>
      <c r="AG1454" s="490"/>
      <c r="AH1454" s="490"/>
    </row>
    <row r="1455" spans="3:34" ht="19.5" customHeight="1">
      <c r="C1455" s="449"/>
      <c r="D1455" s="68"/>
      <c r="E1455" s="68"/>
      <c r="G1455" s="98"/>
      <c r="H1455" s="68"/>
      <c r="I1455" s="68"/>
      <c r="N1455" s="398"/>
      <c r="R1455" s="50"/>
      <c r="S1455" s="47"/>
      <c r="T1455" s="98"/>
      <c r="U1455" s="98"/>
      <c r="AF1455" s="39"/>
      <c r="AG1455" s="490"/>
      <c r="AH1455" s="490"/>
    </row>
    <row r="1456" spans="3:34" ht="19.5" customHeight="1">
      <c r="C1456" s="449"/>
      <c r="D1456" s="68"/>
      <c r="E1456" s="68"/>
      <c r="G1456" s="98"/>
      <c r="H1456" s="68"/>
      <c r="I1456" s="68"/>
      <c r="N1456" s="398"/>
      <c r="R1456" s="50"/>
      <c r="S1456" s="47"/>
      <c r="T1456" s="98"/>
      <c r="U1456" s="98"/>
      <c r="AF1456" s="39"/>
      <c r="AG1456" s="490"/>
      <c r="AH1456" s="490"/>
    </row>
    <row r="1457" spans="3:34" ht="19.5" customHeight="1">
      <c r="C1457" s="449"/>
      <c r="D1457" s="68"/>
      <c r="E1457" s="68"/>
      <c r="G1457" s="98"/>
      <c r="H1457" s="68"/>
      <c r="I1457" s="68"/>
      <c r="N1457" s="398"/>
      <c r="R1457" s="50"/>
      <c r="S1457" s="47"/>
      <c r="T1457" s="98"/>
      <c r="U1457" s="98"/>
      <c r="AF1457" s="39"/>
      <c r="AG1457" s="490"/>
      <c r="AH1457" s="490"/>
    </row>
    <row r="1458" spans="3:34" ht="19.5" customHeight="1">
      <c r="C1458" s="449"/>
      <c r="D1458" s="68"/>
      <c r="E1458" s="68"/>
      <c r="G1458" s="98"/>
      <c r="H1458" s="68"/>
      <c r="I1458" s="68"/>
      <c r="N1458" s="398"/>
      <c r="R1458" s="50"/>
      <c r="S1458" s="47"/>
      <c r="T1458" s="98"/>
      <c r="U1458" s="98"/>
      <c r="AF1458" s="39"/>
      <c r="AG1458" s="490"/>
      <c r="AH1458" s="490"/>
    </row>
    <row r="1459" spans="3:34" ht="19.5" customHeight="1">
      <c r="C1459" s="449"/>
      <c r="D1459" s="68"/>
      <c r="E1459" s="68"/>
      <c r="G1459" s="98"/>
      <c r="H1459" s="68"/>
      <c r="I1459" s="68"/>
      <c r="N1459" s="398"/>
      <c r="R1459" s="50"/>
      <c r="S1459" s="47"/>
      <c r="T1459" s="98"/>
      <c r="U1459" s="98"/>
      <c r="AF1459" s="39"/>
      <c r="AG1459" s="490"/>
      <c r="AH1459" s="490"/>
    </row>
    <row r="1460" spans="3:34" ht="19.5" customHeight="1">
      <c r="C1460" s="449"/>
      <c r="D1460" s="68"/>
      <c r="E1460" s="68"/>
      <c r="G1460" s="98"/>
      <c r="H1460" s="68"/>
      <c r="I1460" s="68"/>
      <c r="N1460" s="398"/>
      <c r="R1460" s="50"/>
      <c r="S1460" s="47"/>
      <c r="T1460" s="98"/>
      <c r="U1460" s="98"/>
      <c r="AF1460" s="39"/>
      <c r="AG1460" s="490"/>
      <c r="AH1460" s="490"/>
    </row>
    <row r="1461" spans="3:34" ht="19.5" customHeight="1">
      <c r="C1461" s="449"/>
      <c r="D1461" s="68"/>
      <c r="E1461" s="68"/>
      <c r="G1461" s="98"/>
      <c r="H1461" s="68"/>
      <c r="I1461" s="68"/>
      <c r="N1461" s="398"/>
      <c r="R1461" s="50"/>
      <c r="S1461" s="47"/>
      <c r="T1461" s="98"/>
      <c r="U1461" s="98"/>
      <c r="AF1461" s="39"/>
      <c r="AG1461" s="490"/>
      <c r="AH1461" s="490"/>
    </row>
    <row r="1462" spans="3:34" ht="19.5" customHeight="1">
      <c r="C1462" s="449"/>
      <c r="D1462" s="68"/>
      <c r="E1462" s="68"/>
      <c r="G1462" s="98"/>
      <c r="H1462" s="68"/>
      <c r="I1462" s="68"/>
      <c r="N1462" s="398"/>
      <c r="R1462" s="50"/>
      <c r="S1462" s="47"/>
      <c r="T1462" s="98"/>
      <c r="U1462" s="98"/>
      <c r="AF1462" s="39"/>
      <c r="AG1462" s="490"/>
      <c r="AH1462" s="490"/>
    </row>
    <row r="1463" spans="3:34" ht="19.5" customHeight="1">
      <c r="C1463" s="449"/>
      <c r="D1463" s="68"/>
      <c r="E1463" s="68"/>
      <c r="G1463" s="98"/>
      <c r="H1463" s="68"/>
      <c r="I1463" s="68"/>
      <c r="N1463" s="398"/>
      <c r="R1463" s="50"/>
      <c r="S1463" s="47"/>
      <c r="T1463" s="98"/>
      <c r="U1463" s="98"/>
      <c r="AF1463" s="39"/>
      <c r="AG1463" s="490"/>
      <c r="AH1463" s="490"/>
    </row>
    <row r="1464" spans="3:34" ht="19.5" customHeight="1">
      <c r="C1464" s="449"/>
      <c r="D1464" s="68"/>
      <c r="E1464" s="68"/>
      <c r="G1464" s="98"/>
      <c r="H1464" s="68"/>
      <c r="I1464" s="68"/>
      <c r="N1464" s="398"/>
      <c r="R1464" s="50"/>
      <c r="S1464" s="47"/>
      <c r="T1464" s="98"/>
      <c r="U1464" s="98"/>
      <c r="AF1464" s="39"/>
      <c r="AG1464" s="490"/>
      <c r="AH1464" s="490"/>
    </row>
    <row r="1465" spans="3:34" ht="19.5" customHeight="1">
      <c r="C1465" s="449"/>
      <c r="D1465" s="68"/>
      <c r="E1465" s="68"/>
      <c r="G1465" s="98"/>
      <c r="H1465" s="68"/>
      <c r="I1465" s="68"/>
      <c r="N1465" s="398"/>
      <c r="R1465" s="50"/>
      <c r="S1465" s="47"/>
      <c r="T1465" s="98"/>
      <c r="U1465" s="98"/>
      <c r="AF1465" s="39"/>
      <c r="AG1465" s="490"/>
      <c r="AH1465" s="490"/>
    </row>
    <row r="1466" spans="3:34" ht="19.5" customHeight="1">
      <c r="C1466" s="449"/>
      <c r="D1466" s="68"/>
      <c r="E1466" s="68"/>
      <c r="G1466" s="98"/>
      <c r="H1466" s="68"/>
      <c r="I1466" s="68"/>
      <c r="N1466" s="398"/>
      <c r="R1466" s="50"/>
      <c r="S1466" s="47"/>
      <c r="T1466" s="98"/>
      <c r="U1466" s="98"/>
      <c r="AF1466" s="39"/>
      <c r="AG1466" s="490"/>
      <c r="AH1466" s="490"/>
    </row>
    <row r="1467" spans="3:34" ht="19.5" customHeight="1">
      <c r="C1467" s="449"/>
      <c r="D1467" s="68"/>
      <c r="E1467" s="68"/>
      <c r="G1467" s="98"/>
      <c r="H1467" s="68"/>
      <c r="I1467" s="68"/>
      <c r="N1467" s="398"/>
      <c r="R1467" s="50"/>
      <c r="S1467" s="47"/>
      <c r="T1467" s="98"/>
      <c r="U1467" s="98"/>
      <c r="AF1467" s="39"/>
      <c r="AG1467" s="490"/>
      <c r="AH1467" s="490"/>
    </row>
    <row r="1468" spans="3:34" ht="19.5" customHeight="1">
      <c r="C1468" s="449"/>
      <c r="D1468" s="68"/>
      <c r="E1468" s="68"/>
      <c r="G1468" s="98"/>
      <c r="H1468" s="68"/>
      <c r="I1468" s="68"/>
      <c r="N1468" s="398"/>
      <c r="R1468" s="50"/>
      <c r="S1468" s="47"/>
      <c r="T1468" s="98"/>
      <c r="U1468" s="98"/>
      <c r="AF1468" s="39"/>
      <c r="AG1468" s="490"/>
      <c r="AH1468" s="490"/>
    </row>
    <row r="1469" spans="3:34" ht="19.5" customHeight="1">
      <c r="C1469" s="449"/>
      <c r="D1469" s="68"/>
      <c r="E1469" s="68"/>
      <c r="G1469" s="98"/>
      <c r="H1469" s="68"/>
      <c r="I1469" s="68"/>
      <c r="N1469" s="398"/>
      <c r="R1469" s="50"/>
      <c r="S1469" s="47"/>
      <c r="T1469" s="98"/>
      <c r="U1469" s="98"/>
      <c r="AF1469" s="39"/>
      <c r="AG1469" s="490"/>
      <c r="AH1469" s="490"/>
    </row>
    <row r="1470" spans="3:34" ht="19.5" customHeight="1">
      <c r="C1470" s="449"/>
      <c r="D1470" s="68"/>
      <c r="E1470" s="68"/>
      <c r="G1470" s="98"/>
      <c r="H1470" s="68"/>
      <c r="I1470" s="68"/>
      <c r="N1470" s="398"/>
      <c r="R1470" s="50"/>
      <c r="S1470" s="47"/>
      <c r="T1470" s="98"/>
      <c r="U1470" s="98"/>
      <c r="AF1470" s="39"/>
      <c r="AG1470" s="490"/>
      <c r="AH1470" s="490"/>
    </row>
    <row r="1471" spans="3:34" ht="19.5" customHeight="1">
      <c r="C1471" s="449"/>
      <c r="D1471" s="68"/>
      <c r="E1471" s="68"/>
      <c r="G1471" s="98"/>
      <c r="H1471" s="68"/>
      <c r="I1471" s="68"/>
      <c r="N1471" s="398"/>
      <c r="R1471" s="50"/>
      <c r="S1471" s="47"/>
      <c r="T1471" s="98"/>
      <c r="U1471" s="98"/>
      <c r="AF1471" s="39"/>
      <c r="AG1471" s="490"/>
      <c r="AH1471" s="490"/>
    </row>
    <row r="1472" spans="3:34" ht="19.5" customHeight="1">
      <c r="C1472" s="449"/>
      <c r="D1472" s="68"/>
      <c r="E1472" s="68"/>
      <c r="G1472" s="98"/>
      <c r="H1472" s="68"/>
      <c r="I1472" s="68"/>
      <c r="N1472" s="398"/>
      <c r="R1472" s="50"/>
      <c r="S1472" s="47"/>
      <c r="T1472" s="98"/>
      <c r="U1472" s="98"/>
      <c r="AF1472" s="39"/>
      <c r="AG1472" s="490"/>
      <c r="AH1472" s="490"/>
    </row>
    <row r="1473" spans="3:34" ht="19.5" customHeight="1">
      <c r="C1473" s="449"/>
      <c r="D1473" s="68"/>
      <c r="E1473" s="68"/>
      <c r="G1473" s="98"/>
      <c r="H1473" s="68"/>
      <c r="I1473" s="68"/>
      <c r="N1473" s="398"/>
      <c r="R1473" s="50"/>
      <c r="S1473" s="47"/>
      <c r="T1473" s="98"/>
      <c r="U1473" s="98"/>
      <c r="AF1473" s="39"/>
      <c r="AG1473" s="490"/>
      <c r="AH1473" s="490"/>
    </row>
    <row r="1474" spans="3:34" ht="19.5" customHeight="1">
      <c r="C1474" s="449"/>
      <c r="D1474" s="68"/>
      <c r="E1474" s="68"/>
      <c r="G1474" s="98"/>
      <c r="H1474" s="68"/>
      <c r="I1474" s="68"/>
      <c r="N1474" s="398"/>
      <c r="R1474" s="50"/>
      <c r="S1474" s="47"/>
      <c r="T1474" s="98"/>
      <c r="U1474" s="98"/>
      <c r="AF1474" s="39"/>
      <c r="AG1474" s="490"/>
      <c r="AH1474" s="490"/>
    </row>
    <row r="1475" spans="3:34" ht="19.5" customHeight="1">
      <c r="C1475" s="449"/>
      <c r="D1475" s="68"/>
      <c r="E1475" s="68"/>
      <c r="G1475" s="98"/>
      <c r="H1475" s="68"/>
      <c r="I1475" s="68"/>
      <c r="N1475" s="398"/>
      <c r="R1475" s="50"/>
      <c r="S1475" s="47"/>
      <c r="T1475" s="98"/>
      <c r="U1475" s="98"/>
      <c r="AF1475" s="39"/>
      <c r="AG1475" s="490"/>
      <c r="AH1475" s="490"/>
    </row>
    <row r="1476" spans="3:34" ht="19.5" customHeight="1">
      <c r="C1476" s="449"/>
      <c r="D1476" s="68"/>
      <c r="E1476" s="68"/>
      <c r="G1476" s="98"/>
      <c r="H1476" s="68"/>
      <c r="I1476" s="68"/>
      <c r="N1476" s="398"/>
      <c r="R1476" s="50"/>
      <c r="S1476" s="47"/>
      <c r="T1476" s="98"/>
      <c r="U1476" s="98"/>
      <c r="AF1476" s="39"/>
      <c r="AG1476" s="490"/>
      <c r="AH1476" s="490"/>
    </row>
    <row r="1477" spans="3:34" ht="19.5" customHeight="1">
      <c r="C1477" s="449"/>
      <c r="D1477" s="68"/>
      <c r="E1477" s="68"/>
      <c r="G1477" s="98"/>
      <c r="H1477" s="68"/>
      <c r="I1477" s="68"/>
      <c r="N1477" s="398"/>
      <c r="R1477" s="50"/>
      <c r="S1477" s="47"/>
      <c r="T1477" s="98"/>
      <c r="U1477" s="98"/>
      <c r="AF1477" s="39"/>
      <c r="AG1477" s="490"/>
      <c r="AH1477" s="490"/>
    </row>
    <row r="1478" spans="3:34" ht="19.5" customHeight="1">
      <c r="C1478" s="449"/>
      <c r="D1478" s="68"/>
      <c r="E1478" s="68"/>
      <c r="G1478" s="98"/>
      <c r="H1478" s="68"/>
      <c r="I1478" s="68"/>
      <c r="N1478" s="398"/>
      <c r="R1478" s="50"/>
      <c r="S1478" s="47"/>
      <c r="T1478" s="98"/>
      <c r="U1478" s="98"/>
      <c r="AF1478" s="39"/>
      <c r="AG1478" s="490"/>
      <c r="AH1478" s="490"/>
    </row>
    <row r="1479" spans="3:34" ht="19.5" customHeight="1">
      <c r="C1479" s="449"/>
      <c r="D1479" s="68"/>
      <c r="E1479" s="68"/>
      <c r="G1479" s="98"/>
      <c r="H1479" s="68"/>
      <c r="I1479" s="68"/>
      <c r="N1479" s="398"/>
      <c r="R1479" s="50"/>
      <c r="S1479" s="47"/>
      <c r="T1479" s="98"/>
      <c r="U1479" s="98"/>
      <c r="AF1479" s="39"/>
      <c r="AG1479" s="490"/>
      <c r="AH1479" s="490"/>
    </row>
    <row r="1480" spans="3:34" ht="19.5" customHeight="1">
      <c r="C1480" s="449"/>
      <c r="D1480" s="68"/>
      <c r="E1480" s="68"/>
      <c r="G1480" s="98"/>
      <c r="H1480" s="68"/>
      <c r="I1480" s="68"/>
      <c r="N1480" s="398"/>
      <c r="R1480" s="50"/>
      <c r="S1480" s="47"/>
      <c r="T1480" s="98"/>
      <c r="U1480" s="98"/>
      <c r="AF1480" s="39"/>
      <c r="AG1480" s="490"/>
      <c r="AH1480" s="490"/>
    </row>
    <row r="1481" spans="3:34" ht="19.5" customHeight="1">
      <c r="C1481" s="449"/>
      <c r="D1481" s="68"/>
      <c r="E1481" s="68"/>
      <c r="G1481" s="98"/>
      <c r="H1481" s="68"/>
      <c r="I1481" s="68"/>
      <c r="N1481" s="398"/>
      <c r="R1481" s="50"/>
      <c r="S1481" s="47"/>
      <c r="T1481" s="98"/>
      <c r="U1481" s="98"/>
      <c r="AF1481" s="39"/>
      <c r="AG1481" s="490"/>
      <c r="AH1481" s="490"/>
    </row>
    <row r="1482" spans="3:34" ht="19.5" customHeight="1">
      <c r="C1482" s="449"/>
      <c r="D1482" s="68"/>
      <c r="E1482" s="68"/>
      <c r="G1482" s="98"/>
      <c r="H1482" s="68"/>
      <c r="I1482" s="68"/>
      <c r="N1482" s="398"/>
      <c r="R1482" s="50"/>
      <c r="S1482" s="47"/>
      <c r="T1482" s="98"/>
      <c r="U1482" s="98"/>
      <c r="AF1482" s="39"/>
      <c r="AG1482" s="490"/>
      <c r="AH1482" s="490"/>
    </row>
    <row r="1483" spans="3:34" ht="19.5" customHeight="1">
      <c r="C1483" s="449"/>
      <c r="D1483" s="68"/>
      <c r="E1483" s="68"/>
      <c r="G1483" s="98"/>
      <c r="H1483" s="68"/>
      <c r="I1483" s="68"/>
      <c r="N1483" s="398"/>
      <c r="R1483" s="50"/>
      <c r="S1483" s="47"/>
      <c r="T1483" s="98"/>
      <c r="U1483" s="98"/>
      <c r="AF1483" s="39"/>
      <c r="AG1483" s="490"/>
      <c r="AH1483" s="490"/>
    </row>
    <row r="1484" spans="3:34" ht="19.5" customHeight="1">
      <c r="C1484" s="449"/>
      <c r="D1484" s="68"/>
      <c r="E1484" s="68"/>
      <c r="G1484" s="98"/>
      <c r="H1484" s="68"/>
      <c r="I1484" s="68"/>
      <c r="N1484" s="398"/>
      <c r="R1484" s="50"/>
      <c r="S1484" s="47"/>
      <c r="T1484" s="98"/>
      <c r="U1484" s="98"/>
      <c r="AF1484" s="39"/>
      <c r="AG1484" s="490"/>
      <c r="AH1484" s="490"/>
    </row>
    <row r="1485" spans="3:34" ht="19.5" customHeight="1">
      <c r="C1485" s="449"/>
      <c r="D1485" s="68"/>
      <c r="E1485" s="68"/>
      <c r="G1485" s="98"/>
      <c r="H1485" s="68"/>
      <c r="I1485" s="68"/>
      <c r="N1485" s="398"/>
      <c r="R1485" s="50"/>
      <c r="S1485" s="47"/>
      <c r="T1485" s="98"/>
      <c r="U1485" s="98"/>
      <c r="AF1485" s="39"/>
      <c r="AG1485" s="490"/>
      <c r="AH1485" s="490"/>
    </row>
    <row r="1486" spans="3:34" ht="19.5" customHeight="1">
      <c r="C1486" s="449"/>
      <c r="D1486" s="68"/>
      <c r="E1486" s="68"/>
      <c r="G1486" s="98"/>
      <c r="H1486" s="68"/>
      <c r="I1486" s="68"/>
      <c r="N1486" s="398"/>
      <c r="R1486" s="50"/>
      <c r="S1486" s="47"/>
      <c r="T1486" s="98"/>
      <c r="U1486" s="98"/>
      <c r="AF1486" s="39"/>
      <c r="AG1486" s="490"/>
      <c r="AH1486" s="490"/>
    </row>
    <row r="1487" spans="3:34" ht="19.5" customHeight="1">
      <c r="C1487" s="449"/>
      <c r="D1487" s="68"/>
      <c r="E1487" s="68"/>
      <c r="G1487" s="98"/>
      <c r="H1487" s="68"/>
      <c r="I1487" s="68"/>
      <c r="N1487" s="398"/>
      <c r="R1487" s="50"/>
      <c r="S1487" s="47"/>
      <c r="T1487" s="98"/>
      <c r="U1487" s="98"/>
      <c r="AF1487" s="39"/>
      <c r="AG1487" s="490"/>
      <c r="AH1487" s="490"/>
    </row>
    <row r="1488" spans="3:34" ht="19.5" customHeight="1">
      <c r="C1488" s="449"/>
      <c r="D1488" s="68"/>
      <c r="E1488" s="68"/>
      <c r="G1488" s="98"/>
      <c r="H1488" s="68"/>
      <c r="I1488" s="68"/>
      <c r="N1488" s="398"/>
      <c r="R1488" s="50"/>
      <c r="S1488" s="47"/>
      <c r="T1488" s="98"/>
      <c r="U1488" s="98"/>
      <c r="AF1488" s="39"/>
      <c r="AG1488" s="490"/>
      <c r="AH1488" s="490"/>
    </row>
    <row r="1489" spans="3:34" ht="19.5" customHeight="1">
      <c r="C1489" s="449"/>
      <c r="D1489" s="68"/>
      <c r="E1489" s="68"/>
      <c r="G1489" s="98"/>
      <c r="H1489" s="68"/>
      <c r="I1489" s="68"/>
      <c r="N1489" s="398"/>
      <c r="R1489" s="50"/>
      <c r="S1489" s="47"/>
      <c r="T1489" s="98"/>
      <c r="U1489" s="98"/>
      <c r="AF1489" s="39"/>
      <c r="AG1489" s="490"/>
      <c r="AH1489" s="490"/>
    </row>
    <row r="1490" spans="3:34" ht="19.5" customHeight="1">
      <c r="C1490" s="449"/>
      <c r="D1490" s="68"/>
      <c r="E1490" s="68"/>
      <c r="G1490" s="98"/>
      <c r="H1490" s="68"/>
      <c r="I1490" s="68"/>
      <c r="N1490" s="398"/>
      <c r="R1490" s="50"/>
      <c r="S1490" s="47"/>
      <c r="T1490" s="98"/>
      <c r="U1490" s="98"/>
      <c r="AF1490" s="39"/>
      <c r="AG1490" s="490"/>
      <c r="AH1490" s="490"/>
    </row>
    <row r="1491" spans="3:34" ht="19.5" customHeight="1">
      <c r="C1491" s="449"/>
      <c r="D1491" s="68"/>
      <c r="E1491" s="68"/>
      <c r="G1491" s="98"/>
      <c r="H1491" s="68"/>
      <c r="I1491" s="68"/>
      <c r="N1491" s="398"/>
      <c r="R1491" s="50"/>
      <c r="S1491" s="47"/>
      <c r="T1491" s="98"/>
      <c r="U1491" s="98"/>
      <c r="AF1491" s="39"/>
      <c r="AG1491" s="490"/>
      <c r="AH1491" s="490"/>
    </row>
    <row r="1492" spans="3:34" ht="19.5" customHeight="1">
      <c r="C1492" s="449"/>
      <c r="D1492" s="68"/>
      <c r="E1492" s="68"/>
      <c r="G1492" s="98"/>
      <c r="H1492" s="68"/>
      <c r="I1492" s="68"/>
      <c r="N1492" s="398"/>
      <c r="R1492" s="50"/>
      <c r="S1492" s="47"/>
      <c r="T1492" s="98"/>
      <c r="U1492" s="98"/>
      <c r="AF1492" s="39"/>
      <c r="AG1492" s="490"/>
      <c r="AH1492" s="490"/>
    </row>
    <row r="1493" spans="3:34" ht="19.5" customHeight="1">
      <c r="C1493" s="449"/>
      <c r="D1493" s="68"/>
      <c r="E1493" s="68"/>
      <c r="G1493" s="98"/>
      <c r="H1493" s="68"/>
      <c r="I1493" s="68"/>
      <c r="N1493" s="398"/>
      <c r="R1493" s="50"/>
      <c r="S1493" s="47"/>
      <c r="T1493" s="98"/>
      <c r="U1493" s="98"/>
      <c r="AF1493" s="39"/>
      <c r="AG1493" s="490"/>
      <c r="AH1493" s="490"/>
    </row>
    <row r="1494" spans="3:34" ht="19.5" customHeight="1">
      <c r="C1494" s="449"/>
      <c r="D1494" s="68"/>
      <c r="E1494" s="68"/>
      <c r="G1494" s="98"/>
      <c r="H1494" s="68"/>
      <c r="I1494" s="68"/>
      <c r="N1494" s="398"/>
      <c r="R1494" s="50"/>
      <c r="S1494" s="47"/>
      <c r="T1494" s="98"/>
      <c r="U1494" s="98"/>
      <c r="AF1494" s="39"/>
      <c r="AG1494" s="490"/>
      <c r="AH1494" s="490"/>
    </row>
    <row r="1495" spans="3:34" ht="19.5" customHeight="1">
      <c r="C1495" s="449"/>
      <c r="D1495" s="68"/>
      <c r="E1495" s="68"/>
      <c r="G1495" s="98"/>
      <c r="H1495" s="68"/>
      <c r="I1495" s="68"/>
      <c r="N1495" s="398"/>
      <c r="R1495" s="50"/>
      <c r="S1495" s="47"/>
      <c r="T1495" s="98"/>
      <c r="U1495" s="98"/>
      <c r="AF1495" s="39"/>
      <c r="AG1495" s="490"/>
      <c r="AH1495" s="490"/>
    </row>
    <row r="1496" spans="3:34" ht="19.5" customHeight="1">
      <c r="C1496" s="449"/>
      <c r="D1496" s="68"/>
      <c r="E1496" s="68"/>
      <c r="G1496" s="98"/>
      <c r="H1496" s="68"/>
      <c r="I1496" s="68"/>
      <c r="N1496" s="398"/>
      <c r="R1496" s="50"/>
      <c r="S1496" s="47"/>
      <c r="T1496" s="98"/>
      <c r="U1496" s="98"/>
      <c r="AF1496" s="39"/>
      <c r="AG1496" s="490"/>
      <c r="AH1496" s="490"/>
    </row>
    <row r="1497" spans="3:34" ht="19.5" customHeight="1">
      <c r="C1497" s="449"/>
      <c r="D1497" s="68"/>
      <c r="E1497" s="68"/>
      <c r="G1497" s="98"/>
      <c r="H1497" s="68"/>
      <c r="I1497" s="68"/>
      <c r="N1497" s="398"/>
      <c r="R1497" s="50"/>
      <c r="S1497" s="47"/>
      <c r="T1497" s="98"/>
      <c r="U1497" s="98"/>
      <c r="AF1497" s="39"/>
      <c r="AG1497" s="490"/>
      <c r="AH1497" s="490"/>
    </row>
    <row r="1498" spans="3:34" ht="19.5" customHeight="1">
      <c r="C1498" s="449"/>
      <c r="D1498" s="68"/>
      <c r="E1498" s="68"/>
      <c r="G1498" s="98"/>
      <c r="H1498" s="68"/>
      <c r="I1498" s="68"/>
      <c r="N1498" s="398"/>
      <c r="R1498" s="50"/>
      <c r="S1498" s="47"/>
      <c r="T1498" s="98"/>
      <c r="U1498" s="98"/>
      <c r="AF1498" s="39"/>
      <c r="AG1498" s="490"/>
      <c r="AH1498" s="490"/>
    </row>
    <row r="1499" spans="3:34" ht="19.5" customHeight="1">
      <c r="C1499" s="449"/>
      <c r="D1499" s="68"/>
      <c r="E1499" s="68"/>
      <c r="G1499" s="98"/>
      <c r="H1499" s="68"/>
      <c r="I1499" s="68"/>
      <c r="N1499" s="398"/>
      <c r="R1499" s="50"/>
      <c r="S1499" s="47"/>
      <c r="T1499" s="98"/>
      <c r="U1499" s="98"/>
      <c r="AF1499" s="39"/>
      <c r="AG1499" s="490"/>
      <c r="AH1499" s="490"/>
    </row>
    <row r="1500" spans="3:34" ht="19.5" customHeight="1">
      <c r="C1500" s="449"/>
      <c r="D1500" s="68"/>
      <c r="E1500" s="68"/>
      <c r="G1500" s="98"/>
      <c r="H1500" s="68"/>
      <c r="I1500" s="68"/>
      <c r="N1500" s="398"/>
      <c r="R1500" s="50"/>
      <c r="S1500" s="47"/>
      <c r="T1500" s="98"/>
      <c r="U1500" s="98"/>
      <c r="AF1500" s="39"/>
      <c r="AG1500" s="490"/>
      <c r="AH1500" s="490"/>
    </row>
    <row r="1501" spans="3:34" ht="19.5" customHeight="1">
      <c r="C1501" s="449"/>
      <c r="D1501" s="68"/>
      <c r="E1501" s="68"/>
      <c r="G1501" s="98"/>
      <c r="H1501" s="68"/>
      <c r="I1501" s="68"/>
      <c r="N1501" s="398"/>
      <c r="R1501" s="50"/>
      <c r="S1501" s="47"/>
      <c r="T1501" s="98"/>
      <c r="U1501" s="98"/>
      <c r="AF1501" s="39"/>
      <c r="AG1501" s="490"/>
      <c r="AH1501" s="490"/>
    </row>
    <row r="1502" spans="3:34" ht="19.5" customHeight="1">
      <c r="C1502" s="449"/>
      <c r="D1502" s="68"/>
      <c r="E1502" s="68"/>
      <c r="G1502" s="98"/>
      <c r="H1502" s="68"/>
      <c r="I1502" s="68"/>
      <c r="N1502" s="398"/>
      <c r="R1502" s="50"/>
      <c r="S1502" s="47"/>
      <c r="T1502" s="98"/>
      <c r="U1502" s="98"/>
      <c r="AF1502" s="39"/>
      <c r="AG1502" s="490"/>
      <c r="AH1502" s="490"/>
    </row>
    <row r="1503" spans="3:34" ht="19.5" customHeight="1">
      <c r="C1503" s="449"/>
      <c r="D1503" s="68"/>
      <c r="E1503" s="68"/>
      <c r="G1503" s="98"/>
      <c r="H1503" s="68"/>
      <c r="I1503" s="68"/>
      <c r="N1503" s="398"/>
      <c r="R1503" s="50"/>
      <c r="S1503" s="47"/>
      <c r="T1503" s="98"/>
      <c r="U1503" s="98"/>
      <c r="AF1503" s="39"/>
      <c r="AG1503" s="490"/>
      <c r="AH1503" s="490"/>
    </row>
    <row r="1504" spans="3:34" ht="19.5" customHeight="1">
      <c r="C1504" s="449"/>
      <c r="D1504" s="68"/>
      <c r="E1504" s="68"/>
      <c r="G1504" s="98"/>
      <c r="H1504" s="68"/>
      <c r="I1504" s="68"/>
      <c r="N1504" s="398"/>
      <c r="R1504" s="50"/>
      <c r="S1504" s="47"/>
      <c r="T1504" s="98"/>
      <c r="U1504" s="98"/>
      <c r="AF1504" s="39"/>
      <c r="AG1504" s="490"/>
      <c r="AH1504" s="490"/>
    </row>
    <row r="1505" spans="3:34" ht="19.5" customHeight="1">
      <c r="C1505" s="449"/>
      <c r="D1505" s="68"/>
      <c r="E1505" s="68"/>
      <c r="G1505" s="98"/>
      <c r="H1505" s="68"/>
      <c r="I1505" s="68"/>
      <c r="N1505" s="398"/>
      <c r="R1505" s="50"/>
      <c r="S1505" s="47"/>
      <c r="T1505" s="98"/>
      <c r="U1505" s="98"/>
      <c r="AF1505" s="39"/>
      <c r="AG1505" s="490"/>
      <c r="AH1505" s="490"/>
    </row>
    <row r="1506" spans="3:34" ht="19.5" customHeight="1">
      <c r="C1506" s="449"/>
      <c r="D1506" s="68"/>
      <c r="E1506" s="68"/>
      <c r="G1506" s="98"/>
      <c r="H1506" s="68"/>
      <c r="I1506" s="68"/>
      <c r="N1506" s="398"/>
      <c r="R1506" s="50"/>
      <c r="S1506" s="47"/>
      <c r="T1506" s="98"/>
      <c r="U1506" s="98"/>
      <c r="AF1506" s="39"/>
      <c r="AG1506" s="490"/>
      <c r="AH1506" s="490"/>
    </row>
    <row r="1507" spans="3:34" ht="19.5" customHeight="1">
      <c r="C1507" s="449"/>
      <c r="D1507" s="68"/>
      <c r="E1507" s="68"/>
      <c r="G1507" s="98"/>
      <c r="H1507" s="68"/>
      <c r="I1507" s="68"/>
      <c r="N1507" s="398"/>
      <c r="R1507" s="50"/>
      <c r="S1507" s="47"/>
      <c r="T1507" s="98"/>
      <c r="U1507" s="98"/>
      <c r="AF1507" s="39"/>
      <c r="AG1507" s="490"/>
      <c r="AH1507" s="490"/>
    </row>
    <row r="1508" spans="3:34" ht="19.5" customHeight="1">
      <c r="C1508" s="449"/>
      <c r="D1508" s="68"/>
      <c r="E1508" s="68"/>
      <c r="G1508" s="98"/>
      <c r="H1508" s="68"/>
      <c r="I1508" s="68"/>
      <c r="N1508" s="398"/>
      <c r="R1508" s="50"/>
      <c r="S1508" s="47"/>
      <c r="T1508" s="98"/>
      <c r="U1508" s="98"/>
      <c r="AF1508" s="39"/>
      <c r="AG1508" s="490"/>
      <c r="AH1508" s="490"/>
    </row>
    <row r="1509" spans="3:34" ht="19.5" customHeight="1">
      <c r="C1509" s="449"/>
      <c r="D1509" s="68"/>
      <c r="E1509" s="68"/>
      <c r="G1509" s="98"/>
      <c r="H1509" s="68"/>
      <c r="I1509" s="68"/>
      <c r="N1509" s="398"/>
      <c r="R1509" s="50"/>
      <c r="S1509" s="47"/>
      <c r="T1509" s="98"/>
      <c r="U1509" s="98"/>
      <c r="AF1509" s="39"/>
      <c r="AG1509" s="490"/>
      <c r="AH1509" s="490"/>
    </row>
    <row r="1510" spans="3:34" ht="19.5" customHeight="1">
      <c r="C1510" s="449"/>
      <c r="D1510" s="68"/>
      <c r="E1510" s="68"/>
      <c r="G1510" s="98"/>
      <c r="H1510" s="68"/>
      <c r="I1510" s="68"/>
      <c r="N1510" s="398"/>
      <c r="R1510" s="50"/>
      <c r="S1510" s="47"/>
      <c r="T1510" s="98"/>
      <c r="U1510" s="98"/>
      <c r="AF1510" s="39"/>
      <c r="AG1510" s="490"/>
      <c r="AH1510" s="490"/>
    </row>
    <row r="1511" spans="3:34" ht="19.5" customHeight="1">
      <c r="C1511" s="449"/>
      <c r="D1511" s="68"/>
      <c r="E1511" s="68"/>
      <c r="G1511" s="98"/>
      <c r="H1511" s="68"/>
      <c r="I1511" s="68"/>
      <c r="N1511" s="398"/>
      <c r="R1511" s="50"/>
      <c r="S1511" s="47"/>
      <c r="T1511" s="98"/>
      <c r="U1511" s="98"/>
      <c r="AF1511" s="39"/>
      <c r="AG1511" s="490"/>
      <c r="AH1511" s="490"/>
    </row>
    <row r="1512" spans="3:34" ht="19.5" customHeight="1">
      <c r="C1512" s="449"/>
      <c r="D1512" s="68"/>
      <c r="E1512" s="68"/>
      <c r="G1512" s="98"/>
      <c r="H1512" s="68"/>
      <c r="I1512" s="68"/>
      <c r="N1512" s="398"/>
      <c r="R1512" s="50"/>
      <c r="S1512" s="47"/>
      <c r="T1512" s="98"/>
      <c r="U1512" s="98"/>
      <c r="AF1512" s="39"/>
      <c r="AG1512" s="490"/>
      <c r="AH1512" s="490"/>
    </row>
    <row r="1513" spans="3:34" ht="19.5" customHeight="1">
      <c r="C1513" s="449"/>
      <c r="D1513" s="68"/>
      <c r="E1513" s="68"/>
      <c r="G1513" s="98"/>
      <c r="H1513" s="68"/>
      <c r="I1513" s="68"/>
      <c r="N1513" s="398"/>
      <c r="R1513" s="50"/>
      <c r="S1513" s="47"/>
      <c r="T1513" s="98"/>
      <c r="U1513" s="98"/>
      <c r="AF1513" s="39"/>
      <c r="AG1513" s="490"/>
      <c r="AH1513" s="490"/>
    </row>
    <row r="1514" spans="3:34" ht="19.5" customHeight="1">
      <c r="C1514" s="449"/>
      <c r="D1514" s="68"/>
      <c r="E1514" s="68"/>
      <c r="G1514" s="98"/>
      <c r="H1514" s="68"/>
      <c r="I1514" s="68"/>
      <c r="N1514" s="398"/>
      <c r="R1514" s="50"/>
      <c r="S1514" s="47"/>
      <c r="T1514" s="98"/>
      <c r="U1514" s="98"/>
      <c r="AF1514" s="39"/>
      <c r="AG1514" s="490"/>
      <c r="AH1514" s="490"/>
    </row>
    <row r="1515" spans="3:34" ht="19.5" customHeight="1">
      <c r="C1515" s="449"/>
      <c r="D1515" s="68"/>
      <c r="E1515" s="68"/>
      <c r="G1515" s="98"/>
      <c r="H1515" s="68"/>
      <c r="I1515" s="68"/>
      <c r="N1515" s="398"/>
      <c r="R1515" s="50"/>
      <c r="S1515" s="47"/>
      <c r="T1515" s="98"/>
      <c r="U1515" s="98"/>
      <c r="AF1515" s="39"/>
      <c r="AG1515" s="490"/>
      <c r="AH1515" s="490"/>
    </row>
    <row r="1516" spans="3:34" ht="19.5" customHeight="1">
      <c r="C1516" s="449"/>
      <c r="D1516" s="68"/>
      <c r="E1516" s="68"/>
      <c r="G1516" s="98"/>
      <c r="H1516" s="68"/>
      <c r="I1516" s="68"/>
      <c r="N1516" s="398"/>
      <c r="R1516" s="50"/>
      <c r="S1516" s="47"/>
      <c r="T1516" s="98"/>
      <c r="U1516" s="98"/>
      <c r="AF1516" s="39"/>
      <c r="AG1516" s="490"/>
      <c r="AH1516" s="490"/>
    </row>
    <row r="1517" spans="3:34" ht="19.5" customHeight="1">
      <c r="C1517" s="449"/>
      <c r="D1517" s="68"/>
      <c r="E1517" s="68"/>
      <c r="G1517" s="98"/>
      <c r="H1517" s="68"/>
      <c r="I1517" s="68"/>
      <c r="N1517" s="398"/>
      <c r="R1517" s="50"/>
      <c r="S1517" s="47"/>
      <c r="T1517" s="98"/>
      <c r="U1517" s="98"/>
      <c r="AF1517" s="39"/>
      <c r="AG1517" s="490"/>
      <c r="AH1517" s="490"/>
    </row>
    <row r="1518" spans="3:34" ht="19.5" customHeight="1">
      <c r="C1518" s="449"/>
      <c r="D1518" s="68"/>
      <c r="E1518" s="68"/>
      <c r="G1518" s="98"/>
      <c r="H1518" s="68"/>
      <c r="I1518" s="68"/>
      <c r="N1518" s="398"/>
      <c r="R1518" s="50"/>
      <c r="S1518" s="47"/>
      <c r="T1518" s="98"/>
      <c r="U1518" s="98"/>
      <c r="AF1518" s="39"/>
      <c r="AG1518" s="490"/>
      <c r="AH1518" s="490"/>
    </row>
    <row r="1519" spans="3:34" ht="19.5" customHeight="1">
      <c r="C1519" s="449"/>
      <c r="D1519" s="68"/>
      <c r="E1519" s="68"/>
      <c r="G1519" s="98"/>
      <c r="H1519" s="68"/>
      <c r="I1519" s="68"/>
      <c r="N1519" s="398"/>
      <c r="R1519" s="50"/>
      <c r="S1519" s="47"/>
      <c r="T1519" s="98"/>
      <c r="U1519" s="98"/>
      <c r="AF1519" s="39"/>
      <c r="AG1519" s="490"/>
      <c r="AH1519" s="490"/>
    </row>
    <row r="1520" spans="3:34" ht="19.5" customHeight="1">
      <c r="C1520" s="449"/>
      <c r="D1520" s="68"/>
      <c r="E1520" s="68"/>
      <c r="G1520" s="98"/>
      <c r="H1520" s="68"/>
      <c r="I1520" s="68"/>
      <c r="N1520" s="398"/>
      <c r="R1520" s="50"/>
      <c r="S1520" s="47"/>
      <c r="T1520" s="98"/>
      <c r="U1520" s="98"/>
      <c r="AF1520" s="39"/>
      <c r="AG1520" s="490"/>
      <c r="AH1520" s="490"/>
    </row>
    <row r="1521" spans="3:34" ht="19.5" customHeight="1">
      <c r="C1521" s="449"/>
      <c r="D1521" s="68"/>
      <c r="E1521" s="68"/>
      <c r="G1521" s="98"/>
      <c r="H1521" s="68"/>
      <c r="I1521" s="68"/>
      <c r="N1521" s="398"/>
      <c r="R1521" s="50"/>
      <c r="S1521" s="47"/>
      <c r="T1521" s="98"/>
      <c r="U1521" s="98"/>
      <c r="AF1521" s="39"/>
      <c r="AG1521" s="490"/>
      <c r="AH1521" s="490"/>
    </row>
    <row r="1522" spans="3:34" ht="19.5" customHeight="1">
      <c r="C1522" s="449"/>
      <c r="D1522" s="68"/>
      <c r="E1522" s="68"/>
      <c r="G1522" s="98"/>
      <c r="H1522" s="68"/>
      <c r="I1522" s="68"/>
      <c r="N1522" s="398"/>
      <c r="R1522" s="50"/>
      <c r="S1522" s="47"/>
      <c r="T1522" s="98"/>
      <c r="U1522" s="98"/>
      <c r="AF1522" s="39"/>
      <c r="AG1522" s="490"/>
      <c r="AH1522" s="490"/>
    </row>
    <row r="1523" spans="3:34" ht="19.5" customHeight="1">
      <c r="C1523" s="449"/>
      <c r="D1523" s="68"/>
      <c r="E1523" s="68"/>
      <c r="G1523" s="98"/>
      <c r="H1523" s="68"/>
      <c r="I1523" s="68"/>
      <c r="N1523" s="398"/>
      <c r="R1523" s="50"/>
      <c r="S1523" s="47"/>
      <c r="T1523" s="98"/>
      <c r="U1523" s="98"/>
      <c r="AF1523" s="39"/>
      <c r="AG1523" s="490"/>
      <c r="AH1523" s="490"/>
    </row>
    <row r="1524" spans="3:34" ht="19.5" customHeight="1">
      <c r="C1524" s="449"/>
      <c r="D1524" s="68"/>
      <c r="E1524" s="68"/>
      <c r="G1524" s="98"/>
      <c r="H1524" s="68"/>
      <c r="I1524" s="68"/>
      <c r="N1524" s="398"/>
      <c r="R1524" s="50"/>
      <c r="S1524" s="47"/>
      <c r="T1524" s="98"/>
      <c r="U1524" s="98"/>
      <c r="AF1524" s="39"/>
      <c r="AG1524" s="490"/>
      <c r="AH1524" s="490"/>
    </row>
    <row r="1525" spans="3:34" ht="19.5" customHeight="1">
      <c r="C1525" s="449"/>
      <c r="D1525" s="68"/>
      <c r="E1525" s="68"/>
      <c r="G1525" s="98"/>
      <c r="H1525" s="68"/>
      <c r="I1525" s="68"/>
      <c r="N1525" s="398"/>
      <c r="R1525" s="50"/>
      <c r="S1525" s="47"/>
      <c r="T1525" s="98"/>
      <c r="U1525" s="98"/>
      <c r="AF1525" s="39"/>
      <c r="AG1525" s="490"/>
      <c r="AH1525" s="490"/>
    </row>
    <row r="1526" spans="3:34" ht="19.5" customHeight="1">
      <c r="C1526" s="449"/>
      <c r="D1526" s="68"/>
      <c r="E1526" s="68"/>
      <c r="G1526" s="98"/>
      <c r="H1526" s="68"/>
      <c r="I1526" s="68"/>
      <c r="N1526" s="398"/>
      <c r="R1526" s="50"/>
      <c r="S1526" s="47"/>
      <c r="T1526" s="98"/>
      <c r="U1526" s="98"/>
      <c r="AF1526" s="39"/>
      <c r="AG1526" s="490"/>
      <c r="AH1526" s="490"/>
    </row>
    <row r="1527" spans="3:34" ht="19.5" customHeight="1">
      <c r="C1527" s="449"/>
      <c r="D1527" s="68"/>
      <c r="E1527" s="68"/>
      <c r="G1527" s="98"/>
      <c r="H1527" s="68"/>
      <c r="I1527" s="68"/>
      <c r="N1527" s="398"/>
      <c r="R1527" s="50"/>
      <c r="S1527" s="47"/>
      <c r="T1527" s="98"/>
      <c r="U1527" s="98"/>
      <c r="AF1527" s="39"/>
      <c r="AG1527" s="490"/>
      <c r="AH1527" s="490"/>
    </row>
    <row r="1528" spans="3:34" ht="19.5" customHeight="1">
      <c r="C1528" s="449"/>
      <c r="D1528" s="68"/>
      <c r="E1528" s="68"/>
      <c r="G1528" s="98"/>
      <c r="H1528" s="68"/>
      <c r="I1528" s="68"/>
      <c r="N1528" s="398"/>
      <c r="R1528" s="50"/>
      <c r="S1528" s="47"/>
      <c r="T1528" s="98"/>
      <c r="U1528" s="98"/>
      <c r="AF1528" s="39"/>
      <c r="AG1528" s="490"/>
      <c r="AH1528" s="490"/>
    </row>
    <row r="1529" spans="3:34" ht="19.5" customHeight="1">
      <c r="C1529" s="449"/>
      <c r="D1529" s="68"/>
      <c r="E1529" s="68"/>
      <c r="G1529" s="98"/>
      <c r="H1529" s="68"/>
      <c r="I1529" s="68"/>
      <c r="N1529" s="398"/>
      <c r="R1529" s="50"/>
      <c r="S1529" s="47"/>
      <c r="T1529" s="98"/>
      <c r="U1529" s="98"/>
      <c r="AF1529" s="39"/>
      <c r="AG1529" s="490"/>
      <c r="AH1529" s="490"/>
    </row>
    <row r="1530" spans="3:34" ht="19.5" customHeight="1">
      <c r="C1530" s="449"/>
      <c r="D1530" s="68"/>
      <c r="E1530" s="68"/>
      <c r="G1530" s="98"/>
      <c r="H1530" s="68"/>
      <c r="I1530" s="68"/>
      <c r="N1530" s="398"/>
      <c r="R1530" s="50"/>
      <c r="S1530" s="47"/>
      <c r="T1530" s="98"/>
      <c r="U1530" s="98"/>
      <c r="AF1530" s="39"/>
      <c r="AG1530" s="490"/>
      <c r="AH1530" s="490"/>
    </row>
    <row r="1531" spans="3:34" ht="19.5" customHeight="1">
      <c r="C1531" s="449"/>
      <c r="D1531" s="68"/>
      <c r="E1531" s="68"/>
      <c r="G1531" s="98"/>
      <c r="H1531" s="68"/>
      <c r="I1531" s="68"/>
      <c r="N1531" s="398"/>
      <c r="R1531" s="50"/>
      <c r="S1531" s="47"/>
      <c r="T1531" s="98"/>
      <c r="U1531" s="98"/>
      <c r="AF1531" s="39"/>
      <c r="AG1531" s="490"/>
      <c r="AH1531" s="490"/>
    </row>
    <row r="1532" spans="3:34" ht="19.5" customHeight="1">
      <c r="C1532" s="449"/>
      <c r="D1532" s="68"/>
      <c r="E1532" s="68"/>
      <c r="G1532" s="98"/>
      <c r="H1532" s="68"/>
      <c r="I1532" s="68"/>
      <c r="N1532" s="398"/>
      <c r="R1532" s="50"/>
      <c r="S1532" s="47"/>
      <c r="T1532" s="98"/>
      <c r="U1532" s="98"/>
      <c r="AF1532" s="39"/>
      <c r="AG1532" s="490"/>
      <c r="AH1532" s="490"/>
    </row>
    <row r="1533" spans="3:34" ht="19.5" customHeight="1">
      <c r="C1533" s="449"/>
      <c r="D1533" s="68"/>
      <c r="E1533" s="68"/>
      <c r="G1533" s="98"/>
      <c r="H1533" s="68"/>
      <c r="I1533" s="68"/>
      <c r="N1533" s="398"/>
      <c r="R1533" s="50"/>
      <c r="S1533" s="47"/>
      <c r="T1533" s="98"/>
      <c r="U1533" s="98"/>
      <c r="AF1533" s="39"/>
      <c r="AG1533" s="490"/>
      <c r="AH1533" s="490"/>
    </row>
    <row r="1534" spans="3:34" ht="19.5" customHeight="1">
      <c r="C1534" s="449"/>
      <c r="D1534" s="68"/>
      <c r="E1534" s="68"/>
      <c r="G1534" s="98"/>
      <c r="H1534" s="68"/>
      <c r="I1534" s="68"/>
      <c r="N1534" s="398"/>
      <c r="R1534" s="50"/>
      <c r="S1534" s="47"/>
      <c r="T1534" s="98"/>
      <c r="U1534" s="98"/>
      <c r="AF1534" s="39"/>
      <c r="AG1534" s="490"/>
      <c r="AH1534" s="490"/>
    </row>
    <row r="1535" spans="3:34" ht="19.5" customHeight="1">
      <c r="C1535" s="449"/>
      <c r="D1535" s="68"/>
      <c r="E1535" s="68"/>
      <c r="G1535" s="98"/>
      <c r="H1535" s="68"/>
      <c r="I1535" s="68"/>
      <c r="N1535" s="398"/>
      <c r="R1535" s="50"/>
      <c r="S1535" s="47"/>
      <c r="T1535" s="98"/>
      <c r="U1535" s="98"/>
      <c r="AF1535" s="39"/>
      <c r="AG1535" s="490"/>
      <c r="AH1535" s="490"/>
    </row>
    <row r="1536" spans="3:34" ht="19.5" customHeight="1">
      <c r="C1536" s="449"/>
      <c r="D1536" s="68"/>
      <c r="E1536" s="68"/>
      <c r="G1536" s="98"/>
      <c r="H1536" s="68"/>
      <c r="I1536" s="68"/>
      <c r="N1536" s="398"/>
      <c r="R1536" s="50"/>
      <c r="S1536" s="47"/>
      <c r="T1536" s="98"/>
      <c r="U1536" s="98"/>
      <c r="AF1536" s="39"/>
      <c r="AG1536" s="490"/>
      <c r="AH1536" s="490"/>
    </row>
    <row r="1537" spans="3:34" ht="19.5" customHeight="1">
      <c r="C1537" s="449"/>
      <c r="D1537" s="68"/>
      <c r="E1537" s="68"/>
      <c r="G1537" s="98"/>
      <c r="H1537" s="68"/>
      <c r="I1537" s="68"/>
      <c r="N1537" s="398"/>
      <c r="R1537" s="50"/>
      <c r="S1537" s="47"/>
      <c r="T1537" s="98"/>
      <c r="U1537" s="98"/>
      <c r="AF1537" s="39"/>
      <c r="AG1537" s="490"/>
      <c r="AH1537" s="490"/>
    </row>
    <row r="1538" spans="3:34" ht="19.5" customHeight="1">
      <c r="C1538" s="449"/>
      <c r="D1538" s="68"/>
      <c r="E1538" s="68"/>
      <c r="G1538" s="98"/>
      <c r="H1538" s="68"/>
      <c r="I1538" s="68"/>
      <c r="N1538" s="398"/>
      <c r="R1538" s="50"/>
      <c r="S1538" s="47"/>
      <c r="T1538" s="98"/>
      <c r="U1538" s="98"/>
      <c r="AF1538" s="39"/>
      <c r="AG1538" s="490"/>
      <c r="AH1538" s="490"/>
    </row>
    <row r="1539" spans="3:34" ht="19.5" customHeight="1">
      <c r="C1539" s="449"/>
      <c r="D1539" s="68"/>
      <c r="E1539" s="68"/>
      <c r="G1539" s="98"/>
      <c r="H1539" s="68"/>
      <c r="I1539" s="68"/>
      <c r="N1539" s="398"/>
      <c r="R1539" s="50"/>
      <c r="S1539" s="47"/>
      <c r="T1539" s="98"/>
      <c r="U1539" s="98"/>
      <c r="AF1539" s="39"/>
      <c r="AG1539" s="490"/>
      <c r="AH1539" s="490"/>
    </row>
    <row r="1540" spans="3:34" ht="19.5" customHeight="1">
      <c r="C1540" s="449"/>
      <c r="D1540" s="68"/>
      <c r="E1540" s="68"/>
      <c r="G1540" s="98"/>
      <c r="H1540" s="68"/>
      <c r="I1540" s="68"/>
      <c r="N1540" s="398"/>
      <c r="R1540" s="50"/>
      <c r="S1540" s="47"/>
      <c r="T1540" s="98"/>
      <c r="U1540" s="98"/>
      <c r="AF1540" s="39"/>
      <c r="AG1540" s="490"/>
      <c r="AH1540" s="490"/>
    </row>
    <row r="1541" spans="3:34" ht="19.5" customHeight="1">
      <c r="C1541" s="449"/>
      <c r="D1541" s="68"/>
      <c r="E1541" s="68"/>
      <c r="G1541" s="98"/>
      <c r="H1541" s="68"/>
      <c r="I1541" s="68"/>
      <c r="N1541" s="398"/>
      <c r="R1541" s="50"/>
      <c r="S1541" s="47"/>
      <c r="T1541" s="98"/>
      <c r="U1541" s="98"/>
      <c r="AF1541" s="39"/>
      <c r="AG1541" s="490"/>
      <c r="AH1541" s="490"/>
    </row>
    <row r="1542" spans="3:34" ht="19.5" customHeight="1">
      <c r="C1542" s="449"/>
      <c r="D1542" s="68"/>
      <c r="E1542" s="68"/>
      <c r="G1542" s="98"/>
      <c r="H1542" s="68"/>
      <c r="I1542" s="68"/>
      <c r="N1542" s="398"/>
      <c r="R1542" s="50"/>
      <c r="S1542" s="47"/>
      <c r="T1542" s="98"/>
      <c r="U1542" s="98"/>
      <c r="AF1542" s="39"/>
      <c r="AG1542" s="490"/>
      <c r="AH1542" s="490"/>
    </row>
    <row r="1543" spans="3:34" ht="19.5" customHeight="1">
      <c r="C1543" s="449"/>
      <c r="D1543" s="68"/>
      <c r="E1543" s="68"/>
      <c r="G1543" s="98"/>
      <c r="H1543" s="68"/>
      <c r="I1543" s="68"/>
      <c r="N1543" s="398"/>
      <c r="R1543" s="50"/>
      <c r="S1543" s="47"/>
      <c r="T1543" s="98"/>
      <c r="U1543" s="98"/>
      <c r="AF1543" s="39"/>
      <c r="AG1543" s="490"/>
      <c r="AH1543" s="490"/>
    </row>
    <row r="1544" spans="3:34" ht="19.5" customHeight="1">
      <c r="C1544" s="449"/>
      <c r="D1544" s="68"/>
      <c r="E1544" s="68"/>
      <c r="G1544" s="98"/>
      <c r="H1544" s="68"/>
      <c r="I1544" s="68"/>
      <c r="N1544" s="398"/>
      <c r="R1544" s="50"/>
      <c r="S1544" s="47"/>
      <c r="T1544" s="98"/>
      <c r="U1544" s="98"/>
      <c r="AF1544" s="39"/>
      <c r="AG1544" s="490"/>
      <c r="AH1544" s="490"/>
    </row>
    <row r="1545" spans="3:34" ht="19.5" customHeight="1">
      <c r="C1545" s="449"/>
      <c r="D1545" s="68"/>
      <c r="E1545" s="68"/>
      <c r="G1545" s="98"/>
      <c r="H1545" s="68"/>
      <c r="I1545" s="68"/>
      <c r="N1545" s="398"/>
      <c r="R1545" s="50"/>
      <c r="S1545" s="47"/>
      <c r="T1545" s="98"/>
      <c r="U1545" s="98"/>
      <c r="AF1545" s="39"/>
      <c r="AG1545" s="490"/>
      <c r="AH1545" s="490"/>
    </row>
    <row r="1546" spans="3:34" ht="19.5" customHeight="1">
      <c r="C1546" s="449"/>
      <c r="D1546" s="68"/>
      <c r="E1546" s="68"/>
      <c r="G1546" s="98"/>
      <c r="H1546" s="68"/>
      <c r="I1546" s="68"/>
      <c r="N1546" s="398"/>
      <c r="R1546" s="50"/>
      <c r="S1546" s="47"/>
      <c r="T1546" s="98"/>
      <c r="U1546" s="98"/>
      <c r="AF1546" s="39"/>
      <c r="AG1546" s="490"/>
      <c r="AH1546" s="490"/>
    </row>
    <row r="1547" spans="3:34" ht="19.5" customHeight="1">
      <c r="C1547" s="449"/>
      <c r="D1547" s="68"/>
      <c r="E1547" s="68"/>
      <c r="G1547" s="98"/>
      <c r="H1547" s="68"/>
      <c r="I1547" s="68"/>
      <c r="N1547" s="398"/>
      <c r="R1547" s="50"/>
      <c r="S1547" s="47"/>
      <c r="T1547" s="98"/>
      <c r="U1547" s="98"/>
      <c r="AF1547" s="39"/>
      <c r="AG1547" s="490"/>
      <c r="AH1547" s="490"/>
    </row>
    <row r="1548" spans="3:34" ht="19.5" customHeight="1">
      <c r="C1548" s="449"/>
      <c r="D1548" s="68"/>
      <c r="E1548" s="68"/>
      <c r="G1548" s="98"/>
      <c r="H1548" s="68"/>
      <c r="I1548" s="68"/>
      <c r="N1548" s="398"/>
      <c r="R1548" s="50"/>
      <c r="S1548" s="47"/>
      <c r="T1548" s="98"/>
      <c r="U1548" s="98"/>
      <c r="AF1548" s="39"/>
      <c r="AG1548" s="490"/>
      <c r="AH1548" s="490"/>
    </row>
    <row r="1549" spans="3:34" ht="19.5" customHeight="1">
      <c r="C1549" s="449"/>
      <c r="D1549" s="68"/>
      <c r="E1549" s="68"/>
      <c r="G1549" s="98"/>
      <c r="H1549" s="68"/>
      <c r="I1549" s="68"/>
      <c r="N1549" s="398"/>
      <c r="R1549" s="50"/>
      <c r="S1549" s="47"/>
      <c r="T1549" s="98"/>
      <c r="U1549" s="98"/>
      <c r="AF1549" s="39"/>
      <c r="AG1549" s="490"/>
      <c r="AH1549" s="490"/>
    </row>
    <row r="1550" spans="3:34" ht="19.5" customHeight="1">
      <c r="C1550" s="449"/>
      <c r="D1550" s="68"/>
      <c r="E1550" s="68"/>
      <c r="G1550" s="98"/>
      <c r="H1550" s="68"/>
      <c r="I1550" s="68"/>
      <c r="N1550" s="398"/>
      <c r="R1550" s="50"/>
      <c r="S1550" s="47"/>
      <c r="T1550" s="98"/>
      <c r="U1550" s="98"/>
      <c r="AF1550" s="39"/>
      <c r="AG1550" s="490"/>
      <c r="AH1550" s="490"/>
    </row>
    <row r="1551" spans="3:34" ht="19.5" customHeight="1">
      <c r="C1551" s="449"/>
      <c r="D1551" s="68"/>
      <c r="E1551" s="68"/>
      <c r="G1551" s="98"/>
      <c r="H1551" s="68"/>
      <c r="I1551" s="68"/>
      <c r="N1551" s="398"/>
      <c r="R1551" s="50"/>
      <c r="S1551" s="47"/>
      <c r="T1551" s="98"/>
      <c r="U1551" s="98"/>
      <c r="AF1551" s="39"/>
      <c r="AG1551" s="490"/>
      <c r="AH1551" s="490"/>
    </row>
    <row r="1552" spans="3:34" ht="19.5" customHeight="1">
      <c r="C1552" s="449"/>
      <c r="D1552" s="68"/>
      <c r="E1552" s="68"/>
      <c r="G1552" s="98"/>
      <c r="H1552" s="68"/>
      <c r="I1552" s="68"/>
      <c r="N1552" s="398"/>
      <c r="R1552" s="50"/>
      <c r="S1552" s="47"/>
      <c r="T1552" s="98"/>
      <c r="U1552" s="98"/>
      <c r="AF1552" s="39"/>
      <c r="AG1552" s="490"/>
      <c r="AH1552" s="490"/>
    </row>
    <row r="1553" spans="3:34" ht="19.5" customHeight="1">
      <c r="C1553" s="449"/>
      <c r="D1553" s="68"/>
      <c r="E1553" s="68"/>
      <c r="G1553" s="98"/>
      <c r="H1553" s="68"/>
      <c r="I1553" s="68"/>
      <c r="N1553" s="398"/>
      <c r="R1553" s="50"/>
      <c r="S1553" s="47"/>
      <c r="T1553" s="98"/>
      <c r="U1553" s="98"/>
      <c r="AF1553" s="39"/>
      <c r="AG1553" s="490"/>
      <c r="AH1553" s="490"/>
    </row>
    <row r="1554" spans="3:34" ht="19.5" customHeight="1">
      <c r="C1554" s="449"/>
      <c r="D1554" s="68"/>
      <c r="E1554" s="68"/>
      <c r="G1554" s="98"/>
      <c r="H1554" s="68"/>
      <c r="I1554" s="68"/>
      <c r="N1554" s="398"/>
      <c r="R1554" s="50"/>
      <c r="S1554" s="47"/>
      <c r="T1554" s="98"/>
      <c r="U1554" s="98"/>
      <c r="AF1554" s="39"/>
      <c r="AG1554" s="490"/>
      <c r="AH1554" s="490"/>
    </row>
    <row r="1555" spans="3:34" ht="19.5" customHeight="1">
      <c r="C1555" s="449"/>
      <c r="D1555" s="68"/>
      <c r="E1555" s="68"/>
      <c r="G1555" s="98"/>
      <c r="H1555" s="68"/>
      <c r="I1555" s="68"/>
      <c r="N1555" s="398"/>
      <c r="R1555" s="50"/>
      <c r="S1555" s="47"/>
      <c r="T1555" s="98"/>
      <c r="U1555" s="98"/>
      <c r="AF1555" s="39"/>
      <c r="AG1555" s="490"/>
      <c r="AH1555" s="490"/>
    </row>
    <row r="1556" spans="3:34" ht="19.5" customHeight="1">
      <c r="C1556" s="449"/>
      <c r="D1556" s="68"/>
      <c r="E1556" s="68"/>
      <c r="G1556" s="98"/>
      <c r="H1556" s="68"/>
      <c r="I1556" s="68"/>
      <c r="N1556" s="398"/>
      <c r="R1556" s="50"/>
      <c r="S1556" s="47"/>
      <c r="T1556" s="98"/>
      <c r="U1556" s="98"/>
      <c r="AF1556" s="39"/>
      <c r="AG1556" s="490"/>
      <c r="AH1556" s="490"/>
    </row>
    <row r="1557" spans="3:34" ht="19.5" customHeight="1">
      <c r="C1557" s="449"/>
      <c r="D1557" s="68"/>
      <c r="E1557" s="68"/>
      <c r="G1557" s="98"/>
      <c r="H1557" s="68"/>
      <c r="I1557" s="68"/>
      <c r="N1557" s="398"/>
      <c r="R1557" s="50"/>
      <c r="S1557" s="47"/>
      <c r="T1557" s="98"/>
      <c r="U1557" s="98"/>
      <c r="AF1557" s="39"/>
      <c r="AG1557" s="490"/>
      <c r="AH1557" s="490"/>
    </row>
    <row r="1558" spans="3:34" ht="19.5" customHeight="1">
      <c r="C1558" s="449"/>
      <c r="D1558" s="68"/>
      <c r="E1558" s="68"/>
      <c r="G1558" s="98"/>
      <c r="H1558" s="68"/>
      <c r="I1558" s="68"/>
      <c r="N1558" s="398"/>
      <c r="R1558" s="50"/>
      <c r="S1558" s="47"/>
      <c r="T1558" s="98"/>
      <c r="U1558" s="98"/>
      <c r="AF1558" s="39"/>
      <c r="AG1558" s="490"/>
      <c r="AH1558" s="490"/>
    </row>
    <row r="1559" spans="3:34" ht="19.5" customHeight="1">
      <c r="C1559" s="449"/>
      <c r="D1559" s="68"/>
      <c r="E1559" s="68"/>
      <c r="G1559" s="98"/>
      <c r="H1559" s="68"/>
      <c r="I1559" s="68"/>
      <c r="N1559" s="398"/>
      <c r="R1559" s="50"/>
      <c r="S1559" s="47"/>
      <c r="T1559" s="98"/>
      <c r="U1559" s="98"/>
      <c r="AF1559" s="39"/>
      <c r="AG1559" s="490"/>
      <c r="AH1559" s="490"/>
    </row>
    <row r="1560" spans="3:34" ht="19.5" customHeight="1">
      <c r="C1560" s="449"/>
      <c r="D1560" s="68"/>
      <c r="E1560" s="68"/>
      <c r="G1560" s="98"/>
      <c r="H1560" s="68"/>
      <c r="I1560" s="68"/>
      <c r="N1560" s="398"/>
      <c r="R1560" s="50"/>
      <c r="S1560" s="47"/>
      <c r="T1560" s="98"/>
      <c r="U1560" s="98"/>
      <c r="AF1560" s="39"/>
      <c r="AG1560" s="490"/>
      <c r="AH1560" s="490"/>
    </row>
    <row r="1561" spans="3:34" ht="19.5" customHeight="1">
      <c r="C1561" s="449"/>
      <c r="D1561" s="68"/>
      <c r="E1561" s="68"/>
      <c r="G1561" s="98"/>
      <c r="H1561" s="68"/>
      <c r="I1561" s="68"/>
      <c r="N1561" s="398"/>
      <c r="R1561" s="50"/>
      <c r="S1561" s="47"/>
      <c r="T1561" s="98"/>
      <c r="U1561" s="98"/>
      <c r="AF1561" s="39"/>
      <c r="AG1561" s="490"/>
      <c r="AH1561" s="490"/>
    </row>
    <row r="1562" spans="3:34" ht="19.5" customHeight="1">
      <c r="C1562" s="449"/>
      <c r="D1562" s="68"/>
      <c r="E1562" s="68"/>
      <c r="G1562" s="98"/>
      <c r="H1562" s="68"/>
      <c r="I1562" s="68"/>
      <c r="N1562" s="398"/>
      <c r="R1562" s="50"/>
      <c r="S1562" s="47"/>
      <c r="T1562" s="98"/>
      <c r="U1562" s="98"/>
      <c r="AF1562" s="39"/>
      <c r="AG1562" s="490"/>
      <c r="AH1562" s="490"/>
    </row>
    <row r="1563" spans="3:34" ht="19.5" customHeight="1">
      <c r="C1563" s="449"/>
      <c r="D1563" s="68"/>
      <c r="E1563" s="68"/>
      <c r="G1563" s="98"/>
      <c r="H1563" s="68"/>
      <c r="I1563" s="68"/>
      <c r="N1563" s="398"/>
      <c r="R1563" s="50"/>
      <c r="S1563" s="47"/>
      <c r="T1563" s="98"/>
      <c r="U1563" s="98"/>
      <c r="AF1563" s="39"/>
      <c r="AG1563" s="490"/>
      <c r="AH1563" s="490"/>
    </row>
    <row r="1564" spans="3:34" ht="19.5" customHeight="1">
      <c r="C1564" s="449"/>
      <c r="D1564" s="68"/>
      <c r="E1564" s="68"/>
      <c r="G1564" s="98"/>
      <c r="H1564" s="68"/>
      <c r="I1564" s="68"/>
      <c r="N1564" s="398"/>
      <c r="R1564" s="50"/>
      <c r="S1564" s="47"/>
      <c r="T1564" s="98"/>
      <c r="U1564" s="98"/>
      <c r="AF1564" s="39"/>
      <c r="AG1564" s="490"/>
      <c r="AH1564" s="490"/>
    </row>
    <row r="1565" spans="3:34" ht="19.5" customHeight="1">
      <c r="C1565" s="449"/>
      <c r="D1565" s="68"/>
      <c r="E1565" s="68"/>
      <c r="G1565" s="98"/>
      <c r="H1565" s="68"/>
      <c r="I1565" s="68"/>
      <c r="N1565" s="398"/>
      <c r="R1565" s="50"/>
      <c r="S1565" s="47"/>
      <c r="T1565" s="98"/>
      <c r="U1565" s="98"/>
      <c r="AF1565" s="39"/>
      <c r="AG1565" s="490"/>
      <c r="AH1565" s="490"/>
    </row>
    <row r="1566" spans="3:34" ht="19.5" customHeight="1">
      <c r="C1566" s="449"/>
      <c r="D1566" s="68"/>
      <c r="E1566" s="68"/>
      <c r="G1566" s="98"/>
      <c r="H1566" s="68"/>
      <c r="I1566" s="68"/>
      <c r="N1566" s="398"/>
      <c r="R1566" s="50"/>
      <c r="S1566" s="47"/>
      <c r="T1566" s="98"/>
      <c r="U1566" s="98"/>
      <c r="AF1566" s="39"/>
      <c r="AG1566" s="490"/>
      <c r="AH1566" s="490"/>
    </row>
    <row r="1567" spans="3:34" ht="19.5" customHeight="1">
      <c r="C1567" s="449"/>
      <c r="D1567" s="68"/>
      <c r="E1567" s="68"/>
      <c r="G1567" s="98"/>
      <c r="H1567" s="68"/>
      <c r="I1567" s="68"/>
      <c r="N1567" s="398"/>
      <c r="R1567" s="50"/>
      <c r="S1567" s="47"/>
      <c r="T1567" s="98"/>
      <c r="U1567" s="98"/>
      <c r="AF1567" s="39"/>
      <c r="AG1567" s="490"/>
      <c r="AH1567" s="490"/>
    </row>
    <row r="1568" spans="3:34" ht="19.5" customHeight="1">
      <c r="C1568" s="449"/>
      <c r="D1568" s="68"/>
      <c r="E1568" s="68"/>
      <c r="G1568" s="98"/>
      <c r="H1568" s="68"/>
      <c r="I1568" s="68"/>
      <c r="N1568" s="398"/>
      <c r="R1568" s="50"/>
      <c r="S1568" s="47"/>
      <c r="T1568" s="98"/>
      <c r="U1568" s="98"/>
      <c r="AF1568" s="39"/>
      <c r="AG1568" s="490"/>
      <c r="AH1568" s="490"/>
    </row>
    <row r="1569" spans="3:34" ht="19.5" customHeight="1">
      <c r="C1569" s="449"/>
      <c r="D1569" s="68"/>
      <c r="E1569" s="68"/>
      <c r="G1569" s="98"/>
      <c r="H1569" s="68"/>
      <c r="I1569" s="68"/>
      <c r="N1569" s="398"/>
      <c r="R1569" s="50"/>
      <c r="S1569" s="47"/>
      <c r="T1569" s="98"/>
      <c r="U1569" s="98"/>
      <c r="AF1569" s="39"/>
      <c r="AG1569" s="490"/>
      <c r="AH1569" s="490"/>
    </row>
    <row r="1570" spans="3:34" ht="19.5" customHeight="1">
      <c r="C1570" s="449"/>
      <c r="D1570" s="68"/>
      <c r="E1570" s="68"/>
      <c r="G1570" s="98"/>
      <c r="H1570" s="68"/>
      <c r="I1570" s="68"/>
      <c r="N1570" s="398"/>
      <c r="R1570" s="50"/>
      <c r="S1570" s="47"/>
      <c r="T1570" s="98"/>
      <c r="U1570" s="98"/>
      <c r="AF1570" s="39"/>
      <c r="AG1570" s="490"/>
      <c r="AH1570" s="490"/>
    </row>
    <row r="1571" spans="3:34" ht="19.5" customHeight="1">
      <c r="C1571" s="449"/>
      <c r="D1571" s="68"/>
      <c r="E1571" s="68"/>
      <c r="G1571" s="98"/>
      <c r="H1571" s="68"/>
      <c r="I1571" s="68"/>
      <c r="N1571" s="398"/>
      <c r="R1571" s="50"/>
      <c r="S1571" s="47"/>
      <c r="T1571" s="98"/>
      <c r="U1571" s="98"/>
      <c r="AF1571" s="39"/>
      <c r="AG1571" s="490"/>
      <c r="AH1571" s="490"/>
    </row>
    <row r="1572" spans="3:34" ht="19.5" customHeight="1">
      <c r="C1572" s="449"/>
      <c r="D1572" s="68"/>
      <c r="E1572" s="68"/>
      <c r="G1572" s="98"/>
      <c r="H1572" s="68"/>
      <c r="I1572" s="68"/>
      <c r="N1572" s="398"/>
      <c r="R1572" s="50"/>
      <c r="S1572" s="47"/>
      <c r="T1572" s="98"/>
      <c r="U1572" s="98"/>
      <c r="AF1572" s="39"/>
      <c r="AG1572" s="490"/>
      <c r="AH1572" s="490"/>
    </row>
    <row r="1573" spans="3:34" ht="19.5" customHeight="1">
      <c r="C1573" s="449"/>
      <c r="D1573" s="68"/>
      <c r="E1573" s="68"/>
      <c r="G1573" s="98"/>
      <c r="H1573" s="68"/>
      <c r="I1573" s="68"/>
      <c r="N1573" s="398"/>
      <c r="R1573" s="50"/>
      <c r="S1573" s="47"/>
      <c r="T1573" s="98"/>
      <c r="U1573" s="98"/>
      <c r="AF1573" s="39"/>
      <c r="AG1573" s="490"/>
      <c r="AH1573" s="490"/>
    </row>
    <row r="1574" spans="3:34" ht="19.5" customHeight="1">
      <c r="C1574" s="449"/>
      <c r="D1574" s="68"/>
      <c r="E1574" s="68"/>
      <c r="G1574" s="98"/>
      <c r="H1574" s="68"/>
      <c r="I1574" s="68"/>
      <c r="N1574" s="398"/>
      <c r="R1574" s="50"/>
      <c r="S1574" s="47"/>
      <c r="T1574" s="98"/>
      <c r="U1574" s="98"/>
      <c r="AF1574" s="39"/>
      <c r="AG1574" s="490"/>
      <c r="AH1574" s="490"/>
    </row>
    <row r="1575" spans="3:34" ht="19.5" customHeight="1">
      <c r="C1575" s="449"/>
      <c r="D1575" s="68"/>
      <c r="E1575" s="68"/>
      <c r="G1575" s="98"/>
      <c r="H1575" s="68"/>
      <c r="I1575" s="68"/>
      <c r="N1575" s="398"/>
      <c r="R1575" s="50"/>
      <c r="S1575" s="47"/>
      <c r="T1575" s="98"/>
      <c r="U1575" s="98"/>
      <c r="AF1575" s="39"/>
      <c r="AG1575" s="490"/>
      <c r="AH1575" s="490"/>
    </row>
    <row r="1576" spans="3:34" ht="19.5" customHeight="1">
      <c r="C1576" s="449"/>
      <c r="D1576" s="68"/>
      <c r="E1576" s="68"/>
      <c r="G1576" s="98"/>
      <c r="H1576" s="68"/>
      <c r="I1576" s="68"/>
      <c r="N1576" s="398"/>
      <c r="R1576" s="50"/>
      <c r="S1576" s="47"/>
      <c r="T1576" s="98"/>
      <c r="U1576" s="98"/>
      <c r="AF1576" s="39"/>
      <c r="AG1576" s="490"/>
      <c r="AH1576" s="490"/>
    </row>
    <row r="1577" spans="3:34" ht="19.5" customHeight="1">
      <c r="C1577" s="449"/>
      <c r="D1577" s="68"/>
      <c r="E1577" s="68"/>
      <c r="G1577" s="98"/>
      <c r="H1577" s="68"/>
      <c r="I1577" s="68"/>
      <c r="N1577" s="398"/>
      <c r="R1577" s="50"/>
      <c r="S1577" s="47"/>
      <c r="T1577" s="98"/>
      <c r="U1577" s="98"/>
      <c r="AF1577" s="39"/>
      <c r="AG1577" s="490"/>
      <c r="AH1577" s="490"/>
    </row>
    <row r="1578" spans="3:34" ht="19.5" customHeight="1">
      <c r="C1578" s="449"/>
      <c r="D1578" s="68"/>
      <c r="E1578" s="68"/>
      <c r="G1578" s="98"/>
      <c r="H1578" s="68"/>
      <c r="I1578" s="68"/>
      <c r="N1578" s="398"/>
      <c r="R1578" s="50"/>
      <c r="S1578" s="47"/>
      <c r="T1578" s="98"/>
      <c r="U1578" s="98"/>
      <c r="AF1578" s="39"/>
      <c r="AG1578" s="490"/>
      <c r="AH1578" s="490"/>
    </row>
    <row r="1579" spans="3:34" ht="19.5" customHeight="1">
      <c r="C1579" s="449"/>
      <c r="D1579" s="68"/>
      <c r="E1579" s="68"/>
      <c r="G1579" s="98"/>
      <c r="H1579" s="68"/>
      <c r="I1579" s="68"/>
      <c r="N1579" s="398"/>
      <c r="R1579" s="50"/>
      <c r="S1579" s="47"/>
      <c r="T1579" s="98"/>
      <c r="U1579" s="98"/>
      <c r="AF1579" s="39"/>
      <c r="AG1579" s="490"/>
      <c r="AH1579" s="490"/>
    </row>
    <row r="1580" spans="3:34" ht="19.5" customHeight="1">
      <c r="C1580" s="449"/>
      <c r="D1580" s="68"/>
      <c r="E1580" s="68"/>
      <c r="G1580" s="98"/>
      <c r="H1580" s="68"/>
      <c r="I1580" s="68"/>
      <c r="N1580" s="398"/>
      <c r="R1580" s="50"/>
      <c r="S1580" s="47"/>
      <c r="T1580" s="98"/>
      <c r="U1580" s="98"/>
      <c r="AF1580" s="39"/>
      <c r="AG1580" s="490"/>
      <c r="AH1580" s="490"/>
    </row>
    <row r="1581" spans="3:34" ht="19.5" customHeight="1">
      <c r="C1581" s="449"/>
      <c r="D1581" s="68"/>
      <c r="E1581" s="68"/>
      <c r="G1581" s="98"/>
      <c r="H1581" s="68"/>
      <c r="I1581" s="68"/>
      <c r="N1581" s="398"/>
      <c r="R1581" s="50"/>
      <c r="S1581" s="47"/>
      <c r="T1581" s="98"/>
      <c r="U1581" s="98"/>
      <c r="AF1581" s="39"/>
      <c r="AG1581" s="490"/>
      <c r="AH1581" s="490"/>
    </row>
    <row r="1582" spans="3:34" ht="19.5" customHeight="1">
      <c r="C1582" s="449"/>
      <c r="D1582" s="68"/>
      <c r="E1582" s="68"/>
      <c r="G1582" s="98"/>
      <c r="H1582" s="68"/>
      <c r="I1582" s="68"/>
      <c r="N1582" s="398"/>
      <c r="R1582" s="50"/>
      <c r="S1582" s="47"/>
      <c r="T1582" s="98"/>
      <c r="U1582" s="98"/>
      <c r="AF1582" s="39"/>
      <c r="AG1582" s="490"/>
      <c r="AH1582" s="490"/>
    </row>
    <row r="1583" spans="3:34" ht="19.5" customHeight="1">
      <c r="C1583" s="449"/>
      <c r="D1583" s="68"/>
      <c r="E1583" s="68"/>
      <c r="G1583" s="98"/>
      <c r="H1583" s="68"/>
      <c r="I1583" s="68"/>
      <c r="N1583" s="398"/>
      <c r="R1583" s="50"/>
      <c r="S1583" s="47"/>
      <c r="T1583" s="98"/>
      <c r="U1583" s="98"/>
      <c r="AF1583" s="39"/>
      <c r="AG1583" s="490"/>
      <c r="AH1583" s="490"/>
    </row>
    <row r="1584" spans="3:34" ht="19.5" customHeight="1">
      <c r="C1584" s="449"/>
      <c r="D1584" s="68"/>
      <c r="E1584" s="68"/>
      <c r="G1584" s="98"/>
      <c r="H1584" s="68"/>
      <c r="I1584" s="68"/>
      <c r="N1584" s="398"/>
      <c r="R1584" s="50"/>
      <c r="S1584" s="47"/>
      <c r="T1584" s="98"/>
      <c r="U1584" s="98"/>
      <c r="AF1584" s="39"/>
      <c r="AG1584" s="490"/>
      <c r="AH1584" s="490"/>
    </row>
    <row r="1585" spans="3:34" ht="19.5" customHeight="1">
      <c r="C1585" s="449"/>
      <c r="D1585" s="68"/>
      <c r="E1585" s="68"/>
      <c r="G1585" s="98"/>
      <c r="H1585" s="68"/>
      <c r="I1585" s="68"/>
      <c r="N1585" s="398"/>
      <c r="R1585" s="50"/>
      <c r="S1585" s="47"/>
      <c r="T1585" s="98"/>
      <c r="U1585" s="98"/>
      <c r="AF1585" s="39"/>
      <c r="AG1585" s="490"/>
      <c r="AH1585" s="490"/>
    </row>
    <row r="1586" spans="3:34" ht="19.5" customHeight="1">
      <c r="C1586" s="449"/>
      <c r="D1586" s="68"/>
      <c r="E1586" s="68"/>
      <c r="G1586" s="98"/>
      <c r="H1586" s="68"/>
      <c r="I1586" s="68"/>
      <c r="N1586" s="398"/>
      <c r="R1586" s="50"/>
      <c r="S1586" s="47"/>
      <c r="T1586" s="98"/>
      <c r="U1586" s="98"/>
      <c r="AF1586" s="39"/>
      <c r="AG1586" s="490"/>
      <c r="AH1586" s="490"/>
    </row>
    <row r="1587" spans="3:34" ht="19.5" customHeight="1">
      <c r="C1587" s="449"/>
      <c r="D1587" s="68"/>
      <c r="E1587" s="68"/>
      <c r="G1587" s="98"/>
      <c r="H1587" s="68"/>
      <c r="I1587" s="68"/>
      <c r="N1587" s="398"/>
      <c r="R1587" s="50"/>
      <c r="S1587" s="47"/>
      <c r="T1587" s="98"/>
      <c r="U1587" s="98"/>
      <c r="AF1587" s="39"/>
      <c r="AG1587" s="490"/>
      <c r="AH1587" s="490"/>
    </row>
    <row r="1588" spans="3:34" ht="19.5" customHeight="1">
      <c r="C1588" s="449"/>
      <c r="D1588" s="68"/>
      <c r="E1588" s="68"/>
      <c r="G1588" s="98"/>
      <c r="H1588" s="68"/>
      <c r="I1588" s="68"/>
      <c r="N1588" s="398"/>
      <c r="R1588" s="50"/>
      <c r="S1588" s="47"/>
      <c r="T1588" s="98"/>
      <c r="U1588" s="98"/>
      <c r="AF1588" s="39"/>
      <c r="AG1588" s="490"/>
      <c r="AH1588" s="490"/>
    </row>
    <row r="1589" spans="3:34" ht="19.5" customHeight="1">
      <c r="C1589" s="449"/>
      <c r="D1589" s="68"/>
      <c r="E1589" s="68"/>
      <c r="G1589" s="98"/>
      <c r="H1589" s="68"/>
      <c r="I1589" s="68"/>
      <c r="N1589" s="398"/>
      <c r="R1589" s="50"/>
      <c r="S1589" s="47"/>
      <c r="T1589" s="98"/>
      <c r="U1589" s="98"/>
      <c r="AF1589" s="39"/>
      <c r="AG1589" s="490"/>
      <c r="AH1589" s="490"/>
    </row>
    <row r="1590" spans="3:34" ht="19.5" customHeight="1">
      <c r="C1590" s="449"/>
      <c r="D1590" s="68"/>
      <c r="E1590" s="68"/>
      <c r="G1590" s="98"/>
      <c r="H1590" s="68"/>
      <c r="I1590" s="68"/>
      <c r="N1590" s="398"/>
      <c r="R1590" s="50"/>
      <c r="S1590" s="47"/>
      <c r="T1590" s="98"/>
      <c r="U1590" s="98"/>
      <c r="AF1590" s="39"/>
      <c r="AG1590" s="490"/>
      <c r="AH1590" s="490"/>
    </row>
    <row r="1591" spans="3:34" ht="19.5" customHeight="1">
      <c r="C1591" s="449"/>
      <c r="D1591" s="68"/>
      <c r="E1591" s="68"/>
      <c r="G1591" s="98"/>
      <c r="H1591" s="68"/>
      <c r="I1591" s="68"/>
      <c r="N1591" s="398"/>
      <c r="R1591" s="50"/>
      <c r="S1591" s="47"/>
      <c r="T1591" s="98"/>
      <c r="U1591" s="98"/>
      <c r="AF1591" s="39"/>
      <c r="AG1591" s="490"/>
      <c r="AH1591" s="490"/>
    </row>
    <row r="1592" spans="3:34" ht="19.5" customHeight="1">
      <c r="C1592" s="449"/>
      <c r="D1592" s="68"/>
      <c r="E1592" s="68"/>
      <c r="G1592" s="98"/>
      <c r="H1592" s="68"/>
      <c r="I1592" s="68"/>
      <c r="N1592" s="398"/>
      <c r="R1592" s="50"/>
      <c r="S1592" s="47"/>
      <c r="T1592" s="98"/>
      <c r="U1592" s="98"/>
      <c r="AF1592" s="39"/>
      <c r="AG1592" s="490"/>
      <c r="AH1592" s="490"/>
    </row>
    <row r="1593" spans="3:34" ht="19.5" customHeight="1">
      <c r="C1593" s="449"/>
      <c r="D1593" s="68"/>
      <c r="E1593" s="68"/>
      <c r="G1593" s="98"/>
      <c r="H1593" s="68"/>
      <c r="I1593" s="68"/>
      <c r="N1593" s="398"/>
      <c r="R1593" s="50"/>
      <c r="S1593" s="47"/>
      <c r="T1593" s="98"/>
      <c r="U1593" s="98"/>
      <c r="AF1593" s="39"/>
      <c r="AG1593" s="490"/>
      <c r="AH1593" s="490"/>
    </row>
    <row r="1594" spans="3:34" ht="19.5" customHeight="1">
      <c r="C1594" s="449"/>
      <c r="D1594" s="68"/>
      <c r="E1594" s="68"/>
      <c r="G1594" s="98"/>
      <c r="H1594" s="68"/>
      <c r="I1594" s="68"/>
      <c r="N1594" s="398"/>
      <c r="R1594" s="50"/>
      <c r="S1594" s="47"/>
      <c r="T1594" s="98"/>
      <c r="U1594" s="98"/>
      <c r="AF1594" s="39"/>
      <c r="AG1594" s="490"/>
      <c r="AH1594" s="490"/>
    </row>
    <row r="1595" spans="3:34" ht="19.5" customHeight="1">
      <c r="C1595" s="449"/>
      <c r="D1595" s="68"/>
      <c r="E1595" s="68"/>
      <c r="G1595" s="98"/>
      <c r="H1595" s="68"/>
      <c r="I1595" s="68"/>
      <c r="N1595" s="398"/>
      <c r="R1595" s="50"/>
      <c r="S1595" s="47"/>
      <c r="T1595" s="98"/>
      <c r="U1595" s="98"/>
      <c r="AF1595" s="39"/>
      <c r="AG1595" s="490"/>
      <c r="AH1595" s="490"/>
    </row>
    <row r="1596" spans="3:34" ht="19.5" customHeight="1">
      <c r="C1596" s="449"/>
      <c r="D1596" s="68"/>
      <c r="E1596" s="68"/>
      <c r="G1596" s="98"/>
      <c r="H1596" s="68"/>
      <c r="I1596" s="68"/>
      <c r="N1596" s="398"/>
      <c r="R1596" s="50"/>
      <c r="S1596" s="47"/>
      <c r="T1596" s="98"/>
      <c r="U1596" s="98"/>
      <c r="AF1596" s="39"/>
      <c r="AG1596" s="490"/>
      <c r="AH1596" s="490"/>
    </row>
    <row r="1597" spans="3:34" ht="19.5" customHeight="1">
      <c r="C1597" s="449"/>
      <c r="D1597" s="68"/>
      <c r="E1597" s="68"/>
      <c r="G1597" s="98"/>
      <c r="H1597" s="68"/>
      <c r="I1597" s="68"/>
      <c r="N1597" s="398"/>
      <c r="R1597" s="50"/>
      <c r="S1597" s="47"/>
      <c r="T1597" s="98"/>
      <c r="U1597" s="98"/>
      <c r="AF1597" s="39"/>
      <c r="AG1597" s="490"/>
      <c r="AH1597" s="490"/>
    </row>
    <row r="1598" spans="3:34" ht="19.5" customHeight="1">
      <c r="C1598" s="449"/>
      <c r="D1598" s="68"/>
      <c r="E1598" s="68"/>
      <c r="G1598" s="98"/>
      <c r="H1598" s="68"/>
      <c r="I1598" s="68"/>
      <c r="N1598" s="398"/>
      <c r="R1598" s="50"/>
      <c r="S1598" s="47"/>
      <c r="T1598" s="98"/>
      <c r="U1598" s="98"/>
      <c r="AF1598" s="39"/>
      <c r="AG1598" s="490"/>
      <c r="AH1598" s="490"/>
    </row>
    <row r="1599" spans="3:34" ht="19.5" customHeight="1">
      <c r="C1599" s="449"/>
      <c r="D1599" s="68"/>
      <c r="E1599" s="68"/>
      <c r="G1599" s="98"/>
      <c r="H1599" s="68"/>
      <c r="I1599" s="68"/>
      <c r="N1599" s="398"/>
      <c r="R1599" s="50"/>
      <c r="S1599" s="47"/>
      <c r="T1599" s="98"/>
      <c r="U1599" s="98"/>
      <c r="AF1599" s="39"/>
      <c r="AG1599" s="490"/>
      <c r="AH1599" s="490"/>
    </row>
    <row r="1600" spans="3:34" ht="19.5" customHeight="1">
      <c r="C1600" s="449"/>
      <c r="D1600" s="68"/>
      <c r="E1600" s="68"/>
      <c r="G1600" s="98"/>
      <c r="H1600" s="68"/>
      <c r="I1600" s="68"/>
      <c r="N1600" s="398"/>
      <c r="R1600" s="50"/>
      <c r="S1600" s="47"/>
      <c r="T1600" s="98"/>
      <c r="U1600" s="98"/>
      <c r="AF1600" s="39"/>
      <c r="AG1600" s="490"/>
      <c r="AH1600" s="490"/>
    </row>
    <row r="1601" spans="3:34" ht="19.5" customHeight="1">
      <c r="C1601" s="449"/>
      <c r="D1601" s="68"/>
      <c r="E1601" s="68"/>
      <c r="G1601" s="98"/>
      <c r="H1601" s="68"/>
      <c r="I1601" s="68"/>
      <c r="N1601" s="398"/>
      <c r="R1601" s="50"/>
      <c r="S1601" s="47"/>
      <c r="T1601" s="98"/>
      <c r="U1601" s="98"/>
      <c r="AF1601" s="39"/>
      <c r="AG1601" s="490"/>
      <c r="AH1601" s="490"/>
    </row>
    <row r="1602" spans="3:34" ht="19.5" customHeight="1">
      <c r="C1602" s="449"/>
      <c r="D1602" s="68"/>
      <c r="E1602" s="68"/>
      <c r="G1602" s="98"/>
      <c r="H1602" s="68"/>
      <c r="I1602" s="68"/>
      <c r="N1602" s="398"/>
      <c r="R1602" s="50"/>
      <c r="S1602" s="47"/>
      <c r="T1602" s="98"/>
      <c r="U1602" s="98"/>
      <c r="AF1602" s="39"/>
      <c r="AG1602" s="490"/>
      <c r="AH1602" s="490"/>
    </row>
    <row r="1603" spans="3:34" ht="19.5" customHeight="1">
      <c r="C1603" s="449"/>
      <c r="D1603" s="68"/>
      <c r="E1603" s="68"/>
      <c r="G1603" s="98"/>
      <c r="H1603" s="68"/>
      <c r="I1603" s="68"/>
      <c r="N1603" s="398"/>
      <c r="R1603" s="50"/>
      <c r="S1603" s="47"/>
      <c r="T1603" s="98"/>
      <c r="U1603" s="98"/>
      <c r="AF1603" s="39"/>
      <c r="AG1603" s="490"/>
      <c r="AH1603" s="490"/>
    </row>
    <row r="1604" spans="3:34" ht="19.5" customHeight="1">
      <c r="C1604" s="449"/>
      <c r="D1604" s="68"/>
      <c r="E1604" s="68"/>
      <c r="G1604" s="98"/>
      <c r="H1604" s="68"/>
      <c r="I1604" s="68"/>
      <c r="N1604" s="398"/>
      <c r="R1604" s="50"/>
      <c r="S1604" s="47"/>
      <c r="T1604" s="98"/>
      <c r="U1604" s="98"/>
      <c r="AF1604" s="39"/>
      <c r="AG1604" s="490"/>
      <c r="AH1604" s="490"/>
    </row>
    <row r="1605" spans="3:34" ht="19.5" customHeight="1">
      <c r="C1605" s="449"/>
      <c r="D1605" s="68"/>
      <c r="E1605" s="68"/>
      <c r="G1605" s="98"/>
      <c r="H1605" s="68"/>
      <c r="I1605" s="68"/>
      <c r="N1605" s="398"/>
      <c r="R1605" s="50"/>
      <c r="S1605" s="47"/>
      <c r="T1605" s="98"/>
      <c r="U1605" s="98"/>
      <c r="AF1605" s="39"/>
      <c r="AG1605" s="490"/>
      <c r="AH1605" s="490"/>
    </row>
    <row r="1606" spans="3:34" ht="19.5" customHeight="1">
      <c r="C1606" s="449"/>
      <c r="D1606" s="68"/>
      <c r="E1606" s="68"/>
      <c r="G1606" s="98"/>
      <c r="H1606" s="68"/>
      <c r="I1606" s="68"/>
      <c r="N1606" s="398"/>
      <c r="R1606" s="50"/>
      <c r="S1606" s="47"/>
      <c r="T1606" s="98"/>
      <c r="U1606" s="98"/>
      <c r="AF1606" s="39"/>
      <c r="AG1606" s="490"/>
      <c r="AH1606" s="490"/>
    </row>
    <row r="1607" spans="3:34" ht="19.5" customHeight="1">
      <c r="C1607" s="449"/>
      <c r="D1607" s="68"/>
      <c r="E1607" s="68"/>
      <c r="G1607" s="98"/>
      <c r="H1607" s="68"/>
      <c r="I1607" s="68"/>
      <c r="N1607" s="398"/>
      <c r="R1607" s="50"/>
      <c r="S1607" s="47"/>
      <c r="T1607" s="98"/>
      <c r="U1607" s="98"/>
      <c r="AF1607" s="39"/>
      <c r="AG1607" s="490"/>
      <c r="AH1607" s="490"/>
    </row>
    <row r="1608" spans="3:34" ht="19.5" customHeight="1">
      <c r="C1608" s="449"/>
      <c r="D1608" s="68"/>
      <c r="E1608" s="68"/>
      <c r="G1608" s="98"/>
      <c r="H1608" s="68"/>
      <c r="I1608" s="68"/>
      <c r="N1608" s="398"/>
      <c r="R1608" s="50"/>
      <c r="S1608" s="47"/>
      <c r="T1608" s="98"/>
      <c r="U1608" s="98"/>
      <c r="AF1608" s="39"/>
      <c r="AG1608" s="490"/>
      <c r="AH1608" s="490"/>
    </row>
    <row r="1609" spans="3:34" ht="19.5" customHeight="1">
      <c r="C1609" s="449"/>
      <c r="D1609" s="68"/>
      <c r="E1609" s="68"/>
      <c r="G1609" s="98"/>
      <c r="H1609" s="68"/>
      <c r="I1609" s="68"/>
      <c r="N1609" s="398"/>
      <c r="R1609" s="50"/>
      <c r="S1609" s="47"/>
      <c r="T1609" s="98"/>
      <c r="U1609" s="98"/>
      <c r="AF1609" s="39"/>
      <c r="AG1609" s="490"/>
      <c r="AH1609" s="490"/>
    </row>
    <row r="1610" spans="3:34" ht="19.5" customHeight="1">
      <c r="C1610" s="449"/>
      <c r="D1610" s="68"/>
      <c r="E1610" s="68"/>
      <c r="G1610" s="98"/>
      <c r="H1610" s="68"/>
      <c r="I1610" s="68"/>
      <c r="N1610" s="398"/>
      <c r="R1610" s="50"/>
      <c r="S1610" s="47"/>
      <c r="T1610" s="98"/>
      <c r="U1610" s="98"/>
      <c r="AF1610" s="39"/>
      <c r="AG1610" s="490"/>
      <c r="AH1610" s="490"/>
    </row>
    <row r="1611" spans="3:34" ht="19.5" customHeight="1">
      <c r="C1611" s="449"/>
      <c r="D1611" s="68"/>
      <c r="E1611" s="68"/>
      <c r="G1611" s="98"/>
      <c r="H1611" s="68"/>
      <c r="I1611" s="68"/>
      <c r="N1611" s="398"/>
      <c r="R1611" s="50"/>
      <c r="S1611" s="47"/>
      <c r="T1611" s="98"/>
      <c r="U1611" s="98"/>
      <c r="AF1611" s="39"/>
      <c r="AG1611" s="490"/>
      <c r="AH1611" s="490"/>
    </row>
    <row r="1612" spans="3:34" ht="19.5" customHeight="1">
      <c r="C1612" s="449"/>
      <c r="D1612" s="68"/>
      <c r="E1612" s="68"/>
      <c r="G1612" s="98"/>
      <c r="H1612" s="68"/>
      <c r="I1612" s="68"/>
      <c r="N1612" s="398"/>
      <c r="R1612" s="50"/>
      <c r="S1612" s="47"/>
      <c r="T1612" s="98"/>
      <c r="U1612" s="98"/>
      <c r="AF1612" s="39"/>
      <c r="AG1612" s="490"/>
      <c r="AH1612" s="490"/>
    </row>
    <row r="1613" spans="3:34" ht="19.5" customHeight="1">
      <c r="C1613" s="449"/>
      <c r="D1613" s="68"/>
      <c r="E1613" s="68"/>
      <c r="G1613" s="98"/>
      <c r="H1613" s="68"/>
      <c r="I1613" s="68"/>
      <c r="N1613" s="398"/>
      <c r="R1613" s="50"/>
      <c r="S1613" s="47"/>
      <c r="T1613" s="98"/>
      <c r="U1613" s="98"/>
      <c r="AF1613" s="39"/>
      <c r="AG1613" s="490"/>
      <c r="AH1613" s="490"/>
    </row>
    <row r="1614" spans="3:34" ht="19.5" customHeight="1">
      <c r="C1614" s="449"/>
      <c r="D1614" s="68"/>
      <c r="E1614" s="68"/>
      <c r="G1614" s="98"/>
      <c r="H1614" s="68"/>
      <c r="I1614" s="68"/>
      <c r="N1614" s="398"/>
      <c r="R1614" s="50"/>
      <c r="S1614" s="47"/>
      <c r="T1614" s="98"/>
      <c r="U1614" s="98"/>
      <c r="AF1614" s="39"/>
      <c r="AG1614" s="490"/>
      <c r="AH1614" s="490"/>
    </row>
    <row r="1615" spans="3:34" ht="19.5" customHeight="1">
      <c r="C1615" s="449"/>
      <c r="D1615" s="68"/>
      <c r="E1615" s="68"/>
      <c r="G1615" s="98"/>
      <c r="H1615" s="68"/>
      <c r="I1615" s="68"/>
      <c r="N1615" s="398"/>
      <c r="R1615" s="50"/>
      <c r="S1615" s="47"/>
      <c r="T1615" s="98"/>
      <c r="U1615" s="98"/>
      <c r="AF1615" s="39"/>
      <c r="AG1615" s="490"/>
      <c r="AH1615" s="490"/>
    </row>
    <row r="1616" spans="3:34" ht="19.5" customHeight="1">
      <c r="C1616" s="449"/>
      <c r="D1616" s="68"/>
      <c r="E1616" s="68"/>
      <c r="G1616" s="98"/>
      <c r="H1616" s="68"/>
      <c r="I1616" s="68"/>
      <c r="N1616" s="398"/>
      <c r="R1616" s="50"/>
      <c r="S1616" s="47"/>
      <c r="T1616" s="98"/>
      <c r="U1616" s="98"/>
      <c r="AF1616" s="39"/>
      <c r="AG1616" s="490"/>
      <c r="AH1616" s="490"/>
    </row>
    <row r="1617" spans="3:34" ht="19.5" customHeight="1">
      <c r="C1617" s="449"/>
      <c r="D1617" s="68"/>
      <c r="E1617" s="68"/>
      <c r="G1617" s="98"/>
      <c r="H1617" s="68"/>
      <c r="I1617" s="68"/>
      <c r="N1617" s="398"/>
      <c r="R1617" s="50"/>
      <c r="S1617" s="47"/>
      <c r="T1617" s="98"/>
      <c r="U1617" s="98"/>
      <c r="AF1617" s="39"/>
      <c r="AG1617" s="490"/>
      <c r="AH1617" s="490"/>
    </row>
    <row r="1618" spans="3:34" ht="19.5" customHeight="1">
      <c r="C1618" s="449"/>
      <c r="D1618" s="68"/>
      <c r="E1618" s="68"/>
      <c r="G1618" s="98"/>
      <c r="H1618" s="68"/>
      <c r="I1618" s="68"/>
      <c r="N1618" s="398"/>
      <c r="R1618" s="50"/>
      <c r="S1618" s="47"/>
      <c r="T1618" s="98"/>
      <c r="U1618" s="98"/>
      <c r="AF1618" s="39"/>
      <c r="AG1618" s="490"/>
      <c r="AH1618" s="490"/>
    </row>
    <row r="1619" spans="3:34" ht="19.5" customHeight="1">
      <c r="C1619" s="449"/>
      <c r="D1619" s="68"/>
      <c r="E1619" s="68"/>
      <c r="G1619" s="98"/>
      <c r="H1619" s="68"/>
      <c r="I1619" s="68"/>
      <c r="N1619" s="398"/>
      <c r="R1619" s="50"/>
      <c r="S1619" s="47"/>
      <c r="T1619" s="98"/>
      <c r="U1619" s="98"/>
      <c r="AF1619" s="39"/>
      <c r="AG1619" s="490"/>
      <c r="AH1619" s="490"/>
    </row>
    <row r="1620" spans="3:34" ht="19.5" customHeight="1">
      <c r="C1620" s="449"/>
      <c r="D1620" s="68"/>
      <c r="E1620" s="68"/>
      <c r="G1620" s="98"/>
      <c r="H1620" s="68"/>
      <c r="I1620" s="68"/>
      <c r="N1620" s="398"/>
      <c r="R1620" s="50"/>
      <c r="S1620" s="47"/>
      <c r="T1620" s="98"/>
      <c r="U1620" s="98"/>
      <c r="AF1620" s="39"/>
      <c r="AG1620" s="490"/>
      <c r="AH1620" s="490"/>
    </row>
    <row r="1621" spans="3:34" ht="19.5" customHeight="1">
      <c r="C1621" s="449"/>
      <c r="D1621" s="68"/>
      <c r="E1621" s="68"/>
      <c r="G1621" s="98"/>
      <c r="H1621" s="68"/>
      <c r="I1621" s="68"/>
      <c r="N1621" s="398"/>
      <c r="R1621" s="50"/>
      <c r="S1621" s="47"/>
      <c r="T1621" s="98"/>
      <c r="U1621" s="98"/>
      <c r="AF1621" s="39"/>
      <c r="AG1621" s="490"/>
      <c r="AH1621" s="490"/>
    </row>
    <row r="1622" spans="3:34" ht="19.5" customHeight="1">
      <c r="C1622" s="449"/>
      <c r="D1622" s="68"/>
      <c r="E1622" s="68"/>
      <c r="G1622" s="98"/>
      <c r="H1622" s="68"/>
      <c r="I1622" s="68"/>
      <c r="N1622" s="398"/>
      <c r="R1622" s="50"/>
      <c r="S1622" s="47"/>
      <c r="T1622" s="98"/>
      <c r="U1622" s="98"/>
      <c r="AF1622" s="39"/>
      <c r="AG1622" s="490"/>
      <c r="AH1622" s="490"/>
    </row>
    <row r="1623" spans="3:34" ht="19.5" customHeight="1">
      <c r="C1623" s="449"/>
      <c r="D1623" s="68"/>
      <c r="E1623" s="68"/>
      <c r="G1623" s="98"/>
      <c r="H1623" s="68"/>
      <c r="I1623" s="68"/>
      <c r="N1623" s="398"/>
      <c r="R1623" s="50"/>
      <c r="S1623" s="47"/>
      <c r="T1623" s="98"/>
      <c r="U1623" s="98"/>
      <c r="AF1623" s="39"/>
      <c r="AG1623" s="490"/>
      <c r="AH1623" s="490"/>
    </row>
    <row r="1624" spans="3:34" ht="19.5" customHeight="1">
      <c r="C1624" s="449"/>
      <c r="D1624" s="68"/>
      <c r="E1624" s="68"/>
      <c r="G1624" s="98"/>
      <c r="H1624" s="68"/>
      <c r="I1624" s="68"/>
      <c r="N1624" s="398"/>
      <c r="R1624" s="50"/>
      <c r="S1624" s="47"/>
      <c r="T1624" s="98"/>
      <c r="U1624" s="98"/>
      <c r="AF1624" s="39"/>
      <c r="AG1624" s="490"/>
      <c r="AH1624" s="490"/>
    </row>
    <row r="1625" spans="3:34" ht="19.5" customHeight="1">
      <c r="C1625" s="449"/>
      <c r="D1625" s="68"/>
      <c r="E1625" s="68"/>
      <c r="G1625" s="98"/>
      <c r="H1625" s="68"/>
      <c r="I1625" s="68"/>
      <c r="N1625" s="398"/>
      <c r="R1625" s="50"/>
      <c r="S1625" s="47"/>
      <c r="T1625" s="98"/>
      <c r="U1625" s="98"/>
      <c r="AF1625" s="39"/>
      <c r="AG1625" s="490"/>
      <c r="AH1625" s="490"/>
    </row>
    <row r="1626" spans="3:34" ht="19.5" customHeight="1">
      <c r="C1626" s="449"/>
      <c r="D1626" s="68"/>
      <c r="E1626" s="68"/>
      <c r="G1626" s="98"/>
      <c r="H1626" s="68"/>
      <c r="I1626" s="68"/>
      <c r="N1626" s="398"/>
      <c r="R1626" s="50"/>
      <c r="S1626" s="47"/>
      <c r="T1626" s="98"/>
      <c r="U1626" s="98"/>
      <c r="AF1626" s="39"/>
      <c r="AG1626" s="490"/>
      <c r="AH1626" s="490"/>
    </row>
    <row r="1627" spans="3:34" ht="19.5" customHeight="1">
      <c r="C1627" s="449"/>
      <c r="D1627" s="68"/>
      <c r="E1627" s="68"/>
      <c r="G1627" s="98"/>
      <c r="H1627" s="68"/>
      <c r="I1627" s="68"/>
      <c r="N1627" s="398"/>
      <c r="R1627" s="50"/>
      <c r="S1627" s="47"/>
      <c r="T1627" s="98"/>
      <c r="U1627" s="98"/>
      <c r="AF1627" s="39"/>
      <c r="AG1627" s="490"/>
      <c r="AH1627" s="490"/>
    </row>
    <row r="1628" spans="3:34" ht="19.5" customHeight="1">
      <c r="C1628" s="449"/>
      <c r="D1628" s="68"/>
      <c r="E1628" s="68"/>
      <c r="G1628" s="98"/>
      <c r="H1628" s="68"/>
      <c r="I1628" s="68"/>
      <c r="N1628" s="398"/>
      <c r="R1628" s="50"/>
      <c r="S1628" s="47"/>
      <c r="T1628" s="98"/>
      <c r="U1628" s="98"/>
      <c r="AF1628" s="39"/>
      <c r="AG1628" s="490"/>
      <c r="AH1628" s="490"/>
    </row>
    <row r="1629" spans="3:34" ht="19.5" customHeight="1">
      <c r="C1629" s="449"/>
      <c r="D1629" s="68"/>
      <c r="E1629" s="68"/>
      <c r="G1629" s="98"/>
      <c r="H1629" s="68"/>
      <c r="I1629" s="68"/>
      <c r="N1629" s="398"/>
      <c r="R1629" s="50"/>
      <c r="S1629" s="47"/>
      <c r="T1629" s="98"/>
      <c r="U1629" s="98"/>
      <c r="AF1629" s="39"/>
      <c r="AG1629" s="490"/>
      <c r="AH1629" s="490"/>
    </row>
    <row r="1630" spans="3:34" ht="19.5" customHeight="1">
      <c r="C1630" s="449"/>
      <c r="D1630" s="68"/>
      <c r="E1630" s="68"/>
      <c r="G1630" s="98"/>
      <c r="H1630" s="68"/>
      <c r="I1630" s="68"/>
      <c r="N1630" s="398"/>
      <c r="R1630" s="50"/>
      <c r="S1630" s="47"/>
      <c r="T1630" s="98"/>
      <c r="U1630" s="98"/>
      <c r="AF1630" s="39"/>
      <c r="AG1630" s="490"/>
      <c r="AH1630" s="490"/>
    </row>
    <row r="1631" spans="3:34" ht="19.5" customHeight="1">
      <c r="C1631" s="449"/>
      <c r="D1631" s="68"/>
      <c r="E1631" s="68"/>
      <c r="G1631" s="98"/>
      <c r="H1631" s="68"/>
      <c r="I1631" s="68"/>
      <c r="N1631" s="398"/>
      <c r="R1631" s="50"/>
      <c r="S1631" s="47"/>
      <c r="T1631" s="98"/>
      <c r="U1631" s="98"/>
      <c r="AF1631" s="39"/>
      <c r="AG1631" s="490"/>
      <c r="AH1631" s="490"/>
    </row>
    <row r="1632" spans="3:34" ht="19.5" customHeight="1">
      <c r="C1632" s="449"/>
      <c r="D1632" s="68"/>
      <c r="E1632" s="68"/>
      <c r="G1632" s="98"/>
      <c r="H1632" s="68"/>
      <c r="I1632" s="68"/>
      <c r="N1632" s="398"/>
      <c r="R1632" s="50"/>
      <c r="S1632" s="47"/>
      <c r="T1632" s="98"/>
      <c r="U1632" s="98"/>
      <c r="AF1632" s="39"/>
      <c r="AG1632" s="490"/>
      <c r="AH1632" s="490"/>
    </row>
    <row r="1633" spans="3:34" ht="19.5" customHeight="1">
      <c r="C1633" s="449"/>
      <c r="D1633" s="68"/>
      <c r="E1633" s="68"/>
      <c r="G1633" s="98"/>
      <c r="H1633" s="68"/>
      <c r="I1633" s="68"/>
      <c r="N1633" s="398"/>
      <c r="R1633" s="50"/>
      <c r="S1633" s="47"/>
      <c r="T1633" s="98"/>
      <c r="U1633" s="98"/>
      <c r="AF1633" s="39"/>
      <c r="AG1633" s="490"/>
      <c r="AH1633" s="490"/>
    </row>
    <row r="1634" spans="3:34" ht="19.5" customHeight="1">
      <c r="C1634" s="449"/>
      <c r="D1634" s="68"/>
      <c r="E1634" s="68"/>
      <c r="G1634" s="98"/>
      <c r="H1634" s="68"/>
      <c r="I1634" s="68"/>
      <c r="N1634" s="398"/>
      <c r="R1634" s="50"/>
      <c r="S1634" s="47"/>
      <c r="T1634" s="98"/>
      <c r="U1634" s="98"/>
      <c r="AF1634" s="39"/>
      <c r="AG1634" s="490"/>
      <c r="AH1634" s="490"/>
    </row>
    <row r="1635" spans="3:34" ht="19.5" customHeight="1">
      <c r="C1635" s="449"/>
      <c r="D1635" s="68"/>
      <c r="E1635" s="68"/>
      <c r="G1635" s="98"/>
      <c r="H1635" s="68"/>
      <c r="I1635" s="68"/>
      <c r="N1635" s="398"/>
      <c r="R1635" s="50"/>
      <c r="S1635" s="47"/>
      <c r="T1635" s="98"/>
      <c r="U1635" s="98"/>
      <c r="AF1635" s="39"/>
      <c r="AG1635" s="490"/>
      <c r="AH1635" s="490"/>
    </row>
    <row r="1636" spans="3:34" ht="19.5" customHeight="1">
      <c r="C1636" s="449"/>
      <c r="D1636" s="68"/>
      <c r="E1636" s="68"/>
      <c r="G1636" s="98"/>
      <c r="H1636" s="68"/>
      <c r="I1636" s="68"/>
      <c r="N1636" s="398"/>
      <c r="R1636" s="50"/>
      <c r="S1636" s="47"/>
      <c r="T1636" s="98"/>
      <c r="U1636" s="98"/>
      <c r="AF1636" s="39"/>
      <c r="AG1636" s="490"/>
      <c r="AH1636" s="490"/>
    </row>
    <row r="1637" spans="3:34" ht="19.5" customHeight="1">
      <c r="C1637" s="449"/>
      <c r="D1637" s="68"/>
      <c r="E1637" s="68"/>
      <c r="G1637" s="98"/>
      <c r="H1637" s="68"/>
      <c r="I1637" s="68"/>
      <c r="N1637" s="398"/>
      <c r="R1637" s="50"/>
      <c r="S1637" s="47"/>
      <c r="T1637" s="98"/>
      <c r="U1637" s="98"/>
      <c r="AF1637" s="39"/>
      <c r="AG1637" s="490"/>
      <c r="AH1637" s="490"/>
    </row>
    <row r="1638" spans="3:34" ht="19.5" customHeight="1">
      <c r="C1638" s="449"/>
      <c r="D1638" s="68"/>
      <c r="E1638" s="68"/>
      <c r="G1638" s="98"/>
      <c r="H1638" s="68"/>
      <c r="I1638" s="68"/>
      <c r="N1638" s="398"/>
      <c r="R1638" s="50"/>
      <c r="S1638" s="47"/>
      <c r="T1638" s="98"/>
      <c r="U1638" s="98"/>
      <c r="AF1638" s="39"/>
      <c r="AG1638" s="490"/>
      <c r="AH1638" s="490"/>
    </row>
    <row r="1639" spans="3:34" ht="19.5" customHeight="1">
      <c r="C1639" s="449"/>
      <c r="D1639" s="68"/>
      <c r="E1639" s="68"/>
      <c r="G1639" s="98"/>
      <c r="H1639" s="68"/>
      <c r="I1639" s="68"/>
      <c r="N1639" s="398"/>
      <c r="R1639" s="50"/>
      <c r="S1639" s="47"/>
      <c r="T1639" s="98"/>
      <c r="U1639" s="98"/>
      <c r="AF1639" s="39"/>
      <c r="AG1639" s="490"/>
      <c r="AH1639" s="490"/>
    </row>
    <row r="1640" spans="3:34" ht="19.5" customHeight="1">
      <c r="C1640" s="449"/>
      <c r="D1640" s="68"/>
      <c r="E1640" s="68"/>
      <c r="G1640" s="98"/>
      <c r="H1640" s="68"/>
      <c r="I1640" s="68"/>
      <c r="N1640" s="398"/>
      <c r="R1640" s="50"/>
      <c r="S1640" s="47"/>
      <c r="T1640" s="98"/>
      <c r="U1640" s="98"/>
      <c r="AF1640" s="39"/>
      <c r="AG1640" s="490"/>
      <c r="AH1640" s="490"/>
    </row>
    <row r="1641" spans="3:34" ht="19.5" customHeight="1">
      <c r="C1641" s="449"/>
      <c r="D1641" s="68"/>
      <c r="E1641" s="68"/>
      <c r="G1641" s="98"/>
      <c r="H1641" s="68"/>
      <c r="I1641" s="68"/>
      <c r="N1641" s="398"/>
      <c r="R1641" s="50"/>
      <c r="S1641" s="47"/>
      <c r="T1641" s="98"/>
      <c r="U1641" s="98"/>
      <c r="AF1641" s="39"/>
      <c r="AG1641" s="490"/>
      <c r="AH1641" s="490"/>
    </row>
    <row r="1642" spans="3:34" ht="19.5" customHeight="1">
      <c r="C1642" s="449"/>
      <c r="D1642" s="68"/>
      <c r="E1642" s="68"/>
      <c r="G1642" s="98"/>
      <c r="H1642" s="68"/>
      <c r="I1642" s="68"/>
      <c r="N1642" s="398"/>
      <c r="R1642" s="50"/>
      <c r="S1642" s="47"/>
      <c r="T1642" s="98"/>
      <c r="U1642" s="98"/>
      <c r="AF1642" s="39"/>
      <c r="AG1642" s="490"/>
      <c r="AH1642" s="490"/>
    </row>
    <row r="1643" spans="3:34" ht="19.5" customHeight="1">
      <c r="C1643" s="449"/>
      <c r="D1643" s="68"/>
      <c r="E1643" s="68"/>
      <c r="G1643" s="98"/>
      <c r="H1643" s="68"/>
      <c r="I1643" s="68"/>
      <c r="N1643" s="398"/>
      <c r="R1643" s="50"/>
      <c r="S1643" s="47"/>
      <c r="T1643" s="98"/>
      <c r="U1643" s="98"/>
      <c r="AF1643" s="39"/>
      <c r="AG1643" s="490"/>
      <c r="AH1643" s="490"/>
    </row>
    <row r="1644" spans="3:34" ht="19.5" customHeight="1">
      <c r="C1644" s="449"/>
      <c r="D1644" s="68"/>
      <c r="E1644" s="68"/>
      <c r="G1644" s="98"/>
      <c r="H1644" s="68"/>
      <c r="I1644" s="68"/>
      <c r="N1644" s="398"/>
      <c r="R1644" s="50"/>
      <c r="S1644" s="47"/>
      <c r="T1644" s="98"/>
      <c r="U1644" s="98"/>
      <c r="AF1644" s="39"/>
      <c r="AG1644" s="490"/>
      <c r="AH1644" s="490"/>
    </row>
    <row r="1645" spans="3:34" ht="19.5" customHeight="1">
      <c r="C1645" s="449"/>
      <c r="D1645" s="68"/>
      <c r="E1645" s="68"/>
      <c r="G1645" s="98"/>
      <c r="H1645" s="68"/>
      <c r="I1645" s="68"/>
      <c r="N1645" s="398"/>
      <c r="R1645" s="50"/>
      <c r="S1645" s="47"/>
      <c r="T1645" s="98"/>
      <c r="U1645" s="98"/>
      <c r="AF1645" s="39"/>
      <c r="AG1645" s="490"/>
      <c r="AH1645" s="490"/>
    </row>
    <row r="1646" spans="3:34" ht="19.5" customHeight="1">
      <c r="C1646" s="449"/>
      <c r="D1646" s="68"/>
      <c r="E1646" s="68"/>
      <c r="G1646" s="98"/>
      <c r="H1646" s="68"/>
      <c r="I1646" s="68"/>
      <c r="N1646" s="398"/>
      <c r="R1646" s="50"/>
      <c r="S1646" s="47"/>
      <c r="T1646" s="98"/>
      <c r="U1646" s="98"/>
      <c r="AF1646" s="39"/>
      <c r="AG1646" s="490"/>
      <c r="AH1646" s="490"/>
    </row>
    <row r="1647" spans="3:34" ht="19.5" customHeight="1">
      <c r="C1647" s="449"/>
      <c r="D1647" s="68"/>
      <c r="E1647" s="68"/>
      <c r="G1647" s="98"/>
      <c r="H1647" s="68"/>
      <c r="I1647" s="68"/>
      <c r="N1647" s="398"/>
      <c r="R1647" s="50"/>
      <c r="S1647" s="47"/>
      <c r="T1647" s="98"/>
      <c r="U1647" s="98"/>
      <c r="AF1647" s="39"/>
      <c r="AG1647" s="490"/>
      <c r="AH1647" s="490"/>
    </row>
    <row r="1648" spans="3:34" ht="19.5" customHeight="1">
      <c r="C1648" s="449"/>
      <c r="D1648" s="68"/>
      <c r="E1648" s="68"/>
      <c r="G1648" s="98"/>
      <c r="H1648" s="68"/>
      <c r="I1648" s="68"/>
      <c r="N1648" s="398"/>
      <c r="R1648" s="50"/>
      <c r="S1648" s="47"/>
      <c r="T1648" s="98"/>
      <c r="U1648" s="98"/>
      <c r="AF1648" s="39"/>
      <c r="AG1648" s="490"/>
      <c r="AH1648" s="490"/>
    </row>
    <row r="1649" spans="3:34" ht="19.5" customHeight="1">
      <c r="C1649" s="449"/>
      <c r="D1649" s="68"/>
      <c r="E1649" s="68"/>
      <c r="G1649" s="98"/>
      <c r="H1649" s="68"/>
      <c r="I1649" s="68"/>
      <c r="N1649" s="398"/>
      <c r="R1649" s="50"/>
      <c r="S1649" s="47"/>
      <c r="T1649" s="98"/>
      <c r="U1649" s="98"/>
      <c r="AF1649" s="39"/>
      <c r="AG1649" s="490"/>
      <c r="AH1649" s="490"/>
    </row>
    <row r="1650" spans="3:34" ht="19.5" customHeight="1">
      <c r="C1650" s="449"/>
      <c r="D1650" s="68"/>
      <c r="E1650" s="68"/>
      <c r="G1650" s="98"/>
      <c r="H1650" s="68"/>
      <c r="I1650" s="68"/>
      <c r="N1650" s="398"/>
      <c r="R1650" s="50"/>
      <c r="S1650" s="47"/>
      <c r="T1650" s="98"/>
      <c r="U1650" s="98"/>
      <c r="AF1650" s="39"/>
      <c r="AG1650" s="490"/>
      <c r="AH1650" s="490"/>
    </row>
    <row r="1651" spans="3:34" ht="19.5" customHeight="1">
      <c r="C1651" s="449"/>
      <c r="D1651" s="68"/>
      <c r="E1651" s="68"/>
      <c r="G1651" s="98"/>
      <c r="H1651" s="68"/>
      <c r="I1651" s="68"/>
      <c r="N1651" s="398"/>
      <c r="R1651" s="50"/>
      <c r="S1651" s="47"/>
      <c r="T1651" s="98"/>
      <c r="U1651" s="98"/>
      <c r="AF1651" s="39"/>
      <c r="AG1651" s="490"/>
      <c r="AH1651" s="490"/>
    </row>
    <row r="1652" spans="3:34" ht="19.5" customHeight="1">
      <c r="C1652" s="449"/>
      <c r="D1652" s="68"/>
      <c r="E1652" s="68"/>
      <c r="G1652" s="98"/>
      <c r="H1652" s="68"/>
      <c r="I1652" s="68"/>
      <c r="N1652" s="398"/>
      <c r="R1652" s="50"/>
      <c r="S1652" s="47"/>
      <c r="T1652" s="98"/>
      <c r="U1652" s="98"/>
      <c r="AF1652" s="39"/>
      <c r="AG1652" s="490"/>
      <c r="AH1652" s="490"/>
    </row>
    <row r="1653" spans="3:34" ht="19.5" customHeight="1">
      <c r="C1653" s="449"/>
      <c r="D1653" s="68"/>
      <c r="E1653" s="68"/>
      <c r="G1653" s="98"/>
      <c r="H1653" s="68"/>
      <c r="I1653" s="68"/>
      <c r="N1653" s="398"/>
      <c r="R1653" s="50"/>
      <c r="S1653" s="47"/>
      <c r="T1653" s="98"/>
      <c r="U1653" s="98"/>
      <c r="AF1653" s="39"/>
      <c r="AG1653" s="490"/>
      <c r="AH1653" s="490"/>
    </row>
    <row r="1654" spans="3:34" ht="19.5" customHeight="1">
      <c r="C1654" s="449"/>
      <c r="D1654" s="68"/>
      <c r="E1654" s="68"/>
      <c r="G1654" s="98"/>
      <c r="H1654" s="68"/>
      <c r="I1654" s="68"/>
      <c r="N1654" s="398"/>
      <c r="R1654" s="50"/>
      <c r="S1654" s="47"/>
      <c r="T1654" s="98"/>
      <c r="U1654" s="98"/>
      <c r="AF1654" s="39"/>
      <c r="AG1654" s="490"/>
      <c r="AH1654" s="490"/>
    </row>
    <row r="1655" spans="3:34" ht="19.5" customHeight="1">
      <c r="C1655" s="449"/>
      <c r="D1655" s="68"/>
      <c r="E1655" s="68"/>
      <c r="G1655" s="98"/>
      <c r="H1655" s="68"/>
      <c r="I1655" s="68"/>
      <c r="N1655" s="398"/>
      <c r="R1655" s="50"/>
      <c r="S1655" s="47"/>
      <c r="T1655" s="98"/>
      <c r="U1655" s="98"/>
      <c r="AF1655" s="39"/>
      <c r="AG1655" s="490"/>
      <c r="AH1655" s="490"/>
    </row>
    <row r="1656" spans="3:34" ht="19.5" customHeight="1">
      <c r="C1656" s="449"/>
      <c r="D1656" s="68"/>
      <c r="E1656" s="68"/>
      <c r="G1656" s="98"/>
      <c r="H1656" s="68"/>
      <c r="I1656" s="68"/>
      <c r="N1656" s="398"/>
      <c r="R1656" s="50"/>
      <c r="S1656" s="47"/>
      <c r="T1656" s="98"/>
      <c r="U1656" s="98"/>
      <c r="AF1656" s="39"/>
      <c r="AG1656" s="490"/>
      <c r="AH1656" s="490"/>
    </row>
    <row r="1657" spans="3:34" ht="19.5" customHeight="1">
      <c r="C1657" s="449"/>
      <c r="D1657" s="68"/>
      <c r="E1657" s="68"/>
      <c r="G1657" s="98"/>
      <c r="H1657" s="68"/>
      <c r="I1657" s="68"/>
      <c r="N1657" s="398"/>
      <c r="R1657" s="50"/>
      <c r="S1657" s="47"/>
      <c r="T1657" s="98"/>
      <c r="U1657" s="98"/>
      <c r="AF1657" s="39"/>
      <c r="AG1657" s="490"/>
      <c r="AH1657" s="490"/>
    </row>
    <row r="1658" spans="3:34" ht="19.5" customHeight="1">
      <c r="C1658" s="449"/>
      <c r="D1658" s="68"/>
      <c r="E1658" s="68"/>
      <c r="G1658" s="98"/>
      <c r="H1658" s="68"/>
      <c r="I1658" s="68"/>
      <c r="N1658" s="398"/>
      <c r="R1658" s="50"/>
      <c r="S1658" s="47"/>
      <c r="T1658" s="98"/>
      <c r="U1658" s="98"/>
      <c r="AF1658" s="39"/>
      <c r="AG1658" s="490"/>
      <c r="AH1658" s="490"/>
    </row>
    <row r="1659" spans="3:34" ht="19.5" customHeight="1">
      <c r="C1659" s="449"/>
      <c r="D1659" s="68"/>
      <c r="E1659" s="68"/>
      <c r="G1659" s="98"/>
      <c r="H1659" s="68"/>
      <c r="I1659" s="68"/>
      <c r="N1659" s="398"/>
      <c r="R1659" s="50"/>
      <c r="S1659" s="47"/>
      <c r="T1659" s="98"/>
      <c r="U1659" s="98"/>
      <c r="AF1659" s="39"/>
      <c r="AG1659" s="490"/>
      <c r="AH1659" s="490"/>
    </row>
    <row r="1660" spans="3:34" ht="19.5" customHeight="1">
      <c r="C1660" s="449"/>
      <c r="D1660" s="68"/>
      <c r="E1660" s="68"/>
      <c r="G1660" s="98"/>
      <c r="H1660" s="68"/>
      <c r="I1660" s="68"/>
      <c r="N1660" s="398"/>
      <c r="R1660" s="50"/>
      <c r="S1660" s="47"/>
      <c r="T1660" s="98"/>
      <c r="U1660" s="98"/>
      <c r="AF1660" s="39"/>
      <c r="AG1660" s="490"/>
      <c r="AH1660" s="490"/>
    </row>
    <row r="1661" spans="3:34" ht="19.5" customHeight="1">
      <c r="C1661" s="449"/>
      <c r="D1661" s="68"/>
      <c r="E1661" s="68"/>
      <c r="G1661" s="98"/>
      <c r="H1661" s="68"/>
      <c r="I1661" s="68"/>
      <c r="N1661" s="398"/>
      <c r="R1661" s="50"/>
      <c r="S1661" s="47"/>
      <c r="T1661" s="98"/>
      <c r="U1661" s="98"/>
      <c r="AF1661" s="39"/>
      <c r="AG1661" s="490"/>
      <c r="AH1661" s="490"/>
    </row>
    <row r="1662" spans="3:34" ht="19.5" customHeight="1">
      <c r="C1662" s="449"/>
      <c r="D1662" s="68"/>
      <c r="E1662" s="68"/>
      <c r="G1662" s="98"/>
      <c r="H1662" s="68"/>
      <c r="I1662" s="68"/>
      <c r="N1662" s="398"/>
      <c r="R1662" s="50"/>
      <c r="S1662" s="47"/>
      <c r="T1662" s="98"/>
      <c r="U1662" s="98"/>
      <c r="AF1662" s="39"/>
      <c r="AG1662" s="490"/>
      <c r="AH1662" s="490"/>
    </row>
    <row r="1663" spans="3:34" ht="19.5" customHeight="1">
      <c r="C1663" s="449"/>
      <c r="D1663" s="68"/>
      <c r="E1663" s="68"/>
      <c r="G1663" s="98"/>
      <c r="H1663" s="68"/>
      <c r="I1663" s="68"/>
      <c r="N1663" s="398"/>
      <c r="R1663" s="50"/>
      <c r="S1663" s="47"/>
      <c r="T1663" s="98"/>
      <c r="U1663" s="98"/>
      <c r="AF1663" s="39"/>
      <c r="AG1663" s="490"/>
      <c r="AH1663" s="490"/>
    </row>
    <row r="1664" spans="3:34" ht="19.5" customHeight="1">
      <c r="C1664" s="449"/>
      <c r="D1664" s="68"/>
      <c r="E1664" s="68"/>
      <c r="G1664" s="98"/>
      <c r="H1664" s="68"/>
      <c r="I1664" s="68"/>
      <c r="N1664" s="398"/>
      <c r="R1664" s="50"/>
      <c r="S1664" s="47"/>
      <c r="T1664" s="98"/>
      <c r="U1664" s="98"/>
      <c r="AF1664" s="39"/>
      <c r="AG1664" s="490"/>
      <c r="AH1664" s="490"/>
    </row>
    <row r="1665" spans="3:34" ht="19.5" customHeight="1">
      <c r="C1665" s="449"/>
      <c r="D1665" s="68"/>
      <c r="E1665" s="68"/>
      <c r="G1665" s="98"/>
      <c r="H1665" s="68"/>
      <c r="I1665" s="68"/>
      <c r="N1665" s="398"/>
      <c r="R1665" s="50"/>
      <c r="S1665" s="47"/>
      <c r="T1665" s="98"/>
      <c r="U1665" s="98"/>
      <c r="AF1665" s="39"/>
      <c r="AG1665" s="490"/>
      <c r="AH1665" s="490"/>
    </row>
    <row r="1666" spans="3:34" ht="19.5" customHeight="1">
      <c r="C1666" s="449"/>
      <c r="D1666" s="68"/>
      <c r="E1666" s="68"/>
      <c r="G1666" s="98"/>
      <c r="H1666" s="68"/>
      <c r="I1666" s="68"/>
      <c r="N1666" s="398"/>
      <c r="R1666" s="50"/>
      <c r="S1666" s="47"/>
      <c r="T1666" s="98"/>
      <c r="U1666" s="98"/>
      <c r="AF1666" s="39"/>
      <c r="AG1666" s="490"/>
      <c r="AH1666" s="490"/>
    </row>
    <row r="1667" spans="3:34" ht="19.5" customHeight="1">
      <c r="C1667" s="449"/>
      <c r="D1667" s="68"/>
      <c r="E1667" s="68"/>
      <c r="G1667" s="98"/>
      <c r="H1667" s="68"/>
      <c r="I1667" s="68"/>
      <c r="N1667" s="398"/>
      <c r="R1667" s="50"/>
      <c r="S1667" s="47"/>
      <c r="T1667" s="98"/>
      <c r="U1667" s="98"/>
      <c r="AF1667" s="39"/>
      <c r="AG1667" s="490"/>
      <c r="AH1667" s="490"/>
    </row>
    <row r="1668" spans="3:34" ht="19.5" customHeight="1">
      <c r="C1668" s="449"/>
      <c r="D1668" s="68"/>
      <c r="E1668" s="68"/>
      <c r="G1668" s="98"/>
      <c r="H1668" s="68"/>
      <c r="I1668" s="68"/>
      <c r="N1668" s="398"/>
      <c r="R1668" s="50"/>
      <c r="S1668" s="47"/>
      <c r="T1668" s="98"/>
      <c r="U1668" s="98"/>
      <c r="AF1668" s="39"/>
      <c r="AG1668" s="490"/>
      <c r="AH1668" s="490"/>
    </row>
    <row r="1669" spans="3:34" ht="19.5" customHeight="1">
      <c r="C1669" s="449"/>
      <c r="D1669" s="68"/>
      <c r="E1669" s="68"/>
      <c r="G1669" s="98"/>
      <c r="H1669" s="68"/>
      <c r="I1669" s="68"/>
      <c r="N1669" s="398"/>
      <c r="R1669" s="50"/>
      <c r="S1669" s="47"/>
      <c r="T1669" s="98"/>
      <c r="U1669" s="98"/>
      <c r="AF1669" s="39"/>
      <c r="AG1669" s="490"/>
      <c r="AH1669" s="490"/>
    </row>
    <row r="1670" spans="3:34" ht="19.5" customHeight="1">
      <c r="C1670" s="449"/>
      <c r="D1670" s="68"/>
      <c r="E1670" s="68"/>
      <c r="G1670" s="98"/>
      <c r="H1670" s="68"/>
      <c r="I1670" s="68"/>
      <c r="N1670" s="398"/>
      <c r="R1670" s="50"/>
      <c r="S1670" s="47"/>
      <c r="T1670" s="98"/>
      <c r="U1670" s="98"/>
      <c r="AF1670" s="39"/>
      <c r="AG1670" s="490"/>
      <c r="AH1670" s="490"/>
    </row>
    <row r="1671" spans="3:34" ht="19.5" customHeight="1">
      <c r="C1671" s="449"/>
      <c r="D1671" s="68"/>
      <c r="E1671" s="68"/>
      <c r="G1671" s="98"/>
      <c r="H1671" s="68"/>
      <c r="I1671" s="68"/>
      <c r="N1671" s="398"/>
      <c r="R1671" s="50"/>
      <c r="S1671" s="47"/>
      <c r="T1671" s="98"/>
      <c r="U1671" s="98"/>
      <c r="AF1671" s="39"/>
      <c r="AG1671" s="490"/>
      <c r="AH1671" s="490"/>
    </row>
    <row r="1672" spans="3:34" ht="19.5" customHeight="1">
      <c r="C1672" s="449"/>
      <c r="D1672" s="68"/>
      <c r="E1672" s="68"/>
      <c r="G1672" s="98"/>
      <c r="H1672" s="68"/>
      <c r="I1672" s="68"/>
      <c r="N1672" s="398"/>
      <c r="R1672" s="50"/>
      <c r="S1672" s="47"/>
      <c r="T1672" s="98"/>
      <c r="U1672" s="98"/>
      <c r="AF1672" s="39"/>
      <c r="AG1672" s="490"/>
      <c r="AH1672" s="490"/>
    </row>
    <row r="1673" spans="3:34" ht="19.5" customHeight="1">
      <c r="C1673" s="449"/>
      <c r="D1673" s="68"/>
      <c r="E1673" s="68"/>
      <c r="G1673" s="98"/>
      <c r="H1673" s="68"/>
      <c r="I1673" s="68"/>
      <c r="N1673" s="398"/>
      <c r="R1673" s="50"/>
      <c r="S1673" s="47"/>
      <c r="T1673" s="98"/>
      <c r="U1673" s="98"/>
      <c r="AF1673" s="39"/>
      <c r="AG1673" s="490"/>
      <c r="AH1673" s="490"/>
    </row>
    <row r="1674" spans="3:34" ht="19.5" customHeight="1">
      <c r="C1674" s="449"/>
      <c r="D1674" s="68"/>
      <c r="E1674" s="68"/>
      <c r="G1674" s="98"/>
      <c r="H1674" s="68"/>
      <c r="I1674" s="68"/>
      <c r="N1674" s="398"/>
      <c r="R1674" s="50"/>
      <c r="S1674" s="47"/>
      <c r="T1674" s="98"/>
      <c r="U1674" s="98"/>
      <c r="AF1674" s="39"/>
      <c r="AG1674" s="490"/>
      <c r="AH1674" s="490"/>
    </row>
    <row r="1675" spans="3:34" ht="19.5" customHeight="1">
      <c r="C1675" s="449"/>
      <c r="D1675" s="68"/>
      <c r="E1675" s="68"/>
      <c r="G1675" s="98"/>
      <c r="H1675" s="68"/>
      <c r="I1675" s="68"/>
      <c r="N1675" s="398"/>
      <c r="R1675" s="50"/>
      <c r="S1675" s="47"/>
      <c r="T1675" s="98"/>
      <c r="U1675" s="98"/>
      <c r="AF1675" s="39"/>
      <c r="AG1675" s="490"/>
      <c r="AH1675" s="490"/>
    </row>
    <row r="1676" spans="3:34" ht="19.5" customHeight="1">
      <c r="C1676" s="449"/>
      <c r="D1676" s="68"/>
      <c r="E1676" s="68"/>
      <c r="G1676" s="98"/>
      <c r="H1676" s="68"/>
      <c r="I1676" s="68"/>
      <c r="N1676" s="398"/>
      <c r="R1676" s="50"/>
      <c r="S1676" s="47"/>
      <c r="T1676" s="98"/>
      <c r="U1676" s="98"/>
      <c r="AF1676" s="39"/>
      <c r="AG1676" s="490"/>
      <c r="AH1676" s="490"/>
    </row>
    <row r="1677" spans="3:34" ht="19.5" customHeight="1">
      <c r="C1677" s="449"/>
      <c r="D1677" s="68"/>
      <c r="E1677" s="68"/>
      <c r="G1677" s="98"/>
      <c r="H1677" s="68"/>
      <c r="I1677" s="68"/>
      <c r="N1677" s="398"/>
      <c r="R1677" s="50"/>
      <c r="S1677" s="47"/>
      <c r="T1677" s="98"/>
      <c r="U1677" s="98"/>
      <c r="AF1677" s="39"/>
      <c r="AG1677" s="490"/>
      <c r="AH1677" s="490"/>
    </row>
    <row r="1678" spans="3:34" ht="19.5" customHeight="1">
      <c r="C1678" s="449"/>
      <c r="D1678" s="68"/>
      <c r="E1678" s="68"/>
      <c r="G1678" s="98"/>
      <c r="H1678" s="68"/>
      <c r="I1678" s="68"/>
      <c r="N1678" s="398"/>
      <c r="R1678" s="50"/>
      <c r="S1678" s="47"/>
      <c r="T1678" s="98"/>
      <c r="U1678" s="98"/>
      <c r="AF1678" s="39"/>
      <c r="AG1678" s="490"/>
      <c r="AH1678" s="490"/>
    </row>
    <row r="1679" spans="3:34" ht="19.5" customHeight="1">
      <c r="C1679" s="449"/>
      <c r="D1679" s="68"/>
      <c r="E1679" s="68"/>
      <c r="G1679" s="98"/>
      <c r="H1679" s="68"/>
      <c r="I1679" s="68"/>
      <c r="N1679" s="398"/>
      <c r="R1679" s="50"/>
      <c r="S1679" s="47"/>
      <c r="T1679" s="98"/>
      <c r="U1679" s="98"/>
      <c r="AF1679" s="39"/>
      <c r="AG1679" s="490"/>
      <c r="AH1679" s="490"/>
    </row>
    <row r="1680" spans="3:34" ht="19.5" customHeight="1">
      <c r="C1680" s="449"/>
      <c r="D1680" s="68"/>
      <c r="E1680" s="68"/>
      <c r="G1680" s="98"/>
      <c r="H1680" s="68"/>
      <c r="I1680" s="68"/>
      <c r="N1680" s="398"/>
      <c r="R1680" s="50"/>
      <c r="S1680" s="47"/>
      <c r="T1680" s="98"/>
      <c r="U1680" s="98"/>
      <c r="AF1680" s="39"/>
      <c r="AG1680" s="490"/>
      <c r="AH1680" s="490"/>
    </row>
    <row r="1681" spans="3:34" ht="19.5" customHeight="1">
      <c r="C1681" s="449"/>
      <c r="D1681" s="68"/>
      <c r="E1681" s="68"/>
      <c r="G1681" s="98"/>
      <c r="H1681" s="68"/>
      <c r="I1681" s="68"/>
      <c r="N1681" s="398"/>
      <c r="R1681" s="50"/>
      <c r="S1681" s="47"/>
      <c r="T1681" s="98"/>
      <c r="U1681" s="98"/>
      <c r="AF1681" s="39"/>
      <c r="AG1681" s="490"/>
      <c r="AH1681" s="490"/>
    </row>
    <row r="1682" spans="3:34" ht="19.5" customHeight="1">
      <c r="C1682" s="449"/>
      <c r="D1682" s="68"/>
      <c r="E1682" s="68"/>
      <c r="G1682" s="98"/>
      <c r="H1682" s="68"/>
      <c r="I1682" s="68"/>
      <c r="N1682" s="398"/>
      <c r="R1682" s="50"/>
      <c r="S1682" s="47"/>
      <c r="T1682" s="98"/>
      <c r="U1682" s="98"/>
      <c r="AF1682" s="39"/>
      <c r="AG1682" s="490"/>
      <c r="AH1682" s="490"/>
    </row>
    <row r="1683" spans="3:34" ht="19.5" customHeight="1">
      <c r="C1683" s="449"/>
      <c r="D1683" s="68"/>
      <c r="E1683" s="68"/>
      <c r="G1683" s="98"/>
      <c r="H1683" s="68"/>
      <c r="I1683" s="68"/>
      <c r="N1683" s="398"/>
      <c r="R1683" s="50"/>
      <c r="S1683" s="47"/>
      <c r="T1683" s="98"/>
      <c r="U1683" s="98"/>
      <c r="AF1683" s="39"/>
      <c r="AG1683" s="490"/>
      <c r="AH1683" s="490"/>
    </row>
    <row r="1684" spans="3:34" ht="19.5" customHeight="1">
      <c r="C1684" s="449"/>
      <c r="D1684" s="68"/>
      <c r="E1684" s="68"/>
      <c r="G1684" s="98"/>
      <c r="H1684" s="68"/>
      <c r="I1684" s="68"/>
      <c r="N1684" s="398"/>
      <c r="R1684" s="50"/>
      <c r="S1684" s="47"/>
      <c r="T1684" s="98"/>
      <c r="U1684" s="98"/>
      <c r="AF1684" s="39"/>
      <c r="AG1684" s="490"/>
      <c r="AH1684" s="490"/>
    </row>
    <row r="1685" spans="3:34" ht="19.5" customHeight="1">
      <c r="C1685" s="449"/>
      <c r="D1685" s="68"/>
      <c r="E1685" s="68"/>
      <c r="G1685" s="98"/>
      <c r="H1685" s="68"/>
      <c r="I1685" s="68"/>
      <c r="N1685" s="398"/>
      <c r="R1685" s="50"/>
      <c r="S1685" s="47"/>
      <c r="T1685" s="98"/>
      <c r="U1685" s="98"/>
      <c r="AF1685" s="39"/>
      <c r="AG1685" s="490"/>
      <c r="AH1685" s="490"/>
    </row>
    <row r="1686" spans="3:34" ht="19.5" customHeight="1">
      <c r="C1686" s="449"/>
      <c r="D1686" s="68"/>
      <c r="E1686" s="68"/>
      <c r="G1686" s="98"/>
      <c r="H1686" s="68"/>
      <c r="I1686" s="68"/>
      <c r="N1686" s="398"/>
      <c r="R1686" s="50"/>
      <c r="S1686" s="47"/>
      <c r="T1686" s="98"/>
      <c r="U1686" s="98"/>
      <c r="AF1686" s="39"/>
      <c r="AG1686" s="490"/>
      <c r="AH1686" s="490"/>
    </row>
    <row r="1687" spans="3:34" ht="19.5" customHeight="1">
      <c r="C1687" s="449"/>
      <c r="D1687" s="68"/>
      <c r="E1687" s="68"/>
      <c r="G1687" s="98"/>
      <c r="H1687" s="68"/>
      <c r="I1687" s="68"/>
      <c r="N1687" s="398"/>
      <c r="R1687" s="50"/>
      <c r="S1687" s="47"/>
      <c r="T1687" s="98"/>
      <c r="U1687" s="98"/>
      <c r="AF1687" s="39"/>
      <c r="AG1687" s="490"/>
      <c r="AH1687" s="490"/>
    </row>
    <row r="1688" spans="3:34" ht="19.5" customHeight="1">
      <c r="C1688" s="449"/>
      <c r="D1688" s="68"/>
      <c r="E1688" s="68"/>
      <c r="G1688" s="98"/>
      <c r="H1688" s="68"/>
      <c r="I1688" s="68"/>
      <c r="N1688" s="398"/>
      <c r="R1688" s="50"/>
      <c r="S1688" s="47"/>
      <c r="T1688" s="98"/>
      <c r="U1688" s="98"/>
      <c r="AF1688" s="39"/>
      <c r="AG1688" s="490"/>
      <c r="AH1688" s="490"/>
    </row>
    <row r="1689" spans="3:34" ht="19.5" customHeight="1">
      <c r="C1689" s="449"/>
      <c r="D1689" s="68"/>
      <c r="E1689" s="68"/>
      <c r="G1689" s="98"/>
      <c r="H1689" s="68"/>
      <c r="I1689" s="68"/>
      <c r="N1689" s="398"/>
      <c r="R1689" s="50"/>
      <c r="S1689" s="47"/>
      <c r="T1689" s="98"/>
      <c r="U1689" s="98"/>
      <c r="AF1689" s="39"/>
      <c r="AG1689" s="490"/>
      <c r="AH1689" s="490"/>
    </row>
    <row r="1690" spans="3:34" ht="19.5" customHeight="1">
      <c r="C1690" s="449"/>
      <c r="D1690" s="68"/>
      <c r="E1690" s="68"/>
      <c r="G1690" s="98"/>
      <c r="H1690" s="68"/>
      <c r="I1690" s="68"/>
      <c r="N1690" s="398"/>
      <c r="R1690" s="50"/>
      <c r="S1690" s="47"/>
      <c r="T1690" s="98"/>
      <c r="U1690" s="98"/>
      <c r="AF1690" s="39"/>
      <c r="AG1690" s="490"/>
      <c r="AH1690" s="490"/>
    </row>
    <row r="1691" spans="3:34" ht="19.5" customHeight="1">
      <c r="C1691" s="449"/>
      <c r="D1691" s="68"/>
      <c r="E1691" s="68"/>
      <c r="G1691" s="98"/>
      <c r="H1691" s="68"/>
      <c r="I1691" s="68"/>
      <c r="N1691" s="398"/>
      <c r="R1691" s="50"/>
      <c r="S1691" s="47"/>
      <c r="T1691" s="98"/>
      <c r="U1691" s="98"/>
      <c r="AF1691" s="39"/>
      <c r="AG1691" s="490"/>
      <c r="AH1691" s="490"/>
    </row>
    <row r="1692" spans="3:34" ht="19.5" customHeight="1">
      <c r="C1692" s="449"/>
      <c r="D1692" s="68"/>
      <c r="E1692" s="68"/>
      <c r="G1692" s="98"/>
      <c r="H1692" s="68"/>
      <c r="I1692" s="68"/>
      <c r="N1692" s="398"/>
      <c r="R1692" s="50"/>
      <c r="S1692" s="47"/>
      <c r="T1692" s="98"/>
      <c r="U1692" s="98"/>
      <c r="AF1692" s="39"/>
      <c r="AG1692" s="490"/>
      <c r="AH1692" s="490"/>
    </row>
    <row r="1693" spans="3:34" ht="19.5" customHeight="1">
      <c r="C1693" s="449"/>
      <c r="D1693" s="68"/>
      <c r="E1693" s="68"/>
      <c r="G1693" s="98"/>
      <c r="H1693" s="68"/>
      <c r="I1693" s="68"/>
      <c r="N1693" s="398"/>
      <c r="R1693" s="50"/>
      <c r="S1693" s="47"/>
      <c r="T1693" s="98"/>
      <c r="U1693" s="98"/>
      <c r="AF1693" s="39"/>
      <c r="AG1693" s="490"/>
      <c r="AH1693" s="490"/>
    </row>
    <row r="1694" spans="3:34" ht="19.5" customHeight="1">
      <c r="C1694" s="449"/>
      <c r="D1694" s="68"/>
      <c r="E1694" s="68"/>
      <c r="G1694" s="98"/>
      <c r="H1694" s="68"/>
      <c r="I1694" s="68"/>
      <c r="N1694" s="398"/>
      <c r="R1694" s="50"/>
      <c r="S1694" s="47"/>
      <c r="T1694" s="98"/>
      <c r="U1694" s="98"/>
      <c r="AF1694" s="39"/>
      <c r="AG1694" s="490"/>
      <c r="AH1694" s="490"/>
    </row>
    <row r="1695" spans="3:34" ht="19.5" customHeight="1">
      <c r="C1695" s="449"/>
      <c r="D1695" s="68"/>
      <c r="E1695" s="68"/>
      <c r="G1695" s="98"/>
      <c r="H1695" s="68"/>
      <c r="I1695" s="68"/>
      <c r="N1695" s="398"/>
      <c r="R1695" s="50"/>
      <c r="S1695" s="47"/>
      <c r="T1695" s="98"/>
      <c r="U1695" s="98"/>
      <c r="AF1695" s="39"/>
      <c r="AG1695" s="490"/>
      <c r="AH1695" s="490"/>
    </row>
    <row r="1696" spans="3:34" ht="19.5" customHeight="1">
      <c r="C1696" s="449"/>
      <c r="D1696" s="68"/>
      <c r="E1696" s="68"/>
      <c r="G1696" s="98"/>
      <c r="H1696" s="68"/>
      <c r="I1696" s="68"/>
      <c r="N1696" s="398"/>
      <c r="R1696" s="50"/>
      <c r="S1696" s="47"/>
      <c r="T1696" s="98"/>
      <c r="U1696" s="98"/>
      <c r="AF1696" s="39"/>
      <c r="AG1696" s="490"/>
      <c r="AH1696" s="490"/>
    </row>
    <row r="1697" spans="3:34" ht="19.5" customHeight="1">
      <c r="C1697" s="449"/>
      <c r="D1697" s="68"/>
      <c r="E1697" s="68"/>
      <c r="G1697" s="98"/>
      <c r="H1697" s="68"/>
      <c r="I1697" s="68"/>
      <c r="N1697" s="398"/>
      <c r="R1697" s="50"/>
      <c r="S1697" s="47"/>
      <c r="T1697" s="98"/>
      <c r="U1697" s="98"/>
      <c r="AF1697" s="39"/>
      <c r="AG1697" s="490"/>
      <c r="AH1697" s="490"/>
    </row>
    <row r="1698" spans="3:34" ht="19.5" customHeight="1">
      <c r="C1698" s="449"/>
      <c r="D1698" s="68"/>
      <c r="E1698" s="68"/>
      <c r="G1698" s="98"/>
      <c r="H1698" s="68"/>
      <c r="I1698" s="68"/>
      <c r="N1698" s="398"/>
      <c r="R1698" s="50"/>
      <c r="S1698" s="47"/>
      <c r="T1698" s="98"/>
      <c r="U1698" s="98"/>
      <c r="AF1698" s="39"/>
      <c r="AG1698" s="490"/>
      <c r="AH1698" s="490"/>
    </row>
    <row r="1699" spans="3:34" ht="19.5" customHeight="1">
      <c r="C1699" s="449"/>
      <c r="D1699" s="68"/>
      <c r="E1699" s="68"/>
      <c r="G1699" s="98"/>
      <c r="H1699" s="68"/>
      <c r="I1699" s="68"/>
      <c r="N1699" s="398"/>
      <c r="R1699" s="50"/>
      <c r="S1699" s="47"/>
      <c r="T1699" s="98"/>
      <c r="U1699" s="98"/>
      <c r="AF1699" s="39"/>
      <c r="AG1699" s="490"/>
      <c r="AH1699" s="490"/>
    </row>
    <row r="1700" spans="3:34" ht="19.5" customHeight="1">
      <c r="C1700" s="449"/>
      <c r="D1700" s="68"/>
      <c r="E1700" s="68"/>
      <c r="G1700" s="98"/>
      <c r="H1700" s="68"/>
      <c r="I1700" s="68"/>
      <c r="N1700" s="398"/>
      <c r="R1700" s="50"/>
      <c r="S1700" s="47"/>
      <c r="T1700" s="98"/>
      <c r="U1700" s="98"/>
      <c r="AF1700" s="39"/>
      <c r="AG1700" s="490"/>
      <c r="AH1700" s="490"/>
    </row>
    <row r="1701" spans="3:34" ht="19.5" customHeight="1">
      <c r="C1701" s="449"/>
      <c r="D1701" s="68"/>
      <c r="E1701" s="68"/>
      <c r="G1701" s="98"/>
      <c r="H1701" s="68"/>
      <c r="I1701" s="68"/>
      <c r="N1701" s="398"/>
      <c r="R1701" s="50"/>
      <c r="S1701" s="47"/>
      <c r="T1701" s="98"/>
      <c r="U1701" s="98"/>
      <c r="AF1701" s="39"/>
      <c r="AG1701" s="490"/>
      <c r="AH1701" s="490"/>
    </row>
    <row r="1702" spans="3:34" ht="19.5" customHeight="1">
      <c r="C1702" s="449"/>
      <c r="D1702" s="68"/>
      <c r="E1702" s="68"/>
      <c r="G1702" s="98"/>
      <c r="H1702" s="68"/>
      <c r="I1702" s="68"/>
      <c r="N1702" s="398"/>
      <c r="R1702" s="50"/>
      <c r="S1702" s="47"/>
      <c r="T1702" s="98"/>
      <c r="U1702" s="98"/>
      <c r="AF1702" s="39"/>
      <c r="AG1702" s="490"/>
      <c r="AH1702" s="490"/>
    </row>
    <row r="1703" spans="3:34" ht="19.5" customHeight="1">
      <c r="C1703" s="449"/>
      <c r="D1703" s="68"/>
      <c r="E1703" s="68"/>
      <c r="G1703" s="98"/>
      <c r="H1703" s="68"/>
      <c r="I1703" s="68"/>
      <c r="N1703" s="398"/>
      <c r="R1703" s="50"/>
      <c r="S1703" s="47"/>
      <c r="T1703" s="98"/>
      <c r="U1703" s="98"/>
      <c r="AF1703" s="39"/>
      <c r="AG1703" s="490"/>
      <c r="AH1703" s="490"/>
    </row>
    <row r="1704" spans="3:34" ht="19.5" customHeight="1">
      <c r="C1704" s="449"/>
      <c r="D1704" s="68"/>
      <c r="E1704" s="68"/>
      <c r="G1704" s="98"/>
      <c r="H1704" s="68"/>
      <c r="I1704" s="68"/>
      <c r="N1704" s="398"/>
      <c r="R1704" s="50"/>
      <c r="S1704" s="47"/>
      <c r="T1704" s="98"/>
      <c r="U1704" s="98"/>
      <c r="AF1704" s="39"/>
      <c r="AG1704" s="490"/>
      <c r="AH1704" s="490"/>
    </row>
    <row r="1705" spans="3:34" ht="19.5" customHeight="1">
      <c r="C1705" s="449"/>
      <c r="D1705" s="68"/>
      <c r="E1705" s="68"/>
      <c r="G1705" s="98"/>
      <c r="H1705" s="68"/>
      <c r="I1705" s="68"/>
      <c r="N1705" s="398"/>
      <c r="R1705" s="50"/>
      <c r="S1705" s="47"/>
      <c r="T1705" s="98"/>
      <c r="U1705" s="98"/>
      <c r="AF1705" s="39"/>
      <c r="AG1705" s="490"/>
      <c r="AH1705" s="490"/>
    </row>
    <row r="1706" spans="3:34" ht="19.5" customHeight="1">
      <c r="C1706" s="449"/>
      <c r="D1706" s="68"/>
      <c r="E1706" s="68"/>
      <c r="G1706" s="98"/>
      <c r="H1706" s="68"/>
      <c r="I1706" s="68"/>
      <c r="N1706" s="398"/>
      <c r="R1706" s="50"/>
      <c r="S1706" s="47"/>
      <c r="T1706" s="98"/>
      <c r="U1706" s="98"/>
      <c r="AF1706" s="39"/>
      <c r="AG1706" s="490"/>
      <c r="AH1706" s="490"/>
    </row>
    <row r="1707" spans="3:34" ht="19.5" customHeight="1">
      <c r="C1707" s="449"/>
      <c r="D1707" s="68"/>
      <c r="E1707" s="68"/>
      <c r="G1707" s="98"/>
      <c r="H1707" s="68"/>
      <c r="I1707" s="68"/>
      <c r="N1707" s="398"/>
      <c r="R1707" s="50"/>
      <c r="S1707" s="47"/>
      <c r="T1707" s="98"/>
      <c r="U1707" s="98"/>
      <c r="AF1707" s="39"/>
      <c r="AG1707" s="490"/>
      <c r="AH1707" s="490"/>
    </row>
    <row r="1708" spans="3:34" ht="19.5" customHeight="1">
      <c r="C1708" s="449"/>
      <c r="D1708" s="68"/>
      <c r="E1708" s="68"/>
      <c r="G1708" s="98"/>
      <c r="H1708" s="68"/>
      <c r="I1708" s="68"/>
      <c r="N1708" s="398"/>
      <c r="R1708" s="50"/>
      <c r="S1708" s="47"/>
      <c r="T1708" s="98"/>
      <c r="U1708" s="98"/>
      <c r="AF1708" s="39"/>
      <c r="AG1708" s="490"/>
      <c r="AH1708" s="490"/>
    </row>
    <row r="1709" spans="3:34" ht="19.5" customHeight="1">
      <c r="C1709" s="449"/>
      <c r="D1709" s="68"/>
      <c r="E1709" s="68"/>
      <c r="G1709" s="98"/>
      <c r="H1709" s="68"/>
      <c r="I1709" s="68"/>
      <c r="N1709" s="398"/>
      <c r="R1709" s="50"/>
      <c r="S1709" s="47"/>
      <c r="T1709" s="98"/>
      <c r="U1709" s="98"/>
      <c r="AF1709" s="39"/>
      <c r="AG1709" s="490"/>
      <c r="AH1709" s="490"/>
    </row>
    <row r="1710" spans="3:34" ht="19.5" customHeight="1">
      <c r="C1710" s="449"/>
      <c r="D1710" s="68"/>
      <c r="E1710" s="68"/>
      <c r="G1710" s="98"/>
      <c r="H1710" s="68"/>
      <c r="I1710" s="68"/>
      <c r="N1710" s="398"/>
      <c r="R1710" s="50"/>
      <c r="S1710" s="47"/>
      <c r="T1710" s="98"/>
      <c r="U1710" s="98"/>
      <c r="AF1710" s="39"/>
      <c r="AG1710" s="490"/>
      <c r="AH1710" s="490"/>
    </row>
    <row r="1711" spans="3:34" ht="19.5" customHeight="1">
      <c r="C1711" s="449"/>
      <c r="D1711" s="68"/>
      <c r="E1711" s="68"/>
      <c r="G1711" s="98"/>
      <c r="H1711" s="68"/>
      <c r="I1711" s="68"/>
      <c r="N1711" s="398"/>
      <c r="R1711" s="50"/>
      <c r="S1711" s="47"/>
      <c r="T1711" s="98"/>
      <c r="U1711" s="98"/>
      <c r="AF1711" s="39"/>
      <c r="AG1711" s="490"/>
      <c r="AH1711" s="490"/>
    </row>
    <row r="1712" spans="3:34" ht="19.5" customHeight="1">
      <c r="C1712" s="449"/>
      <c r="D1712" s="68"/>
      <c r="E1712" s="68"/>
      <c r="G1712" s="98"/>
      <c r="H1712" s="68"/>
      <c r="I1712" s="68"/>
      <c r="N1712" s="398"/>
      <c r="R1712" s="50"/>
      <c r="S1712" s="47"/>
      <c r="T1712" s="98"/>
      <c r="U1712" s="98"/>
      <c r="AF1712" s="39"/>
      <c r="AG1712" s="490"/>
      <c r="AH1712" s="490"/>
    </row>
    <row r="1713" spans="3:34" ht="19.5" customHeight="1">
      <c r="C1713" s="449"/>
      <c r="D1713" s="68"/>
      <c r="E1713" s="68"/>
      <c r="G1713" s="98"/>
      <c r="H1713" s="68"/>
      <c r="I1713" s="68"/>
      <c r="N1713" s="398"/>
      <c r="R1713" s="50"/>
      <c r="S1713" s="47"/>
      <c r="T1713" s="98"/>
      <c r="U1713" s="98"/>
      <c r="AF1713" s="39"/>
      <c r="AG1713" s="490"/>
      <c r="AH1713" s="490"/>
    </row>
    <row r="1714" spans="3:34" ht="19.5" customHeight="1">
      <c r="C1714" s="449"/>
      <c r="D1714" s="68"/>
      <c r="E1714" s="68"/>
      <c r="G1714" s="98"/>
      <c r="H1714" s="68"/>
      <c r="I1714" s="68"/>
      <c r="N1714" s="398"/>
      <c r="R1714" s="50"/>
      <c r="S1714" s="47"/>
      <c r="T1714" s="98"/>
      <c r="U1714" s="98"/>
      <c r="AF1714" s="39"/>
      <c r="AG1714" s="490"/>
      <c r="AH1714" s="490"/>
    </row>
    <row r="1715" spans="3:34" ht="19.5" customHeight="1">
      <c r="C1715" s="449"/>
      <c r="D1715" s="68"/>
      <c r="E1715" s="68"/>
      <c r="G1715" s="98"/>
      <c r="H1715" s="68"/>
      <c r="I1715" s="68"/>
      <c r="N1715" s="398"/>
      <c r="R1715" s="50"/>
      <c r="S1715" s="47"/>
      <c r="T1715" s="98"/>
      <c r="U1715" s="98"/>
      <c r="AF1715" s="39"/>
      <c r="AG1715" s="490"/>
      <c r="AH1715" s="490"/>
    </row>
    <row r="1716" spans="3:34" ht="19.5" customHeight="1">
      <c r="C1716" s="449"/>
      <c r="D1716" s="68"/>
      <c r="E1716" s="68"/>
      <c r="G1716" s="98"/>
      <c r="H1716" s="68"/>
      <c r="I1716" s="68"/>
      <c r="N1716" s="398"/>
      <c r="R1716" s="50"/>
      <c r="S1716" s="47"/>
      <c r="T1716" s="98"/>
      <c r="U1716" s="98"/>
      <c r="AF1716" s="39"/>
      <c r="AG1716" s="490"/>
      <c r="AH1716" s="490"/>
    </row>
    <row r="1717" spans="3:34" ht="19.5" customHeight="1">
      <c r="C1717" s="449"/>
      <c r="D1717" s="68"/>
      <c r="E1717" s="68"/>
      <c r="G1717" s="98"/>
      <c r="H1717" s="68"/>
      <c r="I1717" s="68"/>
      <c r="N1717" s="398"/>
      <c r="R1717" s="50"/>
      <c r="S1717" s="47"/>
      <c r="T1717" s="98"/>
      <c r="U1717" s="98"/>
      <c r="AF1717" s="39"/>
      <c r="AG1717" s="490"/>
      <c r="AH1717" s="490"/>
    </row>
    <row r="1718" spans="3:34" ht="19.5" customHeight="1">
      <c r="C1718" s="449"/>
      <c r="D1718" s="68"/>
      <c r="E1718" s="68"/>
      <c r="G1718" s="98"/>
      <c r="H1718" s="68"/>
      <c r="I1718" s="68"/>
      <c r="N1718" s="398"/>
      <c r="R1718" s="50"/>
      <c r="S1718" s="47"/>
      <c r="T1718" s="98"/>
      <c r="U1718" s="98"/>
      <c r="AF1718" s="39"/>
      <c r="AG1718" s="490"/>
      <c r="AH1718" s="490"/>
    </row>
    <row r="1719" spans="3:34" ht="19.5" customHeight="1">
      <c r="C1719" s="449"/>
      <c r="D1719" s="68"/>
      <c r="E1719" s="68"/>
      <c r="G1719" s="98"/>
      <c r="H1719" s="68"/>
      <c r="I1719" s="68"/>
      <c r="N1719" s="398"/>
      <c r="R1719" s="50"/>
      <c r="S1719" s="47"/>
      <c r="T1719" s="98"/>
      <c r="U1719" s="98"/>
      <c r="AF1719" s="39"/>
      <c r="AG1719" s="490"/>
      <c r="AH1719" s="490"/>
    </row>
    <row r="1720" spans="3:34" ht="19.5" customHeight="1">
      <c r="C1720" s="449"/>
      <c r="D1720" s="68"/>
      <c r="E1720" s="68"/>
      <c r="G1720" s="98"/>
      <c r="H1720" s="68"/>
      <c r="I1720" s="68"/>
      <c r="N1720" s="398"/>
      <c r="R1720" s="50"/>
      <c r="S1720" s="47"/>
      <c r="T1720" s="98"/>
      <c r="U1720" s="98"/>
      <c r="AF1720" s="39"/>
      <c r="AG1720" s="490"/>
      <c r="AH1720" s="490"/>
    </row>
    <row r="1721" spans="3:34" ht="19.5" customHeight="1">
      <c r="C1721" s="449"/>
      <c r="D1721" s="68"/>
      <c r="E1721" s="68"/>
      <c r="G1721" s="98"/>
      <c r="H1721" s="68"/>
      <c r="I1721" s="68"/>
      <c r="N1721" s="398"/>
      <c r="R1721" s="50"/>
      <c r="S1721" s="47"/>
      <c r="T1721" s="98"/>
      <c r="U1721" s="98"/>
      <c r="AF1721" s="39"/>
      <c r="AG1721" s="490"/>
      <c r="AH1721" s="490"/>
    </row>
    <row r="1722" spans="3:34" ht="19.5" customHeight="1">
      <c r="C1722" s="449"/>
      <c r="D1722" s="68"/>
      <c r="E1722" s="68"/>
      <c r="G1722" s="98"/>
      <c r="H1722" s="68"/>
      <c r="I1722" s="68"/>
      <c r="N1722" s="398"/>
      <c r="R1722" s="50"/>
      <c r="S1722" s="47"/>
      <c r="T1722" s="98"/>
      <c r="U1722" s="98"/>
      <c r="AF1722" s="39"/>
      <c r="AG1722" s="490"/>
      <c r="AH1722" s="490"/>
    </row>
    <row r="1723" spans="3:34" ht="19.5" customHeight="1">
      <c r="C1723" s="449"/>
      <c r="D1723" s="68"/>
      <c r="E1723" s="68"/>
      <c r="G1723" s="98"/>
      <c r="H1723" s="68"/>
      <c r="I1723" s="68"/>
      <c r="N1723" s="398"/>
      <c r="R1723" s="50"/>
      <c r="S1723" s="47"/>
      <c r="T1723" s="98"/>
      <c r="U1723" s="98"/>
      <c r="AF1723" s="39"/>
      <c r="AG1723" s="490"/>
      <c r="AH1723" s="490"/>
    </row>
    <row r="1724" spans="3:34" ht="19.5" customHeight="1">
      <c r="C1724" s="449"/>
      <c r="D1724" s="68"/>
      <c r="E1724" s="68"/>
      <c r="G1724" s="98"/>
      <c r="H1724" s="68"/>
      <c r="I1724" s="68"/>
      <c r="N1724" s="398"/>
      <c r="R1724" s="50"/>
      <c r="S1724" s="47"/>
      <c r="T1724" s="98"/>
      <c r="U1724" s="98"/>
      <c r="AF1724" s="39"/>
      <c r="AG1724" s="490"/>
      <c r="AH1724" s="490"/>
    </row>
    <row r="1725" spans="3:34" ht="19.5" customHeight="1">
      <c r="C1725" s="449"/>
      <c r="D1725" s="68"/>
      <c r="E1725" s="68"/>
      <c r="G1725" s="98"/>
      <c r="H1725" s="68"/>
      <c r="I1725" s="68"/>
      <c r="N1725" s="398"/>
      <c r="R1725" s="50"/>
      <c r="S1725" s="47"/>
      <c r="T1725" s="98"/>
      <c r="U1725" s="98"/>
      <c r="AF1725" s="39"/>
      <c r="AG1725" s="490"/>
      <c r="AH1725" s="490"/>
    </row>
    <row r="1726" spans="3:34" ht="19.5" customHeight="1">
      <c r="C1726" s="449"/>
      <c r="D1726" s="68"/>
      <c r="E1726" s="68"/>
      <c r="G1726" s="98"/>
      <c r="H1726" s="68"/>
      <c r="I1726" s="68"/>
      <c r="N1726" s="398"/>
      <c r="R1726" s="50"/>
      <c r="S1726" s="47"/>
      <c r="T1726" s="98"/>
      <c r="U1726" s="98"/>
      <c r="AF1726" s="39"/>
      <c r="AG1726" s="490"/>
      <c r="AH1726" s="490"/>
    </row>
    <row r="1727" spans="3:34" ht="19.5" customHeight="1">
      <c r="C1727" s="449"/>
      <c r="D1727" s="68"/>
      <c r="E1727" s="68"/>
      <c r="G1727" s="98"/>
      <c r="H1727" s="68"/>
      <c r="I1727" s="68"/>
      <c r="N1727" s="398"/>
      <c r="R1727" s="50"/>
      <c r="S1727" s="47"/>
      <c r="T1727" s="98"/>
      <c r="U1727" s="98"/>
      <c r="AF1727" s="39"/>
      <c r="AG1727" s="490"/>
      <c r="AH1727" s="490"/>
    </row>
    <row r="1728" spans="3:34" ht="19.5" customHeight="1">
      <c r="C1728" s="449"/>
      <c r="D1728" s="68"/>
      <c r="E1728" s="68"/>
      <c r="G1728" s="98"/>
      <c r="H1728" s="68"/>
      <c r="I1728" s="68"/>
      <c r="N1728" s="398"/>
      <c r="R1728" s="50"/>
      <c r="S1728" s="47"/>
      <c r="T1728" s="98"/>
      <c r="U1728" s="98"/>
      <c r="AF1728" s="39"/>
      <c r="AG1728" s="490"/>
      <c r="AH1728" s="490"/>
    </row>
    <row r="1729" spans="3:34" ht="19.5" customHeight="1">
      <c r="C1729" s="449"/>
      <c r="D1729" s="68"/>
      <c r="E1729" s="68"/>
      <c r="G1729" s="98"/>
      <c r="H1729" s="68"/>
      <c r="I1729" s="68"/>
      <c r="N1729" s="398"/>
      <c r="R1729" s="50"/>
      <c r="S1729" s="47"/>
      <c r="T1729" s="98"/>
      <c r="U1729" s="98"/>
      <c r="AF1729" s="39"/>
      <c r="AG1729" s="490"/>
      <c r="AH1729" s="490"/>
    </row>
    <row r="1730" spans="3:34" ht="19.5" customHeight="1">
      <c r="C1730" s="449"/>
      <c r="D1730" s="68"/>
      <c r="E1730" s="68"/>
      <c r="G1730" s="98"/>
      <c r="H1730" s="68"/>
      <c r="I1730" s="68"/>
      <c r="N1730" s="398"/>
      <c r="R1730" s="50"/>
      <c r="S1730" s="47"/>
      <c r="T1730" s="98"/>
      <c r="U1730" s="98"/>
      <c r="AF1730" s="39"/>
      <c r="AG1730" s="490"/>
      <c r="AH1730" s="490"/>
    </row>
    <row r="1731" spans="3:34" ht="19.5" customHeight="1">
      <c r="C1731" s="449"/>
      <c r="D1731" s="68"/>
      <c r="E1731" s="68"/>
      <c r="G1731" s="98"/>
      <c r="H1731" s="68"/>
      <c r="I1731" s="68"/>
      <c r="N1731" s="398"/>
      <c r="R1731" s="50"/>
      <c r="S1731" s="47"/>
      <c r="T1731" s="98"/>
      <c r="U1731" s="98"/>
      <c r="AF1731" s="39"/>
      <c r="AG1731" s="490"/>
      <c r="AH1731" s="490"/>
    </row>
    <row r="1732" spans="3:34" ht="19.5" customHeight="1">
      <c r="C1732" s="449"/>
      <c r="D1732" s="68"/>
      <c r="E1732" s="68"/>
      <c r="G1732" s="98"/>
      <c r="H1732" s="68"/>
      <c r="I1732" s="68"/>
      <c r="N1732" s="398"/>
      <c r="R1732" s="50"/>
      <c r="S1732" s="47"/>
      <c r="T1732" s="98"/>
      <c r="U1732" s="98"/>
      <c r="AF1732" s="39"/>
      <c r="AG1732" s="490"/>
      <c r="AH1732" s="490"/>
    </row>
    <row r="1733" spans="3:34" ht="19.5" customHeight="1">
      <c r="C1733" s="449"/>
      <c r="D1733" s="68"/>
      <c r="E1733" s="68"/>
      <c r="G1733" s="98"/>
      <c r="H1733" s="68"/>
      <c r="I1733" s="68"/>
      <c r="N1733" s="398"/>
      <c r="R1733" s="50"/>
      <c r="S1733" s="47"/>
      <c r="T1733" s="98"/>
      <c r="U1733" s="98"/>
      <c r="AF1733" s="39"/>
      <c r="AG1733" s="490"/>
      <c r="AH1733" s="490"/>
    </row>
    <row r="1734" spans="3:34" ht="19.5" customHeight="1">
      <c r="C1734" s="449"/>
      <c r="D1734" s="68"/>
      <c r="E1734" s="68"/>
      <c r="G1734" s="98"/>
      <c r="H1734" s="68"/>
      <c r="I1734" s="68"/>
      <c r="N1734" s="398"/>
      <c r="R1734" s="50"/>
      <c r="S1734" s="47"/>
      <c r="T1734" s="98"/>
      <c r="U1734" s="98"/>
      <c r="AF1734" s="39"/>
      <c r="AG1734" s="490"/>
      <c r="AH1734" s="490"/>
    </row>
    <row r="1735" spans="3:34" ht="19.5" customHeight="1">
      <c r="C1735" s="449"/>
      <c r="D1735" s="68"/>
      <c r="E1735" s="68"/>
      <c r="G1735" s="98"/>
      <c r="H1735" s="68"/>
      <c r="I1735" s="68"/>
      <c r="N1735" s="398"/>
      <c r="R1735" s="50"/>
      <c r="S1735" s="47"/>
      <c r="T1735" s="98"/>
      <c r="U1735" s="98"/>
      <c r="AF1735" s="39"/>
      <c r="AG1735" s="490"/>
      <c r="AH1735" s="490"/>
    </row>
    <row r="1736" spans="3:34" ht="19.5" customHeight="1">
      <c r="C1736" s="449"/>
      <c r="D1736" s="68"/>
      <c r="E1736" s="68"/>
      <c r="G1736" s="98"/>
      <c r="H1736" s="68"/>
      <c r="I1736" s="68"/>
      <c r="N1736" s="398"/>
      <c r="R1736" s="50"/>
      <c r="S1736" s="47"/>
      <c r="T1736" s="98"/>
      <c r="U1736" s="98"/>
      <c r="AF1736" s="39"/>
      <c r="AG1736" s="490"/>
      <c r="AH1736" s="490"/>
    </row>
    <row r="1737" spans="3:34" ht="19.5" customHeight="1">
      <c r="C1737" s="449"/>
      <c r="D1737" s="68"/>
      <c r="E1737" s="68"/>
      <c r="G1737" s="98"/>
      <c r="H1737" s="68"/>
      <c r="I1737" s="68"/>
      <c r="N1737" s="398"/>
      <c r="R1737" s="50"/>
      <c r="S1737" s="47"/>
      <c r="T1737" s="98"/>
      <c r="U1737" s="98"/>
      <c r="AF1737" s="39"/>
      <c r="AG1737" s="490"/>
      <c r="AH1737" s="490"/>
    </row>
    <row r="1738" spans="3:34" ht="19.5" customHeight="1">
      <c r="C1738" s="449"/>
      <c r="D1738" s="68"/>
      <c r="E1738" s="68"/>
      <c r="G1738" s="98"/>
      <c r="H1738" s="68"/>
      <c r="I1738" s="68"/>
      <c r="N1738" s="398"/>
      <c r="R1738" s="50"/>
      <c r="S1738" s="47"/>
      <c r="T1738" s="98"/>
      <c r="U1738" s="98"/>
      <c r="AF1738" s="39"/>
      <c r="AG1738" s="490"/>
      <c r="AH1738" s="490"/>
    </row>
    <row r="1739" spans="3:34" ht="19.5" customHeight="1">
      <c r="C1739" s="449"/>
      <c r="D1739" s="68"/>
      <c r="E1739" s="68"/>
      <c r="G1739" s="98"/>
      <c r="H1739" s="68"/>
      <c r="I1739" s="68"/>
      <c r="N1739" s="398"/>
      <c r="R1739" s="50"/>
      <c r="S1739" s="47"/>
      <c r="T1739" s="98"/>
      <c r="U1739" s="98"/>
      <c r="AF1739" s="39"/>
      <c r="AG1739" s="490"/>
      <c r="AH1739" s="490"/>
    </row>
    <row r="1740" spans="3:34" ht="19.5" customHeight="1">
      <c r="C1740" s="449"/>
      <c r="D1740" s="68"/>
      <c r="E1740" s="68"/>
      <c r="G1740" s="98"/>
      <c r="H1740" s="68"/>
      <c r="I1740" s="68"/>
      <c r="N1740" s="398"/>
      <c r="R1740" s="50"/>
      <c r="S1740" s="47"/>
      <c r="T1740" s="98"/>
      <c r="U1740" s="98"/>
      <c r="AF1740" s="39"/>
      <c r="AG1740" s="490"/>
      <c r="AH1740" s="490"/>
    </row>
    <row r="1741" spans="3:34" ht="19.5" customHeight="1">
      <c r="C1741" s="449"/>
      <c r="D1741" s="68"/>
      <c r="E1741" s="68"/>
      <c r="G1741" s="98"/>
      <c r="H1741" s="68"/>
      <c r="I1741" s="68"/>
      <c r="N1741" s="398"/>
      <c r="R1741" s="50"/>
      <c r="S1741" s="47"/>
      <c r="T1741" s="98"/>
      <c r="U1741" s="98"/>
      <c r="AF1741" s="39"/>
      <c r="AG1741" s="490"/>
      <c r="AH1741" s="490"/>
    </row>
    <row r="1742" spans="3:34" ht="19.5" customHeight="1">
      <c r="C1742" s="449"/>
      <c r="D1742" s="68"/>
      <c r="E1742" s="68"/>
      <c r="G1742" s="98"/>
      <c r="H1742" s="68"/>
      <c r="I1742" s="68"/>
      <c r="N1742" s="398"/>
      <c r="R1742" s="50"/>
      <c r="S1742" s="47"/>
      <c r="T1742" s="98"/>
      <c r="U1742" s="98"/>
      <c r="AF1742" s="39"/>
      <c r="AG1742" s="490"/>
      <c r="AH1742" s="490"/>
    </row>
    <row r="1743" spans="3:34" ht="19.5" customHeight="1">
      <c r="C1743" s="449"/>
      <c r="D1743" s="68"/>
      <c r="E1743" s="68"/>
      <c r="G1743" s="98"/>
      <c r="H1743" s="68"/>
      <c r="I1743" s="68"/>
      <c r="N1743" s="398"/>
      <c r="R1743" s="50"/>
      <c r="S1743" s="47"/>
      <c r="T1743" s="98"/>
      <c r="U1743" s="98"/>
      <c r="AF1743" s="39"/>
      <c r="AG1743" s="490"/>
      <c r="AH1743" s="490"/>
    </row>
    <row r="1744" spans="3:34" ht="19.5" customHeight="1">
      <c r="C1744" s="449"/>
      <c r="D1744" s="68"/>
      <c r="E1744" s="68"/>
      <c r="G1744" s="98"/>
      <c r="H1744" s="68"/>
      <c r="I1744" s="68"/>
      <c r="N1744" s="398"/>
      <c r="R1744" s="50"/>
      <c r="S1744" s="47"/>
      <c r="T1744" s="98"/>
      <c r="U1744" s="98"/>
      <c r="AF1744" s="39"/>
      <c r="AG1744" s="490"/>
      <c r="AH1744" s="490"/>
    </row>
    <row r="1745" spans="3:34" ht="19.5" customHeight="1">
      <c r="C1745" s="449"/>
      <c r="D1745" s="68"/>
      <c r="E1745" s="68"/>
      <c r="G1745" s="98"/>
      <c r="H1745" s="68"/>
      <c r="I1745" s="68"/>
      <c r="N1745" s="398"/>
      <c r="R1745" s="50"/>
      <c r="S1745" s="47"/>
      <c r="T1745" s="98"/>
      <c r="U1745" s="98"/>
      <c r="AF1745" s="39"/>
      <c r="AG1745" s="490"/>
      <c r="AH1745" s="490"/>
    </row>
    <row r="1746" spans="3:34" ht="19.5" customHeight="1">
      <c r="C1746" s="449"/>
      <c r="D1746" s="68"/>
      <c r="E1746" s="68"/>
      <c r="G1746" s="98"/>
      <c r="H1746" s="68"/>
      <c r="I1746" s="68"/>
      <c r="N1746" s="398"/>
      <c r="R1746" s="50"/>
      <c r="S1746" s="47"/>
      <c r="T1746" s="98"/>
      <c r="U1746" s="98"/>
      <c r="AF1746" s="39"/>
      <c r="AG1746" s="490"/>
      <c r="AH1746" s="490"/>
    </row>
    <row r="1747" spans="3:34" ht="19.5" customHeight="1">
      <c r="C1747" s="449"/>
      <c r="D1747" s="68"/>
      <c r="E1747" s="68"/>
      <c r="G1747" s="98"/>
      <c r="H1747" s="68"/>
      <c r="I1747" s="68"/>
      <c r="N1747" s="398"/>
      <c r="R1747" s="50"/>
      <c r="S1747" s="47"/>
      <c r="T1747" s="98"/>
      <c r="U1747" s="98"/>
      <c r="AF1747" s="39"/>
      <c r="AG1747" s="490"/>
      <c r="AH1747" s="490"/>
    </row>
    <row r="1748" spans="3:34" ht="19.5" customHeight="1">
      <c r="C1748" s="449"/>
      <c r="D1748" s="68"/>
      <c r="E1748" s="68"/>
      <c r="G1748" s="98"/>
      <c r="H1748" s="68"/>
      <c r="I1748" s="68"/>
      <c r="N1748" s="398"/>
      <c r="R1748" s="50"/>
      <c r="S1748" s="47"/>
      <c r="T1748" s="98"/>
      <c r="U1748" s="98"/>
      <c r="AF1748" s="39"/>
      <c r="AG1748" s="490"/>
      <c r="AH1748" s="490"/>
    </row>
    <row r="1749" spans="3:34" ht="19.5" customHeight="1">
      <c r="C1749" s="449"/>
      <c r="D1749" s="68"/>
      <c r="E1749" s="68"/>
      <c r="G1749" s="98"/>
      <c r="H1749" s="68"/>
      <c r="I1749" s="68"/>
      <c r="N1749" s="398"/>
      <c r="R1749" s="50"/>
      <c r="S1749" s="47"/>
      <c r="T1749" s="98"/>
      <c r="U1749" s="98"/>
      <c r="AF1749" s="39"/>
      <c r="AG1749" s="490"/>
      <c r="AH1749" s="490"/>
    </row>
    <row r="1750" spans="3:34" ht="19.5" customHeight="1">
      <c r="C1750" s="449"/>
      <c r="D1750" s="68"/>
      <c r="E1750" s="68"/>
      <c r="G1750" s="98"/>
      <c r="H1750" s="68"/>
      <c r="I1750" s="68"/>
      <c r="N1750" s="398"/>
      <c r="R1750" s="50"/>
      <c r="S1750" s="47"/>
      <c r="T1750" s="98"/>
      <c r="U1750" s="98"/>
      <c r="AF1750" s="39"/>
      <c r="AG1750" s="490"/>
      <c r="AH1750" s="490"/>
    </row>
    <row r="1751" spans="3:34" ht="19.5" customHeight="1">
      <c r="C1751" s="449"/>
      <c r="D1751" s="68"/>
      <c r="E1751" s="68"/>
      <c r="G1751" s="98"/>
      <c r="H1751" s="68"/>
      <c r="I1751" s="68"/>
      <c r="N1751" s="398"/>
      <c r="R1751" s="50"/>
      <c r="S1751" s="47"/>
      <c r="T1751" s="98"/>
      <c r="U1751" s="98"/>
      <c r="AF1751" s="39"/>
      <c r="AG1751" s="490"/>
      <c r="AH1751" s="490"/>
    </row>
    <row r="1752" spans="3:34" ht="19.5" customHeight="1">
      <c r="C1752" s="449"/>
      <c r="D1752" s="68"/>
      <c r="E1752" s="68"/>
      <c r="G1752" s="98"/>
      <c r="H1752" s="68"/>
      <c r="I1752" s="68"/>
      <c r="N1752" s="398"/>
      <c r="R1752" s="50"/>
      <c r="S1752" s="47"/>
      <c r="T1752" s="98"/>
      <c r="U1752" s="98"/>
      <c r="AF1752" s="39"/>
      <c r="AG1752" s="490"/>
      <c r="AH1752" s="490"/>
    </row>
    <row r="1753" spans="3:34" ht="19.5" customHeight="1">
      <c r="C1753" s="449"/>
      <c r="D1753" s="68"/>
      <c r="E1753" s="68"/>
      <c r="G1753" s="98"/>
      <c r="H1753" s="68"/>
      <c r="I1753" s="68"/>
      <c r="N1753" s="398"/>
      <c r="R1753" s="50"/>
      <c r="S1753" s="47"/>
      <c r="T1753" s="98"/>
      <c r="U1753" s="98"/>
      <c r="AF1753" s="39"/>
      <c r="AG1753" s="490"/>
      <c r="AH1753" s="490"/>
    </row>
    <row r="1754" spans="3:34" ht="19.5" customHeight="1">
      <c r="C1754" s="449"/>
      <c r="D1754" s="68"/>
      <c r="E1754" s="68"/>
      <c r="G1754" s="98"/>
      <c r="H1754" s="68"/>
      <c r="I1754" s="68"/>
      <c r="N1754" s="398"/>
      <c r="R1754" s="50"/>
      <c r="S1754" s="47"/>
      <c r="T1754" s="98"/>
      <c r="U1754" s="98"/>
      <c r="AF1754" s="39"/>
      <c r="AG1754" s="490"/>
      <c r="AH1754" s="490"/>
    </row>
    <row r="1755" spans="3:34" ht="19.5" customHeight="1">
      <c r="C1755" s="449"/>
      <c r="D1755" s="68"/>
      <c r="E1755" s="68"/>
      <c r="G1755" s="98"/>
      <c r="H1755" s="68"/>
      <c r="I1755" s="68"/>
      <c r="N1755" s="398"/>
      <c r="R1755" s="50"/>
      <c r="S1755" s="47"/>
      <c r="T1755" s="98"/>
      <c r="U1755" s="98"/>
      <c r="AF1755" s="39"/>
      <c r="AG1755" s="490"/>
      <c r="AH1755" s="490"/>
    </row>
    <row r="1756" spans="3:34" ht="19.5" customHeight="1">
      <c r="C1756" s="449"/>
      <c r="D1756" s="68"/>
      <c r="E1756" s="68"/>
      <c r="G1756" s="98"/>
      <c r="H1756" s="68"/>
      <c r="I1756" s="68"/>
      <c r="N1756" s="398"/>
      <c r="R1756" s="50"/>
      <c r="S1756" s="47"/>
      <c r="T1756" s="98"/>
      <c r="U1756" s="98"/>
      <c r="AF1756" s="39"/>
      <c r="AG1756" s="490"/>
      <c r="AH1756" s="490"/>
    </row>
    <row r="1757" spans="3:34" ht="19.5" customHeight="1">
      <c r="C1757" s="449"/>
      <c r="D1757" s="68"/>
      <c r="E1757" s="68"/>
      <c r="G1757" s="98"/>
      <c r="H1757" s="68"/>
      <c r="I1757" s="68"/>
      <c r="N1757" s="398"/>
      <c r="R1757" s="50"/>
      <c r="S1757" s="47"/>
      <c r="T1757" s="98"/>
      <c r="U1757" s="98"/>
      <c r="AF1757" s="39"/>
      <c r="AG1757" s="490"/>
      <c r="AH1757" s="490"/>
    </row>
    <row r="1758" spans="3:34" ht="19.5" customHeight="1">
      <c r="C1758" s="449"/>
      <c r="D1758" s="68"/>
      <c r="E1758" s="68"/>
      <c r="G1758" s="98"/>
      <c r="H1758" s="68"/>
      <c r="I1758" s="68"/>
      <c r="N1758" s="398"/>
      <c r="R1758" s="50"/>
      <c r="S1758" s="47"/>
      <c r="T1758" s="98"/>
      <c r="U1758" s="98"/>
      <c r="AF1758" s="39"/>
      <c r="AG1758" s="490"/>
      <c r="AH1758" s="490"/>
    </row>
    <row r="1759" spans="3:34" ht="19.5" customHeight="1">
      <c r="C1759" s="449"/>
      <c r="D1759" s="68"/>
      <c r="E1759" s="68"/>
      <c r="G1759" s="98"/>
      <c r="H1759" s="68"/>
      <c r="I1759" s="68"/>
      <c r="N1759" s="398"/>
      <c r="R1759" s="50"/>
      <c r="S1759" s="47"/>
      <c r="T1759" s="98"/>
      <c r="U1759" s="98"/>
      <c r="AF1759" s="39"/>
      <c r="AG1759" s="490"/>
      <c r="AH1759" s="490"/>
    </row>
    <row r="1760" spans="3:34" ht="19.5" customHeight="1">
      <c r="C1760" s="449"/>
      <c r="D1760" s="68"/>
      <c r="E1760" s="68"/>
      <c r="G1760" s="98"/>
      <c r="H1760" s="68"/>
      <c r="I1760" s="68"/>
      <c r="N1760" s="398"/>
      <c r="R1760" s="50"/>
      <c r="S1760" s="47"/>
      <c r="T1760" s="98"/>
      <c r="U1760" s="98"/>
      <c r="AF1760" s="39"/>
      <c r="AG1760" s="490"/>
      <c r="AH1760" s="490"/>
    </row>
    <row r="1761" spans="3:34" ht="19.5" customHeight="1">
      <c r="C1761" s="449"/>
      <c r="D1761" s="68"/>
      <c r="E1761" s="68"/>
      <c r="G1761" s="98"/>
      <c r="H1761" s="68"/>
      <c r="I1761" s="68"/>
      <c r="N1761" s="398"/>
      <c r="R1761" s="50"/>
      <c r="S1761" s="47"/>
      <c r="T1761" s="98"/>
      <c r="U1761" s="98"/>
      <c r="AF1761" s="39"/>
      <c r="AG1761" s="490"/>
      <c r="AH1761" s="490"/>
    </row>
    <row r="1762" spans="3:34" ht="19.5" customHeight="1">
      <c r="C1762" s="449"/>
      <c r="D1762" s="68"/>
      <c r="E1762" s="68"/>
      <c r="G1762" s="98"/>
      <c r="H1762" s="68"/>
      <c r="I1762" s="68"/>
      <c r="N1762" s="398"/>
      <c r="R1762" s="50"/>
      <c r="S1762" s="47"/>
      <c r="T1762" s="98"/>
      <c r="U1762" s="98"/>
      <c r="AF1762" s="39"/>
      <c r="AG1762" s="490"/>
      <c r="AH1762" s="490"/>
    </row>
    <row r="1763" spans="3:34" ht="19.5" customHeight="1">
      <c r="C1763" s="449"/>
      <c r="D1763" s="68"/>
      <c r="E1763" s="68"/>
      <c r="G1763" s="98"/>
      <c r="H1763" s="68"/>
      <c r="I1763" s="68"/>
      <c r="N1763" s="398"/>
      <c r="R1763" s="50"/>
      <c r="S1763" s="47"/>
      <c r="T1763" s="98"/>
      <c r="U1763" s="98"/>
      <c r="AF1763" s="39"/>
      <c r="AG1763" s="490"/>
      <c r="AH1763" s="490"/>
    </row>
    <row r="1764" spans="3:34" ht="19.5" customHeight="1">
      <c r="C1764" s="449"/>
      <c r="D1764" s="68"/>
      <c r="E1764" s="68"/>
      <c r="G1764" s="98"/>
      <c r="H1764" s="68"/>
      <c r="I1764" s="68"/>
      <c r="N1764" s="398"/>
      <c r="R1764" s="50"/>
      <c r="S1764" s="47"/>
      <c r="T1764" s="98"/>
      <c r="U1764" s="98"/>
      <c r="AF1764" s="39"/>
      <c r="AG1764" s="490"/>
      <c r="AH1764" s="490"/>
    </row>
    <row r="1765" spans="3:34" ht="19.5" customHeight="1">
      <c r="C1765" s="449"/>
      <c r="D1765" s="68"/>
      <c r="E1765" s="68"/>
      <c r="G1765" s="98"/>
      <c r="H1765" s="68"/>
      <c r="I1765" s="68"/>
      <c r="N1765" s="398"/>
      <c r="R1765" s="50"/>
      <c r="S1765" s="47"/>
      <c r="T1765" s="98"/>
      <c r="U1765" s="98"/>
      <c r="AF1765" s="39"/>
      <c r="AG1765" s="490"/>
      <c r="AH1765" s="490"/>
    </row>
    <row r="1766" spans="3:34" ht="19.5" customHeight="1">
      <c r="C1766" s="449"/>
      <c r="D1766" s="68"/>
      <c r="E1766" s="68"/>
      <c r="G1766" s="98"/>
      <c r="H1766" s="68"/>
      <c r="I1766" s="68"/>
      <c r="N1766" s="398"/>
      <c r="R1766" s="50"/>
      <c r="S1766" s="47"/>
      <c r="T1766" s="98"/>
      <c r="U1766" s="98"/>
      <c r="AF1766" s="39"/>
      <c r="AG1766" s="490"/>
      <c r="AH1766" s="490"/>
    </row>
    <row r="1767" spans="3:34" ht="19.5" customHeight="1">
      <c r="C1767" s="449"/>
      <c r="D1767" s="68"/>
      <c r="E1767" s="68"/>
      <c r="G1767" s="98"/>
      <c r="H1767" s="68"/>
      <c r="I1767" s="68"/>
      <c r="N1767" s="398"/>
      <c r="R1767" s="50"/>
      <c r="S1767" s="47"/>
      <c r="T1767" s="98"/>
      <c r="U1767" s="98"/>
      <c r="AF1767" s="39"/>
      <c r="AG1767" s="490"/>
      <c r="AH1767" s="490"/>
    </row>
    <row r="1768" spans="3:34" ht="19.5" customHeight="1">
      <c r="C1768" s="449"/>
      <c r="D1768" s="68"/>
      <c r="E1768" s="68"/>
      <c r="G1768" s="98"/>
      <c r="H1768" s="68"/>
      <c r="I1768" s="68"/>
      <c r="N1768" s="398"/>
      <c r="R1768" s="50"/>
      <c r="S1768" s="47"/>
      <c r="T1768" s="98"/>
      <c r="U1768" s="98"/>
      <c r="AF1768" s="39"/>
      <c r="AG1768" s="490"/>
      <c r="AH1768" s="490"/>
    </row>
    <row r="1769" spans="3:34" ht="19.5" customHeight="1">
      <c r="C1769" s="449"/>
      <c r="D1769" s="68"/>
      <c r="E1769" s="68"/>
      <c r="G1769" s="98"/>
      <c r="H1769" s="68"/>
      <c r="I1769" s="68"/>
      <c r="N1769" s="398"/>
      <c r="R1769" s="50"/>
      <c r="S1769" s="47"/>
      <c r="T1769" s="98"/>
      <c r="U1769" s="98"/>
      <c r="AF1769" s="39"/>
      <c r="AG1769" s="490"/>
      <c r="AH1769" s="490"/>
    </row>
    <row r="1770" spans="3:34" ht="19.5" customHeight="1">
      <c r="C1770" s="449"/>
      <c r="D1770" s="68"/>
      <c r="E1770" s="68"/>
      <c r="G1770" s="98"/>
      <c r="H1770" s="68"/>
      <c r="I1770" s="68"/>
      <c r="N1770" s="398"/>
      <c r="R1770" s="50"/>
      <c r="S1770" s="47"/>
      <c r="T1770" s="98"/>
      <c r="U1770" s="98"/>
      <c r="AF1770" s="39"/>
      <c r="AG1770" s="490"/>
      <c r="AH1770" s="490"/>
    </row>
    <row r="1771" spans="3:34" ht="19.5" customHeight="1">
      <c r="C1771" s="449"/>
      <c r="D1771" s="68"/>
      <c r="E1771" s="68"/>
      <c r="G1771" s="98"/>
      <c r="H1771" s="68"/>
      <c r="I1771" s="68"/>
      <c r="N1771" s="398"/>
      <c r="R1771" s="50"/>
      <c r="S1771" s="47"/>
      <c r="T1771" s="98"/>
      <c r="U1771" s="98"/>
      <c r="AF1771" s="39"/>
      <c r="AG1771" s="490"/>
      <c r="AH1771" s="490"/>
    </row>
    <row r="1772" spans="3:34" ht="19.5" customHeight="1">
      <c r="C1772" s="449"/>
      <c r="D1772" s="68"/>
      <c r="E1772" s="68"/>
      <c r="G1772" s="98"/>
      <c r="H1772" s="68"/>
      <c r="I1772" s="68"/>
      <c r="N1772" s="398"/>
      <c r="R1772" s="50"/>
      <c r="S1772" s="47"/>
      <c r="T1772" s="98"/>
      <c r="U1772" s="98"/>
      <c r="AF1772" s="39"/>
      <c r="AG1772" s="490"/>
      <c r="AH1772" s="490"/>
    </row>
    <row r="1773" spans="3:34" ht="19.5" customHeight="1">
      <c r="C1773" s="449"/>
      <c r="D1773" s="68"/>
      <c r="E1773" s="68"/>
      <c r="G1773" s="98"/>
      <c r="H1773" s="68"/>
      <c r="I1773" s="68"/>
      <c r="N1773" s="398"/>
      <c r="R1773" s="50"/>
      <c r="S1773" s="47"/>
      <c r="T1773" s="98"/>
      <c r="U1773" s="98"/>
      <c r="AF1773" s="39"/>
      <c r="AG1773" s="490"/>
      <c r="AH1773" s="490"/>
    </row>
    <row r="1774" spans="3:34" ht="19.5" customHeight="1">
      <c r="C1774" s="449"/>
      <c r="D1774" s="68"/>
      <c r="E1774" s="68"/>
      <c r="G1774" s="98"/>
      <c r="H1774" s="68"/>
      <c r="I1774" s="68"/>
      <c r="N1774" s="398"/>
      <c r="R1774" s="50"/>
      <c r="S1774" s="47"/>
      <c r="T1774" s="98"/>
      <c r="U1774" s="98"/>
      <c r="AF1774" s="39"/>
      <c r="AG1774" s="490"/>
      <c r="AH1774" s="490"/>
    </row>
    <row r="1775" spans="3:34" ht="19.5" customHeight="1">
      <c r="C1775" s="449"/>
      <c r="D1775" s="68"/>
      <c r="E1775" s="68"/>
      <c r="G1775" s="98"/>
      <c r="H1775" s="68"/>
      <c r="I1775" s="68"/>
      <c r="N1775" s="398"/>
      <c r="R1775" s="50"/>
      <c r="S1775" s="47"/>
      <c r="T1775" s="98"/>
      <c r="U1775" s="98"/>
      <c r="AF1775" s="39"/>
      <c r="AG1775" s="490"/>
      <c r="AH1775" s="490"/>
    </row>
    <row r="1776" spans="3:34" ht="19.5" customHeight="1">
      <c r="C1776" s="449"/>
      <c r="D1776" s="68"/>
      <c r="E1776" s="68"/>
      <c r="G1776" s="98"/>
      <c r="H1776" s="68"/>
      <c r="I1776" s="68"/>
      <c r="N1776" s="398"/>
      <c r="R1776" s="50"/>
      <c r="S1776" s="47"/>
      <c r="T1776" s="98"/>
      <c r="U1776" s="98"/>
      <c r="AF1776" s="39"/>
      <c r="AG1776" s="490"/>
      <c r="AH1776" s="490"/>
    </row>
    <row r="1777" spans="3:34" ht="19.5" customHeight="1">
      <c r="C1777" s="449"/>
      <c r="D1777" s="68"/>
      <c r="E1777" s="68"/>
      <c r="G1777" s="98"/>
      <c r="H1777" s="68"/>
      <c r="I1777" s="68"/>
      <c r="N1777" s="398"/>
      <c r="R1777" s="50"/>
      <c r="S1777" s="47"/>
      <c r="T1777" s="98"/>
      <c r="U1777" s="98"/>
      <c r="AF1777" s="39"/>
      <c r="AG1777" s="490"/>
      <c r="AH1777" s="490"/>
    </row>
    <row r="1778" spans="3:34" ht="19.5" customHeight="1">
      <c r="C1778" s="449"/>
      <c r="D1778" s="68"/>
      <c r="E1778" s="68"/>
      <c r="G1778" s="98"/>
      <c r="H1778" s="68"/>
      <c r="I1778" s="68"/>
      <c r="N1778" s="398"/>
      <c r="R1778" s="50"/>
      <c r="S1778" s="47"/>
      <c r="T1778" s="98"/>
      <c r="U1778" s="98"/>
      <c r="AF1778" s="39"/>
      <c r="AG1778" s="490"/>
      <c r="AH1778" s="490"/>
    </row>
    <row r="1779" spans="3:34" ht="19.5" customHeight="1">
      <c r="C1779" s="449"/>
      <c r="D1779" s="68"/>
      <c r="E1779" s="68"/>
      <c r="G1779" s="98"/>
      <c r="H1779" s="68"/>
      <c r="I1779" s="68"/>
      <c r="N1779" s="398"/>
      <c r="R1779" s="50"/>
      <c r="S1779" s="47"/>
      <c r="T1779" s="98"/>
      <c r="U1779" s="98"/>
      <c r="AF1779" s="39"/>
      <c r="AG1779" s="490"/>
      <c r="AH1779" s="490"/>
    </row>
    <row r="1780" spans="3:34" ht="19.5" customHeight="1">
      <c r="C1780" s="449"/>
      <c r="D1780" s="68"/>
      <c r="E1780" s="68"/>
      <c r="G1780" s="98"/>
      <c r="H1780" s="68"/>
      <c r="I1780" s="68"/>
      <c r="N1780" s="398"/>
      <c r="R1780" s="50"/>
      <c r="S1780" s="47"/>
      <c r="T1780" s="98"/>
      <c r="U1780" s="98"/>
      <c r="AF1780" s="39"/>
      <c r="AG1780" s="490"/>
      <c r="AH1780" s="490"/>
    </row>
    <row r="1781" spans="3:34" ht="19.5" customHeight="1">
      <c r="C1781" s="449"/>
      <c r="D1781" s="68"/>
      <c r="E1781" s="68"/>
      <c r="G1781" s="98"/>
      <c r="H1781" s="68"/>
      <c r="I1781" s="68"/>
      <c r="N1781" s="398"/>
      <c r="R1781" s="50"/>
      <c r="S1781" s="47"/>
      <c r="T1781" s="98"/>
      <c r="U1781" s="98"/>
      <c r="AF1781" s="39"/>
      <c r="AG1781" s="490"/>
      <c r="AH1781" s="490"/>
    </row>
    <row r="1782" spans="3:34" ht="19.5" customHeight="1">
      <c r="C1782" s="449"/>
      <c r="D1782" s="68"/>
      <c r="E1782" s="68"/>
      <c r="G1782" s="98"/>
      <c r="H1782" s="68"/>
      <c r="I1782" s="68"/>
      <c r="N1782" s="398"/>
      <c r="R1782" s="50"/>
      <c r="S1782" s="47"/>
      <c r="T1782" s="98"/>
      <c r="U1782" s="98"/>
      <c r="AF1782" s="39"/>
      <c r="AG1782" s="490"/>
      <c r="AH1782" s="490"/>
    </row>
    <row r="1783" spans="3:34" ht="19.5" customHeight="1">
      <c r="C1783" s="449"/>
      <c r="D1783" s="68"/>
      <c r="E1783" s="68"/>
      <c r="G1783" s="98"/>
      <c r="H1783" s="68"/>
      <c r="I1783" s="68"/>
      <c r="N1783" s="398"/>
      <c r="R1783" s="50"/>
      <c r="S1783" s="47"/>
      <c r="T1783" s="98"/>
      <c r="U1783" s="98"/>
      <c r="AF1783" s="39"/>
      <c r="AG1783" s="490"/>
      <c r="AH1783" s="490"/>
    </row>
    <row r="1784" spans="3:34" ht="19.5" customHeight="1">
      <c r="C1784" s="449"/>
      <c r="D1784" s="68"/>
      <c r="E1784" s="68"/>
      <c r="G1784" s="98"/>
      <c r="H1784" s="68"/>
      <c r="I1784" s="68"/>
      <c r="N1784" s="398"/>
      <c r="R1784" s="50"/>
      <c r="S1784" s="47"/>
      <c r="T1784" s="98"/>
      <c r="U1784" s="98"/>
      <c r="AF1784" s="39"/>
      <c r="AG1784" s="490"/>
      <c r="AH1784" s="490"/>
    </row>
    <row r="1785" spans="3:34" ht="19.5" customHeight="1">
      <c r="C1785" s="449"/>
      <c r="D1785" s="68"/>
      <c r="E1785" s="68"/>
      <c r="G1785" s="98"/>
      <c r="H1785" s="68"/>
      <c r="I1785" s="68"/>
      <c r="N1785" s="398"/>
      <c r="R1785" s="50"/>
      <c r="S1785" s="47"/>
      <c r="T1785" s="98"/>
      <c r="U1785" s="98"/>
      <c r="AF1785" s="39"/>
      <c r="AG1785" s="490"/>
      <c r="AH1785" s="490"/>
    </row>
    <row r="1786" spans="3:34" ht="19.5" customHeight="1">
      <c r="C1786" s="449"/>
      <c r="D1786" s="68"/>
      <c r="E1786" s="68"/>
      <c r="G1786" s="98"/>
      <c r="H1786" s="68"/>
      <c r="I1786" s="68"/>
      <c r="N1786" s="398"/>
      <c r="R1786" s="50"/>
      <c r="S1786" s="47"/>
      <c r="T1786" s="98"/>
      <c r="U1786" s="98"/>
      <c r="AF1786" s="39"/>
      <c r="AG1786" s="490"/>
      <c r="AH1786" s="490"/>
    </row>
    <row r="1787" spans="3:34" ht="19.5" customHeight="1">
      <c r="C1787" s="449"/>
      <c r="D1787" s="68"/>
      <c r="E1787" s="68"/>
      <c r="G1787" s="98"/>
      <c r="H1787" s="68"/>
      <c r="I1787" s="68"/>
      <c r="N1787" s="398"/>
      <c r="R1787" s="50"/>
      <c r="S1787" s="47"/>
      <c r="T1787" s="98"/>
      <c r="U1787" s="98"/>
      <c r="AF1787" s="39"/>
      <c r="AG1787" s="490"/>
      <c r="AH1787" s="490"/>
    </row>
    <row r="1788" spans="3:34" ht="19.5" customHeight="1">
      <c r="C1788" s="449"/>
      <c r="D1788" s="68"/>
      <c r="E1788" s="68"/>
      <c r="G1788" s="98"/>
      <c r="H1788" s="68"/>
      <c r="I1788" s="68"/>
      <c r="N1788" s="398"/>
      <c r="R1788" s="50"/>
      <c r="S1788" s="47"/>
      <c r="T1788" s="98"/>
      <c r="U1788" s="98"/>
      <c r="AF1788" s="39"/>
      <c r="AG1788" s="490"/>
      <c r="AH1788" s="490"/>
    </row>
    <row r="1789" spans="3:34" ht="19.5" customHeight="1">
      <c r="C1789" s="449"/>
      <c r="D1789" s="68"/>
      <c r="E1789" s="68"/>
      <c r="G1789" s="98"/>
      <c r="H1789" s="68"/>
      <c r="I1789" s="68"/>
      <c r="N1789" s="398"/>
      <c r="R1789" s="50"/>
      <c r="S1789" s="47"/>
      <c r="T1789" s="98"/>
      <c r="U1789" s="98"/>
      <c r="AF1789" s="39"/>
      <c r="AG1789" s="490"/>
      <c r="AH1789" s="490"/>
    </row>
    <row r="1790" spans="3:34" ht="19.5" customHeight="1">
      <c r="C1790" s="449"/>
      <c r="D1790" s="68"/>
      <c r="E1790" s="68"/>
      <c r="G1790" s="98"/>
      <c r="H1790" s="68"/>
      <c r="I1790" s="68"/>
      <c r="N1790" s="398"/>
      <c r="R1790" s="50"/>
      <c r="S1790" s="47"/>
      <c r="T1790" s="98"/>
      <c r="U1790" s="98"/>
      <c r="AF1790" s="39"/>
      <c r="AG1790" s="490"/>
      <c r="AH1790" s="490"/>
    </row>
    <row r="1791" spans="3:34" ht="19.5" customHeight="1">
      <c r="C1791" s="449"/>
      <c r="D1791" s="68"/>
      <c r="E1791" s="68"/>
      <c r="G1791" s="98"/>
      <c r="H1791" s="68"/>
      <c r="I1791" s="68"/>
      <c r="N1791" s="398"/>
      <c r="R1791" s="50"/>
      <c r="S1791" s="47"/>
      <c r="T1791" s="98"/>
      <c r="U1791" s="98"/>
      <c r="AF1791" s="39"/>
      <c r="AG1791" s="490"/>
      <c r="AH1791" s="490"/>
    </row>
    <row r="1792" spans="3:34" ht="19.5" customHeight="1">
      <c r="C1792" s="449"/>
      <c r="D1792" s="68"/>
      <c r="E1792" s="68"/>
      <c r="G1792" s="98"/>
      <c r="H1792" s="68"/>
      <c r="I1792" s="68"/>
      <c r="N1792" s="398"/>
      <c r="R1792" s="50"/>
      <c r="S1792" s="47"/>
      <c r="T1792" s="98"/>
      <c r="U1792" s="98"/>
      <c r="AF1792" s="39"/>
      <c r="AG1792" s="490"/>
      <c r="AH1792" s="490"/>
    </row>
    <row r="1793" spans="3:34" ht="19.5" customHeight="1">
      <c r="C1793" s="449"/>
      <c r="D1793" s="68"/>
      <c r="E1793" s="68"/>
      <c r="G1793" s="98"/>
      <c r="H1793" s="68"/>
      <c r="I1793" s="68"/>
      <c r="N1793" s="398"/>
      <c r="R1793" s="50"/>
      <c r="S1793" s="47"/>
      <c r="T1793" s="98"/>
      <c r="U1793" s="98"/>
      <c r="AF1793" s="39"/>
      <c r="AG1793" s="490"/>
      <c r="AH1793" s="490"/>
    </row>
    <row r="1794" spans="3:34" ht="19.5" customHeight="1">
      <c r="C1794" s="449"/>
      <c r="D1794" s="68"/>
      <c r="E1794" s="68"/>
      <c r="G1794" s="98"/>
      <c r="H1794" s="68"/>
      <c r="I1794" s="68"/>
      <c r="N1794" s="398"/>
      <c r="R1794" s="50"/>
      <c r="S1794" s="47"/>
      <c r="T1794" s="98"/>
      <c r="U1794" s="98"/>
      <c r="AF1794" s="39"/>
      <c r="AG1794" s="490"/>
      <c r="AH1794" s="490"/>
    </row>
    <row r="1795" spans="3:34" ht="19.5" customHeight="1">
      <c r="C1795" s="449"/>
      <c r="D1795" s="68"/>
      <c r="E1795" s="68"/>
      <c r="G1795" s="98"/>
      <c r="H1795" s="68"/>
      <c r="I1795" s="68"/>
      <c r="N1795" s="398"/>
      <c r="R1795" s="50"/>
      <c r="S1795" s="47"/>
      <c r="T1795" s="98"/>
      <c r="U1795" s="98"/>
      <c r="AF1795" s="39"/>
      <c r="AG1795" s="490"/>
      <c r="AH1795" s="490"/>
    </row>
    <row r="1796" spans="3:34" ht="19.5" customHeight="1">
      <c r="C1796" s="449"/>
      <c r="D1796" s="68"/>
      <c r="E1796" s="68"/>
      <c r="G1796" s="98"/>
      <c r="H1796" s="68"/>
      <c r="I1796" s="68"/>
      <c r="N1796" s="398"/>
      <c r="R1796" s="50"/>
      <c r="S1796" s="47"/>
      <c r="T1796" s="98"/>
      <c r="U1796" s="98"/>
      <c r="AF1796" s="39"/>
      <c r="AG1796" s="490"/>
      <c r="AH1796" s="490"/>
    </row>
    <row r="1797" spans="3:34" ht="19.5" customHeight="1">
      <c r="C1797" s="449"/>
      <c r="D1797" s="68"/>
      <c r="E1797" s="68"/>
      <c r="G1797" s="98"/>
      <c r="H1797" s="68"/>
      <c r="I1797" s="68"/>
      <c r="N1797" s="398"/>
      <c r="R1797" s="50"/>
      <c r="S1797" s="47"/>
      <c r="T1797" s="98"/>
      <c r="U1797" s="98"/>
      <c r="AF1797" s="39"/>
      <c r="AG1797" s="490"/>
      <c r="AH1797" s="490"/>
    </row>
    <row r="1798" spans="3:34" ht="19.5" customHeight="1">
      <c r="C1798" s="449"/>
      <c r="D1798" s="68"/>
      <c r="E1798" s="68"/>
      <c r="G1798" s="98"/>
      <c r="H1798" s="68"/>
      <c r="I1798" s="68"/>
      <c r="N1798" s="398"/>
      <c r="R1798" s="50"/>
      <c r="S1798" s="47"/>
      <c r="T1798" s="98"/>
      <c r="U1798" s="98"/>
      <c r="AF1798" s="39"/>
      <c r="AG1798" s="490"/>
      <c r="AH1798" s="490"/>
    </row>
    <row r="1799" spans="3:34" ht="19.5" customHeight="1">
      <c r="C1799" s="449"/>
      <c r="D1799" s="68"/>
      <c r="E1799" s="68"/>
      <c r="G1799" s="98"/>
      <c r="H1799" s="68"/>
      <c r="I1799" s="68"/>
      <c r="N1799" s="398"/>
      <c r="R1799" s="50"/>
      <c r="S1799" s="47"/>
      <c r="T1799" s="98"/>
      <c r="U1799" s="98"/>
      <c r="AF1799" s="39"/>
      <c r="AG1799" s="490"/>
      <c r="AH1799" s="490"/>
    </row>
    <row r="1800" spans="3:34" ht="19.5" customHeight="1">
      <c r="C1800" s="449"/>
      <c r="D1800" s="68"/>
      <c r="E1800" s="68"/>
      <c r="G1800" s="98"/>
      <c r="H1800" s="68"/>
      <c r="I1800" s="68"/>
      <c r="N1800" s="398"/>
      <c r="R1800" s="50"/>
      <c r="S1800" s="47"/>
      <c r="T1800" s="98"/>
      <c r="U1800" s="98"/>
      <c r="AF1800" s="39"/>
      <c r="AG1800" s="490"/>
      <c r="AH1800" s="490"/>
    </row>
    <row r="1801" spans="3:34" ht="19.5" customHeight="1">
      <c r="C1801" s="449"/>
      <c r="D1801" s="68"/>
      <c r="E1801" s="68"/>
      <c r="G1801" s="98"/>
      <c r="H1801" s="68"/>
      <c r="I1801" s="68"/>
      <c r="N1801" s="398"/>
      <c r="R1801" s="50"/>
      <c r="S1801" s="47"/>
      <c r="T1801" s="98"/>
      <c r="U1801" s="98"/>
      <c r="AF1801" s="39"/>
      <c r="AG1801" s="490"/>
      <c r="AH1801" s="490"/>
    </row>
    <row r="1802" spans="3:34" ht="19.5" customHeight="1">
      <c r="C1802" s="449"/>
      <c r="D1802" s="68"/>
      <c r="E1802" s="68"/>
      <c r="G1802" s="98"/>
      <c r="H1802" s="68"/>
      <c r="I1802" s="68"/>
      <c r="N1802" s="398"/>
      <c r="R1802" s="50"/>
      <c r="S1802" s="47"/>
      <c r="T1802" s="98"/>
      <c r="U1802" s="98"/>
      <c r="AF1802" s="39"/>
      <c r="AG1802" s="490"/>
      <c r="AH1802" s="490"/>
    </row>
    <row r="1803" spans="3:34" ht="19.5" customHeight="1">
      <c r="C1803" s="449"/>
      <c r="D1803" s="68"/>
      <c r="E1803" s="68"/>
      <c r="G1803" s="98"/>
      <c r="H1803" s="68"/>
      <c r="I1803" s="68"/>
      <c r="N1803" s="398"/>
      <c r="R1803" s="50"/>
      <c r="S1803" s="47"/>
      <c r="T1803" s="98"/>
      <c r="U1803" s="98"/>
      <c r="AF1803" s="39"/>
      <c r="AG1803" s="490"/>
      <c r="AH1803" s="490"/>
    </row>
    <row r="1804" spans="3:34" ht="19.5" customHeight="1">
      <c r="C1804" s="449"/>
      <c r="D1804" s="68"/>
      <c r="E1804" s="68"/>
      <c r="G1804" s="98"/>
      <c r="H1804" s="68"/>
      <c r="I1804" s="68"/>
      <c r="N1804" s="398"/>
      <c r="R1804" s="50"/>
      <c r="S1804" s="47"/>
      <c r="T1804" s="98"/>
      <c r="U1804" s="98"/>
      <c r="AF1804" s="39"/>
      <c r="AG1804" s="490"/>
      <c r="AH1804" s="490"/>
    </row>
    <row r="1805" spans="3:34" ht="19.5" customHeight="1">
      <c r="C1805" s="449"/>
      <c r="D1805" s="68"/>
      <c r="E1805" s="68"/>
      <c r="G1805" s="98"/>
      <c r="H1805" s="68"/>
      <c r="I1805" s="68"/>
      <c r="N1805" s="398"/>
      <c r="R1805" s="50"/>
      <c r="S1805" s="47"/>
      <c r="T1805" s="98"/>
      <c r="U1805" s="98"/>
      <c r="AF1805" s="39"/>
      <c r="AG1805" s="490"/>
      <c r="AH1805" s="490"/>
    </row>
    <row r="1806" spans="3:34" ht="19.5" customHeight="1">
      <c r="C1806" s="449"/>
      <c r="D1806" s="68"/>
      <c r="E1806" s="68"/>
      <c r="G1806" s="98"/>
      <c r="H1806" s="68"/>
      <c r="I1806" s="68"/>
      <c r="N1806" s="398"/>
      <c r="R1806" s="50"/>
      <c r="S1806" s="47"/>
      <c r="T1806" s="98"/>
      <c r="U1806" s="98"/>
      <c r="AF1806" s="39"/>
      <c r="AG1806" s="490"/>
      <c r="AH1806" s="490"/>
    </row>
    <row r="1807" spans="3:34" ht="19.5" customHeight="1">
      <c r="C1807" s="449"/>
      <c r="D1807" s="68"/>
      <c r="E1807" s="68"/>
      <c r="G1807" s="98"/>
      <c r="H1807" s="68"/>
      <c r="I1807" s="68"/>
      <c r="N1807" s="398"/>
      <c r="R1807" s="50"/>
      <c r="S1807" s="47"/>
      <c r="T1807" s="98"/>
      <c r="U1807" s="98"/>
      <c r="AF1807" s="39"/>
      <c r="AG1807" s="490"/>
      <c r="AH1807" s="490"/>
    </row>
    <row r="1808" spans="3:34" ht="19.5" customHeight="1">
      <c r="C1808" s="449"/>
      <c r="D1808" s="68"/>
      <c r="E1808" s="68"/>
      <c r="G1808" s="98"/>
      <c r="H1808" s="68"/>
      <c r="I1808" s="68"/>
      <c r="N1808" s="398"/>
      <c r="R1808" s="50"/>
      <c r="S1808" s="47"/>
      <c r="T1808" s="98"/>
      <c r="U1808" s="98"/>
      <c r="AF1808" s="39"/>
      <c r="AG1808" s="490"/>
      <c r="AH1808" s="490"/>
    </row>
    <row r="1809" spans="3:34" ht="19.5" customHeight="1">
      <c r="C1809" s="449"/>
      <c r="D1809" s="68"/>
      <c r="E1809" s="68"/>
      <c r="G1809" s="98"/>
      <c r="H1809" s="68"/>
      <c r="I1809" s="68"/>
      <c r="N1809" s="398"/>
      <c r="R1809" s="50"/>
      <c r="S1809" s="47"/>
      <c r="T1809" s="98"/>
      <c r="U1809" s="98"/>
      <c r="AF1809" s="39"/>
      <c r="AG1809" s="490"/>
      <c r="AH1809" s="490"/>
    </row>
    <row r="1810" spans="3:34" ht="19.5" customHeight="1">
      <c r="C1810" s="449"/>
      <c r="D1810" s="68"/>
      <c r="E1810" s="68"/>
      <c r="G1810" s="98"/>
      <c r="H1810" s="68"/>
      <c r="I1810" s="68"/>
      <c r="N1810" s="398"/>
      <c r="R1810" s="50"/>
      <c r="S1810" s="47"/>
      <c r="T1810" s="98"/>
      <c r="U1810" s="98"/>
      <c r="AF1810" s="39"/>
      <c r="AG1810" s="490"/>
      <c r="AH1810" s="490"/>
    </row>
    <row r="1811" spans="3:34" ht="19.5" customHeight="1">
      <c r="C1811" s="449"/>
      <c r="D1811" s="68"/>
      <c r="E1811" s="68"/>
      <c r="G1811" s="98"/>
      <c r="H1811" s="68"/>
      <c r="I1811" s="68"/>
      <c r="N1811" s="398"/>
      <c r="R1811" s="50"/>
      <c r="S1811" s="47"/>
      <c r="T1811" s="98"/>
      <c r="U1811" s="98"/>
      <c r="AF1811" s="39"/>
      <c r="AG1811" s="490"/>
      <c r="AH1811" s="490"/>
    </row>
    <row r="1812" spans="3:34" ht="19.5" customHeight="1">
      <c r="C1812" s="449"/>
      <c r="D1812" s="68"/>
      <c r="E1812" s="68"/>
      <c r="G1812" s="98"/>
      <c r="H1812" s="68"/>
      <c r="I1812" s="68"/>
      <c r="N1812" s="398"/>
      <c r="R1812" s="50"/>
      <c r="S1812" s="47"/>
      <c r="T1812" s="98"/>
      <c r="U1812" s="98"/>
      <c r="AF1812" s="39"/>
      <c r="AG1812" s="490"/>
      <c r="AH1812" s="490"/>
    </row>
    <row r="1813" spans="3:34" ht="19.5" customHeight="1">
      <c r="C1813" s="449"/>
      <c r="D1813" s="68"/>
      <c r="E1813" s="68"/>
      <c r="G1813" s="98"/>
      <c r="H1813" s="68"/>
      <c r="I1813" s="68"/>
      <c r="N1813" s="398"/>
      <c r="R1813" s="50"/>
      <c r="S1813" s="47"/>
      <c r="T1813" s="98"/>
      <c r="U1813" s="98"/>
      <c r="AF1813" s="39"/>
      <c r="AG1813" s="490"/>
      <c r="AH1813" s="490"/>
    </row>
    <row r="1814" spans="3:34" ht="19.5" customHeight="1">
      <c r="C1814" s="449"/>
      <c r="D1814" s="68"/>
      <c r="E1814" s="68"/>
      <c r="G1814" s="98"/>
      <c r="H1814" s="68"/>
      <c r="I1814" s="68"/>
      <c r="N1814" s="398"/>
      <c r="R1814" s="50"/>
      <c r="S1814" s="47"/>
      <c r="T1814" s="98"/>
      <c r="U1814" s="98"/>
      <c r="AF1814" s="39"/>
      <c r="AG1814" s="490"/>
      <c r="AH1814" s="490"/>
    </row>
    <row r="1815" spans="3:34" ht="19.5" customHeight="1">
      <c r="C1815" s="449"/>
      <c r="D1815" s="68"/>
      <c r="E1815" s="68"/>
      <c r="G1815" s="98"/>
      <c r="H1815" s="68"/>
      <c r="I1815" s="68"/>
      <c r="N1815" s="398"/>
      <c r="R1815" s="50"/>
      <c r="S1815" s="47"/>
      <c r="T1815" s="98"/>
      <c r="U1815" s="98"/>
      <c r="AF1815" s="39"/>
      <c r="AG1815" s="490"/>
      <c r="AH1815" s="490"/>
    </row>
    <row r="1816" spans="3:34" ht="19.5" customHeight="1">
      <c r="C1816" s="449"/>
      <c r="D1816" s="68"/>
      <c r="E1816" s="68"/>
      <c r="G1816" s="98"/>
      <c r="H1816" s="68"/>
      <c r="I1816" s="68"/>
      <c r="N1816" s="398"/>
      <c r="R1816" s="50"/>
      <c r="S1816" s="47"/>
      <c r="T1816" s="98"/>
      <c r="U1816" s="98"/>
      <c r="AF1816" s="39"/>
      <c r="AG1816" s="490"/>
      <c r="AH1816" s="490"/>
    </row>
    <row r="1817" spans="3:34" ht="19.5" customHeight="1">
      <c r="C1817" s="449"/>
      <c r="D1817" s="68"/>
      <c r="E1817" s="68"/>
      <c r="G1817" s="98"/>
      <c r="H1817" s="68"/>
      <c r="I1817" s="68"/>
      <c r="N1817" s="398"/>
      <c r="R1817" s="50"/>
      <c r="S1817" s="47"/>
      <c r="T1817" s="98"/>
      <c r="U1817" s="98"/>
      <c r="AF1817" s="39"/>
      <c r="AG1817" s="490"/>
      <c r="AH1817" s="490"/>
    </row>
    <row r="1818" spans="3:34" ht="19.5" customHeight="1">
      <c r="C1818" s="449"/>
      <c r="D1818" s="68"/>
      <c r="E1818" s="68"/>
      <c r="G1818" s="98"/>
      <c r="H1818" s="68"/>
      <c r="I1818" s="68"/>
      <c r="N1818" s="398"/>
      <c r="R1818" s="50"/>
      <c r="S1818" s="47"/>
      <c r="T1818" s="98"/>
      <c r="U1818" s="98"/>
      <c r="AF1818" s="39"/>
      <c r="AG1818" s="490"/>
      <c r="AH1818" s="490"/>
    </row>
    <row r="1819" spans="3:34" ht="19.5" customHeight="1">
      <c r="C1819" s="449"/>
      <c r="D1819" s="68"/>
      <c r="E1819" s="68"/>
      <c r="G1819" s="98"/>
      <c r="H1819" s="68"/>
      <c r="I1819" s="68"/>
      <c r="N1819" s="398"/>
      <c r="R1819" s="50"/>
      <c r="S1819" s="47"/>
      <c r="T1819" s="98"/>
      <c r="U1819" s="98"/>
      <c r="AF1819" s="39"/>
      <c r="AG1819" s="490"/>
      <c r="AH1819" s="490"/>
    </row>
    <row r="1820" spans="3:34" ht="19.5" customHeight="1">
      <c r="C1820" s="449"/>
      <c r="D1820" s="68"/>
      <c r="E1820" s="68"/>
      <c r="G1820" s="98"/>
      <c r="H1820" s="68"/>
      <c r="I1820" s="68"/>
      <c r="N1820" s="398"/>
      <c r="R1820" s="50"/>
      <c r="S1820" s="47"/>
      <c r="T1820" s="98"/>
      <c r="U1820" s="98"/>
      <c r="AF1820" s="39"/>
      <c r="AG1820" s="490"/>
      <c r="AH1820" s="490"/>
    </row>
    <row r="1821" spans="3:34" ht="19.5" customHeight="1">
      <c r="C1821" s="449"/>
      <c r="D1821" s="68"/>
      <c r="E1821" s="68"/>
      <c r="G1821" s="98"/>
      <c r="H1821" s="68"/>
      <c r="I1821" s="68"/>
      <c r="N1821" s="398"/>
      <c r="R1821" s="50"/>
      <c r="S1821" s="47"/>
      <c r="T1821" s="98"/>
      <c r="U1821" s="98"/>
      <c r="AF1821" s="39"/>
      <c r="AG1821" s="490"/>
      <c r="AH1821" s="490"/>
    </row>
    <row r="1822" spans="3:34" ht="19.5" customHeight="1">
      <c r="C1822" s="449"/>
      <c r="D1822" s="68"/>
      <c r="E1822" s="68"/>
      <c r="G1822" s="98"/>
      <c r="H1822" s="68"/>
      <c r="I1822" s="68"/>
      <c r="N1822" s="398"/>
      <c r="R1822" s="50"/>
      <c r="S1822" s="47"/>
      <c r="T1822" s="98"/>
      <c r="U1822" s="98"/>
      <c r="AF1822" s="39"/>
      <c r="AG1822" s="490"/>
      <c r="AH1822" s="490"/>
    </row>
    <row r="1823" spans="3:34" ht="19.5" customHeight="1">
      <c r="C1823" s="449"/>
      <c r="D1823" s="68"/>
      <c r="E1823" s="68"/>
      <c r="G1823" s="98"/>
      <c r="H1823" s="68"/>
      <c r="I1823" s="68"/>
      <c r="N1823" s="398"/>
      <c r="R1823" s="50"/>
      <c r="S1823" s="47"/>
      <c r="T1823" s="98"/>
      <c r="U1823" s="98"/>
      <c r="AF1823" s="39"/>
      <c r="AG1823" s="490"/>
      <c r="AH1823" s="490"/>
    </row>
    <row r="1824" spans="3:34" ht="19.5" customHeight="1">
      <c r="C1824" s="449"/>
      <c r="D1824" s="68"/>
      <c r="E1824" s="68"/>
      <c r="G1824" s="98"/>
      <c r="H1824" s="68"/>
      <c r="I1824" s="68"/>
      <c r="N1824" s="398"/>
      <c r="R1824" s="50"/>
      <c r="S1824" s="47"/>
      <c r="T1824" s="98"/>
      <c r="U1824" s="98"/>
      <c r="AF1824" s="39"/>
      <c r="AG1824" s="490"/>
      <c r="AH1824" s="490"/>
    </row>
    <row r="1825" spans="3:34" ht="19.5" customHeight="1">
      <c r="C1825" s="449"/>
      <c r="D1825" s="68"/>
      <c r="E1825" s="68"/>
      <c r="G1825" s="98"/>
      <c r="H1825" s="68"/>
      <c r="I1825" s="68"/>
      <c r="N1825" s="398"/>
      <c r="R1825" s="50"/>
      <c r="S1825" s="47"/>
      <c r="T1825" s="98"/>
      <c r="U1825" s="98"/>
      <c r="AF1825" s="39"/>
      <c r="AG1825" s="490"/>
      <c r="AH1825" s="490"/>
    </row>
    <row r="1826" spans="3:34" ht="19.5" customHeight="1">
      <c r="C1826" s="449"/>
      <c r="D1826" s="68"/>
      <c r="E1826" s="68"/>
      <c r="G1826" s="98"/>
      <c r="H1826" s="68"/>
      <c r="I1826" s="68"/>
      <c r="N1826" s="398"/>
      <c r="R1826" s="50"/>
      <c r="S1826" s="47"/>
      <c r="T1826" s="98"/>
      <c r="U1826" s="98"/>
      <c r="AF1826" s="39"/>
      <c r="AG1826" s="490"/>
      <c r="AH1826" s="490"/>
    </row>
    <row r="1827" spans="3:34" ht="19.5" customHeight="1">
      <c r="C1827" s="449"/>
      <c r="D1827" s="68"/>
      <c r="E1827" s="68"/>
      <c r="G1827" s="98"/>
      <c r="H1827" s="68"/>
      <c r="I1827" s="68"/>
      <c r="N1827" s="398"/>
      <c r="R1827" s="50"/>
      <c r="S1827" s="47"/>
      <c r="T1827" s="98"/>
      <c r="U1827" s="98"/>
      <c r="AF1827" s="39"/>
      <c r="AG1827" s="490"/>
      <c r="AH1827" s="490"/>
    </row>
    <row r="1828" spans="3:34" ht="19.5" customHeight="1">
      <c r="C1828" s="449"/>
      <c r="D1828" s="68"/>
      <c r="E1828" s="68"/>
      <c r="G1828" s="98"/>
      <c r="H1828" s="68"/>
      <c r="I1828" s="68"/>
      <c r="N1828" s="398"/>
      <c r="R1828" s="50"/>
      <c r="S1828" s="47"/>
      <c r="T1828" s="98"/>
      <c r="U1828" s="98"/>
      <c r="AF1828" s="39"/>
      <c r="AG1828" s="490"/>
      <c r="AH1828" s="490"/>
    </row>
    <row r="1829" spans="3:34" ht="19.5" customHeight="1">
      <c r="C1829" s="449"/>
      <c r="D1829" s="68"/>
      <c r="E1829" s="68"/>
      <c r="G1829" s="98"/>
      <c r="H1829" s="68"/>
      <c r="I1829" s="68"/>
      <c r="N1829" s="398"/>
      <c r="R1829" s="50"/>
      <c r="S1829" s="47"/>
      <c r="T1829" s="98"/>
      <c r="U1829" s="98"/>
      <c r="AF1829" s="39"/>
      <c r="AG1829" s="490"/>
      <c r="AH1829" s="490"/>
    </row>
    <row r="1830" spans="3:34" ht="19.5" customHeight="1">
      <c r="C1830" s="449"/>
      <c r="D1830" s="68"/>
      <c r="E1830" s="68"/>
      <c r="G1830" s="98"/>
      <c r="H1830" s="68"/>
      <c r="I1830" s="68"/>
      <c r="N1830" s="398"/>
      <c r="R1830" s="50"/>
      <c r="S1830" s="47"/>
      <c r="T1830" s="98"/>
      <c r="U1830" s="98"/>
      <c r="AF1830" s="39"/>
      <c r="AG1830" s="490"/>
      <c r="AH1830" s="490"/>
    </row>
    <row r="1831" spans="3:34" ht="19.5" customHeight="1">
      <c r="C1831" s="449"/>
      <c r="D1831" s="68"/>
      <c r="E1831" s="68"/>
      <c r="G1831" s="98"/>
      <c r="H1831" s="68"/>
      <c r="I1831" s="68"/>
      <c r="N1831" s="398"/>
      <c r="R1831" s="50"/>
      <c r="S1831" s="47"/>
      <c r="T1831" s="98"/>
      <c r="U1831" s="98"/>
      <c r="AF1831" s="39"/>
      <c r="AG1831" s="490"/>
      <c r="AH1831" s="490"/>
    </row>
    <row r="1832" spans="3:34" ht="19.5" customHeight="1">
      <c r="C1832" s="449"/>
      <c r="D1832" s="68"/>
      <c r="E1832" s="68"/>
      <c r="G1832" s="98"/>
      <c r="H1832" s="68"/>
      <c r="I1832" s="68"/>
      <c r="N1832" s="398"/>
      <c r="R1832" s="50"/>
      <c r="S1832" s="47"/>
      <c r="T1832" s="98"/>
      <c r="U1832" s="98"/>
      <c r="AF1832" s="39"/>
      <c r="AG1832" s="490"/>
      <c r="AH1832" s="490"/>
    </row>
    <row r="1833" spans="3:34" ht="19.5" customHeight="1">
      <c r="C1833" s="449"/>
      <c r="D1833" s="68"/>
      <c r="E1833" s="68"/>
      <c r="G1833" s="98"/>
      <c r="H1833" s="68"/>
      <c r="I1833" s="68"/>
      <c r="N1833" s="398"/>
      <c r="R1833" s="50"/>
      <c r="S1833" s="47"/>
      <c r="T1833" s="98"/>
      <c r="U1833" s="98"/>
      <c r="AF1833" s="39"/>
      <c r="AG1833" s="490"/>
      <c r="AH1833" s="490"/>
    </row>
    <row r="1834" spans="3:34" ht="19.5" customHeight="1">
      <c r="C1834" s="449"/>
      <c r="D1834" s="68"/>
      <c r="E1834" s="68"/>
      <c r="G1834" s="98"/>
      <c r="H1834" s="68"/>
      <c r="I1834" s="68"/>
      <c r="N1834" s="398"/>
      <c r="R1834" s="50"/>
      <c r="S1834" s="47"/>
      <c r="T1834" s="98"/>
      <c r="U1834" s="98"/>
      <c r="AF1834" s="39"/>
      <c r="AG1834" s="490"/>
      <c r="AH1834" s="490"/>
    </row>
    <row r="1835" spans="3:34" ht="19.5" customHeight="1">
      <c r="C1835" s="449"/>
      <c r="D1835" s="68"/>
      <c r="E1835" s="68"/>
      <c r="G1835" s="98"/>
      <c r="H1835" s="68"/>
      <c r="I1835" s="68"/>
      <c r="N1835" s="398"/>
      <c r="R1835" s="50"/>
      <c r="S1835" s="47"/>
      <c r="T1835" s="98"/>
      <c r="U1835" s="98"/>
      <c r="AF1835" s="39"/>
      <c r="AG1835" s="490"/>
      <c r="AH1835" s="490"/>
    </row>
    <row r="1836" spans="3:34" ht="19.5" customHeight="1">
      <c r="C1836" s="449"/>
      <c r="D1836" s="68"/>
      <c r="E1836" s="68"/>
      <c r="G1836" s="98"/>
      <c r="H1836" s="68"/>
      <c r="I1836" s="68"/>
      <c r="N1836" s="398"/>
      <c r="R1836" s="50"/>
      <c r="S1836" s="47"/>
      <c r="T1836" s="98"/>
      <c r="U1836" s="98"/>
      <c r="AF1836" s="39"/>
      <c r="AG1836" s="490"/>
      <c r="AH1836" s="490"/>
    </row>
    <row r="1837" spans="3:34" ht="19.5" customHeight="1">
      <c r="C1837" s="449"/>
      <c r="D1837" s="68"/>
      <c r="E1837" s="68"/>
      <c r="G1837" s="98"/>
      <c r="H1837" s="68"/>
      <c r="I1837" s="68"/>
      <c r="N1837" s="398"/>
      <c r="R1837" s="50"/>
      <c r="S1837" s="47"/>
      <c r="T1837" s="98"/>
      <c r="U1837" s="98"/>
      <c r="AF1837" s="39"/>
      <c r="AG1837" s="490"/>
      <c r="AH1837" s="490"/>
    </row>
    <row r="1838" spans="3:34" ht="19.5" customHeight="1">
      <c r="C1838" s="449"/>
      <c r="D1838" s="68"/>
      <c r="E1838" s="68"/>
      <c r="G1838" s="98"/>
      <c r="H1838" s="68"/>
      <c r="I1838" s="68"/>
      <c r="N1838" s="398"/>
      <c r="R1838" s="50"/>
      <c r="S1838" s="47"/>
      <c r="T1838" s="98"/>
      <c r="U1838" s="98"/>
      <c r="AF1838" s="39"/>
      <c r="AG1838" s="490"/>
      <c r="AH1838" s="490"/>
    </row>
    <row r="1839" spans="3:34" ht="19.5" customHeight="1">
      <c r="C1839" s="449"/>
      <c r="D1839" s="68"/>
      <c r="E1839" s="68"/>
      <c r="G1839" s="98"/>
      <c r="H1839" s="68"/>
      <c r="I1839" s="68"/>
      <c r="N1839" s="398"/>
      <c r="R1839" s="50"/>
      <c r="S1839" s="47"/>
      <c r="T1839" s="98"/>
      <c r="U1839" s="98"/>
      <c r="AF1839" s="39"/>
      <c r="AG1839" s="490"/>
      <c r="AH1839" s="490"/>
    </row>
    <row r="1840" spans="3:34" ht="19.5" customHeight="1">
      <c r="C1840" s="449"/>
      <c r="D1840" s="68"/>
      <c r="E1840" s="68"/>
      <c r="G1840" s="98"/>
      <c r="H1840" s="68"/>
      <c r="I1840" s="68"/>
      <c r="N1840" s="398"/>
      <c r="R1840" s="50"/>
      <c r="S1840" s="47"/>
      <c r="T1840" s="98"/>
      <c r="U1840" s="98"/>
      <c r="AF1840" s="39"/>
      <c r="AG1840" s="490"/>
      <c r="AH1840" s="490"/>
    </row>
    <row r="1841" spans="3:34" ht="19.5" customHeight="1">
      <c r="C1841" s="449"/>
      <c r="D1841" s="68"/>
      <c r="E1841" s="68"/>
      <c r="G1841" s="98"/>
      <c r="H1841" s="68"/>
      <c r="I1841" s="68"/>
      <c r="N1841" s="398"/>
      <c r="R1841" s="50"/>
      <c r="S1841" s="47"/>
      <c r="T1841" s="98"/>
      <c r="U1841" s="98"/>
      <c r="AF1841" s="39"/>
      <c r="AG1841" s="490"/>
      <c r="AH1841" s="490"/>
    </row>
    <row r="1842" spans="3:34" ht="19.5" customHeight="1">
      <c r="C1842" s="449"/>
      <c r="D1842" s="68"/>
      <c r="E1842" s="68"/>
      <c r="G1842" s="98"/>
      <c r="H1842" s="68"/>
      <c r="I1842" s="68"/>
      <c r="N1842" s="398"/>
      <c r="R1842" s="50"/>
      <c r="S1842" s="47"/>
      <c r="T1842" s="98"/>
      <c r="U1842" s="98"/>
      <c r="AF1842" s="39"/>
      <c r="AG1842" s="490"/>
      <c r="AH1842" s="490"/>
    </row>
    <row r="1843" spans="3:34" ht="19.5" customHeight="1">
      <c r="C1843" s="449"/>
      <c r="D1843" s="68"/>
      <c r="E1843" s="68"/>
      <c r="G1843" s="98"/>
      <c r="H1843" s="68"/>
      <c r="I1843" s="68"/>
      <c r="N1843" s="398"/>
      <c r="R1843" s="50"/>
      <c r="S1843" s="47"/>
      <c r="T1843" s="98"/>
      <c r="U1843" s="98"/>
      <c r="AF1843" s="39"/>
      <c r="AG1843" s="490"/>
      <c r="AH1843" s="490"/>
    </row>
    <row r="1844" spans="3:34" ht="19.5" customHeight="1">
      <c r="C1844" s="449"/>
      <c r="D1844" s="68"/>
      <c r="E1844" s="68"/>
      <c r="G1844" s="98"/>
      <c r="H1844" s="68"/>
      <c r="I1844" s="68"/>
      <c r="N1844" s="398"/>
      <c r="R1844" s="50"/>
      <c r="S1844" s="47"/>
      <c r="T1844" s="98"/>
      <c r="U1844" s="98"/>
      <c r="AF1844" s="39"/>
      <c r="AG1844" s="490"/>
      <c r="AH1844" s="490"/>
    </row>
    <row r="1845" spans="3:34" ht="19.5" customHeight="1">
      <c r="C1845" s="449"/>
      <c r="D1845" s="68"/>
      <c r="E1845" s="68"/>
      <c r="G1845" s="98"/>
      <c r="H1845" s="68"/>
      <c r="I1845" s="68"/>
      <c r="N1845" s="398"/>
      <c r="R1845" s="50"/>
      <c r="S1845" s="47"/>
      <c r="T1845" s="98"/>
      <c r="U1845" s="98"/>
      <c r="AF1845" s="39"/>
      <c r="AG1845" s="490"/>
      <c r="AH1845" s="490"/>
    </row>
    <row r="1846" spans="3:34" ht="19.5" customHeight="1">
      <c r="C1846" s="449"/>
      <c r="D1846" s="68"/>
      <c r="E1846" s="68"/>
      <c r="G1846" s="98"/>
      <c r="H1846" s="68"/>
      <c r="I1846" s="68"/>
      <c r="N1846" s="398"/>
      <c r="R1846" s="50"/>
      <c r="S1846" s="47"/>
      <c r="T1846" s="98"/>
      <c r="U1846" s="98"/>
      <c r="AF1846" s="39"/>
      <c r="AG1846" s="490"/>
      <c r="AH1846" s="490"/>
    </row>
    <row r="1847" spans="3:34" ht="19.5" customHeight="1">
      <c r="C1847" s="449"/>
      <c r="D1847" s="68"/>
      <c r="E1847" s="68"/>
      <c r="G1847" s="98"/>
      <c r="H1847" s="68"/>
      <c r="I1847" s="68"/>
      <c r="N1847" s="398"/>
      <c r="R1847" s="50"/>
      <c r="S1847" s="47"/>
      <c r="T1847" s="98"/>
      <c r="U1847" s="98"/>
      <c r="AF1847" s="39"/>
      <c r="AG1847" s="490"/>
      <c r="AH1847" s="490"/>
    </row>
    <row r="1848" spans="3:34" ht="19.5" customHeight="1">
      <c r="C1848" s="449"/>
      <c r="D1848" s="68"/>
      <c r="E1848" s="68"/>
      <c r="G1848" s="98"/>
      <c r="H1848" s="68"/>
      <c r="I1848" s="68"/>
      <c r="N1848" s="398"/>
      <c r="R1848" s="50"/>
      <c r="S1848" s="47"/>
      <c r="T1848" s="98"/>
      <c r="U1848" s="98"/>
      <c r="AF1848" s="39"/>
      <c r="AG1848" s="490"/>
      <c r="AH1848" s="490"/>
    </row>
    <row r="1849" spans="3:34" ht="19.5" customHeight="1">
      <c r="C1849" s="449"/>
      <c r="D1849" s="68"/>
      <c r="E1849" s="68"/>
      <c r="G1849" s="98"/>
      <c r="H1849" s="68"/>
      <c r="I1849" s="68"/>
      <c r="N1849" s="398"/>
      <c r="R1849" s="50"/>
      <c r="S1849" s="47"/>
      <c r="T1849" s="98"/>
      <c r="U1849" s="98"/>
      <c r="AF1849" s="39"/>
      <c r="AG1849" s="490"/>
      <c r="AH1849" s="490"/>
    </row>
    <row r="1850" spans="3:34" ht="19.5" customHeight="1">
      <c r="C1850" s="449"/>
      <c r="D1850" s="68"/>
      <c r="E1850" s="68"/>
      <c r="G1850" s="98"/>
      <c r="H1850" s="68"/>
      <c r="I1850" s="68"/>
      <c r="N1850" s="398"/>
      <c r="R1850" s="50"/>
      <c r="S1850" s="47"/>
      <c r="T1850" s="98"/>
      <c r="U1850" s="98"/>
      <c r="AF1850" s="39"/>
      <c r="AG1850" s="490"/>
      <c r="AH1850" s="490"/>
    </row>
    <row r="1851" spans="3:34" ht="19.5" customHeight="1">
      <c r="C1851" s="449"/>
      <c r="D1851" s="68"/>
      <c r="E1851" s="68"/>
      <c r="G1851" s="98"/>
      <c r="H1851" s="68"/>
      <c r="I1851" s="68"/>
      <c r="N1851" s="398"/>
      <c r="R1851" s="50"/>
      <c r="S1851" s="47"/>
      <c r="T1851" s="98"/>
      <c r="U1851" s="98"/>
      <c r="AF1851" s="39"/>
      <c r="AG1851" s="490"/>
      <c r="AH1851" s="490"/>
    </row>
    <row r="1852" spans="3:34" ht="19.5" customHeight="1">
      <c r="C1852" s="449"/>
      <c r="D1852" s="68"/>
      <c r="E1852" s="68"/>
      <c r="G1852" s="98"/>
      <c r="H1852" s="68"/>
      <c r="I1852" s="68"/>
      <c r="N1852" s="398"/>
      <c r="R1852" s="50"/>
      <c r="S1852" s="47"/>
      <c r="T1852" s="98"/>
      <c r="U1852" s="98"/>
      <c r="AF1852" s="39"/>
      <c r="AG1852" s="490"/>
      <c r="AH1852" s="490"/>
    </row>
    <row r="1853" spans="3:34" ht="19.5" customHeight="1">
      <c r="C1853" s="449"/>
      <c r="D1853" s="68"/>
      <c r="E1853" s="68"/>
      <c r="G1853" s="98"/>
      <c r="H1853" s="68"/>
      <c r="I1853" s="68"/>
      <c r="N1853" s="398"/>
      <c r="R1853" s="50"/>
      <c r="S1853" s="47"/>
      <c r="T1853" s="98"/>
      <c r="U1853" s="98"/>
      <c r="AF1853" s="39"/>
      <c r="AG1853" s="490"/>
      <c r="AH1853" s="490"/>
    </row>
    <row r="1854" spans="3:34" ht="19.5" customHeight="1">
      <c r="C1854" s="449"/>
      <c r="D1854" s="68"/>
      <c r="E1854" s="68"/>
      <c r="G1854" s="98"/>
      <c r="H1854" s="68"/>
      <c r="I1854" s="68"/>
      <c r="N1854" s="398"/>
      <c r="R1854" s="50"/>
      <c r="S1854" s="47"/>
      <c r="T1854" s="98"/>
      <c r="U1854" s="98"/>
      <c r="AF1854" s="39"/>
      <c r="AG1854" s="490"/>
      <c r="AH1854" s="490"/>
    </row>
    <row r="1855" spans="3:34" ht="19.5" customHeight="1">
      <c r="C1855" s="449"/>
      <c r="D1855" s="68"/>
      <c r="E1855" s="68"/>
      <c r="G1855" s="98"/>
      <c r="H1855" s="68"/>
      <c r="I1855" s="68"/>
      <c r="N1855" s="398"/>
      <c r="R1855" s="50"/>
      <c r="S1855" s="47"/>
      <c r="T1855" s="98"/>
      <c r="U1855" s="98"/>
      <c r="AF1855" s="39"/>
      <c r="AG1855" s="490"/>
      <c r="AH1855" s="490"/>
    </row>
    <row r="1856" spans="3:34" ht="19.5" customHeight="1">
      <c r="C1856" s="449"/>
      <c r="D1856" s="68"/>
      <c r="E1856" s="68"/>
      <c r="G1856" s="98"/>
      <c r="H1856" s="68"/>
      <c r="I1856" s="68"/>
      <c r="N1856" s="398"/>
      <c r="R1856" s="50"/>
      <c r="S1856" s="47"/>
      <c r="T1856" s="98"/>
      <c r="U1856" s="98"/>
      <c r="AF1856" s="39"/>
      <c r="AG1856" s="490"/>
      <c r="AH1856" s="490"/>
    </row>
    <row r="1857" spans="3:34" ht="19.5" customHeight="1">
      <c r="C1857" s="449"/>
      <c r="D1857" s="68"/>
      <c r="E1857" s="68"/>
      <c r="G1857" s="98"/>
      <c r="H1857" s="68"/>
      <c r="I1857" s="68"/>
      <c r="N1857" s="398"/>
      <c r="R1857" s="50"/>
      <c r="S1857" s="47"/>
      <c r="T1857" s="98"/>
      <c r="U1857" s="98"/>
      <c r="AF1857" s="39"/>
      <c r="AG1857" s="490"/>
      <c r="AH1857" s="490"/>
    </row>
    <row r="1858" spans="3:34" ht="19.5" customHeight="1">
      <c r="C1858" s="449"/>
      <c r="D1858" s="68"/>
      <c r="E1858" s="68"/>
      <c r="G1858" s="98"/>
      <c r="H1858" s="68"/>
      <c r="I1858" s="68"/>
      <c r="N1858" s="398"/>
      <c r="R1858" s="50"/>
      <c r="S1858" s="47"/>
      <c r="T1858" s="98"/>
      <c r="U1858" s="98"/>
      <c r="AF1858" s="39"/>
      <c r="AG1858" s="490"/>
      <c r="AH1858" s="490"/>
    </row>
    <row r="1859" spans="3:34" ht="19.5" customHeight="1">
      <c r="C1859" s="449"/>
      <c r="D1859" s="68"/>
      <c r="E1859" s="68"/>
      <c r="G1859" s="98"/>
      <c r="H1859" s="68"/>
      <c r="I1859" s="68"/>
      <c r="N1859" s="398"/>
      <c r="R1859" s="50"/>
      <c r="S1859" s="47"/>
      <c r="T1859" s="98"/>
      <c r="U1859" s="98"/>
      <c r="AF1859" s="39"/>
      <c r="AG1859" s="490"/>
      <c r="AH1859" s="490"/>
    </row>
    <row r="1860" spans="3:34" ht="19.5" customHeight="1">
      <c r="C1860" s="449"/>
      <c r="D1860" s="68"/>
      <c r="E1860" s="68"/>
      <c r="G1860" s="98"/>
      <c r="H1860" s="68"/>
      <c r="I1860" s="68"/>
      <c r="N1860" s="398"/>
      <c r="R1860" s="50"/>
      <c r="S1860" s="47"/>
      <c r="T1860" s="98"/>
      <c r="U1860" s="98"/>
      <c r="AF1860" s="39"/>
      <c r="AG1860" s="490"/>
      <c r="AH1860" s="490"/>
    </row>
    <row r="1861" spans="3:34" ht="19.5" customHeight="1">
      <c r="C1861" s="449"/>
      <c r="D1861" s="68"/>
      <c r="E1861" s="68"/>
      <c r="G1861" s="98"/>
      <c r="H1861" s="68"/>
      <c r="I1861" s="68"/>
      <c r="N1861" s="398"/>
      <c r="R1861" s="50"/>
      <c r="S1861" s="47"/>
      <c r="T1861" s="98"/>
      <c r="U1861" s="98"/>
      <c r="AF1861" s="39"/>
      <c r="AG1861" s="490"/>
      <c r="AH1861" s="490"/>
    </row>
    <row r="1862" spans="3:34" ht="19.5" customHeight="1">
      <c r="C1862" s="449"/>
      <c r="D1862" s="68"/>
      <c r="E1862" s="68"/>
      <c r="G1862" s="98"/>
      <c r="H1862" s="68"/>
      <c r="I1862" s="68"/>
      <c r="N1862" s="398"/>
      <c r="R1862" s="50"/>
      <c r="S1862" s="47"/>
      <c r="T1862" s="98"/>
      <c r="U1862" s="98"/>
      <c r="AF1862" s="39"/>
      <c r="AG1862" s="490"/>
      <c r="AH1862" s="490"/>
    </row>
    <row r="1863" spans="3:34" ht="19.5" customHeight="1">
      <c r="C1863" s="449"/>
      <c r="D1863" s="68"/>
      <c r="E1863" s="68"/>
      <c r="G1863" s="98"/>
      <c r="H1863" s="68"/>
      <c r="I1863" s="68"/>
      <c r="N1863" s="398"/>
      <c r="R1863" s="50"/>
      <c r="S1863" s="47"/>
      <c r="T1863" s="98"/>
      <c r="U1863" s="98"/>
      <c r="AF1863" s="39"/>
      <c r="AG1863" s="490"/>
      <c r="AH1863" s="490"/>
    </row>
    <row r="1864" spans="3:34" ht="19.5" customHeight="1">
      <c r="C1864" s="449"/>
      <c r="D1864" s="68"/>
      <c r="E1864" s="68"/>
      <c r="G1864" s="98"/>
      <c r="H1864" s="68"/>
      <c r="I1864" s="68"/>
      <c r="N1864" s="398"/>
      <c r="R1864" s="50"/>
      <c r="S1864" s="47"/>
      <c r="T1864" s="98"/>
      <c r="U1864" s="98"/>
      <c r="AF1864" s="39"/>
      <c r="AG1864" s="490"/>
      <c r="AH1864" s="490"/>
    </row>
    <row r="1865" spans="3:34" ht="19.5" customHeight="1">
      <c r="C1865" s="449"/>
      <c r="D1865" s="68"/>
      <c r="E1865" s="68"/>
      <c r="G1865" s="98"/>
      <c r="H1865" s="68"/>
      <c r="I1865" s="68"/>
      <c r="N1865" s="398"/>
      <c r="R1865" s="50"/>
      <c r="S1865" s="47"/>
      <c r="T1865" s="98"/>
      <c r="U1865" s="98"/>
      <c r="AF1865" s="39"/>
      <c r="AG1865" s="490"/>
      <c r="AH1865" s="490"/>
    </row>
    <row r="1866" spans="3:34" ht="19.5" customHeight="1">
      <c r="C1866" s="449"/>
      <c r="D1866" s="68"/>
      <c r="E1866" s="68"/>
      <c r="G1866" s="98"/>
      <c r="H1866" s="68"/>
      <c r="I1866" s="68"/>
      <c r="N1866" s="398"/>
      <c r="R1866" s="50"/>
      <c r="S1866" s="47"/>
      <c r="T1866" s="98"/>
      <c r="U1866" s="98"/>
      <c r="AF1866" s="39"/>
      <c r="AG1866" s="490"/>
      <c r="AH1866" s="490"/>
    </row>
    <row r="1867" spans="3:34" ht="19.5" customHeight="1">
      <c r="C1867" s="449"/>
      <c r="D1867" s="68"/>
      <c r="E1867" s="68"/>
      <c r="G1867" s="98"/>
      <c r="H1867" s="68"/>
      <c r="I1867" s="68"/>
      <c r="N1867" s="398"/>
      <c r="R1867" s="50"/>
      <c r="S1867" s="47"/>
      <c r="T1867" s="98"/>
      <c r="U1867" s="98"/>
      <c r="AF1867" s="39"/>
      <c r="AG1867" s="490"/>
      <c r="AH1867" s="490"/>
    </row>
    <row r="1868" spans="3:34" ht="19.5" customHeight="1">
      <c r="C1868" s="449"/>
      <c r="D1868" s="68"/>
      <c r="E1868" s="68"/>
      <c r="G1868" s="98"/>
      <c r="H1868" s="68"/>
      <c r="I1868" s="68"/>
      <c r="N1868" s="398"/>
      <c r="R1868" s="50"/>
      <c r="S1868" s="47"/>
      <c r="T1868" s="98"/>
      <c r="U1868" s="98"/>
      <c r="AF1868" s="39"/>
      <c r="AG1868" s="490"/>
      <c r="AH1868" s="490"/>
    </row>
    <row r="1869" spans="3:34" ht="19.5" customHeight="1">
      <c r="C1869" s="449"/>
      <c r="D1869" s="68"/>
      <c r="E1869" s="68"/>
      <c r="G1869" s="98"/>
      <c r="H1869" s="68"/>
      <c r="I1869" s="68"/>
      <c r="N1869" s="398"/>
      <c r="R1869" s="50"/>
      <c r="S1869" s="47"/>
      <c r="T1869" s="98"/>
      <c r="U1869" s="98"/>
      <c r="AF1869" s="39"/>
      <c r="AG1869" s="490"/>
      <c r="AH1869" s="490"/>
    </row>
    <row r="1870" spans="3:34" ht="19.5" customHeight="1">
      <c r="C1870" s="449"/>
      <c r="D1870" s="68"/>
      <c r="E1870" s="68"/>
      <c r="G1870" s="98"/>
      <c r="H1870" s="68"/>
      <c r="I1870" s="68"/>
      <c r="N1870" s="398"/>
      <c r="R1870" s="50"/>
      <c r="S1870" s="47"/>
      <c r="T1870" s="98"/>
      <c r="U1870" s="98"/>
      <c r="AF1870" s="39"/>
      <c r="AG1870" s="490"/>
      <c r="AH1870" s="490"/>
    </row>
    <row r="1871" spans="3:34" ht="19.5" customHeight="1">
      <c r="C1871" s="449"/>
      <c r="D1871" s="68"/>
      <c r="E1871" s="68"/>
      <c r="G1871" s="98"/>
      <c r="H1871" s="68"/>
      <c r="I1871" s="68"/>
      <c r="N1871" s="398"/>
      <c r="R1871" s="50"/>
      <c r="S1871" s="47"/>
      <c r="T1871" s="98"/>
      <c r="U1871" s="98"/>
      <c r="AF1871" s="39"/>
      <c r="AG1871" s="490"/>
      <c r="AH1871" s="490"/>
    </row>
    <row r="1872" spans="3:34" ht="19.5" customHeight="1">
      <c r="C1872" s="449"/>
      <c r="D1872" s="68"/>
      <c r="E1872" s="68"/>
      <c r="G1872" s="98"/>
      <c r="H1872" s="68"/>
      <c r="I1872" s="68"/>
      <c r="N1872" s="398"/>
      <c r="R1872" s="50"/>
      <c r="S1872" s="47"/>
      <c r="T1872" s="98"/>
      <c r="U1872" s="98"/>
      <c r="AF1872" s="39"/>
      <c r="AG1872" s="490"/>
      <c r="AH1872" s="490"/>
    </row>
    <row r="1873" spans="3:34" ht="19.5" customHeight="1">
      <c r="C1873" s="449"/>
      <c r="D1873" s="68"/>
      <c r="E1873" s="68"/>
      <c r="G1873" s="98"/>
      <c r="H1873" s="68"/>
      <c r="I1873" s="68"/>
      <c r="N1873" s="398"/>
      <c r="R1873" s="50"/>
      <c r="S1873" s="47"/>
      <c r="T1873" s="98"/>
      <c r="U1873" s="98"/>
      <c r="AF1873" s="39"/>
      <c r="AG1873" s="490"/>
      <c r="AH1873" s="490"/>
    </row>
    <row r="1874" spans="3:34" ht="19.5" customHeight="1">
      <c r="C1874" s="449"/>
      <c r="D1874" s="68"/>
      <c r="E1874" s="68"/>
      <c r="G1874" s="98"/>
      <c r="H1874" s="68"/>
      <c r="I1874" s="68"/>
      <c r="N1874" s="398"/>
      <c r="R1874" s="50"/>
      <c r="S1874" s="47"/>
      <c r="T1874" s="98"/>
      <c r="U1874" s="98"/>
      <c r="AF1874" s="39"/>
      <c r="AG1874" s="490"/>
      <c r="AH1874" s="490"/>
    </row>
    <row r="1875" spans="3:34" ht="19.5" customHeight="1">
      <c r="C1875" s="449"/>
      <c r="D1875" s="68"/>
      <c r="E1875" s="68"/>
      <c r="G1875" s="98"/>
      <c r="H1875" s="68"/>
      <c r="I1875" s="68"/>
      <c r="N1875" s="398"/>
      <c r="R1875" s="50"/>
      <c r="S1875" s="47"/>
      <c r="T1875" s="98"/>
      <c r="U1875" s="98"/>
      <c r="AF1875" s="39"/>
      <c r="AG1875" s="490"/>
      <c r="AH1875" s="490"/>
    </row>
    <row r="1876" spans="3:34" ht="19.5" customHeight="1">
      <c r="C1876" s="449"/>
      <c r="D1876" s="68"/>
      <c r="E1876" s="68"/>
      <c r="G1876" s="98"/>
      <c r="H1876" s="68"/>
      <c r="I1876" s="68"/>
      <c r="N1876" s="398"/>
      <c r="R1876" s="50"/>
      <c r="S1876" s="47"/>
      <c r="T1876" s="98"/>
      <c r="U1876" s="98"/>
      <c r="AF1876" s="39"/>
      <c r="AG1876" s="490"/>
      <c r="AH1876" s="490"/>
    </row>
    <row r="1877" spans="3:34" ht="19.5" customHeight="1">
      <c r="C1877" s="449"/>
      <c r="D1877" s="68"/>
      <c r="E1877" s="68"/>
      <c r="G1877" s="98"/>
      <c r="H1877" s="68"/>
      <c r="I1877" s="68"/>
      <c r="N1877" s="398"/>
      <c r="R1877" s="50"/>
      <c r="S1877" s="47"/>
      <c r="T1877" s="98"/>
      <c r="U1877" s="98"/>
      <c r="AF1877" s="39"/>
      <c r="AG1877" s="490"/>
      <c r="AH1877" s="490"/>
    </row>
    <row r="1878" spans="3:34" ht="19.5" customHeight="1">
      <c r="C1878" s="449"/>
      <c r="D1878" s="68"/>
      <c r="E1878" s="68"/>
      <c r="G1878" s="98"/>
      <c r="H1878" s="68"/>
      <c r="I1878" s="68"/>
      <c r="N1878" s="398"/>
      <c r="R1878" s="50"/>
      <c r="S1878" s="47"/>
      <c r="T1878" s="98"/>
      <c r="U1878" s="98"/>
      <c r="AF1878" s="39"/>
      <c r="AG1878" s="490"/>
      <c r="AH1878" s="490"/>
    </row>
    <row r="1879" spans="3:34" ht="19.5" customHeight="1">
      <c r="C1879" s="449"/>
      <c r="D1879" s="68"/>
      <c r="E1879" s="68"/>
      <c r="G1879" s="98"/>
      <c r="H1879" s="68"/>
      <c r="I1879" s="68"/>
      <c r="N1879" s="398"/>
      <c r="R1879" s="50"/>
      <c r="S1879" s="47"/>
      <c r="T1879" s="98"/>
      <c r="U1879" s="98"/>
      <c r="AF1879" s="39"/>
      <c r="AG1879" s="490"/>
      <c r="AH1879" s="490"/>
    </row>
    <row r="1880" spans="3:34" ht="19.5" customHeight="1">
      <c r="C1880" s="449"/>
      <c r="D1880" s="68"/>
      <c r="E1880" s="68"/>
      <c r="G1880" s="98"/>
      <c r="H1880" s="68"/>
      <c r="I1880" s="68"/>
      <c r="N1880" s="398"/>
      <c r="R1880" s="50"/>
      <c r="S1880" s="47"/>
      <c r="T1880" s="98"/>
      <c r="U1880" s="98"/>
      <c r="AF1880" s="39"/>
      <c r="AG1880" s="490"/>
      <c r="AH1880" s="490"/>
    </row>
    <row r="1881" spans="3:34" ht="19.5" customHeight="1">
      <c r="C1881" s="449"/>
      <c r="D1881" s="68"/>
      <c r="E1881" s="68"/>
      <c r="G1881" s="98"/>
      <c r="H1881" s="68"/>
      <c r="I1881" s="68"/>
      <c r="N1881" s="398"/>
      <c r="R1881" s="50"/>
      <c r="S1881" s="47"/>
      <c r="T1881" s="98"/>
      <c r="U1881" s="98"/>
      <c r="AF1881" s="39"/>
      <c r="AG1881" s="490"/>
      <c r="AH1881" s="490"/>
    </row>
    <row r="1882" spans="3:34" ht="19.5" customHeight="1">
      <c r="C1882" s="449"/>
      <c r="D1882" s="68"/>
      <c r="E1882" s="68"/>
      <c r="G1882" s="98"/>
      <c r="H1882" s="68"/>
      <c r="I1882" s="68"/>
      <c r="N1882" s="398"/>
      <c r="R1882" s="50"/>
      <c r="S1882" s="47"/>
      <c r="T1882" s="98"/>
      <c r="U1882" s="98"/>
      <c r="AF1882" s="39"/>
      <c r="AG1882" s="490"/>
      <c r="AH1882" s="490"/>
    </row>
    <row r="1883" spans="3:34" ht="19.5" customHeight="1">
      <c r="C1883" s="449"/>
      <c r="D1883" s="68"/>
      <c r="E1883" s="68"/>
      <c r="G1883" s="98"/>
      <c r="H1883" s="68"/>
      <c r="I1883" s="68"/>
      <c r="N1883" s="398"/>
      <c r="R1883" s="50"/>
      <c r="S1883" s="47"/>
      <c r="T1883" s="98"/>
      <c r="U1883" s="98"/>
      <c r="AF1883" s="39"/>
      <c r="AG1883" s="490"/>
      <c r="AH1883" s="490"/>
    </row>
    <row r="1884" spans="3:34" ht="19.5" customHeight="1">
      <c r="C1884" s="449"/>
      <c r="D1884" s="68"/>
      <c r="E1884" s="68"/>
      <c r="G1884" s="98"/>
      <c r="H1884" s="68"/>
      <c r="I1884" s="68"/>
      <c r="N1884" s="398"/>
      <c r="R1884" s="50"/>
      <c r="S1884" s="47"/>
      <c r="T1884" s="98"/>
      <c r="U1884" s="98"/>
      <c r="AF1884" s="39"/>
      <c r="AG1884" s="490"/>
      <c r="AH1884" s="490"/>
    </row>
    <row r="1885" spans="3:34" ht="19.5" customHeight="1">
      <c r="C1885" s="449"/>
      <c r="D1885" s="68"/>
      <c r="E1885" s="68"/>
      <c r="G1885" s="98"/>
      <c r="H1885" s="68"/>
      <c r="I1885" s="68"/>
      <c r="N1885" s="398"/>
      <c r="R1885" s="50"/>
      <c r="S1885" s="47"/>
      <c r="T1885" s="98"/>
      <c r="U1885" s="98"/>
      <c r="AF1885" s="39"/>
      <c r="AG1885" s="490"/>
      <c r="AH1885" s="490"/>
    </row>
    <row r="1886" spans="3:34" ht="19.5" customHeight="1">
      <c r="C1886" s="449"/>
      <c r="D1886" s="68"/>
      <c r="E1886" s="68"/>
      <c r="G1886" s="98"/>
      <c r="H1886" s="68"/>
      <c r="I1886" s="68"/>
      <c r="N1886" s="398"/>
      <c r="R1886" s="50"/>
      <c r="S1886" s="47"/>
      <c r="T1886" s="98"/>
      <c r="U1886" s="98"/>
      <c r="AF1886" s="39"/>
      <c r="AG1886" s="490"/>
      <c r="AH1886" s="490"/>
    </row>
    <row r="1887" spans="3:34" ht="19.5" customHeight="1">
      <c r="C1887" s="449"/>
      <c r="D1887" s="68"/>
      <c r="E1887" s="68"/>
      <c r="G1887" s="98"/>
      <c r="H1887" s="68"/>
      <c r="I1887" s="68"/>
      <c r="N1887" s="398"/>
      <c r="R1887" s="50"/>
      <c r="S1887" s="47"/>
      <c r="T1887" s="98"/>
      <c r="U1887" s="98"/>
      <c r="AF1887" s="39"/>
      <c r="AG1887" s="490"/>
      <c r="AH1887" s="490"/>
    </row>
    <row r="1888" spans="3:34" ht="19.5" customHeight="1">
      <c r="C1888" s="449"/>
      <c r="D1888" s="68"/>
      <c r="E1888" s="68"/>
      <c r="G1888" s="98"/>
      <c r="H1888" s="68"/>
      <c r="I1888" s="68"/>
      <c r="N1888" s="398"/>
      <c r="R1888" s="50"/>
      <c r="S1888" s="47"/>
      <c r="T1888" s="98"/>
      <c r="U1888" s="98"/>
      <c r="AF1888" s="39"/>
      <c r="AG1888" s="490"/>
      <c r="AH1888" s="490"/>
    </row>
    <row r="1889" spans="3:34" ht="19.5" customHeight="1">
      <c r="C1889" s="449"/>
      <c r="D1889" s="68"/>
      <c r="E1889" s="68"/>
      <c r="G1889" s="98"/>
      <c r="H1889" s="68"/>
      <c r="I1889" s="68"/>
      <c r="N1889" s="398"/>
      <c r="R1889" s="50"/>
      <c r="S1889" s="47"/>
      <c r="T1889" s="98"/>
      <c r="U1889" s="98"/>
      <c r="AF1889" s="39"/>
      <c r="AG1889" s="490"/>
      <c r="AH1889" s="490"/>
    </row>
    <row r="1890" spans="3:34" ht="19.5" customHeight="1">
      <c r="C1890" s="449"/>
      <c r="D1890" s="68"/>
      <c r="E1890" s="68"/>
      <c r="G1890" s="98"/>
      <c r="H1890" s="68"/>
      <c r="I1890" s="68"/>
      <c r="N1890" s="398"/>
      <c r="R1890" s="50"/>
      <c r="S1890" s="47"/>
      <c r="T1890" s="98"/>
      <c r="U1890" s="98"/>
      <c r="AF1890" s="39"/>
      <c r="AG1890" s="490"/>
      <c r="AH1890" s="490"/>
    </row>
    <row r="1891" spans="3:34" ht="19.5" customHeight="1">
      <c r="C1891" s="449"/>
      <c r="D1891" s="68"/>
      <c r="E1891" s="68"/>
      <c r="G1891" s="98"/>
      <c r="H1891" s="68"/>
      <c r="I1891" s="68"/>
      <c r="N1891" s="398"/>
      <c r="R1891" s="50"/>
      <c r="S1891" s="47"/>
      <c r="T1891" s="98"/>
      <c r="U1891" s="98"/>
      <c r="AF1891" s="39"/>
      <c r="AG1891" s="490"/>
      <c r="AH1891" s="490"/>
    </row>
    <row r="1892" spans="3:34" ht="19.5" customHeight="1">
      <c r="C1892" s="449"/>
      <c r="D1892" s="68"/>
      <c r="E1892" s="68"/>
      <c r="G1892" s="98"/>
      <c r="H1892" s="68"/>
      <c r="I1892" s="68"/>
      <c r="N1892" s="398"/>
      <c r="R1892" s="50"/>
      <c r="S1892" s="47"/>
      <c r="T1892" s="98"/>
      <c r="U1892" s="98"/>
      <c r="AF1892" s="39"/>
      <c r="AG1892" s="490"/>
      <c r="AH1892" s="490"/>
    </row>
    <row r="1893" spans="3:34" ht="19.5" customHeight="1">
      <c r="C1893" s="449"/>
      <c r="D1893" s="68"/>
      <c r="E1893" s="68"/>
      <c r="G1893" s="98"/>
      <c r="H1893" s="68"/>
      <c r="I1893" s="68"/>
      <c r="N1893" s="398"/>
      <c r="R1893" s="50"/>
      <c r="S1893" s="47"/>
      <c r="T1893" s="98"/>
      <c r="U1893" s="98"/>
      <c r="AF1893" s="39"/>
      <c r="AG1893" s="490"/>
      <c r="AH1893" s="490"/>
    </row>
    <row r="1894" spans="3:34" ht="19.5" customHeight="1">
      <c r="C1894" s="449"/>
      <c r="D1894" s="68"/>
      <c r="E1894" s="68"/>
      <c r="G1894" s="98"/>
      <c r="H1894" s="68"/>
      <c r="I1894" s="68"/>
      <c r="N1894" s="398"/>
      <c r="R1894" s="50"/>
      <c r="S1894" s="47"/>
      <c r="T1894" s="98"/>
      <c r="U1894" s="98"/>
      <c r="AF1894" s="39"/>
      <c r="AG1894" s="490"/>
      <c r="AH1894" s="490"/>
    </row>
    <row r="1895" spans="3:34" ht="19.5" customHeight="1">
      <c r="C1895" s="449"/>
      <c r="D1895" s="68"/>
      <c r="E1895" s="68"/>
      <c r="G1895" s="98"/>
      <c r="H1895" s="68"/>
      <c r="I1895" s="68"/>
      <c r="N1895" s="398"/>
      <c r="R1895" s="50"/>
      <c r="S1895" s="47"/>
      <c r="T1895" s="98"/>
      <c r="U1895" s="98"/>
      <c r="AF1895" s="39"/>
      <c r="AG1895" s="490"/>
      <c r="AH1895" s="490"/>
    </row>
    <row r="1896" spans="3:34" ht="19.5" customHeight="1">
      <c r="C1896" s="449"/>
      <c r="D1896" s="68"/>
      <c r="E1896" s="68"/>
      <c r="G1896" s="98"/>
      <c r="H1896" s="68"/>
      <c r="I1896" s="68"/>
      <c r="N1896" s="398"/>
      <c r="R1896" s="50"/>
      <c r="S1896" s="47"/>
      <c r="T1896" s="98"/>
      <c r="U1896" s="98"/>
      <c r="AF1896" s="39"/>
      <c r="AG1896" s="490"/>
      <c r="AH1896" s="490"/>
    </row>
    <row r="1897" spans="3:34" ht="19.5" customHeight="1">
      <c r="C1897" s="449"/>
      <c r="D1897" s="68"/>
      <c r="E1897" s="68"/>
      <c r="G1897" s="98"/>
      <c r="H1897" s="68"/>
      <c r="I1897" s="68"/>
      <c r="N1897" s="398"/>
      <c r="R1897" s="50"/>
      <c r="S1897" s="47"/>
      <c r="T1897" s="98"/>
      <c r="U1897" s="98"/>
      <c r="AF1897" s="39"/>
      <c r="AG1897" s="490"/>
      <c r="AH1897" s="490"/>
    </row>
    <row r="1898" spans="3:34" ht="19.5" customHeight="1">
      <c r="C1898" s="449"/>
      <c r="D1898" s="68"/>
      <c r="E1898" s="68"/>
      <c r="G1898" s="98"/>
      <c r="H1898" s="68"/>
      <c r="I1898" s="68"/>
      <c r="N1898" s="398"/>
      <c r="R1898" s="50"/>
      <c r="S1898" s="47"/>
      <c r="T1898" s="98"/>
      <c r="U1898" s="98"/>
      <c r="AF1898" s="39"/>
      <c r="AG1898" s="490"/>
      <c r="AH1898" s="490"/>
    </row>
    <row r="1899" spans="3:34" ht="19.5" customHeight="1">
      <c r="C1899" s="449"/>
      <c r="D1899" s="68"/>
      <c r="E1899" s="68"/>
      <c r="G1899" s="98"/>
      <c r="H1899" s="68"/>
      <c r="I1899" s="68"/>
      <c r="N1899" s="398"/>
      <c r="R1899" s="50"/>
      <c r="S1899" s="47"/>
      <c r="T1899" s="98"/>
      <c r="U1899" s="98"/>
      <c r="AF1899" s="39"/>
      <c r="AG1899" s="490"/>
      <c r="AH1899" s="490"/>
    </row>
    <row r="1900" spans="3:34" ht="19.5" customHeight="1">
      <c r="C1900" s="449"/>
      <c r="D1900" s="68"/>
      <c r="E1900" s="68"/>
      <c r="G1900" s="98"/>
      <c r="H1900" s="68"/>
      <c r="I1900" s="68"/>
      <c r="N1900" s="398"/>
      <c r="R1900" s="50"/>
      <c r="S1900" s="47"/>
      <c r="T1900" s="98"/>
      <c r="U1900" s="98"/>
      <c r="AF1900" s="39"/>
      <c r="AG1900" s="490"/>
      <c r="AH1900" s="490"/>
    </row>
    <row r="1901" spans="3:34" ht="19.5" customHeight="1">
      <c r="C1901" s="449"/>
      <c r="D1901" s="68"/>
      <c r="E1901" s="68"/>
      <c r="G1901" s="98"/>
      <c r="H1901" s="68"/>
      <c r="I1901" s="68"/>
      <c r="N1901" s="398"/>
      <c r="R1901" s="50"/>
      <c r="S1901" s="47"/>
      <c r="T1901" s="98"/>
      <c r="U1901" s="98"/>
      <c r="AF1901" s="39"/>
      <c r="AG1901" s="490"/>
      <c r="AH1901" s="490"/>
    </row>
    <row r="1902" spans="3:34" ht="19.5" customHeight="1">
      <c r="C1902" s="449"/>
      <c r="D1902" s="68"/>
      <c r="E1902" s="68"/>
      <c r="G1902" s="98"/>
      <c r="H1902" s="68"/>
      <c r="I1902" s="68"/>
      <c r="N1902" s="398"/>
      <c r="R1902" s="50"/>
      <c r="S1902" s="47"/>
      <c r="T1902" s="98"/>
      <c r="U1902" s="98"/>
      <c r="AF1902" s="39"/>
      <c r="AG1902" s="490"/>
      <c r="AH1902" s="490"/>
    </row>
    <row r="1903" spans="3:34" ht="19.5" customHeight="1">
      <c r="C1903" s="449"/>
      <c r="D1903" s="68"/>
      <c r="E1903" s="68"/>
      <c r="G1903" s="98"/>
      <c r="H1903" s="68"/>
      <c r="I1903" s="68"/>
      <c r="N1903" s="398"/>
      <c r="R1903" s="50"/>
      <c r="S1903" s="47"/>
      <c r="T1903" s="98"/>
      <c r="U1903" s="98"/>
      <c r="AF1903" s="39"/>
      <c r="AG1903" s="490"/>
      <c r="AH1903" s="490"/>
    </row>
    <row r="1904" spans="3:34" ht="19.5" customHeight="1">
      <c r="C1904" s="449"/>
      <c r="D1904" s="68"/>
      <c r="E1904" s="68"/>
      <c r="G1904" s="98"/>
      <c r="H1904" s="68"/>
      <c r="I1904" s="68"/>
      <c r="N1904" s="398"/>
      <c r="R1904" s="50"/>
      <c r="S1904" s="47"/>
      <c r="T1904" s="98"/>
      <c r="U1904" s="98"/>
      <c r="AF1904" s="39"/>
      <c r="AG1904" s="490"/>
      <c r="AH1904" s="490"/>
    </row>
    <row r="1905" spans="3:34" ht="19.5" customHeight="1">
      <c r="C1905" s="449"/>
      <c r="D1905" s="68"/>
      <c r="E1905" s="68"/>
      <c r="G1905" s="98"/>
      <c r="H1905" s="68"/>
      <c r="I1905" s="68"/>
      <c r="N1905" s="398"/>
      <c r="R1905" s="50"/>
      <c r="S1905" s="47"/>
      <c r="T1905" s="98"/>
      <c r="U1905" s="98"/>
      <c r="AF1905" s="39"/>
      <c r="AG1905" s="490"/>
      <c r="AH1905" s="490"/>
    </row>
    <row r="1906" spans="3:34" ht="19.5" customHeight="1">
      <c r="C1906" s="449"/>
      <c r="D1906" s="68"/>
      <c r="E1906" s="68"/>
      <c r="G1906" s="98"/>
      <c r="H1906" s="68"/>
      <c r="I1906" s="68"/>
      <c r="N1906" s="398"/>
      <c r="R1906" s="50"/>
      <c r="S1906" s="47"/>
      <c r="T1906" s="98"/>
      <c r="U1906" s="98"/>
      <c r="AF1906" s="39"/>
      <c r="AG1906" s="490"/>
      <c r="AH1906" s="490"/>
    </row>
    <row r="1907" spans="3:34" ht="19.5" customHeight="1">
      <c r="C1907" s="449"/>
      <c r="D1907" s="68"/>
      <c r="E1907" s="68"/>
      <c r="G1907" s="98"/>
      <c r="H1907" s="68"/>
      <c r="I1907" s="68"/>
      <c r="N1907" s="398"/>
      <c r="R1907" s="50"/>
      <c r="S1907" s="47"/>
      <c r="T1907" s="98"/>
      <c r="U1907" s="98"/>
      <c r="AF1907" s="39"/>
      <c r="AG1907" s="490"/>
      <c r="AH1907" s="490"/>
    </row>
    <row r="1908" spans="3:34" ht="19.5" customHeight="1">
      <c r="C1908" s="449"/>
      <c r="D1908" s="68"/>
      <c r="E1908" s="68"/>
      <c r="G1908" s="98"/>
      <c r="H1908" s="68"/>
      <c r="I1908" s="68"/>
      <c r="N1908" s="398"/>
      <c r="R1908" s="50"/>
      <c r="S1908" s="47"/>
      <c r="T1908" s="98"/>
      <c r="U1908" s="98"/>
      <c r="AF1908" s="39"/>
      <c r="AG1908" s="490"/>
      <c r="AH1908" s="490"/>
    </row>
    <row r="1909" spans="3:34" ht="19.5" customHeight="1">
      <c r="C1909" s="449"/>
      <c r="D1909" s="68"/>
      <c r="E1909" s="68"/>
      <c r="G1909" s="98"/>
      <c r="H1909" s="68"/>
      <c r="I1909" s="68"/>
      <c r="N1909" s="398"/>
      <c r="R1909" s="50"/>
      <c r="S1909" s="47"/>
      <c r="T1909" s="98"/>
      <c r="U1909" s="98"/>
      <c r="AF1909" s="39"/>
      <c r="AG1909" s="490"/>
      <c r="AH1909" s="490"/>
    </row>
    <row r="1910" spans="3:34" ht="19.5" customHeight="1">
      <c r="C1910" s="449"/>
      <c r="D1910" s="68"/>
      <c r="E1910" s="68"/>
      <c r="G1910" s="98"/>
      <c r="H1910" s="68"/>
      <c r="I1910" s="68"/>
      <c r="N1910" s="398"/>
      <c r="R1910" s="50"/>
      <c r="S1910" s="47"/>
      <c r="T1910" s="98"/>
      <c r="U1910" s="98"/>
      <c r="AF1910" s="39"/>
      <c r="AG1910" s="490"/>
      <c r="AH1910" s="490"/>
    </row>
    <row r="1911" spans="3:34" ht="19.5" customHeight="1">
      <c r="C1911" s="449"/>
      <c r="D1911" s="68"/>
      <c r="E1911" s="68"/>
      <c r="G1911" s="98"/>
      <c r="H1911" s="68"/>
      <c r="I1911" s="68"/>
      <c r="N1911" s="398"/>
      <c r="R1911" s="50"/>
      <c r="S1911" s="47"/>
      <c r="T1911" s="98"/>
      <c r="U1911" s="98"/>
      <c r="AF1911" s="39"/>
      <c r="AG1911" s="490"/>
      <c r="AH1911" s="490"/>
    </row>
    <row r="1912" spans="3:34" ht="19.5" customHeight="1">
      <c r="C1912" s="449"/>
      <c r="D1912" s="68"/>
      <c r="E1912" s="68"/>
      <c r="G1912" s="98"/>
      <c r="H1912" s="68"/>
      <c r="I1912" s="68"/>
      <c r="N1912" s="398"/>
      <c r="R1912" s="50"/>
      <c r="S1912" s="47"/>
      <c r="T1912" s="98"/>
      <c r="U1912" s="98"/>
      <c r="AF1912" s="39"/>
      <c r="AG1912" s="490"/>
      <c r="AH1912" s="490"/>
    </row>
    <row r="1913" spans="3:34" ht="19.5" customHeight="1">
      <c r="C1913" s="449"/>
      <c r="D1913" s="68"/>
      <c r="E1913" s="68"/>
      <c r="G1913" s="98"/>
      <c r="H1913" s="68"/>
      <c r="I1913" s="68"/>
      <c r="N1913" s="398"/>
      <c r="R1913" s="50"/>
      <c r="S1913" s="47"/>
      <c r="T1913" s="98"/>
      <c r="U1913" s="98"/>
      <c r="AF1913" s="39"/>
      <c r="AG1913" s="490"/>
      <c r="AH1913" s="490"/>
    </row>
    <row r="1914" spans="3:34" ht="19.5" customHeight="1">
      <c r="C1914" s="449"/>
      <c r="D1914" s="68"/>
      <c r="E1914" s="68"/>
      <c r="G1914" s="98"/>
      <c r="H1914" s="68"/>
      <c r="I1914" s="68"/>
      <c r="N1914" s="398"/>
      <c r="R1914" s="50"/>
      <c r="S1914" s="47"/>
      <c r="T1914" s="98"/>
      <c r="U1914" s="98"/>
      <c r="AF1914" s="39"/>
      <c r="AG1914" s="490"/>
      <c r="AH1914" s="490"/>
    </row>
    <row r="1915" spans="3:34" ht="19.5" customHeight="1">
      <c r="C1915" s="449"/>
      <c r="D1915" s="68"/>
      <c r="E1915" s="68"/>
      <c r="G1915" s="98"/>
      <c r="H1915" s="68"/>
      <c r="I1915" s="68"/>
      <c r="N1915" s="398"/>
      <c r="R1915" s="50"/>
      <c r="S1915" s="47"/>
      <c r="T1915" s="98"/>
      <c r="U1915" s="98"/>
      <c r="AF1915" s="39"/>
      <c r="AG1915" s="490"/>
      <c r="AH1915" s="490"/>
    </row>
    <row r="1916" spans="3:34" ht="19.5" customHeight="1">
      <c r="C1916" s="449"/>
      <c r="D1916" s="68"/>
      <c r="E1916" s="68"/>
      <c r="G1916" s="98"/>
      <c r="H1916" s="68"/>
      <c r="I1916" s="68"/>
      <c r="N1916" s="398"/>
      <c r="R1916" s="50"/>
      <c r="S1916" s="47"/>
      <c r="T1916" s="98"/>
      <c r="U1916" s="98"/>
      <c r="AF1916" s="39"/>
      <c r="AG1916" s="490"/>
      <c r="AH1916" s="490"/>
    </row>
    <row r="1917" spans="3:34" ht="19.5" customHeight="1">
      <c r="C1917" s="449"/>
      <c r="D1917" s="68"/>
      <c r="E1917" s="68"/>
      <c r="G1917" s="98"/>
      <c r="H1917" s="68"/>
      <c r="I1917" s="68"/>
      <c r="N1917" s="398"/>
      <c r="R1917" s="50"/>
      <c r="S1917" s="47"/>
      <c r="T1917" s="98"/>
      <c r="U1917" s="98"/>
      <c r="AF1917" s="39"/>
      <c r="AG1917" s="490"/>
      <c r="AH1917" s="490"/>
    </row>
    <row r="1918" spans="3:34" ht="19.5" customHeight="1">
      <c r="C1918" s="449"/>
      <c r="D1918" s="68"/>
      <c r="E1918" s="68"/>
      <c r="G1918" s="98"/>
      <c r="H1918" s="68"/>
      <c r="I1918" s="68"/>
      <c r="N1918" s="398"/>
      <c r="R1918" s="50"/>
      <c r="S1918" s="47"/>
      <c r="T1918" s="98"/>
      <c r="U1918" s="98"/>
      <c r="AF1918" s="39"/>
      <c r="AG1918" s="490"/>
      <c r="AH1918" s="490"/>
    </row>
    <row r="1919" spans="3:34" ht="19.5" customHeight="1">
      <c r="C1919" s="449"/>
      <c r="D1919" s="68"/>
      <c r="E1919" s="68"/>
      <c r="G1919" s="98"/>
      <c r="H1919" s="68"/>
      <c r="I1919" s="68"/>
      <c r="N1919" s="398"/>
      <c r="R1919" s="50"/>
      <c r="S1919" s="47"/>
      <c r="T1919" s="98"/>
      <c r="U1919" s="98"/>
      <c r="AF1919" s="39"/>
      <c r="AG1919" s="490"/>
      <c r="AH1919" s="490"/>
    </row>
    <row r="1920" spans="3:34" ht="19.5" customHeight="1">
      <c r="C1920" s="449"/>
      <c r="D1920" s="68"/>
      <c r="E1920" s="68"/>
      <c r="G1920" s="98"/>
      <c r="H1920" s="68"/>
      <c r="I1920" s="68"/>
      <c r="N1920" s="398"/>
      <c r="R1920" s="50"/>
      <c r="S1920" s="47"/>
      <c r="T1920" s="98"/>
      <c r="U1920" s="98"/>
      <c r="AF1920" s="39"/>
      <c r="AG1920" s="490"/>
      <c r="AH1920" s="490"/>
    </row>
    <row r="1921" spans="3:34" ht="19.5" customHeight="1">
      <c r="C1921" s="449"/>
      <c r="D1921" s="68"/>
      <c r="E1921" s="68"/>
      <c r="G1921" s="98"/>
      <c r="H1921" s="68"/>
      <c r="I1921" s="68"/>
      <c r="N1921" s="398"/>
      <c r="R1921" s="50"/>
      <c r="S1921" s="47"/>
      <c r="T1921" s="98"/>
      <c r="U1921" s="98"/>
      <c r="AF1921" s="39"/>
      <c r="AG1921" s="490"/>
      <c r="AH1921" s="490"/>
    </row>
    <row r="1922" spans="3:34" ht="19.5" customHeight="1">
      <c r="C1922" s="449"/>
      <c r="D1922" s="68"/>
      <c r="E1922" s="68"/>
      <c r="G1922" s="98"/>
      <c r="H1922" s="68"/>
      <c r="I1922" s="68"/>
      <c r="N1922" s="398"/>
      <c r="R1922" s="50"/>
      <c r="S1922" s="47"/>
      <c r="T1922" s="98"/>
      <c r="U1922" s="98"/>
      <c r="AF1922" s="39"/>
      <c r="AG1922" s="490"/>
      <c r="AH1922" s="490"/>
    </row>
    <row r="1923" spans="3:34" ht="19.5" customHeight="1">
      <c r="C1923" s="449"/>
      <c r="D1923" s="68"/>
      <c r="E1923" s="68"/>
      <c r="G1923" s="98"/>
      <c r="H1923" s="68"/>
      <c r="I1923" s="68"/>
      <c r="N1923" s="398"/>
      <c r="R1923" s="50"/>
      <c r="S1923" s="47"/>
      <c r="T1923" s="98"/>
      <c r="U1923" s="98"/>
      <c r="AF1923" s="39"/>
      <c r="AG1923" s="490"/>
      <c r="AH1923" s="490"/>
    </row>
    <row r="1924" spans="3:34" ht="19.5" customHeight="1">
      <c r="C1924" s="449"/>
      <c r="D1924" s="68"/>
      <c r="E1924" s="68"/>
      <c r="G1924" s="98"/>
      <c r="H1924" s="68"/>
      <c r="I1924" s="68"/>
      <c r="N1924" s="398"/>
      <c r="R1924" s="50"/>
      <c r="S1924" s="47"/>
      <c r="T1924" s="98"/>
      <c r="U1924" s="98"/>
      <c r="AF1924" s="39"/>
      <c r="AG1924" s="490"/>
      <c r="AH1924" s="490"/>
    </row>
    <row r="1925" spans="3:34" ht="19.5" customHeight="1">
      <c r="C1925" s="449"/>
      <c r="D1925" s="68"/>
      <c r="E1925" s="68"/>
      <c r="G1925" s="98"/>
      <c r="H1925" s="68"/>
      <c r="I1925" s="68"/>
      <c r="N1925" s="398"/>
      <c r="R1925" s="50"/>
      <c r="S1925" s="47"/>
      <c r="T1925" s="98"/>
      <c r="U1925" s="98"/>
      <c r="AF1925" s="39"/>
      <c r="AG1925" s="490"/>
      <c r="AH1925" s="490"/>
    </row>
    <row r="1926" spans="3:34" ht="19.5" customHeight="1">
      <c r="C1926" s="449"/>
      <c r="D1926" s="68"/>
      <c r="E1926" s="68"/>
      <c r="G1926" s="98"/>
      <c r="H1926" s="68"/>
      <c r="I1926" s="68"/>
      <c r="N1926" s="398"/>
      <c r="R1926" s="50"/>
      <c r="S1926" s="47"/>
      <c r="T1926" s="98"/>
      <c r="U1926" s="98"/>
      <c r="AF1926" s="39"/>
      <c r="AG1926" s="490"/>
      <c r="AH1926" s="490"/>
    </row>
    <row r="1927" spans="3:34" ht="19.5" customHeight="1">
      <c r="C1927" s="449"/>
      <c r="D1927" s="68"/>
      <c r="E1927" s="68"/>
      <c r="G1927" s="98"/>
      <c r="H1927" s="68"/>
      <c r="I1927" s="68"/>
      <c r="N1927" s="398"/>
      <c r="R1927" s="50"/>
      <c r="S1927" s="47"/>
      <c r="T1927" s="98"/>
      <c r="U1927" s="98"/>
      <c r="AF1927" s="39"/>
      <c r="AG1927" s="490"/>
      <c r="AH1927" s="490"/>
    </row>
    <row r="1928" spans="3:34" ht="19.5" customHeight="1">
      <c r="C1928" s="449"/>
      <c r="D1928" s="68"/>
      <c r="E1928" s="68"/>
      <c r="G1928" s="98"/>
      <c r="H1928" s="68"/>
      <c r="I1928" s="68"/>
      <c r="N1928" s="398"/>
      <c r="R1928" s="50"/>
      <c r="S1928" s="47"/>
      <c r="T1928" s="98"/>
      <c r="U1928" s="98"/>
      <c r="AF1928" s="39"/>
      <c r="AG1928" s="490"/>
      <c r="AH1928" s="490"/>
    </row>
    <row r="1929" spans="3:34" ht="19.5" customHeight="1">
      <c r="C1929" s="449"/>
      <c r="D1929" s="68"/>
      <c r="E1929" s="68"/>
      <c r="G1929" s="98"/>
      <c r="H1929" s="68"/>
      <c r="I1929" s="68"/>
      <c r="N1929" s="398"/>
      <c r="R1929" s="50"/>
      <c r="S1929" s="47"/>
      <c r="T1929" s="98"/>
      <c r="U1929" s="98"/>
      <c r="AF1929" s="39"/>
      <c r="AG1929" s="490"/>
      <c r="AH1929" s="490"/>
    </row>
    <row r="1930" spans="3:34" ht="19.5" customHeight="1">
      <c r="C1930" s="449"/>
      <c r="D1930" s="68"/>
      <c r="E1930" s="68"/>
      <c r="G1930" s="98"/>
      <c r="H1930" s="68"/>
      <c r="I1930" s="68"/>
      <c r="N1930" s="398"/>
      <c r="R1930" s="50"/>
      <c r="S1930" s="47"/>
      <c r="T1930" s="98"/>
      <c r="U1930" s="98"/>
      <c r="AF1930" s="39"/>
      <c r="AG1930" s="490"/>
      <c r="AH1930" s="490"/>
    </row>
    <row r="1931" spans="3:34" ht="19.5" customHeight="1">
      <c r="C1931" s="449"/>
      <c r="D1931" s="68"/>
      <c r="E1931" s="68"/>
      <c r="G1931" s="98"/>
      <c r="H1931" s="68"/>
      <c r="I1931" s="68"/>
      <c r="N1931" s="398"/>
      <c r="R1931" s="50"/>
      <c r="S1931" s="47"/>
      <c r="T1931" s="98"/>
      <c r="U1931" s="98"/>
      <c r="AF1931" s="39"/>
      <c r="AG1931" s="490"/>
      <c r="AH1931" s="490"/>
    </row>
    <row r="1932" spans="3:34" ht="19.5" customHeight="1">
      <c r="C1932" s="449"/>
      <c r="D1932" s="68"/>
      <c r="E1932" s="68"/>
      <c r="G1932" s="98"/>
      <c r="H1932" s="68"/>
      <c r="I1932" s="68"/>
      <c r="N1932" s="398"/>
      <c r="R1932" s="50"/>
      <c r="S1932" s="47"/>
      <c r="T1932" s="98"/>
      <c r="U1932" s="98"/>
      <c r="AF1932" s="39"/>
      <c r="AG1932" s="490"/>
      <c r="AH1932" s="490"/>
    </row>
    <row r="1933" spans="3:34" ht="19.5" customHeight="1">
      <c r="C1933" s="449"/>
      <c r="D1933" s="68"/>
      <c r="E1933" s="68"/>
      <c r="G1933" s="98"/>
      <c r="H1933" s="68"/>
      <c r="I1933" s="68"/>
      <c r="N1933" s="398"/>
      <c r="R1933" s="50"/>
      <c r="S1933" s="47"/>
      <c r="T1933" s="98"/>
      <c r="U1933" s="98"/>
      <c r="AF1933" s="39"/>
      <c r="AG1933" s="490"/>
      <c r="AH1933" s="490"/>
    </row>
    <row r="1934" spans="3:34" ht="19.5" customHeight="1">
      <c r="C1934" s="449"/>
      <c r="D1934" s="68"/>
      <c r="E1934" s="68"/>
      <c r="G1934" s="98"/>
      <c r="H1934" s="68"/>
      <c r="I1934" s="68"/>
      <c r="N1934" s="398"/>
      <c r="R1934" s="50"/>
      <c r="S1934" s="47"/>
      <c r="T1934" s="98"/>
      <c r="U1934" s="98"/>
      <c r="AF1934" s="39"/>
      <c r="AG1934" s="490"/>
      <c r="AH1934" s="490"/>
    </row>
    <row r="1935" spans="3:34" ht="19.5" customHeight="1">
      <c r="C1935" s="449"/>
      <c r="D1935" s="68"/>
      <c r="E1935" s="68"/>
      <c r="G1935" s="98"/>
      <c r="H1935" s="68"/>
      <c r="I1935" s="68"/>
      <c r="N1935" s="398"/>
      <c r="R1935" s="50"/>
      <c r="S1935" s="47"/>
      <c r="T1935" s="98"/>
      <c r="U1935" s="98"/>
      <c r="AF1935" s="39"/>
      <c r="AG1935" s="490"/>
      <c r="AH1935" s="490"/>
    </row>
    <row r="1936" spans="3:34" ht="19.5" customHeight="1">
      <c r="C1936" s="449"/>
      <c r="D1936" s="68"/>
      <c r="E1936" s="68"/>
      <c r="G1936" s="98"/>
      <c r="H1936" s="68"/>
      <c r="I1936" s="68"/>
      <c r="N1936" s="398"/>
      <c r="R1936" s="50"/>
      <c r="S1936" s="47"/>
      <c r="T1936" s="98"/>
      <c r="U1936" s="98"/>
      <c r="AF1936" s="39"/>
      <c r="AG1936" s="490"/>
      <c r="AH1936" s="490"/>
    </row>
    <row r="1937" spans="3:34" ht="19.5" customHeight="1">
      <c r="C1937" s="449"/>
      <c r="D1937" s="68"/>
      <c r="E1937" s="68"/>
      <c r="G1937" s="98"/>
      <c r="H1937" s="68"/>
      <c r="I1937" s="68"/>
      <c r="N1937" s="398"/>
      <c r="R1937" s="50"/>
      <c r="S1937" s="47"/>
      <c r="T1937" s="98"/>
      <c r="U1937" s="98"/>
      <c r="AF1937" s="39"/>
      <c r="AG1937" s="490"/>
      <c r="AH1937" s="490"/>
    </row>
    <row r="1938" spans="3:34" ht="19.5" customHeight="1">
      <c r="C1938" s="449"/>
      <c r="D1938" s="68"/>
      <c r="E1938" s="68"/>
      <c r="G1938" s="98"/>
      <c r="H1938" s="68"/>
      <c r="I1938" s="68"/>
      <c r="N1938" s="398"/>
      <c r="R1938" s="50"/>
      <c r="S1938" s="47"/>
      <c r="T1938" s="98"/>
      <c r="U1938" s="98"/>
      <c r="AF1938" s="39"/>
      <c r="AG1938" s="490"/>
      <c r="AH1938" s="490"/>
    </row>
    <row r="1939" spans="3:34" ht="19.5" customHeight="1">
      <c r="C1939" s="449"/>
      <c r="D1939" s="68"/>
      <c r="E1939" s="68"/>
      <c r="G1939" s="98"/>
      <c r="H1939" s="68"/>
      <c r="I1939" s="68"/>
      <c r="N1939" s="398"/>
      <c r="R1939" s="50"/>
      <c r="S1939" s="47"/>
      <c r="T1939" s="98"/>
      <c r="U1939" s="98"/>
      <c r="AF1939" s="39"/>
      <c r="AG1939" s="490"/>
      <c r="AH1939" s="490"/>
    </row>
    <row r="1940" spans="3:34" ht="19.5" customHeight="1">
      <c r="C1940" s="449"/>
      <c r="D1940" s="68"/>
      <c r="E1940" s="68"/>
      <c r="G1940" s="98"/>
      <c r="H1940" s="68"/>
      <c r="I1940" s="68"/>
      <c r="N1940" s="398"/>
      <c r="R1940" s="50"/>
      <c r="S1940" s="47"/>
      <c r="T1940" s="98"/>
      <c r="U1940" s="98"/>
      <c r="AF1940" s="39"/>
      <c r="AG1940" s="490"/>
      <c r="AH1940" s="490"/>
    </row>
    <row r="1941" spans="3:34" ht="19.5" customHeight="1">
      <c r="C1941" s="449"/>
      <c r="D1941" s="68"/>
      <c r="E1941" s="68"/>
      <c r="G1941" s="98"/>
      <c r="H1941" s="68"/>
      <c r="I1941" s="68"/>
      <c r="N1941" s="398"/>
      <c r="R1941" s="50"/>
      <c r="S1941" s="47"/>
      <c r="T1941" s="98"/>
      <c r="U1941" s="98"/>
      <c r="AF1941" s="39"/>
      <c r="AG1941" s="490"/>
      <c r="AH1941" s="490"/>
    </row>
    <row r="1942" spans="3:34" ht="19.5" customHeight="1">
      <c r="C1942" s="449"/>
      <c r="D1942" s="68"/>
      <c r="E1942" s="68"/>
      <c r="G1942" s="98"/>
      <c r="H1942" s="68"/>
      <c r="I1942" s="68"/>
      <c r="N1942" s="398"/>
      <c r="R1942" s="50"/>
      <c r="S1942" s="47"/>
      <c r="T1942" s="98"/>
      <c r="U1942" s="98"/>
      <c r="AF1942" s="39"/>
      <c r="AG1942" s="490"/>
      <c r="AH1942" s="490"/>
    </row>
    <row r="1943" spans="3:34" ht="19.5" customHeight="1">
      <c r="C1943" s="449"/>
      <c r="D1943" s="68"/>
      <c r="E1943" s="68"/>
      <c r="G1943" s="98"/>
      <c r="H1943" s="68"/>
      <c r="I1943" s="68"/>
      <c r="N1943" s="398"/>
      <c r="R1943" s="50"/>
      <c r="S1943" s="47"/>
      <c r="T1943" s="98"/>
      <c r="U1943" s="98"/>
      <c r="AF1943" s="39"/>
      <c r="AG1943" s="490"/>
      <c r="AH1943" s="490"/>
    </row>
    <row r="1944" spans="3:34" ht="19.5" customHeight="1">
      <c r="C1944" s="449"/>
      <c r="D1944" s="68"/>
      <c r="E1944" s="68"/>
      <c r="G1944" s="98"/>
      <c r="H1944" s="68"/>
      <c r="I1944" s="68"/>
      <c r="N1944" s="398"/>
      <c r="R1944" s="50"/>
      <c r="S1944" s="47"/>
      <c r="T1944" s="98"/>
      <c r="U1944" s="98"/>
      <c r="AF1944" s="39"/>
      <c r="AG1944" s="490"/>
      <c r="AH1944" s="490"/>
    </row>
    <row r="1945" spans="3:34" ht="19.5" customHeight="1">
      <c r="C1945" s="449"/>
      <c r="D1945" s="68"/>
      <c r="E1945" s="68"/>
      <c r="G1945" s="98"/>
      <c r="H1945" s="68"/>
      <c r="I1945" s="68"/>
      <c r="N1945" s="398"/>
      <c r="R1945" s="50"/>
      <c r="S1945" s="47"/>
      <c r="T1945" s="98"/>
      <c r="U1945" s="98"/>
      <c r="AF1945" s="39"/>
      <c r="AG1945" s="490"/>
      <c r="AH1945" s="490"/>
    </row>
    <row r="1946" spans="3:34" ht="19.5" customHeight="1">
      <c r="C1946" s="449"/>
      <c r="D1946" s="68"/>
      <c r="E1946" s="68"/>
      <c r="G1946" s="98"/>
      <c r="H1946" s="68"/>
      <c r="I1946" s="68"/>
      <c r="N1946" s="398"/>
      <c r="R1946" s="50"/>
      <c r="S1946" s="47"/>
      <c r="T1946" s="98"/>
      <c r="U1946" s="98"/>
      <c r="AF1946" s="39"/>
      <c r="AG1946" s="490"/>
      <c r="AH1946" s="490"/>
    </row>
    <row r="1947" spans="3:34" ht="19.5" customHeight="1">
      <c r="C1947" s="449"/>
      <c r="D1947" s="68"/>
      <c r="E1947" s="68"/>
      <c r="G1947" s="98"/>
      <c r="H1947" s="68"/>
      <c r="I1947" s="68"/>
      <c r="N1947" s="398"/>
      <c r="R1947" s="50"/>
      <c r="S1947" s="47"/>
      <c r="T1947" s="98"/>
      <c r="U1947" s="98"/>
      <c r="AF1947" s="39"/>
      <c r="AG1947" s="490"/>
      <c r="AH1947" s="490"/>
    </row>
    <row r="1948" spans="3:34" ht="19.5" customHeight="1">
      <c r="C1948" s="449"/>
      <c r="D1948" s="68"/>
      <c r="E1948" s="68"/>
      <c r="G1948" s="98"/>
      <c r="H1948" s="68"/>
      <c r="I1948" s="68"/>
      <c r="N1948" s="398"/>
      <c r="R1948" s="50"/>
      <c r="S1948" s="47"/>
      <c r="T1948" s="98"/>
      <c r="U1948" s="98"/>
      <c r="AF1948" s="39"/>
      <c r="AG1948" s="490"/>
      <c r="AH1948" s="490"/>
    </row>
    <row r="1949" spans="3:34" ht="19.5" customHeight="1">
      <c r="C1949" s="449"/>
      <c r="D1949" s="68"/>
      <c r="E1949" s="68"/>
      <c r="G1949" s="98"/>
      <c r="H1949" s="68"/>
      <c r="I1949" s="68"/>
      <c r="N1949" s="398"/>
      <c r="R1949" s="50"/>
      <c r="S1949" s="47"/>
      <c r="T1949" s="98"/>
      <c r="U1949" s="98"/>
      <c r="AF1949" s="39"/>
      <c r="AG1949" s="490"/>
      <c r="AH1949" s="490"/>
    </row>
    <row r="1950" spans="3:34" ht="19.5" customHeight="1">
      <c r="C1950" s="449"/>
      <c r="D1950" s="68"/>
      <c r="E1950" s="68"/>
      <c r="G1950" s="98"/>
      <c r="H1950" s="68"/>
      <c r="I1950" s="68"/>
      <c r="N1950" s="398"/>
      <c r="R1950" s="50"/>
      <c r="S1950" s="47"/>
      <c r="T1950" s="98"/>
      <c r="U1950" s="98"/>
      <c r="AF1950" s="39"/>
      <c r="AG1950" s="490"/>
      <c r="AH1950" s="490"/>
    </row>
    <row r="1951" spans="3:34" ht="19.5" customHeight="1">
      <c r="C1951" s="449"/>
      <c r="D1951" s="68"/>
      <c r="E1951" s="68"/>
      <c r="G1951" s="98"/>
      <c r="H1951" s="68"/>
      <c r="I1951" s="68"/>
      <c r="N1951" s="398"/>
      <c r="R1951" s="50"/>
      <c r="S1951" s="47"/>
      <c r="T1951" s="98"/>
      <c r="U1951" s="98"/>
      <c r="AF1951" s="39"/>
      <c r="AG1951" s="490"/>
      <c r="AH1951" s="490"/>
    </row>
    <row r="1952" spans="3:34" ht="19.5" customHeight="1">
      <c r="C1952" s="449"/>
      <c r="D1952" s="68"/>
      <c r="E1952" s="68"/>
      <c r="G1952" s="98"/>
      <c r="H1952" s="68"/>
      <c r="I1952" s="68"/>
      <c r="N1952" s="398"/>
      <c r="R1952" s="50"/>
      <c r="S1952" s="47"/>
      <c r="T1952" s="98"/>
      <c r="U1952" s="98"/>
      <c r="AF1952" s="39"/>
      <c r="AG1952" s="490"/>
      <c r="AH1952" s="490"/>
    </row>
    <row r="1953" spans="3:34" ht="19.5" customHeight="1">
      <c r="C1953" s="449"/>
      <c r="D1953" s="68"/>
      <c r="E1953" s="68"/>
      <c r="G1953" s="98"/>
      <c r="H1953" s="68"/>
      <c r="I1953" s="68"/>
      <c r="N1953" s="398"/>
      <c r="R1953" s="50"/>
      <c r="S1953" s="47"/>
      <c r="T1953" s="98"/>
      <c r="U1953" s="98"/>
      <c r="AF1953" s="39"/>
      <c r="AG1953" s="490"/>
      <c r="AH1953" s="490"/>
    </row>
    <row r="1954" spans="3:34" ht="19.5" customHeight="1">
      <c r="C1954" s="449"/>
      <c r="D1954" s="68"/>
      <c r="E1954" s="68"/>
      <c r="G1954" s="98"/>
      <c r="H1954" s="68"/>
      <c r="I1954" s="68"/>
      <c r="N1954" s="398"/>
      <c r="R1954" s="50"/>
      <c r="S1954" s="47"/>
      <c r="T1954" s="98"/>
      <c r="U1954" s="98"/>
      <c r="AF1954" s="39"/>
      <c r="AG1954" s="490"/>
      <c r="AH1954" s="490"/>
    </row>
    <row r="1955" spans="3:34" ht="19.5" customHeight="1">
      <c r="C1955" s="449"/>
      <c r="D1955" s="68"/>
      <c r="E1955" s="68"/>
      <c r="G1955" s="98"/>
      <c r="H1955" s="68"/>
      <c r="I1955" s="68"/>
      <c r="N1955" s="398"/>
      <c r="R1955" s="50"/>
      <c r="S1955" s="47"/>
      <c r="T1955" s="98"/>
      <c r="U1955" s="98"/>
      <c r="AF1955" s="39"/>
      <c r="AG1955" s="490"/>
      <c r="AH1955" s="490"/>
    </row>
    <row r="1956" spans="3:34" ht="19.5" customHeight="1">
      <c r="C1956" s="449"/>
      <c r="D1956" s="68"/>
      <c r="E1956" s="68"/>
      <c r="G1956" s="98"/>
      <c r="H1956" s="68"/>
      <c r="I1956" s="68"/>
      <c r="N1956" s="398"/>
      <c r="R1956" s="50"/>
      <c r="S1956" s="47"/>
      <c r="T1956" s="98"/>
      <c r="U1956" s="98"/>
      <c r="AF1956" s="39"/>
      <c r="AG1956" s="490"/>
      <c r="AH1956" s="490"/>
    </row>
    <row r="1957" spans="3:34" ht="19.5" customHeight="1">
      <c r="C1957" s="449"/>
      <c r="D1957" s="68"/>
      <c r="E1957" s="68"/>
      <c r="G1957" s="98"/>
      <c r="H1957" s="68"/>
      <c r="I1957" s="68"/>
      <c r="N1957" s="398"/>
      <c r="R1957" s="50"/>
      <c r="S1957" s="47"/>
      <c r="T1957" s="98"/>
      <c r="U1957" s="98"/>
      <c r="AF1957" s="39"/>
      <c r="AG1957" s="490"/>
      <c r="AH1957" s="490"/>
    </row>
    <row r="1958" spans="3:34" ht="19.5" customHeight="1">
      <c r="C1958" s="449"/>
      <c r="D1958" s="68"/>
      <c r="E1958" s="68"/>
      <c r="G1958" s="98"/>
      <c r="H1958" s="68"/>
      <c r="I1958" s="68"/>
      <c r="N1958" s="398"/>
      <c r="R1958" s="50"/>
      <c r="S1958" s="47"/>
      <c r="T1958" s="98"/>
      <c r="U1958" s="98"/>
      <c r="AF1958" s="39"/>
      <c r="AG1958" s="490"/>
      <c r="AH1958" s="490"/>
    </row>
    <row r="1959" spans="3:34" ht="19.5" customHeight="1">
      <c r="C1959" s="449"/>
      <c r="D1959" s="68"/>
      <c r="E1959" s="68"/>
      <c r="G1959" s="98"/>
      <c r="H1959" s="68"/>
      <c r="I1959" s="68"/>
      <c r="N1959" s="398"/>
      <c r="R1959" s="50"/>
      <c r="S1959" s="47"/>
      <c r="T1959" s="98"/>
      <c r="U1959" s="98"/>
      <c r="AF1959" s="39"/>
      <c r="AG1959" s="490"/>
      <c r="AH1959" s="490"/>
    </row>
    <row r="1960" spans="3:34" ht="19.5" customHeight="1">
      <c r="C1960" s="449"/>
      <c r="D1960" s="68"/>
      <c r="E1960" s="68"/>
      <c r="G1960" s="98"/>
      <c r="H1960" s="68"/>
      <c r="I1960" s="68"/>
      <c r="N1960" s="398"/>
      <c r="R1960" s="50"/>
      <c r="S1960" s="47"/>
      <c r="T1960" s="98"/>
      <c r="U1960" s="98"/>
      <c r="AF1960" s="39"/>
      <c r="AG1960" s="490"/>
      <c r="AH1960" s="490"/>
    </row>
    <row r="1961" spans="3:34" ht="19.5" customHeight="1">
      <c r="C1961" s="449"/>
      <c r="D1961" s="68"/>
      <c r="E1961" s="68"/>
      <c r="G1961" s="98"/>
      <c r="H1961" s="68"/>
      <c r="I1961" s="68"/>
      <c r="N1961" s="398"/>
      <c r="R1961" s="50"/>
      <c r="S1961" s="47"/>
      <c r="T1961" s="98"/>
      <c r="U1961" s="98"/>
      <c r="AF1961" s="39"/>
      <c r="AG1961" s="490"/>
      <c r="AH1961" s="490"/>
    </row>
    <row r="1962" spans="3:34" ht="19.5" customHeight="1">
      <c r="C1962" s="449"/>
      <c r="D1962" s="68"/>
      <c r="E1962" s="68"/>
      <c r="G1962" s="98"/>
      <c r="H1962" s="68"/>
      <c r="I1962" s="68"/>
      <c r="N1962" s="398"/>
      <c r="R1962" s="50"/>
      <c r="S1962" s="47"/>
      <c r="T1962" s="98"/>
      <c r="U1962" s="98"/>
      <c r="AF1962" s="39"/>
      <c r="AG1962" s="490"/>
      <c r="AH1962" s="490"/>
    </row>
    <row r="1963" spans="3:34" ht="19.5" customHeight="1">
      <c r="C1963" s="449"/>
      <c r="D1963" s="68"/>
      <c r="E1963" s="68"/>
      <c r="G1963" s="98"/>
      <c r="H1963" s="68"/>
      <c r="I1963" s="68"/>
      <c r="N1963" s="398"/>
      <c r="R1963" s="50"/>
      <c r="S1963" s="47"/>
      <c r="T1963" s="98"/>
      <c r="U1963" s="98"/>
      <c r="AF1963" s="39"/>
      <c r="AG1963" s="490"/>
      <c r="AH1963" s="490"/>
    </row>
    <row r="1964" spans="3:34" ht="19.5" customHeight="1">
      <c r="C1964" s="449"/>
      <c r="D1964" s="68"/>
      <c r="E1964" s="68"/>
      <c r="G1964" s="98"/>
      <c r="H1964" s="68"/>
      <c r="I1964" s="68"/>
      <c r="N1964" s="398"/>
      <c r="R1964" s="50"/>
      <c r="S1964" s="47"/>
      <c r="T1964" s="98"/>
      <c r="U1964" s="98"/>
      <c r="AF1964" s="39"/>
      <c r="AG1964" s="490"/>
      <c r="AH1964" s="490"/>
    </row>
    <row r="1965" spans="3:34" ht="19.5" customHeight="1">
      <c r="C1965" s="449"/>
      <c r="D1965" s="68"/>
      <c r="E1965" s="68"/>
      <c r="G1965" s="98"/>
      <c r="H1965" s="68"/>
      <c r="I1965" s="68"/>
      <c r="N1965" s="398"/>
      <c r="R1965" s="50"/>
      <c r="S1965" s="47"/>
      <c r="T1965" s="98"/>
      <c r="U1965" s="98"/>
      <c r="AF1965" s="39"/>
      <c r="AG1965" s="490"/>
      <c r="AH1965" s="490"/>
    </row>
    <row r="1966" spans="3:34" ht="19.5" customHeight="1">
      <c r="C1966" s="449"/>
      <c r="D1966" s="68"/>
      <c r="E1966" s="68"/>
      <c r="G1966" s="98"/>
      <c r="H1966" s="68"/>
      <c r="I1966" s="68"/>
      <c r="N1966" s="398"/>
      <c r="R1966" s="50"/>
      <c r="S1966" s="47"/>
      <c r="T1966" s="98"/>
      <c r="U1966" s="98"/>
      <c r="AF1966" s="39"/>
      <c r="AG1966" s="490"/>
      <c r="AH1966" s="490"/>
    </row>
    <row r="1967" spans="3:34" ht="19.5" customHeight="1">
      <c r="C1967" s="449"/>
      <c r="D1967" s="68"/>
      <c r="E1967" s="68"/>
      <c r="G1967" s="98"/>
      <c r="H1967" s="68"/>
      <c r="I1967" s="68"/>
      <c r="N1967" s="398"/>
      <c r="R1967" s="50"/>
      <c r="S1967" s="47"/>
      <c r="T1967" s="98"/>
      <c r="U1967" s="98"/>
      <c r="AF1967" s="39"/>
      <c r="AG1967" s="490"/>
      <c r="AH1967" s="490"/>
    </row>
    <row r="1968" spans="3:34" ht="19.5" customHeight="1">
      <c r="C1968" s="449"/>
      <c r="D1968" s="68"/>
      <c r="E1968" s="68"/>
      <c r="G1968" s="98"/>
      <c r="H1968" s="68"/>
      <c r="I1968" s="68"/>
      <c r="N1968" s="398"/>
      <c r="R1968" s="50"/>
      <c r="S1968" s="47"/>
      <c r="T1968" s="98"/>
      <c r="U1968" s="98"/>
      <c r="AF1968" s="39"/>
      <c r="AG1968" s="490"/>
      <c r="AH1968" s="490"/>
    </row>
    <row r="1969" spans="3:34" ht="19.5" customHeight="1">
      <c r="C1969" s="449"/>
      <c r="D1969" s="68"/>
      <c r="E1969" s="68"/>
      <c r="G1969" s="98"/>
      <c r="H1969" s="68"/>
      <c r="I1969" s="68"/>
      <c r="N1969" s="398"/>
      <c r="R1969" s="50"/>
      <c r="S1969" s="47"/>
      <c r="T1969" s="98"/>
      <c r="U1969" s="98"/>
      <c r="AF1969" s="39"/>
      <c r="AG1969" s="490"/>
      <c r="AH1969" s="490"/>
    </row>
    <row r="1970" spans="3:34" ht="19.5" customHeight="1">
      <c r="C1970" s="449"/>
      <c r="D1970" s="68"/>
      <c r="E1970" s="68"/>
      <c r="G1970" s="98"/>
      <c r="H1970" s="68"/>
      <c r="I1970" s="68"/>
      <c r="N1970" s="398"/>
      <c r="R1970" s="50"/>
      <c r="S1970" s="47"/>
      <c r="T1970" s="98"/>
      <c r="U1970" s="98"/>
      <c r="AF1970" s="39"/>
      <c r="AG1970" s="490"/>
      <c r="AH1970" s="490"/>
    </row>
    <row r="1971" spans="3:34" ht="19.5" customHeight="1">
      <c r="C1971" s="449"/>
      <c r="D1971" s="68"/>
      <c r="E1971" s="68"/>
      <c r="G1971" s="98"/>
      <c r="H1971" s="68"/>
      <c r="I1971" s="68"/>
      <c r="N1971" s="398"/>
      <c r="R1971" s="50"/>
      <c r="S1971" s="47"/>
      <c r="T1971" s="98"/>
      <c r="U1971" s="98"/>
      <c r="AF1971" s="39"/>
      <c r="AG1971" s="490"/>
      <c r="AH1971" s="490"/>
    </row>
    <row r="1972" spans="3:34" ht="19.5" customHeight="1">
      <c r="C1972" s="449"/>
      <c r="D1972" s="68"/>
      <c r="E1972" s="68"/>
      <c r="G1972" s="98"/>
      <c r="H1972" s="68"/>
      <c r="I1972" s="68"/>
      <c r="N1972" s="398"/>
      <c r="R1972" s="50"/>
      <c r="S1972" s="47"/>
      <c r="T1972" s="98"/>
      <c r="U1972" s="98"/>
      <c r="AF1972" s="39"/>
      <c r="AG1972" s="490"/>
      <c r="AH1972" s="490"/>
    </row>
    <row r="1973" spans="3:34" ht="19.5" customHeight="1">
      <c r="C1973" s="449"/>
      <c r="D1973" s="68"/>
      <c r="E1973" s="68"/>
      <c r="G1973" s="98"/>
      <c r="H1973" s="68"/>
      <c r="I1973" s="68"/>
      <c r="N1973" s="398"/>
      <c r="R1973" s="50"/>
      <c r="S1973" s="47"/>
      <c r="T1973" s="98"/>
      <c r="U1973" s="98"/>
      <c r="AF1973" s="39"/>
      <c r="AG1973" s="490"/>
      <c r="AH1973" s="490"/>
    </row>
    <row r="1974" spans="3:34" ht="19.5" customHeight="1">
      <c r="C1974" s="449"/>
      <c r="D1974" s="68"/>
      <c r="E1974" s="68"/>
      <c r="G1974" s="98"/>
      <c r="H1974" s="68"/>
      <c r="I1974" s="68"/>
      <c r="N1974" s="398"/>
      <c r="R1974" s="50"/>
      <c r="S1974" s="47"/>
      <c r="T1974" s="98"/>
      <c r="U1974" s="98"/>
      <c r="AF1974" s="39"/>
      <c r="AG1974" s="490"/>
      <c r="AH1974" s="490"/>
    </row>
    <row r="1975" spans="3:34" ht="19.5" customHeight="1">
      <c r="C1975" s="449"/>
      <c r="D1975" s="68"/>
      <c r="E1975" s="68"/>
      <c r="G1975" s="98"/>
      <c r="H1975" s="68"/>
      <c r="I1975" s="68"/>
      <c r="N1975" s="398"/>
      <c r="R1975" s="50"/>
      <c r="S1975" s="47"/>
      <c r="T1975" s="98"/>
      <c r="U1975" s="98"/>
      <c r="AF1975" s="39"/>
      <c r="AG1975" s="490"/>
      <c r="AH1975" s="490"/>
    </row>
    <row r="1976" spans="3:34" ht="19.5" customHeight="1">
      <c r="C1976" s="449"/>
      <c r="D1976" s="68"/>
      <c r="E1976" s="68"/>
      <c r="G1976" s="98"/>
      <c r="H1976" s="68"/>
      <c r="I1976" s="68"/>
      <c r="N1976" s="398"/>
      <c r="R1976" s="50"/>
      <c r="S1976" s="47"/>
      <c r="T1976" s="98"/>
      <c r="U1976" s="98"/>
      <c r="AF1976" s="39"/>
      <c r="AG1976" s="490"/>
      <c r="AH1976" s="490"/>
    </row>
    <row r="1977" spans="3:34" ht="19.5" customHeight="1">
      <c r="C1977" s="449"/>
      <c r="D1977" s="68"/>
      <c r="E1977" s="68"/>
      <c r="G1977" s="98"/>
      <c r="H1977" s="68"/>
      <c r="I1977" s="68"/>
      <c r="N1977" s="398"/>
      <c r="R1977" s="50"/>
      <c r="S1977" s="47"/>
      <c r="T1977" s="98"/>
      <c r="U1977" s="98"/>
      <c r="AF1977" s="39"/>
      <c r="AG1977" s="490"/>
      <c r="AH1977" s="490"/>
    </row>
    <row r="1978" spans="3:34" ht="19.5" customHeight="1">
      <c r="C1978" s="449"/>
      <c r="D1978" s="68"/>
      <c r="E1978" s="68"/>
      <c r="G1978" s="98"/>
      <c r="H1978" s="68"/>
      <c r="I1978" s="68"/>
      <c r="N1978" s="398"/>
      <c r="R1978" s="50"/>
      <c r="S1978" s="47"/>
      <c r="T1978" s="98"/>
      <c r="U1978" s="98"/>
      <c r="AF1978" s="39"/>
      <c r="AG1978" s="490"/>
      <c r="AH1978" s="490"/>
    </row>
    <row r="1979" spans="3:34" ht="19.5" customHeight="1">
      <c r="C1979" s="449"/>
      <c r="D1979" s="68"/>
      <c r="E1979" s="68"/>
      <c r="G1979" s="98"/>
      <c r="H1979" s="68"/>
      <c r="I1979" s="68"/>
      <c r="N1979" s="398"/>
      <c r="R1979" s="50"/>
      <c r="S1979" s="47"/>
      <c r="T1979" s="98"/>
      <c r="U1979" s="98"/>
      <c r="AF1979" s="39"/>
      <c r="AG1979" s="490"/>
      <c r="AH1979" s="490"/>
    </row>
    <row r="1980" spans="3:34" ht="19.5" customHeight="1">
      <c r="C1980" s="449"/>
      <c r="D1980" s="68"/>
      <c r="E1980" s="68"/>
      <c r="G1980" s="98"/>
      <c r="H1980" s="68"/>
      <c r="I1980" s="68"/>
      <c r="N1980" s="398"/>
      <c r="R1980" s="50"/>
      <c r="S1980" s="47"/>
      <c r="T1980" s="98"/>
      <c r="U1980" s="98"/>
      <c r="AF1980" s="39"/>
      <c r="AG1980" s="490"/>
      <c r="AH1980" s="490"/>
    </row>
    <row r="1981" spans="3:34" ht="19.5" customHeight="1">
      <c r="C1981" s="449"/>
      <c r="D1981" s="68"/>
      <c r="E1981" s="68"/>
      <c r="G1981" s="98"/>
      <c r="H1981" s="68"/>
      <c r="I1981" s="68"/>
      <c r="N1981" s="398"/>
      <c r="R1981" s="50"/>
      <c r="S1981" s="47"/>
      <c r="T1981" s="98"/>
      <c r="U1981" s="98"/>
      <c r="AF1981" s="39"/>
      <c r="AG1981" s="490"/>
      <c r="AH1981" s="490"/>
    </row>
    <row r="1982" spans="3:34" ht="19.5" customHeight="1">
      <c r="C1982" s="449"/>
      <c r="D1982" s="68"/>
      <c r="E1982" s="68"/>
      <c r="G1982" s="98"/>
      <c r="H1982" s="68"/>
      <c r="I1982" s="68"/>
      <c r="N1982" s="398"/>
      <c r="R1982" s="50"/>
      <c r="S1982" s="47"/>
      <c r="T1982" s="98"/>
      <c r="U1982" s="98"/>
      <c r="AF1982" s="39"/>
      <c r="AG1982" s="490"/>
      <c r="AH1982" s="490"/>
    </row>
    <row r="1983" spans="3:34" ht="19.5" customHeight="1">
      <c r="C1983" s="449"/>
      <c r="D1983" s="68"/>
      <c r="E1983" s="68"/>
      <c r="G1983" s="98"/>
      <c r="H1983" s="68"/>
      <c r="I1983" s="68"/>
      <c r="N1983" s="398"/>
      <c r="R1983" s="50"/>
      <c r="S1983" s="47"/>
      <c r="T1983" s="98"/>
      <c r="U1983" s="98"/>
      <c r="AF1983" s="39"/>
      <c r="AG1983" s="490"/>
      <c r="AH1983" s="490"/>
    </row>
    <row r="1984" spans="3:34" ht="19.5" customHeight="1">
      <c r="C1984" s="449"/>
      <c r="D1984" s="68"/>
      <c r="E1984" s="68"/>
      <c r="G1984" s="98"/>
      <c r="H1984" s="68"/>
      <c r="I1984" s="68"/>
      <c r="N1984" s="398"/>
      <c r="R1984" s="50"/>
      <c r="S1984" s="47"/>
      <c r="T1984" s="98"/>
      <c r="U1984" s="98"/>
      <c r="AF1984" s="39"/>
      <c r="AG1984" s="490"/>
      <c r="AH1984" s="490"/>
    </row>
    <row r="1985" spans="3:34" ht="19.5" customHeight="1">
      <c r="C1985" s="449"/>
      <c r="D1985" s="68"/>
      <c r="E1985" s="68"/>
      <c r="G1985" s="98"/>
      <c r="H1985" s="68"/>
      <c r="I1985" s="68"/>
      <c r="N1985" s="398"/>
      <c r="R1985" s="50"/>
      <c r="S1985" s="47"/>
      <c r="T1985" s="98"/>
      <c r="U1985" s="98"/>
      <c r="AF1985" s="39"/>
      <c r="AG1985" s="490"/>
      <c r="AH1985" s="490"/>
    </row>
    <row r="1986" spans="3:34" ht="19.5" customHeight="1">
      <c r="C1986" s="449"/>
      <c r="D1986" s="68"/>
      <c r="E1986" s="68"/>
      <c r="G1986" s="98"/>
      <c r="H1986" s="68"/>
      <c r="I1986" s="68"/>
      <c r="N1986" s="398"/>
      <c r="R1986" s="50"/>
      <c r="S1986" s="47"/>
      <c r="T1986" s="98"/>
      <c r="U1986" s="98"/>
      <c r="AF1986" s="39"/>
      <c r="AG1986" s="490"/>
      <c r="AH1986" s="490"/>
    </row>
    <row r="1987" spans="3:34" ht="19.5" customHeight="1">
      <c r="C1987" s="449"/>
      <c r="D1987" s="68"/>
      <c r="E1987" s="68"/>
      <c r="G1987" s="98"/>
      <c r="H1987" s="68"/>
      <c r="I1987" s="68"/>
      <c r="N1987" s="398"/>
      <c r="R1987" s="50"/>
      <c r="S1987" s="47"/>
      <c r="T1987" s="98"/>
      <c r="U1987" s="98"/>
      <c r="AF1987" s="39"/>
      <c r="AG1987" s="490"/>
      <c r="AH1987" s="490"/>
    </row>
    <row r="1988" spans="3:34" ht="19.5" customHeight="1">
      <c r="C1988" s="449"/>
      <c r="D1988" s="68"/>
      <c r="E1988" s="68"/>
      <c r="G1988" s="98"/>
      <c r="H1988" s="68"/>
      <c r="I1988" s="68"/>
      <c r="N1988" s="398"/>
      <c r="R1988" s="50"/>
      <c r="S1988" s="47"/>
      <c r="T1988" s="98"/>
      <c r="U1988" s="98"/>
      <c r="AF1988" s="39"/>
      <c r="AG1988" s="490"/>
      <c r="AH1988" s="490"/>
    </row>
    <row r="1989" spans="3:34" ht="19.5" customHeight="1">
      <c r="C1989" s="449"/>
      <c r="D1989" s="68"/>
      <c r="E1989" s="68"/>
      <c r="G1989" s="98"/>
      <c r="H1989" s="68"/>
      <c r="I1989" s="68"/>
      <c r="N1989" s="398"/>
      <c r="R1989" s="50"/>
      <c r="S1989" s="47"/>
      <c r="T1989" s="98"/>
      <c r="U1989" s="98"/>
      <c r="AF1989" s="39"/>
      <c r="AG1989" s="490"/>
      <c r="AH1989" s="490"/>
    </row>
    <row r="1990" spans="3:34" ht="19.5" customHeight="1">
      <c r="C1990" s="449"/>
      <c r="D1990" s="68"/>
      <c r="E1990" s="68"/>
      <c r="G1990" s="98"/>
      <c r="H1990" s="68"/>
      <c r="I1990" s="68"/>
      <c r="N1990" s="398"/>
      <c r="R1990" s="50"/>
      <c r="S1990" s="47"/>
      <c r="T1990" s="98"/>
      <c r="U1990" s="98"/>
      <c r="AF1990" s="39"/>
      <c r="AG1990" s="490"/>
      <c r="AH1990" s="490"/>
    </row>
    <row r="1991" spans="3:34" ht="19.5" customHeight="1">
      <c r="C1991" s="449"/>
      <c r="D1991" s="68"/>
      <c r="E1991" s="68"/>
      <c r="G1991" s="98"/>
      <c r="H1991" s="68"/>
      <c r="I1991" s="68"/>
      <c r="N1991" s="398"/>
      <c r="R1991" s="50"/>
      <c r="S1991" s="47"/>
      <c r="T1991" s="98"/>
      <c r="U1991" s="98"/>
      <c r="AF1991" s="39"/>
      <c r="AG1991" s="490"/>
      <c r="AH1991" s="490"/>
    </row>
    <row r="1992" spans="3:34" ht="19.5" customHeight="1">
      <c r="C1992" s="449"/>
      <c r="D1992" s="68"/>
      <c r="E1992" s="68"/>
      <c r="G1992" s="98"/>
      <c r="H1992" s="68"/>
      <c r="I1992" s="68"/>
      <c r="N1992" s="398"/>
      <c r="R1992" s="50"/>
      <c r="S1992" s="47"/>
      <c r="T1992" s="98"/>
      <c r="U1992" s="98"/>
      <c r="AF1992" s="39"/>
      <c r="AG1992" s="490"/>
      <c r="AH1992" s="490"/>
    </row>
    <row r="1993" spans="3:34" ht="19.5" customHeight="1">
      <c r="C1993" s="449"/>
      <c r="D1993" s="68"/>
      <c r="E1993" s="68"/>
      <c r="G1993" s="98"/>
      <c r="H1993" s="68"/>
      <c r="I1993" s="68"/>
      <c r="N1993" s="398"/>
      <c r="R1993" s="50"/>
      <c r="S1993" s="47"/>
      <c r="T1993" s="98"/>
      <c r="U1993" s="98"/>
      <c r="AF1993" s="39"/>
      <c r="AG1993" s="490"/>
      <c r="AH1993" s="490"/>
    </row>
    <row r="1994" spans="3:34" ht="19.5" customHeight="1">
      <c r="C1994" s="449"/>
      <c r="D1994" s="68"/>
      <c r="E1994" s="68"/>
      <c r="G1994" s="98"/>
      <c r="H1994" s="68"/>
      <c r="I1994" s="68"/>
      <c r="N1994" s="398"/>
      <c r="R1994" s="50"/>
      <c r="S1994" s="47"/>
      <c r="T1994" s="98"/>
      <c r="U1994" s="98"/>
      <c r="AF1994" s="39"/>
      <c r="AG1994" s="490"/>
      <c r="AH1994" s="490"/>
    </row>
    <row r="1995" spans="3:34" ht="19.5" customHeight="1">
      <c r="C1995" s="449"/>
      <c r="D1995" s="68"/>
      <c r="E1995" s="68"/>
      <c r="G1995" s="98"/>
      <c r="H1995" s="68"/>
      <c r="I1995" s="68"/>
      <c r="N1995" s="398"/>
      <c r="R1995" s="50"/>
      <c r="S1995" s="47"/>
      <c r="T1995" s="98"/>
      <c r="U1995" s="98"/>
      <c r="AF1995" s="39"/>
      <c r="AG1995" s="490"/>
      <c r="AH1995" s="490"/>
    </row>
    <row r="1996" spans="3:34" ht="19.5" customHeight="1">
      <c r="C1996" s="449"/>
      <c r="D1996" s="68"/>
      <c r="E1996" s="68"/>
      <c r="G1996" s="98"/>
      <c r="H1996" s="68"/>
      <c r="I1996" s="68"/>
      <c r="N1996" s="398"/>
      <c r="R1996" s="50"/>
      <c r="S1996" s="47"/>
      <c r="T1996" s="98"/>
      <c r="U1996" s="98"/>
      <c r="AF1996" s="39"/>
      <c r="AG1996" s="490"/>
      <c r="AH1996" s="490"/>
    </row>
    <row r="1997" spans="3:34" ht="19.5" customHeight="1">
      <c r="C1997" s="449"/>
      <c r="D1997" s="68"/>
      <c r="E1997" s="68"/>
      <c r="G1997" s="98"/>
      <c r="H1997" s="68"/>
      <c r="I1997" s="68"/>
      <c r="N1997" s="398"/>
      <c r="R1997" s="50"/>
      <c r="S1997" s="47"/>
      <c r="T1997" s="98"/>
      <c r="U1997" s="98"/>
      <c r="AF1997" s="39"/>
      <c r="AG1997" s="490"/>
      <c r="AH1997" s="490"/>
    </row>
    <row r="1998" spans="3:34" ht="19.5" customHeight="1">
      <c r="C1998" s="449"/>
      <c r="D1998" s="68"/>
      <c r="E1998" s="68"/>
      <c r="G1998" s="98"/>
      <c r="H1998" s="68"/>
      <c r="I1998" s="68"/>
      <c r="N1998" s="398"/>
      <c r="R1998" s="50"/>
      <c r="S1998" s="47"/>
      <c r="T1998" s="98"/>
      <c r="U1998" s="98"/>
      <c r="AF1998" s="39"/>
      <c r="AG1998" s="490"/>
      <c r="AH1998" s="490"/>
    </row>
    <row r="1999" spans="3:34" ht="19.5" customHeight="1">
      <c r="C1999" s="449"/>
      <c r="D1999" s="68"/>
      <c r="E1999" s="68"/>
      <c r="G1999" s="98"/>
      <c r="H1999" s="68"/>
      <c r="I1999" s="68"/>
      <c r="N1999" s="398"/>
      <c r="R1999" s="50"/>
      <c r="S1999" s="47"/>
      <c r="T1999" s="98"/>
      <c r="U1999" s="98"/>
      <c r="AF1999" s="39"/>
      <c r="AG1999" s="490"/>
      <c r="AH1999" s="490"/>
    </row>
    <row r="2000" spans="3:34" ht="19.5" customHeight="1">
      <c r="C2000" s="449"/>
      <c r="D2000" s="68"/>
      <c r="E2000" s="68"/>
      <c r="G2000" s="98"/>
      <c r="H2000" s="68"/>
      <c r="I2000" s="68"/>
      <c r="N2000" s="398"/>
      <c r="R2000" s="50"/>
      <c r="S2000" s="47"/>
      <c r="T2000" s="98"/>
      <c r="U2000" s="98"/>
      <c r="AF2000" s="39"/>
      <c r="AG2000" s="490"/>
      <c r="AH2000" s="490"/>
    </row>
    <row r="2001" spans="3:34" ht="19.5" customHeight="1">
      <c r="C2001" s="449"/>
      <c r="D2001" s="68"/>
      <c r="E2001" s="68"/>
      <c r="G2001" s="98"/>
      <c r="H2001" s="68"/>
      <c r="I2001" s="68"/>
      <c r="N2001" s="398"/>
      <c r="R2001" s="50"/>
      <c r="S2001" s="47"/>
      <c r="T2001" s="98"/>
      <c r="U2001" s="98"/>
      <c r="AF2001" s="39"/>
      <c r="AG2001" s="490"/>
      <c r="AH2001" s="490"/>
    </row>
    <row r="2002" spans="3:34" ht="19.5" customHeight="1">
      <c r="C2002" s="449"/>
      <c r="D2002" s="68"/>
      <c r="E2002" s="68"/>
      <c r="G2002" s="98"/>
      <c r="H2002" s="68"/>
      <c r="I2002" s="68"/>
      <c r="N2002" s="398"/>
      <c r="R2002" s="50"/>
      <c r="S2002" s="47"/>
      <c r="T2002" s="98"/>
      <c r="U2002" s="98"/>
      <c r="AF2002" s="39"/>
      <c r="AG2002" s="490"/>
      <c r="AH2002" s="490"/>
    </row>
    <row r="2003" spans="3:34" ht="19.5" customHeight="1">
      <c r="C2003" s="449"/>
      <c r="D2003" s="68"/>
      <c r="E2003" s="68"/>
      <c r="G2003" s="98"/>
      <c r="H2003" s="68"/>
      <c r="I2003" s="68"/>
      <c r="N2003" s="398"/>
      <c r="R2003" s="50"/>
      <c r="S2003" s="47"/>
      <c r="T2003" s="98"/>
      <c r="U2003" s="98"/>
      <c r="AF2003" s="39"/>
      <c r="AG2003" s="490"/>
      <c r="AH2003" s="490"/>
    </row>
    <row r="2004" spans="3:34" ht="19.5" customHeight="1">
      <c r="C2004" s="449"/>
      <c r="D2004" s="68"/>
      <c r="E2004" s="68"/>
      <c r="G2004" s="98"/>
      <c r="H2004" s="68"/>
      <c r="I2004" s="68"/>
      <c r="N2004" s="398"/>
      <c r="R2004" s="50"/>
      <c r="S2004" s="47"/>
      <c r="T2004" s="98"/>
      <c r="U2004" s="98"/>
      <c r="AF2004" s="39"/>
      <c r="AG2004" s="490"/>
      <c r="AH2004" s="490"/>
    </row>
    <row r="2005" spans="3:34" ht="19.5" customHeight="1">
      <c r="C2005" s="449"/>
      <c r="D2005" s="68"/>
      <c r="E2005" s="68"/>
      <c r="G2005" s="98"/>
      <c r="H2005" s="68"/>
      <c r="I2005" s="68"/>
      <c r="N2005" s="398"/>
      <c r="R2005" s="50"/>
      <c r="S2005" s="47"/>
      <c r="T2005" s="98"/>
      <c r="U2005" s="98"/>
      <c r="AF2005" s="39"/>
      <c r="AG2005" s="490"/>
      <c r="AH2005" s="490"/>
    </row>
    <row r="2006" spans="3:34" ht="19.5" customHeight="1">
      <c r="C2006" s="449"/>
      <c r="D2006" s="68"/>
      <c r="E2006" s="68"/>
      <c r="G2006" s="98"/>
      <c r="H2006" s="68"/>
      <c r="I2006" s="68"/>
      <c r="N2006" s="398"/>
      <c r="R2006" s="50"/>
      <c r="S2006" s="47"/>
      <c r="T2006" s="98"/>
      <c r="U2006" s="98"/>
      <c r="AF2006" s="39"/>
      <c r="AG2006" s="490"/>
      <c r="AH2006" s="490"/>
    </row>
    <row r="2007" spans="3:34" ht="19.5" customHeight="1">
      <c r="C2007" s="449"/>
      <c r="D2007" s="68"/>
      <c r="E2007" s="68"/>
      <c r="G2007" s="98"/>
      <c r="H2007" s="68"/>
      <c r="I2007" s="68"/>
      <c r="N2007" s="398"/>
      <c r="R2007" s="50"/>
      <c r="S2007" s="47"/>
      <c r="T2007" s="98"/>
      <c r="U2007" s="98"/>
      <c r="AF2007" s="39"/>
      <c r="AG2007" s="490"/>
      <c r="AH2007" s="490"/>
    </row>
    <row r="2008" spans="3:34" ht="19.5" customHeight="1">
      <c r="C2008" s="449"/>
      <c r="D2008" s="68"/>
      <c r="E2008" s="68"/>
      <c r="G2008" s="98"/>
      <c r="H2008" s="68"/>
      <c r="I2008" s="68"/>
      <c r="N2008" s="398"/>
      <c r="R2008" s="50"/>
      <c r="S2008" s="47"/>
      <c r="T2008" s="98"/>
      <c r="U2008" s="98"/>
      <c r="AF2008" s="39"/>
      <c r="AG2008" s="490"/>
      <c r="AH2008" s="490"/>
    </row>
    <row r="2009" spans="3:34" ht="19.5" customHeight="1">
      <c r="C2009" s="449"/>
      <c r="D2009" s="68"/>
      <c r="E2009" s="68"/>
      <c r="G2009" s="98"/>
      <c r="H2009" s="68"/>
      <c r="I2009" s="68"/>
      <c r="N2009" s="398"/>
      <c r="R2009" s="50"/>
      <c r="S2009" s="47"/>
      <c r="T2009" s="98"/>
      <c r="U2009" s="98"/>
      <c r="AF2009" s="39"/>
      <c r="AG2009" s="490"/>
      <c r="AH2009" s="490"/>
    </row>
    <row r="2010" spans="3:34" ht="19.5" customHeight="1">
      <c r="C2010" s="449"/>
      <c r="D2010" s="68"/>
      <c r="E2010" s="68"/>
      <c r="G2010" s="98"/>
      <c r="H2010" s="68"/>
      <c r="I2010" s="68"/>
      <c r="N2010" s="398"/>
      <c r="R2010" s="50"/>
      <c r="S2010" s="47"/>
      <c r="T2010" s="98"/>
      <c r="U2010" s="98"/>
      <c r="AF2010" s="39"/>
      <c r="AG2010" s="490"/>
      <c r="AH2010" s="490"/>
    </row>
    <row r="2011" spans="3:34" ht="19.5" customHeight="1">
      <c r="C2011" s="449"/>
      <c r="D2011" s="68"/>
      <c r="E2011" s="68"/>
      <c r="G2011" s="98"/>
      <c r="H2011" s="68"/>
      <c r="I2011" s="68"/>
      <c r="N2011" s="398"/>
      <c r="R2011" s="50"/>
      <c r="S2011" s="47"/>
      <c r="T2011" s="98"/>
      <c r="U2011" s="98"/>
      <c r="AF2011" s="39"/>
      <c r="AG2011" s="490"/>
      <c r="AH2011" s="490"/>
    </row>
    <row r="2012" spans="3:34" ht="19.5" customHeight="1">
      <c r="C2012" s="449"/>
      <c r="D2012" s="68"/>
      <c r="E2012" s="68"/>
      <c r="G2012" s="98"/>
      <c r="H2012" s="68"/>
      <c r="I2012" s="68"/>
      <c r="N2012" s="398"/>
      <c r="R2012" s="50"/>
      <c r="S2012" s="47"/>
      <c r="T2012" s="98"/>
      <c r="U2012" s="98"/>
      <c r="AF2012" s="39"/>
      <c r="AG2012" s="490"/>
      <c r="AH2012" s="490"/>
    </row>
    <row r="2013" spans="3:34" ht="19.5" customHeight="1">
      <c r="C2013" s="449"/>
      <c r="D2013" s="68"/>
      <c r="E2013" s="68"/>
      <c r="G2013" s="98"/>
      <c r="H2013" s="68"/>
      <c r="I2013" s="68"/>
      <c r="N2013" s="398"/>
      <c r="R2013" s="50"/>
      <c r="S2013" s="47"/>
      <c r="T2013" s="98"/>
      <c r="U2013" s="98"/>
      <c r="AF2013" s="39"/>
      <c r="AG2013" s="490"/>
      <c r="AH2013" s="490"/>
    </row>
    <row r="2014" spans="3:34" ht="19.5" customHeight="1">
      <c r="C2014" s="449"/>
      <c r="D2014" s="68"/>
      <c r="E2014" s="68"/>
      <c r="G2014" s="98"/>
      <c r="H2014" s="68"/>
      <c r="I2014" s="68"/>
      <c r="N2014" s="398"/>
      <c r="R2014" s="50"/>
      <c r="S2014" s="47"/>
      <c r="T2014" s="98"/>
      <c r="U2014" s="98"/>
      <c r="AF2014" s="39"/>
      <c r="AG2014" s="490"/>
      <c r="AH2014" s="490"/>
    </row>
    <row r="2015" spans="3:34" ht="19.5" customHeight="1">
      <c r="C2015" s="449"/>
      <c r="D2015" s="68"/>
      <c r="E2015" s="68"/>
      <c r="G2015" s="98"/>
      <c r="H2015" s="68"/>
      <c r="I2015" s="68"/>
      <c r="N2015" s="398"/>
      <c r="R2015" s="50"/>
      <c r="S2015" s="47"/>
      <c r="T2015" s="98"/>
      <c r="U2015" s="98"/>
      <c r="AF2015" s="39"/>
      <c r="AG2015" s="490"/>
      <c r="AH2015" s="490"/>
    </row>
    <row r="2016" spans="3:34" ht="19.5" customHeight="1">
      <c r="C2016" s="449"/>
      <c r="D2016" s="68"/>
      <c r="E2016" s="68"/>
      <c r="G2016" s="98"/>
      <c r="H2016" s="68"/>
      <c r="I2016" s="68"/>
      <c r="N2016" s="398"/>
      <c r="R2016" s="50"/>
      <c r="S2016" s="47"/>
      <c r="T2016" s="98"/>
      <c r="U2016" s="98"/>
      <c r="AF2016" s="39"/>
      <c r="AG2016" s="490"/>
      <c r="AH2016" s="490"/>
    </row>
    <row r="2017" spans="3:34" ht="19.5" customHeight="1">
      <c r="C2017" s="449"/>
      <c r="D2017" s="68"/>
      <c r="E2017" s="68"/>
      <c r="G2017" s="98"/>
      <c r="H2017" s="68"/>
      <c r="I2017" s="68"/>
      <c r="N2017" s="398"/>
      <c r="R2017" s="50"/>
      <c r="S2017" s="47"/>
      <c r="T2017" s="98"/>
      <c r="U2017" s="98"/>
      <c r="AF2017" s="39"/>
      <c r="AG2017" s="490"/>
      <c r="AH2017" s="490"/>
    </row>
    <row r="2018" spans="3:34" ht="19.5" customHeight="1">
      <c r="C2018" s="449"/>
      <c r="D2018" s="68"/>
      <c r="E2018" s="68"/>
      <c r="G2018" s="98"/>
      <c r="H2018" s="68"/>
      <c r="I2018" s="68"/>
      <c r="N2018" s="398"/>
      <c r="R2018" s="50"/>
      <c r="S2018" s="47"/>
      <c r="T2018" s="98"/>
      <c r="U2018" s="98"/>
      <c r="AF2018" s="39"/>
      <c r="AG2018" s="490"/>
      <c r="AH2018" s="490"/>
    </row>
    <row r="2019" spans="3:34" ht="19.5" customHeight="1">
      <c r="C2019" s="449"/>
      <c r="D2019" s="68"/>
      <c r="E2019" s="68"/>
      <c r="G2019" s="98"/>
      <c r="H2019" s="68"/>
      <c r="I2019" s="68"/>
      <c r="N2019" s="398"/>
      <c r="R2019" s="50"/>
      <c r="S2019" s="47"/>
      <c r="T2019" s="98"/>
      <c r="U2019" s="98"/>
      <c r="AF2019" s="39"/>
      <c r="AG2019" s="490"/>
      <c r="AH2019" s="490"/>
    </row>
    <row r="2020" spans="3:34" ht="19.5" customHeight="1">
      <c r="C2020" s="449"/>
      <c r="D2020" s="68"/>
      <c r="E2020" s="68"/>
      <c r="G2020" s="98"/>
      <c r="H2020" s="68"/>
      <c r="I2020" s="68"/>
      <c r="N2020" s="398"/>
      <c r="R2020" s="50"/>
      <c r="S2020" s="47"/>
      <c r="T2020" s="98"/>
      <c r="U2020" s="98"/>
      <c r="AF2020" s="39"/>
      <c r="AG2020" s="490"/>
      <c r="AH2020" s="490"/>
    </row>
    <row r="2021" spans="3:34" ht="19.5" customHeight="1">
      <c r="C2021" s="449"/>
      <c r="D2021" s="68"/>
      <c r="E2021" s="68"/>
      <c r="G2021" s="98"/>
      <c r="H2021" s="68"/>
      <c r="I2021" s="68"/>
      <c r="N2021" s="398"/>
      <c r="R2021" s="50"/>
      <c r="S2021" s="47"/>
      <c r="T2021" s="98"/>
      <c r="U2021" s="98"/>
      <c r="AF2021" s="39"/>
      <c r="AG2021" s="490"/>
      <c r="AH2021" s="490"/>
    </row>
    <row r="2022" spans="3:34" ht="19.5" customHeight="1">
      <c r="C2022" s="449"/>
      <c r="D2022" s="68"/>
      <c r="E2022" s="68"/>
      <c r="G2022" s="98"/>
      <c r="H2022" s="68"/>
      <c r="I2022" s="68"/>
      <c r="N2022" s="398"/>
      <c r="R2022" s="50"/>
      <c r="S2022" s="47"/>
      <c r="T2022" s="98"/>
      <c r="U2022" s="98"/>
      <c r="AF2022" s="39"/>
      <c r="AG2022" s="490"/>
      <c r="AH2022" s="490"/>
    </row>
    <row r="2023" spans="3:34" ht="19.5" customHeight="1">
      <c r="C2023" s="449"/>
      <c r="D2023" s="68"/>
      <c r="E2023" s="68"/>
      <c r="G2023" s="98"/>
      <c r="H2023" s="68"/>
      <c r="I2023" s="68"/>
      <c r="N2023" s="398"/>
      <c r="R2023" s="50"/>
      <c r="S2023" s="47"/>
      <c r="T2023" s="98"/>
      <c r="U2023" s="98"/>
      <c r="AF2023" s="39"/>
      <c r="AG2023" s="490"/>
      <c r="AH2023" s="490"/>
    </row>
    <row r="2024" spans="3:34" ht="19.5" customHeight="1">
      <c r="C2024" s="449"/>
      <c r="D2024" s="68"/>
      <c r="E2024" s="68"/>
      <c r="G2024" s="98"/>
      <c r="H2024" s="68"/>
      <c r="I2024" s="68"/>
      <c r="N2024" s="398"/>
      <c r="R2024" s="50"/>
      <c r="S2024" s="47"/>
      <c r="T2024" s="98"/>
      <c r="U2024" s="98"/>
      <c r="AF2024" s="39"/>
      <c r="AG2024" s="490"/>
      <c r="AH2024" s="490"/>
    </row>
    <row r="2025" spans="3:34" ht="19.5" customHeight="1">
      <c r="C2025" s="449"/>
      <c r="D2025" s="68"/>
      <c r="E2025" s="68"/>
      <c r="G2025" s="98"/>
      <c r="H2025" s="68"/>
      <c r="I2025" s="68"/>
      <c r="N2025" s="398"/>
      <c r="R2025" s="50"/>
      <c r="S2025" s="47"/>
      <c r="T2025" s="98"/>
      <c r="U2025" s="98"/>
      <c r="AF2025" s="39"/>
      <c r="AG2025" s="490"/>
      <c r="AH2025" s="490"/>
    </row>
    <row r="2026" spans="3:34" ht="19.5" customHeight="1">
      <c r="C2026" s="449"/>
      <c r="D2026" s="68"/>
      <c r="E2026" s="68"/>
      <c r="G2026" s="98"/>
      <c r="H2026" s="68"/>
      <c r="I2026" s="68"/>
      <c r="N2026" s="398"/>
      <c r="R2026" s="50"/>
      <c r="S2026" s="47"/>
      <c r="T2026" s="98"/>
      <c r="U2026" s="98"/>
      <c r="AF2026" s="39"/>
      <c r="AG2026" s="490"/>
      <c r="AH2026" s="490"/>
    </row>
    <row r="2027" spans="3:34" ht="19.5" customHeight="1">
      <c r="C2027" s="449"/>
      <c r="D2027" s="68"/>
      <c r="E2027" s="68"/>
      <c r="G2027" s="98"/>
      <c r="H2027" s="68"/>
      <c r="I2027" s="68"/>
      <c r="N2027" s="398"/>
      <c r="R2027" s="50"/>
      <c r="S2027" s="47"/>
      <c r="T2027" s="98"/>
      <c r="U2027" s="98"/>
      <c r="AF2027" s="39"/>
      <c r="AG2027" s="490"/>
      <c r="AH2027" s="490"/>
    </row>
    <row r="2028" spans="3:34" ht="19.5" customHeight="1">
      <c r="C2028" s="449"/>
      <c r="D2028" s="68"/>
      <c r="E2028" s="68"/>
      <c r="G2028" s="98"/>
      <c r="H2028" s="68"/>
      <c r="I2028" s="68"/>
      <c r="N2028" s="398"/>
      <c r="R2028" s="50"/>
      <c r="S2028" s="47"/>
      <c r="T2028" s="98"/>
      <c r="U2028" s="98"/>
      <c r="AF2028" s="39"/>
      <c r="AG2028" s="490"/>
      <c r="AH2028" s="490"/>
    </row>
    <row r="2029" spans="3:34" ht="19.5" customHeight="1">
      <c r="C2029" s="449"/>
      <c r="D2029" s="68"/>
      <c r="E2029" s="68"/>
      <c r="G2029" s="98"/>
      <c r="H2029" s="68"/>
      <c r="I2029" s="68"/>
      <c r="N2029" s="398"/>
      <c r="R2029" s="50"/>
      <c r="S2029" s="47"/>
      <c r="T2029" s="98"/>
      <c r="U2029" s="98"/>
      <c r="AF2029" s="39"/>
      <c r="AG2029" s="490"/>
      <c r="AH2029" s="490"/>
    </row>
    <row r="2030" spans="3:34" ht="19.5" customHeight="1">
      <c r="C2030" s="449"/>
      <c r="D2030" s="68"/>
      <c r="E2030" s="68"/>
      <c r="G2030" s="98"/>
      <c r="H2030" s="68"/>
      <c r="I2030" s="68"/>
      <c r="N2030" s="398"/>
      <c r="R2030" s="50"/>
      <c r="S2030" s="47"/>
      <c r="T2030" s="98"/>
      <c r="U2030" s="98"/>
      <c r="AF2030" s="39"/>
      <c r="AG2030" s="490"/>
      <c r="AH2030" s="490"/>
    </row>
    <row r="2031" spans="3:34" ht="19.5" customHeight="1">
      <c r="C2031" s="449"/>
      <c r="D2031" s="68"/>
      <c r="E2031" s="68"/>
      <c r="G2031" s="98"/>
      <c r="H2031" s="68"/>
      <c r="I2031" s="68"/>
      <c r="N2031" s="398"/>
      <c r="R2031" s="50"/>
      <c r="S2031" s="47"/>
      <c r="T2031" s="98"/>
      <c r="U2031" s="98"/>
      <c r="AF2031" s="39"/>
      <c r="AG2031" s="490"/>
      <c r="AH2031" s="490"/>
    </row>
    <row r="2032" spans="3:34" ht="19.5" customHeight="1">
      <c r="C2032" s="449"/>
      <c r="D2032" s="68"/>
      <c r="E2032" s="68"/>
      <c r="G2032" s="98"/>
      <c r="H2032" s="68"/>
      <c r="I2032" s="68"/>
      <c r="N2032" s="398"/>
      <c r="R2032" s="50"/>
      <c r="S2032" s="47"/>
      <c r="T2032" s="98"/>
      <c r="U2032" s="98"/>
      <c r="AF2032" s="39"/>
      <c r="AG2032" s="490"/>
      <c r="AH2032" s="490"/>
    </row>
    <row r="2033" spans="3:34" ht="19.5" customHeight="1">
      <c r="C2033" s="449"/>
      <c r="D2033" s="68"/>
      <c r="E2033" s="68"/>
      <c r="G2033" s="98"/>
      <c r="H2033" s="68"/>
      <c r="I2033" s="68"/>
      <c r="N2033" s="398"/>
      <c r="R2033" s="50"/>
      <c r="S2033" s="47"/>
      <c r="T2033" s="98"/>
      <c r="U2033" s="98"/>
      <c r="AF2033" s="39"/>
      <c r="AG2033" s="490"/>
      <c r="AH2033" s="490"/>
    </row>
    <row r="2034" spans="3:34" ht="19.5" customHeight="1">
      <c r="C2034" s="449"/>
      <c r="D2034" s="68"/>
      <c r="E2034" s="68"/>
      <c r="G2034" s="98"/>
      <c r="H2034" s="68"/>
      <c r="I2034" s="68"/>
      <c r="N2034" s="398"/>
      <c r="R2034" s="50"/>
      <c r="S2034" s="47"/>
      <c r="T2034" s="98"/>
      <c r="U2034" s="98"/>
      <c r="AF2034" s="39"/>
      <c r="AG2034" s="490"/>
      <c r="AH2034" s="490"/>
    </row>
    <row r="2035" spans="3:34" ht="19.5" customHeight="1">
      <c r="C2035" s="449"/>
      <c r="D2035" s="68"/>
      <c r="E2035" s="68"/>
      <c r="G2035" s="98"/>
      <c r="H2035" s="68"/>
      <c r="I2035" s="68"/>
      <c r="N2035" s="398"/>
      <c r="R2035" s="50"/>
      <c r="S2035" s="47"/>
      <c r="T2035" s="98"/>
      <c r="U2035" s="98"/>
      <c r="AF2035" s="39"/>
      <c r="AG2035" s="490"/>
      <c r="AH2035" s="490"/>
    </row>
    <row r="2036" spans="3:34" ht="19.5" customHeight="1">
      <c r="C2036" s="449"/>
      <c r="D2036" s="68"/>
      <c r="E2036" s="68"/>
      <c r="G2036" s="98"/>
      <c r="H2036" s="68"/>
      <c r="I2036" s="68"/>
      <c r="N2036" s="398"/>
      <c r="R2036" s="50"/>
      <c r="S2036" s="47"/>
      <c r="T2036" s="98"/>
      <c r="U2036" s="98"/>
      <c r="AF2036" s="39"/>
      <c r="AG2036" s="490"/>
      <c r="AH2036" s="490"/>
    </row>
    <row r="2037" spans="3:34" ht="19.5" customHeight="1">
      <c r="C2037" s="449"/>
      <c r="D2037" s="68"/>
      <c r="E2037" s="68"/>
      <c r="G2037" s="98"/>
      <c r="H2037" s="68"/>
      <c r="I2037" s="68"/>
      <c r="N2037" s="398"/>
      <c r="R2037" s="50"/>
      <c r="S2037" s="47"/>
      <c r="T2037" s="98"/>
      <c r="U2037" s="98"/>
      <c r="AF2037" s="39"/>
      <c r="AG2037" s="490"/>
      <c r="AH2037" s="490"/>
    </row>
    <row r="2038" spans="3:34" ht="19.5" customHeight="1">
      <c r="C2038" s="449"/>
      <c r="D2038" s="68"/>
      <c r="E2038" s="68"/>
      <c r="G2038" s="98"/>
      <c r="H2038" s="68"/>
      <c r="I2038" s="68"/>
      <c r="N2038" s="398"/>
      <c r="R2038" s="50"/>
      <c r="S2038" s="47"/>
      <c r="T2038" s="98"/>
      <c r="U2038" s="98"/>
      <c r="AF2038" s="39"/>
      <c r="AG2038" s="490"/>
      <c r="AH2038" s="490"/>
    </row>
    <row r="2039" spans="3:34" ht="19.5" customHeight="1">
      <c r="C2039" s="449"/>
      <c r="D2039" s="68"/>
      <c r="E2039" s="68"/>
      <c r="G2039" s="98"/>
      <c r="H2039" s="68"/>
      <c r="I2039" s="68"/>
      <c r="N2039" s="398"/>
      <c r="R2039" s="50"/>
      <c r="S2039" s="47"/>
      <c r="T2039" s="98"/>
      <c r="U2039" s="98"/>
      <c r="AF2039" s="39"/>
      <c r="AG2039" s="490"/>
      <c r="AH2039" s="490"/>
    </row>
    <row r="2040" spans="3:34" ht="19.5" customHeight="1">
      <c r="C2040" s="449"/>
      <c r="D2040" s="68"/>
      <c r="E2040" s="68"/>
      <c r="G2040" s="98"/>
      <c r="H2040" s="68"/>
      <c r="I2040" s="68"/>
      <c r="N2040" s="398"/>
      <c r="R2040" s="50"/>
      <c r="S2040" s="47"/>
      <c r="T2040" s="98"/>
      <c r="U2040" s="98"/>
      <c r="AF2040" s="39"/>
      <c r="AG2040" s="490"/>
      <c r="AH2040" s="490"/>
    </row>
    <row r="2041" spans="3:34" ht="19.5" customHeight="1">
      <c r="C2041" s="449"/>
      <c r="D2041" s="68"/>
      <c r="E2041" s="68"/>
      <c r="G2041" s="98"/>
      <c r="H2041" s="68"/>
      <c r="I2041" s="68"/>
      <c r="N2041" s="398"/>
      <c r="R2041" s="50"/>
      <c r="S2041" s="47"/>
      <c r="T2041" s="98"/>
      <c r="U2041" s="98"/>
      <c r="AF2041" s="39"/>
      <c r="AG2041" s="490"/>
      <c r="AH2041" s="490"/>
    </row>
    <row r="2042" spans="3:34" ht="19.5" customHeight="1">
      <c r="C2042" s="449"/>
      <c r="D2042" s="68"/>
      <c r="E2042" s="68"/>
      <c r="G2042" s="98"/>
      <c r="H2042" s="68"/>
      <c r="I2042" s="68"/>
      <c r="N2042" s="398"/>
      <c r="R2042" s="50"/>
      <c r="S2042" s="47"/>
      <c r="T2042" s="98"/>
      <c r="U2042" s="98"/>
      <c r="AF2042" s="39"/>
      <c r="AG2042" s="490"/>
      <c r="AH2042" s="490"/>
    </row>
    <row r="2043" spans="3:34" ht="19.5" customHeight="1">
      <c r="C2043" s="449"/>
      <c r="D2043" s="68"/>
      <c r="E2043" s="68"/>
      <c r="G2043" s="98"/>
      <c r="H2043" s="68"/>
      <c r="I2043" s="68"/>
      <c r="N2043" s="398"/>
      <c r="R2043" s="50"/>
      <c r="S2043" s="47"/>
      <c r="T2043" s="98"/>
      <c r="U2043" s="98"/>
      <c r="AF2043" s="39"/>
      <c r="AG2043" s="490"/>
      <c r="AH2043" s="490"/>
    </row>
    <row r="2044" spans="3:34" ht="19.5" customHeight="1">
      <c r="C2044" s="449"/>
      <c r="D2044" s="68"/>
      <c r="E2044" s="68"/>
      <c r="G2044" s="98"/>
      <c r="H2044" s="68"/>
      <c r="I2044" s="68"/>
      <c r="N2044" s="398"/>
      <c r="R2044" s="50"/>
      <c r="S2044" s="47"/>
      <c r="T2044" s="98"/>
      <c r="U2044" s="98"/>
      <c r="AF2044" s="39"/>
      <c r="AG2044" s="490"/>
      <c r="AH2044" s="490"/>
    </row>
    <row r="2045" spans="3:34" ht="19.5" customHeight="1">
      <c r="C2045" s="449"/>
      <c r="D2045" s="68"/>
      <c r="E2045" s="68"/>
      <c r="G2045" s="98"/>
      <c r="H2045" s="68"/>
      <c r="I2045" s="68"/>
      <c r="N2045" s="398"/>
      <c r="R2045" s="50"/>
      <c r="S2045" s="47"/>
      <c r="T2045" s="98"/>
      <c r="U2045" s="98"/>
      <c r="AF2045" s="39"/>
      <c r="AG2045" s="490"/>
      <c r="AH2045" s="490"/>
    </row>
    <row r="2046" spans="3:34" ht="19.5" customHeight="1">
      <c r="C2046" s="449"/>
      <c r="D2046" s="68"/>
      <c r="E2046" s="68"/>
      <c r="G2046" s="98"/>
      <c r="H2046" s="68"/>
      <c r="I2046" s="68"/>
      <c r="N2046" s="398"/>
      <c r="R2046" s="50"/>
      <c r="S2046" s="47"/>
      <c r="T2046" s="98"/>
      <c r="U2046" s="98"/>
      <c r="AF2046" s="39"/>
      <c r="AG2046" s="490"/>
      <c r="AH2046" s="490"/>
    </row>
    <row r="2047" spans="3:34" ht="19.5" customHeight="1">
      <c r="C2047" s="449"/>
      <c r="D2047" s="68"/>
      <c r="E2047" s="68"/>
      <c r="G2047" s="98"/>
      <c r="H2047" s="68"/>
      <c r="I2047" s="68"/>
      <c r="N2047" s="398"/>
      <c r="R2047" s="50"/>
      <c r="S2047" s="47"/>
      <c r="T2047" s="98"/>
      <c r="U2047" s="98"/>
      <c r="AF2047" s="39"/>
      <c r="AG2047" s="490"/>
      <c r="AH2047" s="490"/>
    </row>
    <row r="2048" spans="3:34" ht="19.5" customHeight="1">
      <c r="C2048" s="449"/>
      <c r="D2048" s="68"/>
      <c r="E2048" s="68"/>
      <c r="G2048" s="98"/>
      <c r="H2048" s="68"/>
      <c r="I2048" s="68"/>
      <c r="N2048" s="398"/>
      <c r="R2048" s="50"/>
      <c r="S2048" s="47"/>
      <c r="T2048" s="98"/>
      <c r="U2048" s="98"/>
      <c r="AF2048" s="39"/>
      <c r="AG2048" s="490"/>
      <c r="AH2048" s="490"/>
    </row>
    <row r="2049" spans="3:34" ht="19.5" customHeight="1">
      <c r="C2049" s="449"/>
      <c r="D2049" s="68"/>
      <c r="E2049" s="68"/>
      <c r="G2049" s="98"/>
      <c r="H2049" s="68"/>
      <c r="I2049" s="68"/>
      <c r="N2049" s="398"/>
      <c r="R2049" s="50"/>
      <c r="S2049" s="47"/>
      <c r="T2049" s="98"/>
      <c r="U2049" s="98"/>
      <c r="AF2049" s="39"/>
      <c r="AG2049" s="490"/>
      <c r="AH2049" s="490"/>
    </row>
    <row r="2050" spans="3:34" ht="19.5" customHeight="1">
      <c r="C2050" s="449"/>
      <c r="D2050" s="68"/>
      <c r="E2050" s="68"/>
      <c r="G2050" s="98"/>
      <c r="H2050" s="68"/>
      <c r="I2050" s="68"/>
      <c r="N2050" s="398"/>
      <c r="R2050" s="50"/>
      <c r="S2050" s="47"/>
      <c r="T2050" s="98"/>
      <c r="U2050" s="98"/>
      <c r="AF2050" s="39"/>
      <c r="AG2050" s="490"/>
      <c r="AH2050" s="490"/>
    </row>
    <row r="2051" spans="3:34" ht="19.5" customHeight="1">
      <c r="C2051" s="449"/>
      <c r="D2051" s="68"/>
      <c r="E2051" s="68"/>
      <c r="G2051" s="98"/>
      <c r="H2051" s="68"/>
      <c r="I2051" s="68"/>
      <c r="N2051" s="398"/>
      <c r="R2051" s="50"/>
      <c r="S2051" s="47"/>
      <c r="T2051" s="98"/>
      <c r="U2051" s="98"/>
      <c r="AF2051" s="39"/>
      <c r="AG2051" s="490"/>
      <c r="AH2051" s="490"/>
    </row>
    <row r="2052" spans="3:34" ht="19.5" customHeight="1">
      <c r="C2052" s="449"/>
      <c r="D2052" s="68"/>
      <c r="E2052" s="68"/>
      <c r="G2052" s="98"/>
      <c r="H2052" s="68"/>
      <c r="I2052" s="68"/>
      <c r="N2052" s="398"/>
      <c r="R2052" s="50"/>
      <c r="S2052" s="47"/>
      <c r="T2052" s="98"/>
      <c r="U2052" s="98"/>
      <c r="AF2052" s="39"/>
      <c r="AG2052" s="490"/>
      <c r="AH2052" s="490"/>
    </row>
    <row r="2053" spans="3:34" ht="19.5" customHeight="1">
      <c r="C2053" s="449"/>
      <c r="D2053" s="68"/>
      <c r="E2053" s="68"/>
      <c r="G2053" s="98"/>
      <c r="H2053" s="68"/>
      <c r="I2053" s="68"/>
      <c r="N2053" s="398"/>
      <c r="R2053" s="50"/>
      <c r="S2053" s="47"/>
      <c r="T2053" s="98"/>
      <c r="U2053" s="98"/>
      <c r="AF2053" s="39"/>
      <c r="AG2053" s="490"/>
      <c r="AH2053" s="490"/>
    </row>
    <row r="2054" spans="3:34" ht="19.5" customHeight="1">
      <c r="C2054" s="449"/>
      <c r="D2054" s="68"/>
      <c r="E2054" s="68"/>
      <c r="G2054" s="98"/>
      <c r="H2054" s="68"/>
      <c r="I2054" s="68"/>
      <c r="N2054" s="398"/>
      <c r="R2054" s="50"/>
      <c r="S2054" s="47"/>
      <c r="T2054" s="98"/>
      <c r="U2054" s="98"/>
      <c r="AF2054" s="39"/>
      <c r="AG2054" s="490"/>
      <c r="AH2054" s="490"/>
    </row>
    <row r="2055" spans="3:34" ht="19.5" customHeight="1">
      <c r="C2055" s="449"/>
      <c r="D2055" s="68"/>
      <c r="E2055" s="68"/>
      <c r="G2055" s="98"/>
      <c r="H2055" s="68"/>
      <c r="I2055" s="68"/>
      <c r="N2055" s="398"/>
      <c r="R2055" s="50"/>
      <c r="S2055" s="47"/>
      <c r="T2055" s="98"/>
      <c r="U2055" s="98"/>
      <c r="AF2055" s="39"/>
      <c r="AG2055" s="490"/>
      <c r="AH2055" s="490"/>
    </row>
    <row r="2056" spans="3:34" ht="19.5" customHeight="1">
      <c r="C2056" s="449"/>
      <c r="D2056" s="68"/>
      <c r="E2056" s="68"/>
      <c r="G2056" s="98"/>
      <c r="H2056" s="68"/>
      <c r="I2056" s="68"/>
      <c r="N2056" s="398"/>
      <c r="R2056" s="50"/>
      <c r="S2056" s="47"/>
      <c r="T2056" s="98"/>
      <c r="U2056" s="98"/>
      <c r="AF2056" s="39"/>
      <c r="AG2056" s="490"/>
      <c r="AH2056" s="490"/>
    </row>
    <row r="2057" spans="3:34" ht="19.5" customHeight="1">
      <c r="C2057" s="449"/>
      <c r="D2057" s="68"/>
      <c r="E2057" s="68"/>
      <c r="G2057" s="98"/>
      <c r="H2057" s="68"/>
      <c r="I2057" s="68"/>
      <c r="N2057" s="398"/>
      <c r="R2057" s="50"/>
      <c r="S2057" s="47"/>
      <c r="T2057" s="98"/>
      <c r="U2057" s="98"/>
      <c r="AF2057" s="39"/>
      <c r="AG2057" s="490"/>
      <c r="AH2057" s="490"/>
    </row>
    <row r="2058" spans="3:34" ht="19.5" customHeight="1">
      <c r="C2058" s="449"/>
      <c r="D2058" s="68"/>
      <c r="E2058" s="68"/>
      <c r="G2058" s="98"/>
      <c r="H2058" s="68"/>
      <c r="I2058" s="68"/>
      <c r="N2058" s="398"/>
      <c r="R2058" s="50"/>
      <c r="S2058" s="47"/>
      <c r="T2058" s="98"/>
      <c r="U2058" s="98"/>
      <c r="AF2058" s="39"/>
      <c r="AG2058" s="490"/>
      <c r="AH2058" s="490"/>
    </row>
    <row r="2059" spans="3:34" ht="19.5" customHeight="1">
      <c r="C2059" s="449"/>
      <c r="D2059" s="68"/>
      <c r="E2059" s="68"/>
      <c r="G2059" s="98"/>
      <c r="H2059" s="68"/>
      <c r="I2059" s="68"/>
      <c r="N2059" s="398"/>
      <c r="R2059" s="50"/>
      <c r="S2059" s="47"/>
      <c r="T2059" s="98"/>
      <c r="U2059" s="98"/>
      <c r="AF2059" s="39"/>
      <c r="AG2059" s="490"/>
      <c r="AH2059" s="490"/>
    </row>
    <row r="2060" spans="3:34" ht="19.5" customHeight="1">
      <c r="C2060" s="449"/>
      <c r="D2060" s="68"/>
      <c r="E2060" s="68"/>
      <c r="G2060" s="98"/>
      <c r="H2060" s="68"/>
      <c r="I2060" s="68"/>
      <c r="N2060" s="398"/>
      <c r="R2060" s="50"/>
      <c r="S2060" s="47"/>
      <c r="T2060" s="98"/>
      <c r="U2060" s="98"/>
      <c r="AF2060" s="39"/>
      <c r="AG2060" s="490"/>
      <c r="AH2060" s="490"/>
    </row>
    <row r="2061" spans="3:34" ht="19.5" customHeight="1">
      <c r="C2061" s="449"/>
      <c r="D2061" s="68"/>
      <c r="E2061" s="68"/>
      <c r="G2061" s="98"/>
      <c r="H2061" s="68"/>
      <c r="I2061" s="68"/>
      <c r="N2061" s="398"/>
      <c r="R2061" s="50"/>
      <c r="S2061" s="47"/>
      <c r="T2061" s="98"/>
      <c r="U2061" s="98"/>
      <c r="AF2061" s="39"/>
      <c r="AG2061" s="490"/>
      <c r="AH2061" s="490"/>
    </row>
    <row r="2062" spans="3:34" ht="19.5" customHeight="1">
      <c r="C2062" s="449"/>
      <c r="D2062" s="68"/>
      <c r="E2062" s="68"/>
      <c r="G2062" s="98"/>
      <c r="H2062" s="68"/>
      <c r="I2062" s="68"/>
      <c r="N2062" s="398"/>
      <c r="R2062" s="50"/>
      <c r="S2062" s="47"/>
      <c r="T2062" s="98"/>
      <c r="U2062" s="98"/>
      <c r="AF2062" s="39"/>
      <c r="AG2062" s="490"/>
      <c r="AH2062" s="490"/>
    </row>
    <row r="2063" spans="3:34" ht="19.5" customHeight="1">
      <c r="C2063" s="449"/>
      <c r="D2063" s="68"/>
      <c r="E2063" s="68"/>
      <c r="G2063" s="98"/>
      <c r="H2063" s="68"/>
      <c r="I2063" s="68"/>
      <c r="N2063" s="398"/>
      <c r="R2063" s="50"/>
      <c r="S2063" s="47"/>
      <c r="T2063" s="98"/>
      <c r="U2063" s="98"/>
      <c r="AF2063" s="39"/>
      <c r="AG2063" s="490"/>
      <c r="AH2063" s="490"/>
    </row>
    <row r="2064" spans="3:34" ht="19.5" customHeight="1">
      <c r="C2064" s="449"/>
      <c r="D2064" s="68"/>
      <c r="E2064" s="68"/>
      <c r="G2064" s="98"/>
      <c r="H2064" s="68"/>
      <c r="I2064" s="68"/>
      <c r="N2064" s="398"/>
      <c r="R2064" s="50"/>
      <c r="S2064" s="47"/>
      <c r="T2064" s="98"/>
      <c r="U2064" s="98"/>
      <c r="AF2064" s="39"/>
      <c r="AG2064" s="490"/>
      <c r="AH2064" s="490"/>
    </row>
    <row r="2065" spans="3:34" ht="19.5" customHeight="1">
      <c r="C2065" s="449"/>
      <c r="D2065" s="68"/>
      <c r="E2065" s="68"/>
      <c r="G2065" s="98"/>
      <c r="H2065" s="68"/>
      <c r="I2065" s="68"/>
      <c r="N2065" s="398"/>
      <c r="R2065" s="50"/>
      <c r="S2065" s="47"/>
      <c r="T2065" s="98"/>
      <c r="U2065" s="98"/>
      <c r="AF2065" s="39"/>
      <c r="AG2065" s="490"/>
      <c r="AH2065" s="490"/>
    </row>
    <row r="2066" spans="3:34" ht="19.5" customHeight="1">
      <c r="C2066" s="449"/>
      <c r="D2066" s="68"/>
      <c r="E2066" s="68"/>
      <c r="G2066" s="98"/>
      <c r="H2066" s="68"/>
      <c r="I2066" s="68"/>
      <c r="N2066" s="398"/>
      <c r="R2066" s="50"/>
      <c r="S2066" s="47"/>
      <c r="T2066" s="98"/>
      <c r="U2066" s="98"/>
      <c r="AF2066" s="39"/>
      <c r="AG2066" s="490"/>
      <c r="AH2066" s="490"/>
    </row>
    <row r="2067" spans="3:34" ht="19.5" customHeight="1">
      <c r="C2067" s="449"/>
      <c r="D2067" s="68"/>
      <c r="E2067" s="68"/>
      <c r="G2067" s="98"/>
      <c r="H2067" s="68"/>
      <c r="I2067" s="68"/>
      <c r="N2067" s="398"/>
      <c r="R2067" s="50"/>
      <c r="S2067" s="47"/>
      <c r="T2067" s="98"/>
      <c r="U2067" s="98"/>
      <c r="AF2067" s="39"/>
      <c r="AG2067" s="490"/>
      <c r="AH2067" s="490"/>
    </row>
    <row r="2068" spans="3:34" ht="19.5" customHeight="1">
      <c r="C2068" s="449"/>
      <c r="D2068" s="68"/>
      <c r="E2068" s="68"/>
      <c r="G2068" s="98"/>
      <c r="H2068" s="68"/>
      <c r="I2068" s="68"/>
      <c r="N2068" s="398"/>
      <c r="R2068" s="50"/>
      <c r="S2068" s="47"/>
      <c r="T2068" s="98"/>
      <c r="U2068" s="98"/>
      <c r="AF2068" s="39"/>
      <c r="AG2068" s="490"/>
      <c r="AH2068" s="490"/>
    </row>
    <row r="2069" spans="3:34" ht="19.5" customHeight="1">
      <c r="C2069" s="449"/>
      <c r="D2069" s="68"/>
      <c r="E2069" s="68"/>
      <c r="G2069" s="98"/>
      <c r="H2069" s="68"/>
      <c r="I2069" s="68"/>
      <c r="N2069" s="398"/>
      <c r="R2069" s="50"/>
      <c r="S2069" s="47"/>
      <c r="T2069" s="98"/>
      <c r="U2069" s="98"/>
      <c r="AF2069" s="39"/>
      <c r="AG2069" s="490"/>
      <c r="AH2069" s="490"/>
    </row>
    <row r="2070" spans="3:34" ht="19.5" customHeight="1">
      <c r="C2070" s="449"/>
      <c r="D2070" s="68"/>
      <c r="E2070" s="68"/>
      <c r="G2070" s="98"/>
      <c r="H2070" s="68"/>
      <c r="I2070" s="68"/>
      <c r="N2070" s="398"/>
      <c r="R2070" s="50"/>
      <c r="S2070" s="47"/>
      <c r="T2070" s="98"/>
      <c r="U2070" s="98"/>
      <c r="AF2070" s="39"/>
      <c r="AG2070" s="490"/>
      <c r="AH2070" s="490"/>
    </row>
    <row r="2071" spans="3:34" ht="19.5" customHeight="1">
      <c r="C2071" s="449"/>
      <c r="D2071" s="68"/>
      <c r="E2071" s="68"/>
      <c r="G2071" s="98"/>
      <c r="H2071" s="68"/>
      <c r="I2071" s="68"/>
      <c r="N2071" s="398"/>
      <c r="R2071" s="50"/>
      <c r="S2071" s="47"/>
      <c r="T2071" s="98"/>
      <c r="U2071" s="98"/>
      <c r="AF2071" s="39"/>
      <c r="AG2071" s="490"/>
      <c r="AH2071" s="490"/>
    </row>
    <row r="2072" spans="3:34" ht="19.5" customHeight="1">
      <c r="C2072" s="449"/>
      <c r="D2072" s="68"/>
      <c r="E2072" s="68"/>
      <c r="G2072" s="98"/>
      <c r="H2072" s="68"/>
      <c r="I2072" s="68"/>
      <c r="N2072" s="398"/>
      <c r="R2072" s="50"/>
      <c r="S2072" s="47"/>
      <c r="T2072" s="98"/>
      <c r="U2072" s="98"/>
      <c r="AF2072" s="39"/>
      <c r="AG2072" s="490"/>
      <c r="AH2072" s="490"/>
    </row>
    <row r="2073" spans="3:34" ht="19.5" customHeight="1">
      <c r="C2073" s="449"/>
      <c r="D2073" s="68"/>
      <c r="E2073" s="68"/>
      <c r="G2073" s="98"/>
      <c r="H2073" s="68"/>
      <c r="I2073" s="68"/>
      <c r="N2073" s="398"/>
      <c r="R2073" s="50"/>
      <c r="S2073" s="47"/>
      <c r="T2073" s="98"/>
      <c r="U2073" s="98"/>
      <c r="AF2073" s="39"/>
      <c r="AG2073" s="490"/>
      <c r="AH2073" s="490"/>
    </row>
    <row r="2074" spans="3:34" ht="19.5" customHeight="1">
      <c r="C2074" s="449"/>
      <c r="D2074" s="68"/>
      <c r="E2074" s="68"/>
      <c r="G2074" s="98"/>
      <c r="H2074" s="68"/>
      <c r="I2074" s="68"/>
      <c r="N2074" s="398"/>
      <c r="R2074" s="50"/>
      <c r="S2074" s="47"/>
      <c r="T2074" s="98"/>
      <c r="U2074" s="98"/>
      <c r="AF2074" s="39"/>
      <c r="AG2074" s="490"/>
      <c r="AH2074" s="490"/>
    </row>
    <row r="2075" spans="3:34" ht="19.5" customHeight="1">
      <c r="C2075" s="449"/>
      <c r="D2075" s="68"/>
      <c r="E2075" s="68"/>
      <c r="G2075" s="98"/>
      <c r="H2075" s="68"/>
      <c r="I2075" s="68"/>
      <c r="N2075" s="398"/>
      <c r="R2075" s="50"/>
      <c r="S2075" s="47"/>
      <c r="T2075" s="98"/>
      <c r="U2075" s="98"/>
      <c r="AF2075" s="39"/>
      <c r="AG2075" s="490"/>
      <c r="AH2075" s="490"/>
    </row>
    <row r="2076" spans="3:34" ht="19.5" customHeight="1">
      <c r="C2076" s="449"/>
      <c r="D2076" s="68"/>
      <c r="E2076" s="68"/>
      <c r="G2076" s="98"/>
      <c r="H2076" s="68"/>
      <c r="I2076" s="68"/>
      <c r="N2076" s="398"/>
      <c r="R2076" s="50"/>
      <c r="S2076" s="47"/>
      <c r="T2076" s="98"/>
      <c r="U2076" s="98"/>
      <c r="AF2076" s="39"/>
      <c r="AG2076" s="490"/>
      <c r="AH2076" s="490"/>
    </row>
    <row r="2077" spans="3:34" ht="19.5" customHeight="1">
      <c r="C2077" s="449"/>
      <c r="D2077" s="68"/>
      <c r="E2077" s="68"/>
      <c r="G2077" s="98"/>
      <c r="H2077" s="68"/>
      <c r="I2077" s="68"/>
      <c r="N2077" s="398"/>
      <c r="R2077" s="50"/>
      <c r="S2077" s="47"/>
      <c r="T2077" s="98"/>
      <c r="U2077" s="98"/>
      <c r="AF2077" s="39"/>
      <c r="AG2077" s="490"/>
      <c r="AH2077" s="490"/>
    </row>
    <row r="2078" spans="3:34" ht="19.5" customHeight="1">
      <c r="C2078" s="449"/>
      <c r="D2078" s="68"/>
      <c r="E2078" s="68"/>
      <c r="G2078" s="98"/>
      <c r="H2078" s="68"/>
      <c r="I2078" s="68"/>
      <c r="N2078" s="398"/>
      <c r="R2078" s="50"/>
      <c r="S2078" s="47"/>
      <c r="T2078" s="98"/>
      <c r="U2078" s="98"/>
      <c r="AF2078" s="39"/>
      <c r="AG2078" s="490"/>
      <c r="AH2078" s="490"/>
    </row>
    <row r="2079" spans="3:34" ht="19.5" customHeight="1">
      <c r="C2079" s="449"/>
      <c r="D2079" s="68"/>
      <c r="E2079" s="68"/>
      <c r="G2079" s="98"/>
      <c r="H2079" s="68"/>
      <c r="I2079" s="68"/>
      <c r="N2079" s="398"/>
      <c r="R2079" s="50"/>
      <c r="S2079" s="47"/>
      <c r="T2079" s="98"/>
      <c r="U2079" s="98"/>
      <c r="AF2079" s="39"/>
      <c r="AG2079" s="490"/>
      <c r="AH2079" s="490"/>
    </row>
    <row r="2080" spans="3:34" ht="19.5" customHeight="1">
      <c r="C2080" s="449"/>
      <c r="D2080" s="68"/>
      <c r="E2080" s="68"/>
      <c r="G2080" s="98"/>
      <c r="H2080" s="68"/>
      <c r="I2080" s="68"/>
      <c r="N2080" s="398"/>
      <c r="R2080" s="50"/>
      <c r="S2080" s="47"/>
      <c r="T2080" s="98"/>
      <c r="U2080" s="98"/>
      <c r="AF2080" s="39"/>
      <c r="AG2080" s="490"/>
      <c r="AH2080" s="490"/>
    </row>
    <row r="2081" spans="3:34" ht="19.5" customHeight="1">
      <c r="C2081" s="449"/>
      <c r="D2081" s="68"/>
      <c r="E2081" s="68"/>
      <c r="G2081" s="98"/>
      <c r="H2081" s="68"/>
      <c r="I2081" s="68"/>
      <c r="N2081" s="398"/>
      <c r="R2081" s="50"/>
      <c r="S2081" s="47"/>
      <c r="T2081" s="98"/>
      <c r="U2081" s="98"/>
      <c r="AF2081" s="39"/>
      <c r="AG2081" s="490"/>
      <c r="AH2081" s="490"/>
    </row>
    <row r="2082" spans="3:34" ht="19.5" customHeight="1">
      <c r="C2082" s="449"/>
      <c r="D2082" s="68"/>
      <c r="E2082" s="68"/>
      <c r="G2082" s="98"/>
      <c r="H2082" s="68"/>
      <c r="I2082" s="68"/>
      <c r="N2082" s="398"/>
      <c r="R2082" s="50"/>
      <c r="S2082" s="47"/>
      <c r="T2082" s="98"/>
      <c r="U2082" s="98"/>
      <c r="AF2082" s="39"/>
      <c r="AG2082" s="490"/>
      <c r="AH2082" s="490"/>
    </row>
    <row r="2083" spans="3:34" ht="19.5" customHeight="1">
      <c r="C2083" s="449"/>
      <c r="D2083" s="68"/>
      <c r="E2083" s="68"/>
      <c r="G2083" s="98"/>
      <c r="H2083" s="68"/>
      <c r="I2083" s="68"/>
      <c r="N2083" s="398"/>
      <c r="R2083" s="50"/>
      <c r="S2083" s="47"/>
      <c r="T2083" s="98"/>
      <c r="U2083" s="98"/>
      <c r="AF2083" s="39"/>
      <c r="AG2083" s="490"/>
      <c r="AH2083" s="490"/>
    </row>
    <row r="2084" spans="3:34" ht="19.5" customHeight="1">
      <c r="C2084" s="449"/>
      <c r="D2084" s="68"/>
      <c r="E2084" s="68"/>
      <c r="G2084" s="98"/>
      <c r="H2084" s="68"/>
      <c r="I2084" s="68"/>
      <c r="N2084" s="398"/>
      <c r="R2084" s="50"/>
      <c r="S2084" s="47"/>
      <c r="T2084" s="98"/>
      <c r="U2084" s="98"/>
      <c r="AF2084" s="39"/>
      <c r="AG2084" s="490"/>
      <c r="AH2084" s="490"/>
    </row>
    <row r="2085" spans="3:34" ht="19.5" customHeight="1">
      <c r="C2085" s="449"/>
      <c r="D2085" s="68"/>
      <c r="E2085" s="68"/>
      <c r="G2085" s="98"/>
      <c r="H2085" s="68"/>
      <c r="I2085" s="68"/>
      <c r="N2085" s="398"/>
      <c r="R2085" s="50"/>
      <c r="S2085" s="47"/>
      <c r="T2085" s="98"/>
      <c r="U2085" s="98"/>
      <c r="AF2085" s="39"/>
      <c r="AG2085" s="490"/>
      <c r="AH2085" s="490"/>
    </row>
    <row r="2086" spans="3:34" ht="19.5" customHeight="1">
      <c r="C2086" s="449"/>
      <c r="D2086" s="68"/>
      <c r="E2086" s="68"/>
      <c r="G2086" s="98"/>
      <c r="H2086" s="68"/>
      <c r="I2086" s="68"/>
      <c r="N2086" s="398"/>
      <c r="R2086" s="50"/>
      <c r="S2086" s="47"/>
      <c r="T2086" s="98"/>
      <c r="U2086" s="98"/>
      <c r="AF2086" s="39"/>
      <c r="AG2086" s="490"/>
      <c r="AH2086" s="490"/>
    </row>
    <row r="2087" spans="3:34" ht="19.5" customHeight="1">
      <c r="C2087" s="449"/>
      <c r="D2087" s="68"/>
      <c r="E2087" s="68"/>
      <c r="G2087" s="98"/>
      <c r="H2087" s="68"/>
      <c r="I2087" s="68"/>
      <c r="N2087" s="398"/>
      <c r="R2087" s="50"/>
      <c r="S2087" s="47"/>
      <c r="T2087" s="98"/>
      <c r="U2087" s="98"/>
      <c r="AF2087" s="39"/>
      <c r="AG2087" s="490"/>
      <c r="AH2087" s="490"/>
    </row>
    <row r="2088" spans="3:34" ht="19.5" customHeight="1">
      <c r="C2088" s="449"/>
      <c r="D2088" s="68"/>
      <c r="E2088" s="68"/>
      <c r="G2088" s="98"/>
      <c r="H2088" s="68"/>
      <c r="I2088" s="68"/>
      <c r="N2088" s="398"/>
      <c r="R2088" s="50"/>
      <c r="S2088" s="47"/>
      <c r="T2088" s="98"/>
      <c r="U2088" s="98"/>
      <c r="AF2088" s="39"/>
      <c r="AG2088" s="490"/>
      <c r="AH2088" s="490"/>
    </row>
    <row r="2089" spans="3:34" ht="19.5" customHeight="1">
      <c r="C2089" s="449"/>
      <c r="D2089" s="68"/>
      <c r="E2089" s="68"/>
      <c r="G2089" s="98"/>
      <c r="H2089" s="68"/>
      <c r="I2089" s="68"/>
      <c r="N2089" s="398"/>
      <c r="R2089" s="50"/>
      <c r="S2089" s="47"/>
      <c r="T2089" s="98"/>
      <c r="U2089" s="98"/>
      <c r="AF2089" s="39"/>
      <c r="AG2089" s="490"/>
      <c r="AH2089" s="490"/>
    </row>
    <row r="2090" spans="3:34" ht="19.5" customHeight="1">
      <c r="C2090" s="449"/>
      <c r="D2090" s="68"/>
      <c r="E2090" s="68"/>
      <c r="G2090" s="98"/>
      <c r="H2090" s="68"/>
      <c r="I2090" s="68"/>
      <c r="N2090" s="398"/>
      <c r="R2090" s="50"/>
      <c r="S2090" s="47"/>
      <c r="T2090" s="98"/>
      <c r="U2090" s="98"/>
      <c r="AF2090" s="39"/>
      <c r="AG2090" s="490"/>
      <c r="AH2090" s="490"/>
    </row>
    <row r="2091" spans="3:34" ht="19.5" customHeight="1">
      <c r="C2091" s="449"/>
      <c r="D2091" s="68"/>
      <c r="E2091" s="68"/>
      <c r="G2091" s="98"/>
      <c r="H2091" s="68"/>
      <c r="I2091" s="68"/>
      <c r="N2091" s="398"/>
      <c r="R2091" s="50"/>
      <c r="S2091" s="47"/>
      <c r="T2091" s="98"/>
      <c r="U2091" s="98"/>
      <c r="AF2091" s="39"/>
      <c r="AG2091" s="490"/>
      <c r="AH2091" s="490"/>
    </row>
    <row r="2092" spans="3:34" ht="19.5" customHeight="1">
      <c r="C2092" s="449"/>
      <c r="D2092" s="68"/>
      <c r="E2092" s="68"/>
      <c r="G2092" s="98"/>
      <c r="H2092" s="68"/>
      <c r="I2092" s="68"/>
      <c r="N2092" s="398"/>
      <c r="R2092" s="50"/>
      <c r="S2092" s="47"/>
      <c r="T2092" s="98"/>
      <c r="U2092" s="98"/>
      <c r="AF2092" s="39"/>
      <c r="AG2092" s="490"/>
      <c r="AH2092" s="490"/>
    </row>
    <row r="2093" spans="3:34" ht="19.5" customHeight="1">
      <c r="C2093" s="449"/>
      <c r="D2093" s="68"/>
      <c r="E2093" s="68"/>
      <c r="G2093" s="98"/>
      <c r="H2093" s="68"/>
      <c r="I2093" s="68"/>
      <c r="N2093" s="398"/>
      <c r="R2093" s="50"/>
      <c r="S2093" s="47"/>
      <c r="T2093" s="98"/>
      <c r="U2093" s="98"/>
      <c r="AF2093" s="39"/>
      <c r="AG2093" s="490"/>
      <c r="AH2093" s="490"/>
    </row>
    <row r="2094" spans="3:34" ht="19.5" customHeight="1">
      <c r="C2094" s="449"/>
      <c r="D2094" s="68"/>
      <c r="E2094" s="68"/>
      <c r="G2094" s="98"/>
      <c r="H2094" s="68"/>
      <c r="I2094" s="68"/>
      <c r="N2094" s="398"/>
      <c r="R2094" s="50"/>
      <c r="S2094" s="47"/>
      <c r="T2094" s="98"/>
      <c r="U2094" s="98"/>
      <c r="AF2094" s="39"/>
      <c r="AG2094" s="490"/>
      <c r="AH2094" s="490"/>
    </row>
    <row r="2095" spans="3:34" ht="19.5" customHeight="1">
      <c r="C2095" s="449"/>
      <c r="D2095" s="68"/>
      <c r="E2095" s="68"/>
      <c r="G2095" s="98"/>
      <c r="H2095" s="68"/>
      <c r="I2095" s="68"/>
      <c r="N2095" s="398"/>
      <c r="R2095" s="50"/>
      <c r="S2095" s="47"/>
      <c r="T2095" s="98"/>
      <c r="U2095" s="98"/>
      <c r="AF2095" s="39"/>
      <c r="AG2095" s="490"/>
      <c r="AH2095" s="490"/>
    </row>
    <row r="2096" spans="3:34" ht="19.5" customHeight="1">
      <c r="C2096" s="449"/>
      <c r="D2096" s="68"/>
      <c r="E2096" s="68"/>
      <c r="G2096" s="98"/>
      <c r="H2096" s="68"/>
      <c r="I2096" s="68"/>
      <c r="N2096" s="398"/>
      <c r="R2096" s="50"/>
      <c r="S2096" s="47"/>
      <c r="T2096" s="98"/>
      <c r="U2096" s="98"/>
      <c r="AF2096" s="39"/>
      <c r="AG2096" s="490"/>
      <c r="AH2096" s="490"/>
    </row>
    <row r="2097" spans="3:34" ht="19.5" customHeight="1">
      <c r="C2097" s="449"/>
      <c r="D2097" s="68"/>
      <c r="E2097" s="68"/>
      <c r="G2097" s="98"/>
      <c r="H2097" s="68"/>
      <c r="I2097" s="68"/>
      <c r="N2097" s="398"/>
      <c r="R2097" s="50"/>
      <c r="S2097" s="47"/>
      <c r="T2097" s="98"/>
      <c r="U2097" s="98"/>
      <c r="AF2097" s="39"/>
      <c r="AG2097" s="490"/>
      <c r="AH2097" s="490"/>
    </row>
    <row r="2098" spans="3:34" ht="19.5" customHeight="1">
      <c r="C2098" s="449"/>
      <c r="D2098" s="68"/>
      <c r="E2098" s="68"/>
      <c r="G2098" s="98"/>
      <c r="H2098" s="68"/>
      <c r="I2098" s="68"/>
      <c r="N2098" s="398"/>
      <c r="R2098" s="50"/>
      <c r="S2098" s="47"/>
      <c r="T2098" s="98"/>
      <c r="U2098" s="98"/>
      <c r="AF2098" s="39"/>
      <c r="AG2098" s="490"/>
      <c r="AH2098" s="490"/>
    </row>
    <row r="2099" spans="3:34" ht="19.5" customHeight="1">
      <c r="C2099" s="449"/>
      <c r="D2099" s="68"/>
      <c r="E2099" s="68"/>
      <c r="G2099" s="98"/>
      <c r="H2099" s="68"/>
      <c r="I2099" s="68"/>
      <c r="N2099" s="398"/>
      <c r="R2099" s="50"/>
      <c r="S2099" s="47"/>
      <c r="T2099" s="98"/>
      <c r="U2099" s="98"/>
      <c r="AF2099" s="39"/>
      <c r="AG2099" s="490"/>
      <c r="AH2099" s="490"/>
    </row>
    <row r="2100" spans="3:34" ht="19.5" customHeight="1">
      <c r="C2100" s="449"/>
      <c r="D2100" s="68"/>
      <c r="E2100" s="68"/>
      <c r="G2100" s="98"/>
      <c r="H2100" s="68"/>
      <c r="I2100" s="68"/>
      <c r="N2100" s="398"/>
      <c r="R2100" s="50"/>
      <c r="S2100" s="47"/>
      <c r="T2100" s="98"/>
      <c r="U2100" s="98"/>
      <c r="AF2100" s="39"/>
      <c r="AG2100" s="490"/>
      <c r="AH2100" s="490"/>
    </row>
    <row r="2101" spans="3:34" ht="19.5" customHeight="1">
      <c r="C2101" s="449"/>
      <c r="D2101" s="68"/>
      <c r="E2101" s="68"/>
      <c r="G2101" s="98"/>
      <c r="H2101" s="68"/>
      <c r="I2101" s="68"/>
      <c r="N2101" s="398"/>
      <c r="R2101" s="50"/>
      <c r="S2101" s="47"/>
      <c r="T2101" s="98"/>
      <c r="U2101" s="98"/>
      <c r="AF2101" s="39"/>
      <c r="AG2101" s="490"/>
      <c r="AH2101" s="490"/>
    </row>
    <row r="2102" spans="3:34" ht="19.5" customHeight="1">
      <c r="C2102" s="449"/>
      <c r="D2102" s="68"/>
      <c r="E2102" s="68"/>
      <c r="G2102" s="98"/>
      <c r="H2102" s="68"/>
      <c r="I2102" s="68"/>
      <c r="N2102" s="398"/>
      <c r="R2102" s="50"/>
      <c r="S2102" s="47"/>
      <c r="T2102" s="98"/>
      <c r="U2102" s="98"/>
      <c r="AF2102" s="39"/>
      <c r="AG2102" s="490"/>
      <c r="AH2102" s="490"/>
    </row>
    <row r="2103" spans="3:34" ht="19.5" customHeight="1">
      <c r="C2103" s="449"/>
      <c r="D2103" s="68"/>
      <c r="E2103" s="68"/>
      <c r="G2103" s="98"/>
      <c r="H2103" s="68"/>
      <c r="I2103" s="68"/>
      <c r="N2103" s="398"/>
      <c r="R2103" s="50"/>
      <c r="S2103" s="47"/>
      <c r="T2103" s="98"/>
      <c r="U2103" s="98"/>
      <c r="AF2103" s="39"/>
      <c r="AG2103" s="490"/>
      <c r="AH2103" s="490"/>
    </row>
    <row r="2104" spans="3:34" ht="19.5" customHeight="1">
      <c r="C2104" s="449"/>
      <c r="D2104" s="68"/>
      <c r="E2104" s="68"/>
      <c r="G2104" s="98"/>
      <c r="H2104" s="68"/>
      <c r="I2104" s="68"/>
      <c r="N2104" s="398"/>
      <c r="R2104" s="50"/>
      <c r="S2104" s="47"/>
      <c r="T2104" s="98"/>
      <c r="U2104" s="98"/>
      <c r="AF2104" s="39"/>
      <c r="AG2104" s="490"/>
      <c r="AH2104" s="490"/>
    </row>
    <row r="2105" spans="3:34" ht="19.5" customHeight="1">
      <c r="C2105" s="449"/>
      <c r="D2105" s="68"/>
      <c r="E2105" s="68"/>
      <c r="G2105" s="98"/>
      <c r="H2105" s="68"/>
      <c r="I2105" s="68"/>
      <c r="N2105" s="398"/>
      <c r="R2105" s="50"/>
      <c r="S2105" s="47"/>
      <c r="T2105" s="98"/>
      <c r="U2105" s="98"/>
      <c r="AF2105" s="39"/>
      <c r="AG2105" s="490"/>
      <c r="AH2105" s="490"/>
    </row>
    <row r="2106" spans="3:34" ht="19.5" customHeight="1">
      <c r="C2106" s="449"/>
      <c r="D2106" s="68"/>
      <c r="E2106" s="68"/>
      <c r="G2106" s="98"/>
      <c r="H2106" s="68"/>
      <c r="I2106" s="68"/>
      <c r="N2106" s="398"/>
      <c r="R2106" s="50"/>
      <c r="S2106" s="47"/>
      <c r="T2106" s="98"/>
      <c r="U2106" s="98"/>
      <c r="AF2106" s="39"/>
      <c r="AG2106" s="490"/>
      <c r="AH2106" s="490"/>
    </row>
    <row r="2107" spans="3:34" ht="19.5" customHeight="1">
      <c r="C2107" s="449"/>
      <c r="D2107" s="68"/>
      <c r="E2107" s="68"/>
      <c r="G2107" s="98"/>
      <c r="H2107" s="68"/>
      <c r="I2107" s="68"/>
      <c r="N2107" s="398"/>
      <c r="R2107" s="50"/>
      <c r="S2107" s="47"/>
      <c r="T2107" s="98"/>
      <c r="U2107" s="98"/>
      <c r="AF2107" s="39"/>
      <c r="AG2107" s="490"/>
      <c r="AH2107" s="490"/>
    </row>
    <row r="2108" spans="3:34" ht="19.5" customHeight="1">
      <c r="C2108" s="449"/>
      <c r="D2108" s="68"/>
      <c r="E2108" s="68"/>
      <c r="G2108" s="98"/>
      <c r="H2108" s="68"/>
      <c r="I2108" s="68"/>
      <c r="N2108" s="398"/>
      <c r="R2108" s="50"/>
      <c r="S2108" s="47"/>
      <c r="T2108" s="98"/>
      <c r="U2108" s="98"/>
      <c r="AF2108" s="39"/>
      <c r="AG2108" s="490"/>
      <c r="AH2108" s="490"/>
    </row>
    <row r="2109" spans="3:34" ht="19.5" customHeight="1">
      <c r="C2109" s="449"/>
      <c r="D2109" s="68"/>
      <c r="E2109" s="68"/>
      <c r="G2109" s="98"/>
      <c r="H2109" s="68"/>
      <c r="I2109" s="68"/>
      <c r="N2109" s="398"/>
      <c r="R2109" s="50"/>
      <c r="S2109" s="47"/>
      <c r="T2109" s="98"/>
      <c r="U2109" s="98"/>
      <c r="AF2109" s="39"/>
      <c r="AG2109" s="490"/>
      <c r="AH2109" s="490"/>
    </row>
    <row r="2110" spans="3:34" ht="19.5" customHeight="1">
      <c r="C2110" s="449"/>
      <c r="D2110" s="68"/>
      <c r="E2110" s="68"/>
      <c r="G2110" s="98"/>
      <c r="H2110" s="68"/>
      <c r="I2110" s="68"/>
      <c r="N2110" s="398"/>
      <c r="R2110" s="50"/>
      <c r="S2110" s="47"/>
      <c r="T2110" s="98"/>
      <c r="U2110" s="98"/>
      <c r="AF2110" s="39"/>
      <c r="AG2110" s="490"/>
      <c r="AH2110" s="490"/>
    </row>
    <row r="2111" spans="3:34" ht="19.5" customHeight="1">
      <c r="C2111" s="449"/>
      <c r="D2111" s="68"/>
      <c r="E2111" s="68"/>
      <c r="G2111" s="98"/>
      <c r="H2111" s="68"/>
      <c r="I2111" s="68"/>
      <c r="N2111" s="398"/>
      <c r="R2111" s="50"/>
      <c r="S2111" s="47"/>
      <c r="T2111" s="98"/>
      <c r="U2111" s="98"/>
      <c r="AF2111" s="39"/>
      <c r="AG2111" s="490"/>
      <c r="AH2111" s="490"/>
    </row>
    <row r="2112" spans="3:34" ht="19.5" customHeight="1">
      <c r="C2112" s="449"/>
      <c r="D2112" s="68"/>
      <c r="E2112" s="68"/>
      <c r="G2112" s="98"/>
      <c r="H2112" s="68"/>
      <c r="I2112" s="68"/>
      <c r="N2112" s="398"/>
      <c r="R2112" s="50"/>
      <c r="S2112" s="47"/>
      <c r="T2112" s="98"/>
      <c r="U2112" s="98"/>
      <c r="AF2112" s="39"/>
      <c r="AG2112" s="490"/>
      <c r="AH2112" s="490"/>
    </row>
    <row r="2113" spans="3:34" ht="19.5" customHeight="1">
      <c r="C2113" s="449"/>
      <c r="D2113" s="68"/>
      <c r="E2113" s="68"/>
      <c r="G2113" s="98"/>
      <c r="H2113" s="68"/>
      <c r="I2113" s="68"/>
      <c r="N2113" s="398"/>
      <c r="R2113" s="50"/>
      <c r="S2113" s="47"/>
      <c r="T2113" s="98"/>
      <c r="U2113" s="98"/>
      <c r="AF2113" s="39"/>
      <c r="AG2113" s="490"/>
      <c r="AH2113" s="490"/>
    </row>
    <row r="2114" spans="3:34" ht="19.5" customHeight="1">
      <c r="C2114" s="449"/>
      <c r="D2114" s="68"/>
      <c r="E2114" s="68"/>
      <c r="G2114" s="98"/>
      <c r="H2114" s="68"/>
      <c r="I2114" s="68"/>
      <c r="N2114" s="398"/>
      <c r="R2114" s="50"/>
      <c r="S2114" s="47"/>
      <c r="T2114" s="98"/>
      <c r="U2114" s="98"/>
      <c r="AF2114" s="39"/>
      <c r="AG2114" s="490"/>
      <c r="AH2114" s="490"/>
    </row>
    <row r="2115" spans="3:34" ht="19.5" customHeight="1">
      <c r="C2115" s="449"/>
      <c r="D2115" s="68"/>
      <c r="E2115" s="68"/>
      <c r="G2115" s="98"/>
      <c r="H2115" s="68"/>
      <c r="I2115" s="68"/>
      <c r="N2115" s="398"/>
      <c r="R2115" s="50"/>
      <c r="S2115" s="47"/>
      <c r="T2115" s="98"/>
      <c r="U2115" s="98"/>
      <c r="AF2115" s="39"/>
      <c r="AG2115" s="490"/>
      <c r="AH2115" s="490"/>
    </row>
    <row r="2116" spans="3:34" ht="19.5" customHeight="1">
      <c r="C2116" s="449"/>
      <c r="D2116" s="68"/>
      <c r="E2116" s="68"/>
      <c r="G2116" s="98"/>
      <c r="H2116" s="68"/>
      <c r="I2116" s="68"/>
      <c r="N2116" s="398"/>
      <c r="R2116" s="50"/>
      <c r="S2116" s="47"/>
      <c r="T2116" s="98"/>
      <c r="U2116" s="98"/>
      <c r="AF2116" s="39"/>
      <c r="AG2116" s="490"/>
      <c r="AH2116" s="490"/>
    </row>
    <row r="2117" spans="3:34" ht="19.5" customHeight="1">
      <c r="C2117" s="449"/>
      <c r="D2117" s="68"/>
      <c r="E2117" s="68"/>
      <c r="G2117" s="98"/>
      <c r="H2117" s="68"/>
      <c r="I2117" s="68"/>
      <c r="N2117" s="398"/>
      <c r="R2117" s="50"/>
      <c r="S2117" s="47"/>
      <c r="T2117" s="98"/>
      <c r="U2117" s="98"/>
      <c r="AF2117" s="39"/>
      <c r="AG2117" s="490"/>
      <c r="AH2117" s="490"/>
    </row>
    <row r="2118" spans="3:34" ht="19.5" customHeight="1">
      <c r="C2118" s="449"/>
      <c r="D2118" s="68"/>
      <c r="E2118" s="68"/>
      <c r="G2118" s="98"/>
      <c r="H2118" s="68"/>
      <c r="I2118" s="68"/>
      <c r="N2118" s="398"/>
      <c r="R2118" s="50"/>
      <c r="S2118" s="47"/>
      <c r="T2118" s="98"/>
      <c r="U2118" s="98"/>
      <c r="AF2118" s="39"/>
      <c r="AG2118" s="490"/>
      <c r="AH2118" s="490"/>
    </row>
    <row r="2119" spans="3:34" ht="19.5" customHeight="1">
      <c r="C2119" s="449"/>
      <c r="D2119" s="68"/>
      <c r="E2119" s="68"/>
      <c r="G2119" s="98"/>
      <c r="H2119" s="68"/>
      <c r="I2119" s="68"/>
      <c r="N2119" s="398"/>
      <c r="R2119" s="50"/>
      <c r="S2119" s="47"/>
      <c r="T2119" s="98"/>
      <c r="U2119" s="98"/>
      <c r="AF2119" s="39"/>
      <c r="AG2119" s="490"/>
      <c r="AH2119" s="490"/>
    </row>
    <row r="2120" spans="3:34" ht="19.5" customHeight="1">
      <c r="C2120" s="449"/>
      <c r="D2120" s="68"/>
      <c r="E2120" s="68"/>
      <c r="G2120" s="98"/>
      <c r="H2120" s="68"/>
      <c r="I2120" s="68"/>
      <c r="N2120" s="398"/>
      <c r="R2120" s="50"/>
      <c r="S2120" s="47"/>
      <c r="T2120" s="98"/>
      <c r="U2120" s="98"/>
      <c r="AF2120" s="39"/>
      <c r="AG2120" s="490"/>
      <c r="AH2120" s="490"/>
    </row>
    <row r="2121" spans="3:34" ht="19.5" customHeight="1">
      <c r="C2121" s="449"/>
      <c r="D2121" s="68"/>
      <c r="E2121" s="68"/>
      <c r="G2121" s="98"/>
      <c r="H2121" s="68"/>
      <c r="I2121" s="68"/>
      <c r="N2121" s="398"/>
      <c r="R2121" s="50"/>
      <c r="S2121" s="47"/>
      <c r="T2121" s="98"/>
      <c r="U2121" s="98"/>
      <c r="AF2121" s="39"/>
      <c r="AG2121" s="490"/>
      <c r="AH2121" s="490"/>
    </row>
    <row r="2122" spans="3:34" ht="19.5" customHeight="1">
      <c r="C2122" s="449"/>
      <c r="D2122" s="68"/>
      <c r="E2122" s="68"/>
      <c r="G2122" s="98"/>
      <c r="H2122" s="68"/>
      <c r="I2122" s="68"/>
      <c r="N2122" s="398"/>
      <c r="R2122" s="50"/>
      <c r="S2122" s="47"/>
      <c r="T2122" s="98"/>
      <c r="U2122" s="98"/>
      <c r="AF2122" s="39"/>
      <c r="AG2122" s="490"/>
      <c r="AH2122" s="490"/>
    </row>
    <row r="2123" spans="3:34" ht="19.5" customHeight="1">
      <c r="C2123" s="449"/>
      <c r="D2123" s="68"/>
      <c r="E2123" s="68"/>
      <c r="G2123" s="98"/>
      <c r="H2123" s="68"/>
      <c r="I2123" s="68"/>
      <c r="N2123" s="398"/>
      <c r="R2123" s="50"/>
      <c r="S2123" s="47"/>
      <c r="T2123" s="98"/>
      <c r="U2123" s="98"/>
      <c r="AF2123" s="39"/>
      <c r="AG2123" s="490"/>
      <c r="AH2123" s="490"/>
    </row>
    <row r="2124" spans="3:34" ht="19.5" customHeight="1">
      <c r="C2124" s="449"/>
      <c r="D2124" s="68"/>
      <c r="E2124" s="68"/>
      <c r="G2124" s="98"/>
      <c r="H2124" s="68"/>
      <c r="I2124" s="68"/>
      <c r="N2124" s="398"/>
      <c r="R2124" s="50"/>
      <c r="S2124" s="47"/>
      <c r="T2124" s="98"/>
      <c r="U2124" s="98"/>
      <c r="AF2124" s="39"/>
      <c r="AG2124" s="490"/>
      <c r="AH2124" s="490"/>
    </row>
    <row r="2125" spans="3:34" ht="19.5" customHeight="1">
      <c r="C2125" s="449"/>
      <c r="D2125" s="68"/>
      <c r="E2125" s="68"/>
      <c r="G2125" s="98"/>
      <c r="H2125" s="68"/>
      <c r="I2125" s="68"/>
      <c r="N2125" s="398"/>
      <c r="R2125" s="50"/>
      <c r="S2125" s="47"/>
      <c r="T2125" s="98"/>
      <c r="U2125" s="98"/>
      <c r="AF2125" s="39"/>
      <c r="AG2125" s="490"/>
      <c r="AH2125" s="490"/>
    </row>
    <row r="2126" spans="3:34" ht="19.5" customHeight="1">
      <c r="C2126" s="449"/>
      <c r="D2126" s="68"/>
      <c r="E2126" s="68"/>
      <c r="G2126" s="98"/>
      <c r="H2126" s="68"/>
      <c r="I2126" s="68"/>
      <c r="N2126" s="398"/>
      <c r="R2126" s="50"/>
      <c r="S2126" s="47"/>
      <c r="T2126" s="98"/>
      <c r="U2126" s="98"/>
      <c r="AF2126" s="39"/>
      <c r="AG2126" s="490"/>
      <c r="AH2126" s="490"/>
    </row>
    <row r="2127" spans="3:34" ht="19.5" customHeight="1">
      <c r="C2127" s="449"/>
      <c r="D2127" s="68"/>
      <c r="E2127" s="68"/>
      <c r="G2127" s="98"/>
      <c r="H2127" s="68"/>
      <c r="I2127" s="68"/>
      <c r="N2127" s="398"/>
      <c r="R2127" s="50"/>
      <c r="S2127" s="47"/>
      <c r="T2127" s="98"/>
      <c r="U2127" s="98"/>
      <c r="AF2127" s="39"/>
      <c r="AG2127" s="490"/>
      <c r="AH2127" s="490"/>
    </row>
    <row r="2128" spans="3:34" ht="19.5" customHeight="1">
      <c r="C2128" s="449"/>
      <c r="D2128" s="68"/>
      <c r="E2128" s="68"/>
      <c r="G2128" s="98"/>
      <c r="H2128" s="68"/>
      <c r="I2128" s="68"/>
      <c r="N2128" s="398"/>
      <c r="R2128" s="50"/>
      <c r="S2128" s="47"/>
      <c r="T2128" s="98"/>
      <c r="U2128" s="98"/>
      <c r="AF2128" s="39"/>
      <c r="AG2128" s="490"/>
      <c r="AH2128" s="490"/>
    </row>
    <row r="2129" spans="3:34" ht="19.5" customHeight="1">
      <c r="C2129" s="449"/>
      <c r="D2129" s="68"/>
      <c r="E2129" s="68"/>
      <c r="G2129" s="98"/>
      <c r="H2129" s="68"/>
      <c r="I2129" s="68"/>
      <c r="N2129" s="398"/>
      <c r="R2129" s="50"/>
      <c r="S2129" s="47"/>
      <c r="T2129" s="98"/>
      <c r="U2129" s="98"/>
      <c r="AF2129" s="39"/>
      <c r="AG2129" s="490"/>
      <c r="AH2129" s="490"/>
    </row>
    <row r="2130" spans="3:34" ht="19.5" customHeight="1">
      <c r="C2130" s="449"/>
      <c r="D2130" s="68"/>
      <c r="E2130" s="68"/>
      <c r="G2130" s="98"/>
      <c r="H2130" s="68"/>
      <c r="I2130" s="68"/>
      <c r="N2130" s="398"/>
      <c r="R2130" s="50"/>
      <c r="S2130" s="47"/>
      <c r="T2130" s="98"/>
      <c r="U2130" s="98"/>
      <c r="AF2130" s="39"/>
      <c r="AG2130" s="490"/>
      <c r="AH2130" s="490"/>
    </row>
    <row r="2131" spans="3:34" ht="19.5" customHeight="1">
      <c r="C2131" s="449"/>
      <c r="D2131" s="68"/>
      <c r="E2131" s="68"/>
      <c r="G2131" s="98"/>
      <c r="H2131" s="68"/>
      <c r="I2131" s="68"/>
      <c r="N2131" s="398"/>
      <c r="R2131" s="50"/>
      <c r="S2131" s="47"/>
      <c r="T2131" s="98"/>
      <c r="U2131" s="98"/>
      <c r="AF2131" s="39"/>
      <c r="AG2131" s="490"/>
      <c r="AH2131" s="490"/>
    </row>
    <row r="2132" spans="3:34" ht="19.5" customHeight="1">
      <c r="C2132" s="449"/>
      <c r="D2132" s="68"/>
      <c r="E2132" s="68"/>
      <c r="G2132" s="98"/>
      <c r="H2132" s="68"/>
      <c r="I2132" s="68"/>
      <c r="N2132" s="398"/>
      <c r="R2132" s="50"/>
      <c r="S2132" s="47"/>
      <c r="T2132" s="98"/>
      <c r="U2132" s="98"/>
      <c r="AF2132" s="39"/>
      <c r="AG2132" s="490"/>
      <c r="AH2132" s="490"/>
    </row>
    <row r="2133" spans="3:34" ht="19.5" customHeight="1">
      <c r="C2133" s="449"/>
      <c r="D2133" s="68"/>
      <c r="E2133" s="68"/>
      <c r="G2133" s="98"/>
      <c r="H2133" s="68"/>
      <c r="I2133" s="68"/>
      <c r="N2133" s="398"/>
      <c r="R2133" s="50"/>
      <c r="S2133" s="47"/>
      <c r="T2133" s="98"/>
      <c r="U2133" s="98"/>
      <c r="AF2133" s="39"/>
      <c r="AG2133" s="490"/>
      <c r="AH2133" s="490"/>
    </row>
    <row r="2134" spans="3:34" ht="19.5" customHeight="1">
      <c r="C2134" s="449"/>
      <c r="D2134" s="68"/>
      <c r="E2134" s="68"/>
      <c r="G2134" s="98"/>
      <c r="H2134" s="68"/>
      <c r="I2134" s="68"/>
      <c r="N2134" s="398"/>
      <c r="R2134" s="50"/>
      <c r="S2134" s="47"/>
      <c r="T2134" s="98"/>
      <c r="U2134" s="98"/>
      <c r="AF2134" s="39"/>
      <c r="AG2134" s="490"/>
      <c r="AH2134" s="490"/>
    </row>
    <row r="2135" spans="3:34" ht="19.5" customHeight="1">
      <c r="C2135" s="449"/>
      <c r="D2135" s="68"/>
      <c r="E2135" s="68"/>
      <c r="G2135" s="98"/>
      <c r="H2135" s="68"/>
      <c r="I2135" s="68"/>
      <c r="N2135" s="398"/>
      <c r="R2135" s="50"/>
      <c r="S2135" s="47"/>
      <c r="T2135" s="98"/>
      <c r="U2135" s="98"/>
      <c r="AF2135" s="39"/>
      <c r="AG2135" s="490"/>
      <c r="AH2135" s="490"/>
    </row>
    <row r="2136" spans="3:34" ht="19.5" customHeight="1">
      <c r="C2136" s="449"/>
      <c r="D2136" s="68"/>
      <c r="E2136" s="68"/>
      <c r="G2136" s="98"/>
      <c r="H2136" s="68"/>
      <c r="I2136" s="68"/>
      <c r="N2136" s="398"/>
      <c r="R2136" s="50"/>
      <c r="S2136" s="47"/>
      <c r="T2136" s="98"/>
      <c r="U2136" s="98"/>
      <c r="AF2136" s="39"/>
      <c r="AG2136" s="490"/>
      <c r="AH2136" s="490"/>
    </row>
    <row r="2137" spans="3:34" ht="19.5" customHeight="1">
      <c r="C2137" s="449"/>
      <c r="D2137" s="68"/>
      <c r="E2137" s="68"/>
      <c r="G2137" s="98"/>
      <c r="H2137" s="68"/>
      <c r="I2137" s="68"/>
      <c r="N2137" s="398"/>
      <c r="R2137" s="50"/>
      <c r="S2137" s="47"/>
      <c r="T2137" s="98"/>
      <c r="U2137" s="98"/>
      <c r="AF2137" s="39"/>
      <c r="AG2137" s="490"/>
      <c r="AH2137" s="490"/>
    </row>
    <row r="2138" spans="3:34" ht="19.5" customHeight="1">
      <c r="C2138" s="449"/>
      <c r="D2138" s="68"/>
      <c r="E2138" s="68"/>
      <c r="G2138" s="98"/>
      <c r="H2138" s="68"/>
      <c r="I2138" s="68"/>
      <c r="N2138" s="398"/>
      <c r="R2138" s="50"/>
      <c r="S2138" s="47"/>
      <c r="T2138" s="98"/>
      <c r="U2138" s="98"/>
      <c r="AF2138" s="39"/>
      <c r="AG2138" s="490"/>
      <c r="AH2138" s="490"/>
    </row>
    <row r="2139" spans="3:34" ht="19.5" customHeight="1">
      <c r="C2139" s="449"/>
      <c r="D2139" s="68"/>
      <c r="E2139" s="68"/>
      <c r="G2139" s="98"/>
      <c r="H2139" s="68"/>
      <c r="I2139" s="68"/>
      <c r="N2139" s="398"/>
      <c r="R2139" s="50"/>
      <c r="S2139" s="47"/>
      <c r="T2139" s="98"/>
      <c r="U2139" s="98"/>
      <c r="AF2139" s="39"/>
      <c r="AG2139" s="490"/>
      <c r="AH2139" s="490"/>
    </row>
    <row r="2140" spans="3:34" ht="19.5" customHeight="1">
      <c r="C2140" s="449"/>
      <c r="D2140" s="68"/>
      <c r="E2140" s="68"/>
      <c r="G2140" s="98"/>
      <c r="H2140" s="68"/>
      <c r="I2140" s="68"/>
      <c r="N2140" s="398"/>
      <c r="R2140" s="50"/>
      <c r="S2140" s="47"/>
      <c r="T2140" s="98"/>
      <c r="U2140" s="98"/>
      <c r="AF2140" s="39"/>
      <c r="AG2140" s="490"/>
      <c r="AH2140" s="490"/>
    </row>
    <row r="2141" spans="3:34" ht="19.5" customHeight="1">
      <c r="C2141" s="449"/>
      <c r="D2141" s="68"/>
      <c r="E2141" s="68"/>
      <c r="G2141" s="98"/>
      <c r="H2141" s="68"/>
      <c r="I2141" s="68"/>
      <c r="N2141" s="398"/>
      <c r="R2141" s="50"/>
      <c r="S2141" s="47"/>
      <c r="T2141" s="98"/>
      <c r="U2141" s="98"/>
      <c r="AF2141" s="39"/>
      <c r="AG2141" s="490"/>
      <c r="AH2141" s="490"/>
    </row>
    <row r="2142" spans="3:34" ht="19.5" customHeight="1">
      <c r="C2142" s="449"/>
      <c r="D2142" s="68"/>
      <c r="E2142" s="68"/>
      <c r="G2142" s="98"/>
      <c r="H2142" s="68"/>
      <c r="I2142" s="68"/>
      <c r="N2142" s="398"/>
      <c r="R2142" s="50"/>
      <c r="S2142" s="47"/>
      <c r="T2142" s="98"/>
      <c r="U2142" s="98"/>
      <c r="AF2142" s="39"/>
      <c r="AG2142" s="490"/>
      <c r="AH2142" s="490"/>
    </row>
    <row r="2143" spans="3:34" ht="19.5" customHeight="1">
      <c r="C2143" s="449"/>
      <c r="D2143" s="68"/>
      <c r="E2143" s="68"/>
      <c r="G2143" s="98"/>
      <c r="H2143" s="68"/>
      <c r="I2143" s="68"/>
      <c r="N2143" s="398"/>
      <c r="R2143" s="50"/>
      <c r="S2143" s="47"/>
      <c r="T2143" s="98"/>
      <c r="U2143" s="98"/>
      <c r="AF2143" s="39"/>
      <c r="AG2143" s="490"/>
      <c r="AH2143" s="490"/>
    </row>
    <row r="2144" spans="3:34" ht="19.5" customHeight="1">
      <c r="C2144" s="449"/>
      <c r="D2144" s="68"/>
      <c r="E2144" s="68"/>
      <c r="G2144" s="98"/>
      <c r="H2144" s="68"/>
      <c r="I2144" s="68"/>
      <c r="N2144" s="398"/>
      <c r="R2144" s="50"/>
      <c r="S2144" s="47"/>
      <c r="T2144" s="98"/>
      <c r="U2144" s="98"/>
      <c r="AF2144" s="39"/>
      <c r="AG2144" s="490"/>
      <c r="AH2144" s="490"/>
    </row>
    <row r="2145" spans="3:34" ht="19.5" customHeight="1">
      <c r="C2145" s="449"/>
      <c r="D2145" s="68"/>
      <c r="E2145" s="68"/>
      <c r="G2145" s="98"/>
      <c r="H2145" s="68"/>
      <c r="I2145" s="68"/>
      <c r="N2145" s="398"/>
      <c r="R2145" s="50"/>
      <c r="S2145" s="47"/>
      <c r="T2145" s="98"/>
      <c r="U2145" s="98"/>
      <c r="AF2145" s="39"/>
      <c r="AG2145" s="490"/>
      <c r="AH2145" s="490"/>
    </row>
    <row r="2146" spans="3:34" ht="19.5" customHeight="1">
      <c r="C2146" s="449"/>
      <c r="D2146" s="68"/>
      <c r="E2146" s="68"/>
      <c r="G2146" s="98"/>
      <c r="H2146" s="68"/>
      <c r="I2146" s="68"/>
      <c r="N2146" s="398"/>
      <c r="R2146" s="50"/>
      <c r="S2146" s="47"/>
      <c r="T2146" s="98"/>
      <c r="U2146" s="98"/>
      <c r="AF2146" s="39"/>
      <c r="AG2146" s="490"/>
      <c r="AH2146" s="490"/>
    </row>
    <row r="2147" spans="3:34" ht="19.5" customHeight="1">
      <c r="C2147" s="449"/>
      <c r="D2147" s="68"/>
      <c r="E2147" s="68"/>
      <c r="G2147" s="98"/>
      <c r="H2147" s="68"/>
      <c r="I2147" s="68"/>
      <c r="N2147" s="398"/>
      <c r="R2147" s="50"/>
      <c r="S2147" s="47"/>
      <c r="T2147" s="98"/>
      <c r="U2147" s="98"/>
      <c r="AF2147" s="39"/>
      <c r="AG2147" s="490"/>
      <c r="AH2147" s="490"/>
    </row>
    <row r="2148" spans="3:34" ht="19.5" customHeight="1">
      <c r="C2148" s="449"/>
      <c r="D2148" s="68"/>
      <c r="E2148" s="68"/>
      <c r="G2148" s="98"/>
      <c r="H2148" s="68"/>
      <c r="I2148" s="68"/>
      <c r="N2148" s="398"/>
      <c r="R2148" s="50"/>
      <c r="S2148" s="47"/>
      <c r="T2148" s="98"/>
      <c r="U2148" s="98"/>
      <c r="AF2148" s="39"/>
      <c r="AG2148" s="490"/>
      <c r="AH2148" s="490"/>
    </row>
    <row r="2149" spans="3:34" ht="19.5" customHeight="1">
      <c r="C2149" s="449"/>
      <c r="D2149" s="68"/>
      <c r="E2149" s="68"/>
      <c r="G2149" s="98"/>
      <c r="H2149" s="68"/>
      <c r="I2149" s="68"/>
      <c r="N2149" s="398"/>
      <c r="R2149" s="50"/>
      <c r="S2149" s="47"/>
      <c r="T2149" s="98"/>
      <c r="U2149" s="98"/>
      <c r="AF2149" s="39"/>
      <c r="AG2149" s="490"/>
      <c r="AH2149" s="490"/>
    </row>
    <row r="2150" spans="3:34" ht="19.5" customHeight="1">
      <c r="C2150" s="449"/>
      <c r="D2150" s="68"/>
      <c r="E2150" s="68"/>
      <c r="G2150" s="98"/>
      <c r="H2150" s="68"/>
      <c r="I2150" s="68"/>
      <c r="N2150" s="398"/>
      <c r="R2150" s="50"/>
      <c r="S2150" s="47"/>
      <c r="T2150" s="98"/>
      <c r="U2150" s="98"/>
      <c r="AF2150" s="39"/>
      <c r="AG2150" s="490"/>
      <c r="AH2150" s="490"/>
    </row>
    <row r="2151" spans="3:34" ht="19.5" customHeight="1">
      <c r="C2151" s="449"/>
      <c r="D2151" s="68"/>
      <c r="E2151" s="68"/>
      <c r="G2151" s="98"/>
      <c r="H2151" s="68"/>
      <c r="I2151" s="68"/>
      <c r="N2151" s="398"/>
      <c r="R2151" s="50"/>
      <c r="S2151" s="47"/>
      <c r="T2151" s="98"/>
      <c r="U2151" s="98"/>
      <c r="AF2151" s="39"/>
      <c r="AG2151" s="490"/>
      <c r="AH2151" s="490"/>
    </row>
    <row r="2152" spans="3:34" ht="19.5" customHeight="1">
      <c r="C2152" s="449"/>
      <c r="D2152" s="68"/>
      <c r="E2152" s="68"/>
      <c r="G2152" s="98"/>
      <c r="H2152" s="68"/>
      <c r="I2152" s="68"/>
      <c r="N2152" s="398"/>
      <c r="R2152" s="50"/>
      <c r="S2152" s="47"/>
      <c r="T2152" s="98"/>
      <c r="U2152" s="98"/>
      <c r="AF2152" s="39"/>
      <c r="AG2152" s="490"/>
      <c r="AH2152" s="490"/>
    </row>
    <row r="2153" spans="3:34" ht="19.5" customHeight="1">
      <c r="C2153" s="449"/>
      <c r="D2153" s="68"/>
      <c r="E2153" s="68"/>
      <c r="G2153" s="98"/>
      <c r="H2153" s="68"/>
      <c r="I2153" s="68"/>
      <c r="N2153" s="398"/>
      <c r="R2153" s="50"/>
      <c r="S2153" s="47"/>
      <c r="T2153" s="98"/>
      <c r="U2153" s="98"/>
      <c r="AF2153" s="39"/>
      <c r="AG2153" s="490"/>
      <c r="AH2153" s="490"/>
    </row>
    <row r="2154" spans="3:34" ht="19.5" customHeight="1">
      <c r="C2154" s="449"/>
      <c r="D2154" s="68"/>
      <c r="E2154" s="68"/>
      <c r="G2154" s="98"/>
      <c r="H2154" s="68"/>
      <c r="I2154" s="68"/>
      <c r="N2154" s="398"/>
      <c r="R2154" s="50"/>
      <c r="S2154" s="47"/>
      <c r="T2154" s="98"/>
      <c r="U2154" s="98"/>
      <c r="AF2154" s="39"/>
      <c r="AG2154" s="490"/>
      <c r="AH2154" s="490"/>
    </row>
    <row r="2155" spans="3:34" ht="19.5" customHeight="1">
      <c r="C2155" s="449"/>
      <c r="D2155" s="68"/>
      <c r="E2155" s="68"/>
      <c r="G2155" s="98"/>
      <c r="H2155" s="68"/>
      <c r="I2155" s="68"/>
      <c r="N2155" s="398"/>
      <c r="R2155" s="50"/>
      <c r="S2155" s="47"/>
      <c r="T2155" s="98"/>
      <c r="U2155" s="98"/>
      <c r="AF2155" s="39"/>
      <c r="AG2155" s="490"/>
      <c r="AH2155" s="490"/>
    </row>
    <row r="2156" spans="3:34" ht="19.5" customHeight="1">
      <c r="C2156" s="449"/>
      <c r="D2156" s="68"/>
      <c r="E2156" s="68"/>
      <c r="G2156" s="98"/>
      <c r="H2156" s="68"/>
      <c r="I2156" s="68"/>
      <c r="N2156" s="398"/>
      <c r="R2156" s="50"/>
      <c r="S2156" s="47"/>
      <c r="T2156" s="98"/>
      <c r="U2156" s="98"/>
      <c r="AF2156" s="39"/>
      <c r="AG2156" s="490"/>
      <c r="AH2156" s="490"/>
    </row>
    <row r="2157" spans="3:34" ht="19.5" customHeight="1">
      <c r="C2157" s="449"/>
      <c r="D2157" s="68"/>
      <c r="E2157" s="68"/>
      <c r="G2157" s="98"/>
      <c r="H2157" s="68"/>
      <c r="I2157" s="68"/>
      <c r="N2157" s="398"/>
      <c r="R2157" s="50"/>
      <c r="S2157" s="47"/>
      <c r="T2157" s="98"/>
      <c r="U2157" s="98"/>
      <c r="AF2157" s="39"/>
      <c r="AG2157" s="490"/>
      <c r="AH2157" s="490"/>
    </row>
    <row r="2158" spans="3:34" ht="19.5" customHeight="1">
      <c r="C2158" s="449"/>
      <c r="D2158" s="68"/>
      <c r="E2158" s="68"/>
      <c r="G2158" s="98"/>
      <c r="H2158" s="68"/>
      <c r="I2158" s="68"/>
      <c r="N2158" s="398"/>
      <c r="R2158" s="50"/>
      <c r="S2158" s="47"/>
      <c r="T2158" s="98"/>
      <c r="U2158" s="98"/>
      <c r="AF2158" s="39"/>
      <c r="AG2158" s="490"/>
      <c r="AH2158" s="490"/>
    </row>
    <row r="2159" spans="3:34" ht="19.5" customHeight="1">
      <c r="C2159" s="449"/>
      <c r="D2159" s="68"/>
      <c r="E2159" s="68"/>
      <c r="G2159" s="98"/>
      <c r="H2159" s="68"/>
      <c r="I2159" s="68"/>
      <c r="N2159" s="398"/>
      <c r="R2159" s="50"/>
      <c r="S2159" s="47"/>
      <c r="T2159" s="98"/>
      <c r="U2159" s="98"/>
      <c r="AF2159" s="39"/>
      <c r="AG2159" s="490"/>
      <c r="AH2159" s="490"/>
    </row>
    <row r="2160" spans="3:34" ht="19.5" customHeight="1">
      <c r="C2160" s="449"/>
      <c r="D2160" s="68"/>
      <c r="E2160" s="68"/>
      <c r="G2160" s="98"/>
      <c r="H2160" s="68"/>
      <c r="I2160" s="68"/>
      <c r="N2160" s="398"/>
      <c r="R2160" s="50"/>
      <c r="S2160" s="47"/>
      <c r="T2160" s="98"/>
      <c r="U2160" s="98"/>
      <c r="AF2160" s="39"/>
      <c r="AG2160" s="490"/>
      <c r="AH2160" s="490"/>
    </row>
    <row r="2161" spans="3:34" ht="19.5" customHeight="1">
      <c r="C2161" s="449"/>
      <c r="D2161" s="68"/>
      <c r="E2161" s="68"/>
      <c r="G2161" s="98"/>
      <c r="H2161" s="68"/>
      <c r="I2161" s="68"/>
      <c r="N2161" s="398"/>
      <c r="R2161" s="50"/>
      <c r="S2161" s="47"/>
      <c r="T2161" s="98"/>
      <c r="U2161" s="98"/>
      <c r="AF2161" s="39"/>
      <c r="AG2161" s="490"/>
      <c r="AH2161" s="490"/>
    </row>
    <row r="2162" spans="3:34" ht="19.5" customHeight="1">
      <c r="C2162" s="449"/>
      <c r="D2162" s="68"/>
      <c r="E2162" s="68"/>
      <c r="G2162" s="98"/>
      <c r="H2162" s="68"/>
      <c r="I2162" s="68"/>
      <c r="N2162" s="398"/>
      <c r="R2162" s="50"/>
      <c r="S2162" s="47"/>
      <c r="T2162" s="98"/>
      <c r="U2162" s="98"/>
      <c r="AF2162" s="39"/>
      <c r="AG2162" s="490"/>
      <c r="AH2162" s="490"/>
    </row>
    <row r="2163" spans="3:34" ht="19.5" customHeight="1">
      <c r="C2163" s="449"/>
      <c r="D2163" s="68"/>
      <c r="E2163" s="68"/>
      <c r="G2163" s="98"/>
      <c r="H2163" s="68"/>
      <c r="I2163" s="68"/>
      <c r="N2163" s="398"/>
      <c r="R2163" s="50"/>
      <c r="S2163" s="47"/>
      <c r="T2163" s="98"/>
      <c r="U2163" s="98"/>
      <c r="AF2163" s="39"/>
      <c r="AG2163" s="490"/>
      <c r="AH2163" s="490"/>
    </row>
    <row r="2164" spans="3:34" ht="19.5" customHeight="1">
      <c r="C2164" s="449"/>
      <c r="D2164" s="68"/>
      <c r="E2164" s="68"/>
      <c r="G2164" s="98"/>
      <c r="H2164" s="68"/>
      <c r="I2164" s="68"/>
      <c r="N2164" s="398"/>
      <c r="R2164" s="50"/>
      <c r="S2164" s="47"/>
      <c r="T2164" s="98"/>
      <c r="U2164" s="98"/>
      <c r="AF2164" s="39"/>
      <c r="AG2164" s="490"/>
      <c r="AH2164" s="490"/>
    </row>
    <row r="2165" spans="3:34" ht="19.5" customHeight="1">
      <c r="C2165" s="449"/>
      <c r="D2165" s="68"/>
      <c r="E2165" s="68"/>
      <c r="G2165" s="98"/>
      <c r="H2165" s="68"/>
      <c r="I2165" s="68"/>
      <c r="N2165" s="398"/>
      <c r="R2165" s="50"/>
      <c r="S2165" s="47"/>
      <c r="T2165" s="98"/>
      <c r="U2165" s="98"/>
      <c r="AF2165" s="39"/>
      <c r="AG2165" s="490"/>
      <c r="AH2165" s="490"/>
    </row>
    <row r="2166" spans="3:34" ht="19.5" customHeight="1">
      <c r="C2166" s="449"/>
      <c r="D2166" s="68"/>
      <c r="E2166" s="68"/>
      <c r="G2166" s="98"/>
      <c r="H2166" s="68"/>
      <c r="I2166" s="68"/>
      <c r="N2166" s="398"/>
      <c r="R2166" s="50"/>
      <c r="S2166" s="47"/>
      <c r="T2166" s="98"/>
      <c r="U2166" s="98"/>
      <c r="AF2166" s="39"/>
      <c r="AG2166" s="490"/>
      <c r="AH2166" s="490"/>
    </row>
    <row r="2167" spans="3:34" ht="19.5" customHeight="1">
      <c r="C2167" s="449"/>
      <c r="D2167" s="68"/>
      <c r="E2167" s="68"/>
      <c r="G2167" s="98"/>
      <c r="H2167" s="68"/>
      <c r="I2167" s="68"/>
      <c r="N2167" s="398"/>
      <c r="R2167" s="50"/>
      <c r="S2167" s="47"/>
      <c r="T2167" s="98"/>
      <c r="U2167" s="98"/>
      <c r="AF2167" s="39"/>
      <c r="AG2167" s="490"/>
      <c r="AH2167" s="490"/>
    </row>
    <row r="2168" spans="3:34" ht="19.5" customHeight="1">
      <c r="C2168" s="449"/>
      <c r="D2168" s="68"/>
      <c r="E2168" s="68"/>
      <c r="G2168" s="98"/>
      <c r="H2168" s="68"/>
      <c r="I2168" s="68"/>
      <c r="N2168" s="398"/>
      <c r="R2168" s="50"/>
      <c r="S2168" s="47"/>
      <c r="T2168" s="98"/>
      <c r="U2168" s="98"/>
      <c r="AF2168" s="39"/>
      <c r="AG2168" s="490"/>
      <c r="AH2168" s="490"/>
    </row>
    <row r="2169" spans="3:34" ht="19.5" customHeight="1">
      <c r="C2169" s="449"/>
      <c r="D2169" s="68"/>
      <c r="E2169" s="68"/>
      <c r="G2169" s="98"/>
      <c r="H2169" s="68"/>
      <c r="I2169" s="68"/>
      <c r="N2169" s="398"/>
      <c r="R2169" s="50"/>
      <c r="S2169" s="47"/>
      <c r="T2169" s="98"/>
      <c r="U2169" s="98"/>
      <c r="AF2169" s="39"/>
      <c r="AG2169" s="490"/>
      <c r="AH2169" s="490"/>
    </row>
    <row r="2170" spans="3:34" ht="19.5" customHeight="1">
      <c r="C2170" s="449"/>
      <c r="D2170" s="68"/>
      <c r="E2170" s="68"/>
      <c r="G2170" s="98"/>
      <c r="H2170" s="68"/>
      <c r="I2170" s="68"/>
      <c r="N2170" s="398"/>
      <c r="R2170" s="50"/>
      <c r="S2170" s="47"/>
      <c r="T2170" s="98"/>
      <c r="U2170" s="98"/>
      <c r="AF2170" s="39"/>
      <c r="AG2170" s="490"/>
      <c r="AH2170" s="490"/>
    </row>
    <row r="2171" spans="3:34" ht="19.5" customHeight="1">
      <c r="C2171" s="449"/>
      <c r="D2171" s="68"/>
      <c r="E2171" s="68"/>
      <c r="G2171" s="98"/>
      <c r="H2171" s="68"/>
      <c r="I2171" s="68"/>
      <c r="N2171" s="398"/>
      <c r="R2171" s="50"/>
      <c r="S2171" s="47"/>
      <c r="T2171" s="98"/>
      <c r="U2171" s="98"/>
      <c r="AF2171" s="39"/>
      <c r="AG2171" s="490"/>
      <c r="AH2171" s="490"/>
    </row>
    <row r="2172" spans="3:34" ht="19.5" customHeight="1">
      <c r="C2172" s="449"/>
      <c r="D2172" s="68"/>
      <c r="E2172" s="68"/>
      <c r="G2172" s="98"/>
      <c r="H2172" s="68"/>
      <c r="I2172" s="68"/>
      <c r="N2172" s="398"/>
      <c r="R2172" s="50"/>
      <c r="S2172" s="47"/>
      <c r="T2172" s="98"/>
      <c r="U2172" s="98"/>
      <c r="AF2172" s="39"/>
      <c r="AG2172" s="490"/>
      <c r="AH2172" s="490"/>
    </row>
    <row r="2173" spans="3:34" ht="19.5" customHeight="1">
      <c r="C2173" s="449"/>
      <c r="D2173" s="68"/>
      <c r="E2173" s="68"/>
      <c r="G2173" s="98"/>
      <c r="H2173" s="68"/>
      <c r="I2173" s="68"/>
      <c r="N2173" s="398"/>
      <c r="R2173" s="50"/>
      <c r="S2173" s="47"/>
      <c r="T2173" s="98"/>
      <c r="U2173" s="98"/>
      <c r="AF2173" s="39"/>
      <c r="AG2173" s="490"/>
      <c r="AH2173" s="490"/>
    </row>
    <row r="2174" spans="3:34" ht="19.5" customHeight="1">
      <c r="C2174" s="449"/>
      <c r="D2174" s="68"/>
      <c r="E2174" s="68"/>
      <c r="G2174" s="98"/>
      <c r="H2174" s="68"/>
      <c r="I2174" s="68"/>
      <c r="N2174" s="398"/>
      <c r="R2174" s="50"/>
      <c r="S2174" s="47"/>
      <c r="T2174" s="98"/>
      <c r="U2174" s="98"/>
      <c r="AF2174" s="39"/>
      <c r="AG2174" s="490"/>
      <c r="AH2174" s="490"/>
    </row>
    <row r="2175" spans="3:34" ht="19.5" customHeight="1">
      <c r="C2175" s="449"/>
      <c r="D2175" s="68"/>
      <c r="E2175" s="68"/>
      <c r="G2175" s="98"/>
      <c r="H2175" s="68"/>
      <c r="I2175" s="68"/>
      <c r="N2175" s="398"/>
      <c r="R2175" s="50"/>
      <c r="S2175" s="47"/>
      <c r="T2175" s="98"/>
      <c r="U2175" s="98"/>
      <c r="AF2175" s="39"/>
      <c r="AG2175" s="490"/>
      <c r="AH2175" s="490"/>
    </row>
    <row r="2176" spans="3:34" ht="19.5" customHeight="1">
      <c r="C2176" s="449"/>
      <c r="D2176" s="68"/>
      <c r="E2176" s="68"/>
      <c r="G2176" s="98"/>
      <c r="H2176" s="68"/>
      <c r="I2176" s="68"/>
      <c r="N2176" s="398"/>
      <c r="R2176" s="50"/>
      <c r="S2176" s="47"/>
      <c r="T2176" s="98"/>
      <c r="U2176" s="98"/>
      <c r="AF2176" s="39"/>
      <c r="AG2176" s="490"/>
      <c r="AH2176" s="490"/>
    </row>
    <row r="2177" spans="3:34" ht="19.5" customHeight="1">
      <c r="C2177" s="449"/>
      <c r="D2177" s="68"/>
      <c r="E2177" s="68"/>
      <c r="G2177" s="98"/>
      <c r="H2177" s="68"/>
      <c r="I2177" s="68"/>
      <c r="N2177" s="398"/>
      <c r="R2177" s="50"/>
      <c r="S2177" s="47"/>
      <c r="T2177" s="98"/>
      <c r="U2177" s="98"/>
      <c r="AF2177" s="39"/>
      <c r="AG2177" s="490"/>
      <c r="AH2177" s="490"/>
    </row>
    <row r="2178" spans="3:34" ht="19.5" customHeight="1">
      <c r="C2178" s="449"/>
      <c r="D2178" s="68"/>
      <c r="E2178" s="68"/>
      <c r="G2178" s="98"/>
      <c r="H2178" s="68"/>
      <c r="I2178" s="68"/>
      <c r="N2178" s="398"/>
      <c r="R2178" s="50"/>
      <c r="S2178" s="47"/>
      <c r="T2178" s="98"/>
      <c r="U2178" s="98"/>
      <c r="AF2178" s="39"/>
      <c r="AG2178" s="490"/>
      <c r="AH2178" s="490"/>
    </row>
    <row r="2179" spans="3:34" ht="19.5" customHeight="1">
      <c r="C2179" s="449"/>
      <c r="D2179" s="68"/>
      <c r="E2179" s="68"/>
      <c r="G2179" s="98"/>
      <c r="H2179" s="68"/>
      <c r="I2179" s="68"/>
      <c r="N2179" s="398"/>
      <c r="R2179" s="50"/>
      <c r="S2179" s="47"/>
      <c r="T2179" s="98"/>
      <c r="U2179" s="98"/>
      <c r="AF2179" s="39"/>
      <c r="AG2179" s="490"/>
      <c r="AH2179" s="490"/>
    </row>
    <row r="2180" spans="3:34" ht="19.5" customHeight="1">
      <c r="C2180" s="449"/>
      <c r="D2180" s="68"/>
      <c r="E2180" s="68"/>
      <c r="G2180" s="98"/>
      <c r="H2180" s="68"/>
      <c r="I2180" s="68"/>
      <c r="N2180" s="398"/>
      <c r="R2180" s="50"/>
      <c r="S2180" s="47"/>
      <c r="T2180" s="98"/>
      <c r="U2180" s="98"/>
      <c r="AF2180" s="39"/>
      <c r="AG2180" s="490"/>
      <c r="AH2180" s="490"/>
    </row>
    <row r="2181" spans="3:34" ht="19.5" customHeight="1">
      <c r="C2181" s="449"/>
      <c r="D2181" s="68"/>
      <c r="E2181" s="68"/>
      <c r="G2181" s="98"/>
      <c r="H2181" s="68"/>
      <c r="I2181" s="68"/>
      <c r="N2181" s="398"/>
      <c r="R2181" s="50"/>
      <c r="S2181" s="47"/>
      <c r="T2181" s="98"/>
      <c r="U2181" s="98"/>
      <c r="AF2181" s="39"/>
      <c r="AG2181" s="490"/>
      <c r="AH2181" s="490"/>
    </row>
    <row r="2182" spans="3:34" ht="19.5" customHeight="1">
      <c r="C2182" s="449"/>
      <c r="D2182" s="68"/>
      <c r="E2182" s="68"/>
      <c r="G2182" s="98"/>
      <c r="H2182" s="68"/>
      <c r="I2182" s="68"/>
      <c r="N2182" s="398"/>
      <c r="R2182" s="50"/>
      <c r="S2182" s="47"/>
      <c r="T2182" s="98"/>
      <c r="U2182" s="98"/>
      <c r="AF2182" s="39"/>
      <c r="AG2182" s="490"/>
      <c r="AH2182" s="490"/>
    </row>
    <row r="2183" spans="3:34" ht="19.5" customHeight="1">
      <c r="C2183" s="449"/>
      <c r="D2183" s="68"/>
      <c r="E2183" s="68"/>
      <c r="G2183" s="98"/>
      <c r="H2183" s="68"/>
      <c r="I2183" s="68"/>
      <c r="N2183" s="398"/>
      <c r="R2183" s="50"/>
      <c r="S2183" s="47"/>
      <c r="T2183" s="98"/>
      <c r="U2183" s="98"/>
      <c r="AF2183" s="39"/>
      <c r="AG2183" s="490"/>
      <c r="AH2183" s="490"/>
    </row>
    <row r="2184" spans="3:34" ht="19.5" customHeight="1">
      <c r="C2184" s="449"/>
      <c r="D2184" s="68"/>
      <c r="E2184" s="68"/>
      <c r="G2184" s="98"/>
      <c r="H2184" s="68"/>
      <c r="I2184" s="68"/>
      <c r="N2184" s="398"/>
      <c r="R2184" s="50"/>
      <c r="S2184" s="47"/>
      <c r="T2184" s="98"/>
      <c r="U2184" s="98"/>
      <c r="AF2184" s="39"/>
      <c r="AG2184" s="490"/>
      <c r="AH2184" s="490"/>
    </row>
    <row r="2185" spans="3:34" ht="19.5" customHeight="1">
      <c r="C2185" s="449"/>
      <c r="D2185" s="68"/>
      <c r="E2185" s="68"/>
      <c r="G2185" s="98"/>
      <c r="H2185" s="68"/>
      <c r="I2185" s="68"/>
      <c r="N2185" s="398"/>
      <c r="R2185" s="50"/>
      <c r="S2185" s="47"/>
      <c r="T2185" s="98"/>
      <c r="U2185" s="98"/>
      <c r="AF2185" s="39"/>
      <c r="AG2185" s="490"/>
      <c r="AH2185" s="490"/>
    </row>
    <row r="2186" spans="3:34" ht="19.5" customHeight="1">
      <c r="C2186" s="449"/>
      <c r="D2186" s="68"/>
      <c r="E2186" s="68"/>
      <c r="G2186" s="98"/>
      <c r="H2186" s="68"/>
      <c r="I2186" s="68"/>
      <c r="N2186" s="398"/>
      <c r="R2186" s="50"/>
      <c r="S2186" s="47"/>
      <c r="T2186" s="98"/>
      <c r="U2186" s="98"/>
      <c r="AF2186" s="39"/>
      <c r="AG2186" s="490"/>
      <c r="AH2186" s="490"/>
    </row>
    <row r="2187" spans="3:34" ht="19.5" customHeight="1">
      <c r="C2187" s="449"/>
      <c r="D2187" s="68"/>
      <c r="E2187" s="68"/>
      <c r="G2187" s="98"/>
      <c r="H2187" s="68"/>
      <c r="I2187" s="68"/>
      <c r="N2187" s="398"/>
      <c r="R2187" s="50"/>
      <c r="S2187" s="47"/>
      <c r="T2187" s="98"/>
      <c r="U2187" s="98"/>
      <c r="AF2187" s="39"/>
      <c r="AG2187" s="490"/>
      <c r="AH2187" s="490"/>
    </row>
    <row r="2188" spans="3:34" ht="19.5" customHeight="1">
      <c r="C2188" s="449"/>
      <c r="D2188" s="68"/>
      <c r="E2188" s="68"/>
      <c r="G2188" s="98"/>
      <c r="H2188" s="68"/>
      <c r="I2188" s="68"/>
      <c r="N2188" s="398"/>
      <c r="R2188" s="50"/>
      <c r="S2188" s="47"/>
      <c r="T2188" s="98"/>
      <c r="U2188" s="98"/>
      <c r="AF2188" s="39"/>
      <c r="AG2188" s="490"/>
      <c r="AH2188" s="490"/>
    </row>
    <row r="2189" spans="3:34" ht="19.5" customHeight="1">
      <c r="C2189" s="449"/>
      <c r="D2189" s="68"/>
      <c r="E2189" s="68"/>
      <c r="G2189" s="98"/>
      <c r="H2189" s="68"/>
      <c r="I2189" s="68"/>
      <c r="N2189" s="398"/>
      <c r="R2189" s="50"/>
      <c r="S2189" s="47"/>
      <c r="T2189" s="98"/>
      <c r="U2189" s="98"/>
      <c r="AF2189" s="39"/>
      <c r="AG2189" s="490"/>
      <c r="AH2189" s="490"/>
    </row>
    <row r="2190" spans="3:34" ht="19.5" customHeight="1">
      <c r="C2190" s="449"/>
      <c r="D2190" s="68"/>
      <c r="E2190" s="68"/>
      <c r="G2190" s="98"/>
      <c r="H2190" s="68"/>
      <c r="I2190" s="68"/>
      <c r="N2190" s="398"/>
      <c r="R2190" s="50"/>
      <c r="S2190" s="47"/>
      <c r="T2190" s="98"/>
      <c r="U2190" s="98"/>
      <c r="AF2190" s="39"/>
      <c r="AG2190" s="490"/>
      <c r="AH2190" s="490"/>
    </row>
    <row r="2191" spans="3:34" ht="19.5" customHeight="1">
      <c r="C2191" s="449"/>
      <c r="D2191" s="68"/>
      <c r="E2191" s="68"/>
      <c r="G2191" s="98"/>
      <c r="H2191" s="68"/>
      <c r="I2191" s="68"/>
      <c r="N2191" s="398"/>
      <c r="R2191" s="50"/>
      <c r="S2191" s="47"/>
      <c r="T2191" s="98"/>
      <c r="U2191" s="98"/>
      <c r="AF2191" s="39"/>
      <c r="AG2191" s="490"/>
      <c r="AH2191" s="490"/>
    </row>
    <row r="2192" spans="3:34" ht="19.5" customHeight="1">
      <c r="C2192" s="449"/>
      <c r="D2192" s="68"/>
      <c r="E2192" s="68"/>
      <c r="G2192" s="98"/>
      <c r="H2192" s="68"/>
      <c r="I2192" s="68"/>
      <c r="N2192" s="398"/>
      <c r="R2192" s="50"/>
      <c r="S2192" s="47"/>
      <c r="T2192" s="98"/>
      <c r="U2192" s="98"/>
      <c r="AF2192" s="39"/>
      <c r="AG2192" s="490"/>
      <c r="AH2192" s="490"/>
    </row>
    <row r="2193" spans="3:34" ht="19.5" customHeight="1">
      <c r="C2193" s="449"/>
      <c r="D2193" s="68"/>
      <c r="E2193" s="68"/>
      <c r="G2193" s="98"/>
      <c r="H2193" s="68"/>
      <c r="I2193" s="68"/>
      <c r="N2193" s="398"/>
      <c r="R2193" s="50"/>
      <c r="S2193" s="47"/>
      <c r="T2193" s="98"/>
      <c r="U2193" s="98"/>
      <c r="AF2193" s="39"/>
      <c r="AG2193" s="490"/>
      <c r="AH2193" s="490"/>
    </row>
    <row r="2194" spans="3:34" ht="19.5" customHeight="1">
      <c r="C2194" s="449"/>
      <c r="D2194" s="68"/>
      <c r="E2194" s="68"/>
      <c r="G2194" s="98"/>
      <c r="H2194" s="68"/>
      <c r="I2194" s="68"/>
      <c r="N2194" s="398"/>
      <c r="R2194" s="50"/>
      <c r="S2194" s="47"/>
      <c r="T2194" s="98"/>
      <c r="U2194" s="98"/>
      <c r="AF2194" s="39"/>
      <c r="AG2194" s="490"/>
      <c r="AH2194" s="490"/>
    </row>
    <row r="2195" spans="3:34" ht="19.5" customHeight="1">
      <c r="C2195" s="449"/>
      <c r="D2195" s="68"/>
      <c r="E2195" s="68"/>
      <c r="G2195" s="98"/>
      <c r="H2195" s="68"/>
      <c r="I2195" s="68"/>
      <c r="R2195" s="50"/>
      <c r="S2195" s="47"/>
      <c r="T2195" s="98"/>
      <c r="U2195" s="98"/>
      <c r="AF2195" s="39"/>
      <c r="AG2195" s="490"/>
      <c r="AH2195" s="490"/>
    </row>
    <row r="2196" spans="3:34" ht="19.5" customHeight="1">
      <c r="C2196" s="449"/>
      <c r="D2196" s="68"/>
      <c r="E2196" s="68"/>
      <c r="G2196" s="98"/>
      <c r="H2196" s="68"/>
      <c r="I2196" s="68"/>
      <c r="R2196" s="50"/>
      <c r="S2196" s="47"/>
      <c r="T2196" s="98"/>
      <c r="U2196" s="98"/>
      <c r="AF2196" s="39"/>
      <c r="AG2196" s="490"/>
      <c r="AH2196" s="490"/>
    </row>
    <row r="2197" spans="3:34" ht="19.5" customHeight="1">
      <c r="C2197" s="449"/>
      <c r="D2197" s="68"/>
      <c r="E2197" s="68"/>
      <c r="G2197" s="98"/>
      <c r="H2197" s="68"/>
      <c r="I2197" s="68"/>
      <c r="R2197" s="50"/>
      <c r="S2197" s="47"/>
      <c r="T2197" s="98"/>
      <c r="U2197" s="98"/>
      <c r="AF2197" s="39"/>
      <c r="AG2197" s="490"/>
      <c r="AH2197" s="490"/>
    </row>
    <row r="2198" spans="3:34" ht="19.5" customHeight="1">
      <c r="C2198" s="449"/>
      <c r="D2198" s="68"/>
      <c r="E2198" s="68"/>
      <c r="G2198" s="98"/>
      <c r="H2198" s="68"/>
      <c r="I2198" s="68"/>
      <c r="R2198" s="50"/>
      <c r="S2198" s="47"/>
      <c r="T2198" s="98"/>
      <c r="U2198" s="98"/>
      <c r="AF2198" s="39"/>
      <c r="AG2198" s="490"/>
      <c r="AH2198" s="490"/>
    </row>
    <row r="2199" spans="3:34" ht="19.5" customHeight="1">
      <c r="C2199" s="449"/>
      <c r="D2199" s="68"/>
      <c r="E2199" s="68"/>
      <c r="G2199" s="98"/>
      <c r="H2199" s="68"/>
      <c r="I2199" s="68"/>
      <c r="R2199" s="50"/>
      <c r="S2199" s="47"/>
      <c r="T2199" s="98"/>
      <c r="U2199" s="98"/>
      <c r="AF2199" s="39"/>
      <c r="AG2199" s="490"/>
      <c r="AH2199" s="490"/>
    </row>
    <row r="2200" spans="3:34" ht="19.5" customHeight="1">
      <c r="C2200" s="449"/>
      <c r="D2200" s="68"/>
      <c r="E2200" s="68"/>
      <c r="G2200" s="98"/>
      <c r="H2200" s="68"/>
      <c r="I2200" s="68"/>
      <c r="R2200" s="50"/>
      <c r="S2200" s="47"/>
      <c r="T2200" s="98"/>
      <c r="U2200" s="98"/>
      <c r="AF2200" s="39"/>
      <c r="AG2200" s="490"/>
      <c r="AH2200" s="490"/>
    </row>
    <row r="2201" spans="3:34" ht="19.5" customHeight="1">
      <c r="C2201" s="449"/>
      <c r="D2201" s="68"/>
      <c r="E2201" s="68"/>
      <c r="G2201" s="98"/>
      <c r="H2201" s="68"/>
      <c r="I2201" s="68"/>
      <c r="R2201" s="50"/>
      <c r="S2201" s="47"/>
      <c r="T2201" s="98"/>
      <c r="U2201" s="98"/>
      <c r="AF2201" s="39"/>
      <c r="AG2201" s="490"/>
      <c r="AH2201" s="490"/>
    </row>
    <row r="2202" spans="3:34" ht="19.5" customHeight="1">
      <c r="C2202" s="449"/>
      <c r="D2202" s="68"/>
      <c r="E2202" s="68"/>
      <c r="G2202" s="98"/>
      <c r="H2202" s="68"/>
      <c r="I2202" s="68"/>
      <c r="R2202" s="50"/>
      <c r="S2202" s="47"/>
      <c r="T2202" s="98"/>
      <c r="U2202" s="98"/>
      <c r="AF2202" s="39"/>
      <c r="AG2202" s="490"/>
      <c r="AH2202" s="490"/>
    </row>
    <row r="2203" spans="3:34" ht="19.5" customHeight="1">
      <c r="C2203" s="449"/>
      <c r="D2203" s="68"/>
      <c r="E2203" s="68"/>
      <c r="G2203" s="98"/>
      <c r="H2203" s="68"/>
      <c r="I2203" s="68"/>
      <c r="R2203" s="50"/>
      <c r="S2203" s="47"/>
      <c r="T2203" s="98"/>
      <c r="U2203" s="98"/>
      <c r="AF2203" s="39"/>
      <c r="AG2203" s="490"/>
      <c r="AH2203" s="490"/>
    </row>
    <row r="2204" spans="3:34" ht="19.5" customHeight="1">
      <c r="C2204" s="449"/>
      <c r="D2204" s="68"/>
      <c r="E2204" s="68"/>
      <c r="G2204" s="98"/>
      <c r="H2204" s="68"/>
      <c r="I2204" s="68"/>
      <c r="R2204" s="50"/>
      <c r="S2204" s="47"/>
      <c r="T2204" s="98"/>
      <c r="U2204" s="98"/>
      <c r="AF2204" s="39"/>
      <c r="AG2204" s="605"/>
      <c r="AH2204" s="605"/>
    </row>
    <row r="2205" spans="3:34" ht="19.5" customHeight="1">
      <c r="C2205" s="449"/>
      <c r="D2205" s="68"/>
      <c r="E2205" s="68"/>
      <c r="G2205" s="98"/>
      <c r="H2205" s="68"/>
      <c r="I2205" s="68"/>
      <c r="R2205" s="50"/>
      <c r="S2205" s="47"/>
      <c r="T2205" s="98"/>
      <c r="U2205" s="98"/>
      <c r="AF2205" s="39"/>
      <c r="AG2205" s="605"/>
      <c r="AH2205" s="605"/>
    </row>
    <row r="2206" spans="3:34" ht="19.5" customHeight="1">
      <c r="C2206" s="449"/>
      <c r="D2206" s="68"/>
      <c r="E2206" s="68"/>
      <c r="G2206" s="98"/>
      <c r="H2206" s="68"/>
      <c r="I2206" s="68"/>
      <c r="R2206" s="50"/>
      <c r="S2206" s="47"/>
      <c r="T2206" s="98"/>
      <c r="U2206" s="98"/>
      <c r="AF2206" s="39"/>
      <c r="AG2206" s="605"/>
      <c r="AH2206" s="605"/>
    </row>
    <row r="2207" spans="3:34" ht="19.5" customHeight="1">
      <c r="C2207" s="449"/>
      <c r="D2207" s="68"/>
      <c r="E2207" s="68"/>
      <c r="G2207" s="98"/>
      <c r="H2207" s="68"/>
      <c r="I2207" s="68"/>
      <c r="R2207" s="50"/>
      <c r="S2207" s="47"/>
      <c r="T2207" s="98"/>
      <c r="U2207" s="98"/>
      <c r="AF2207" s="39"/>
      <c r="AG2207" s="605"/>
      <c r="AH2207" s="605"/>
    </row>
    <row r="2208" spans="3:34" ht="19.5" customHeight="1">
      <c r="C2208" s="449"/>
      <c r="D2208" s="68"/>
      <c r="E2208" s="68"/>
      <c r="G2208" s="98"/>
      <c r="H2208" s="68"/>
      <c r="I2208" s="68"/>
      <c r="R2208" s="50"/>
      <c r="S2208" s="47"/>
      <c r="T2208" s="98"/>
      <c r="U2208" s="98"/>
      <c r="AF2208" s="39"/>
      <c r="AG2208" s="605"/>
      <c r="AH2208" s="605"/>
    </row>
    <row r="2209" spans="3:34" ht="19.5" customHeight="1">
      <c r="C2209" s="449"/>
      <c r="D2209" s="68"/>
      <c r="E2209" s="68"/>
      <c r="G2209" s="98"/>
      <c r="H2209" s="68"/>
      <c r="I2209" s="68"/>
      <c r="R2209" s="50"/>
      <c r="S2209" s="47"/>
      <c r="T2209" s="98"/>
      <c r="U2209" s="98"/>
      <c r="AF2209" s="39"/>
      <c r="AG2209" s="605"/>
      <c r="AH2209" s="605"/>
    </row>
    <row r="2210" spans="3:34" ht="19.5" customHeight="1">
      <c r="C2210" s="449"/>
      <c r="D2210" s="68"/>
      <c r="E2210" s="68"/>
      <c r="G2210" s="98"/>
      <c r="H2210" s="68"/>
      <c r="I2210" s="68"/>
      <c r="R2210" s="50"/>
      <c r="S2210" s="47"/>
      <c r="T2210" s="98"/>
      <c r="U2210" s="98"/>
      <c r="AF2210" s="39"/>
      <c r="AG2210" s="605"/>
      <c r="AH2210" s="605"/>
    </row>
    <row r="2211" spans="3:34" ht="19.5" customHeight="1">
      <c r="C2211" s="449"/>
      <c r="D2211" s="68"/>
      <c r="E2211" s="68"/>
      <c r="G2211" s="98"/>
      <c r="H2211" s="68"/>
      <c r="I2211" s="68"/>
      <c r="R2211" s="50"/>
      <c r="S2211" s="47"/>
      <c r="T2211" s="98"/>
      <c r="U2211" s="98"/>
      <c r="AF2211" s="39"/>
      <c r="AG2211" s="605"/>
      <c r="AH2211" s="605"/>
    </row>
    <row r="2212" spans="3:34" ht="19.5" customHeight="1">
      <c r="C2212" s="449"/>
      <c r="D2212" s="68"/>
      <c r="E2212" s="68"/>
      <c r="G2212" s="98"/>
      <c r="H2212" s="68"/>
      <c r="I2212" s="68"/>
      <c r="R2212" s="50"/>
      <c r="S2212" s="47"/>
      <c r="T2212" s="98"/>
      <c r="U2212" s="98"/>
      <c r="AF2212" s="39"/>
      <c r="AG2212" s="605"/>
      <c r="AH2212" s="605"/>
    </row>
    <row r="2213" spans="3:34" ht="19.5" customHeight="1">
      <c r="C2213" s="449"/>
      <c r="D2213" s="68"/>
      <c r="E2213" s="68"/>
      <c r="G2213" s="98"/>
      <c r="H2213" s="68"/>
      <c r="I2213" s="68"/>
      <c r="R2213" s="50"/>
      <c r="S2213" s="47"/>
      <c r="T2213" s="98"/>
      <c r="U2213" s="98"/>
      <c r="AF2213" s="39"/>
      <c r="AG2213" s="605"/>
      <c r="AH2213" s="605"/>
    </row>
    <row r="2214" spans="3:34" ht="19.5" customHeight="1">
      <c r="C2214" s="449"/>
      <c r="D2214" s="68"/>
      <c r="E2214" s="68"/>
      <c r="G2214" s="98"/>
      <c r="H2214" s="68"/>
      <c r="I2214" s="68"/>
      <c r="R2214" s="50"/>
      <c r="S2214" s="47"/>
      <c r="T2214" s="98"/>
      <c r="U2214" s="98"/>
      <c r="AF2214" s="39"/>
      <c r="AG2214" s="605"/>
      <c r="AH2214" s="605"/>
    </row>
    <row r="2215" spans="3:34" ht="19.5" customHeight="1">
      <c r="C2215" s="449"/>
      <c r="D2215" s="68"/>
      <c r="E2215" s="68"/>
      <c r="G2215" s="98"/>
      <c r="H2215" s="68"/>
      <c r="I2215" s="68"/>
      <c r="R2215" s="50"/>
      <c r="S2215" s="47"/>
      <c r="T2215" s="98"/>
      <c r="U2215" s="98"/>
      <c r="AF2215" s="39"/>
      <c r="AG2215" s="605"/>
      <c r="AH2215" s="605"/>
    </row>
    <row r="2216" spans="3:34" ht="19.5" customHeight="1">
      <c r="C2216" s="449"/>
      <c r="D2216" s="68"/>
      <c r="E2216" s="68"/>
      <c r="G2216" s="98"/>
      <c r="H2216" s="68"/>
      <c r="I2216" s="68"/>
      <c r="R2216" s="50"/>
      <c r="S2216" s="47"/>
      <c r="T2216" s="98"/>
      <c r="U2216" s="98"/>
      <c r="AF2216" s="39"/>
      <c r="AG2216" s="605"/>
      <c r="AH2216" s="605"/>
    </row>
    <row r="2217" spans="3:34" ht="19.5" customHeight="1">
      <c r="C2217" s="449"/>
      <c r="D2217" s="68"/>
      <c r="E2217" s="68"/>
      <c r="G2217" s="98"/>
      <c r="H2217" s="68"/>
      <c r="I2217" s="68"/>
      <c r="R2217" s="50"/>
      <c r="S2217" s="47"/>
      <c r="T2217" s="98"/>
      <c r="U2217" s="98"/>
      <c r="AF2217" s="39"/>
      <c r="AG2217" s="605"/>
      <c r="AH2217" s="605"/>
    </row>
    <row r="2218" spans="3:34" ht="19.5" customHeight="1">
      <c r="C2218" s="449"/>
      <c r="D2218" s="68"/>
      <c r="E2218" s="68"/>
      <c r="G2218" s="98"/>
      <c r="H2218" s="68"/>
      <c r="I2218" s="68"/>
      <c r="R2218" s="50"/>
      <c r="S2218" s="47"/>
      <c r="T2218" s="98"/>
      <c r="U2218" s="98"/>
      <c r="AF2218" s="39"/>
      <c r="AG2218" s="605"/>
      <c r="AH2218" s="605"/>
    </row>
    <row r="2219" spans="3:34" ht="19.5" customHeight="1">
      <c r="C2219" s="449"/>
      <c r="D2219" s="68"/>
      <c r="E2219" s="68"/>
      <c r="G2219" s="98"/>
      <c r="H2219" s="68"/>
      <c r="I2219" s="68"/>
      <c r="R2219" s="50"/>
      <c r="S2219" s="47"/>
      <c r="T2219" s="98"/>
      <c r="U2219" s="98"/>
      <c r="AF2219" s="39"/>
      <c r="AG2219" s="605"/>
      <c r="AH2219" s="605"/>
    </row>
    <row r="2220" spans="3:34" ht="19.5" customHeight="1">
      <c r="C2220" s="449"/>
      <c r="D2220" s="68"/>
      <c r="E2220" s="68"/>
      <c r="G2220" s="98"/>
      <c r="H2220" s="68"/>
      <c r="I2220" s="68"/>
      <c r="R2220" s="50"/>
      <c r="S2220" s="47"/>
      <c r="T2220" s="98"/>
      <c r="U2220" s="98"/>
      <c r="AF2220" s="39"/>
      <c r="AG2220" s="605"/>
      <c r="AH2220" s="605"/>
    </row>
    <row r="2221" spans="3:34" ht="19.5" customHeight="1">
      <c r="C2221" s="449"/>
      <c r="D2221" s="68"/>
      <c r="E2221" s="68"/>
      <c r="G2221" s="98"/>
      <c r="H2221" s="68"/>
      <c r="I2221" s="68"/>
      <c r="R2221" s="50"/>
      <c r="S2221" s="47"/>
      <c r="T2221" s="98"/>
      <c r="U2221" s="98"/>
      <c r="AF2221" s="39"/>
      <c r="AG2221" s="605"/>
      <c r="AH2221" s="605"/>
    </row>
    <row r="2222" spans="3:34" ht="19.5" customHeight="1">
      <c r="C2222" s="449"/>
      <c r="D2222" s="68"/>
      <c r="E2222" s="68"/>
      <c r="G2222" s="98"/>
      <c r="H2222" s="68"/>
      <c r="I2222" s="68"/>
      <c r="R2222" s="50"/>
      <c r="S2222" s="47"/>
      <c r="T2222" s="98"/>
      <c r="U2222" s="98"/>
      <c r="AF2222" s="39"/>
      <c r="AG2222" s="605"/>
      <c r="AH2222" s="605"/>
    </row>
    <row r="2223" spans="3:34" ht="19.5" customHeight="1">
      <c r="C2223" s="449"/>
      <c r="D2223" s="68"/>
      <c r="E2223" s="68"/>
      <c r="G2223" s="98"/>
      <c r="H2223" s="68"/>
      <c r="I2223" s="68"/>
      <c r="R2223" s="50"/>
      <c r="S2223" s="47"/>
      <c r="T2223" s="98"/>
      <c r="U2223" s="98"/>
      <c r="AF2223" s="39"/>
      <c r="AG2223" s="605"/>
      <c r="AH2223" s="605"/>
    </row>
    <row r="2224" spans="3:34" ht="19.5" customHeight="1">
      <c r="C2224" s="449"/>
      <c r="D2224" s="68"/>
      <c r="E2224" s="68"/>
      <c r="G2224" s="98"/>
      <c r="H2224" s="68"/>
      <c r="I2224" s="68"/>
      <c r="R2224" s="50"/>
      <c r="S2224" s="47"/>
      <c r="T2224" s="98"/>
      <c r="U2224" s="98"/>
      <c r="AF2224" s="39"/>
      <c r="AG2224" s="605"/>
      <c r="AH2224" s="605"/>
    </row>
    <row r="2225" spans="3:34" ht="19.5" customHeight="1">
      <c r="C2225" s="449"/>
      <c r="D2225" s="68"/>
      <c r="E2225" s="68"/>
      <c r="G2225" s="98"/>
      <c r="H2225" s="68"/>
      <c r="I2225" s="68"/>
      <c r="R2225" s="50"/>
      <c r="S2225" s="47"/>
      <c r="T2225" s="98"/>
      <c r="U2225" s="98"/>
      <c r="AF2225" s="39"/>
      <c r="AG2225" s="605"/>
      <c r="AH2225" s="605"/>
    </row>
    <row r="2226" spans="3:34" ht="19.5" customHeight="1">
      <c r="C2226" s="449"/>
      <c r="D2226" s="68"/>
      <c r="E2226" s="68"/>
      <c r="G2226" s="98"/>
      <c r="H2226" s="68"/>
      <c r="I2226" s="68"/>
      <c r="R2226" s="50"/>
      <c r="S2226" s="47"/>
      <c r="T2226" s="98"/>
      <c r="U2226" s="98"/>
      <c r="AF2226" s="39"/>
      <c r="AG2226" s="605"/>
      <c r="AH2226" s="605"/>
    </row>
    <row r="2227" spans="3:34" ht="19.5" customHeight="1">
      <c r="C2227" s="449"/>
      <c r="D2227" s="68"/>
      <c r="E2227" s="68"/>
      <c r="G2227" s="98"/>
      <c r="H2227" s="68"/>
      <c r="I2227" s="68"/>
      <c r="R2227" s="50"/>
      <c r="S2227" s="47"/>
      <c r="T2227" s="98"/>
      <c r="U2227" s="98"/>
      <c r="AF2227" s="39"/>
      <c r="AG2227" s="605"/>
      <c r="AH2227" s="605"/>
    </row>
    <row r="2228" spans="3:34" ht="19.5" customHeight="1">
      <c r="C2228" s="449"/>
      <c r="D2228" s="68"/>
      <c r="E2228" s="68"/>
      <c r="G2228" s="98"/>
      <c r="H2228" s="68"/>
      <c r="I2228" s="68"/>
      <c r="R2228" s="50"/>
      <c r="S2228" s="47"/>
      <c r="T2228" s="98"/>
      <c r="U2228" s="98"/>
      <c r="AF2228" s="39"/>
      <c r="AG2228" s="605"/>
      <c r="AH2228" s="605"/>
    </row>
    <row r="2229" spans="3:34" ht="19.5" customHeight="1">
      <c r="C2229" s="449"/>
      <c r="D2229" s="68"/>
      <c r="E2229" s="68"/>
      <c r="G2229" s="98"/>
      <c r="H2229" s="68"/>
      <c r="I2229" s="68"/>
      <c r="R2229" s="50"/>
      <c r="S2229" s="47"/>
      <c r="T2229" s="98"/>
      <c r="U2229" s="98"/>
      <c r="AF2229" s="39"/>
      <c r="AG2229" s="605"/>
      <c r="AH2229" s="605"/>
    </row>
    <row r="2230" spans="3:34" ht="19.5" customHeight="1">
      <c r="C2230" s="449"/>
      <c r="D2230" s="68"/>
      <c r="E2230" s="68"/>
      <c r="G2230" s="98"/>
      <c r="H2230" s="68"/>
      <c r="I2230" s="68"/>
      <c r="R2230" s="50"/>
      <c r="S2230" s="47"/>
      <c r="T2230" s="98"/>
      <c r="U2230" s="98"/>
      <c r="AF2230" s="39"/>
      <c r="AG2230" s="605"/>
      <c r="AH2230" s="605"/>
    </row>
    <row r="2231" spans="3:34" ht="19.5" customHeight="1">
      <c r="C2231" s="449"/>
      <c r="D2231" s="68"/>
      <c r="E2231" s="68"/>
      <c r="G2231" s="98"/>
      <c r="H2231" s="68"/>
      <c r="I2231" s="68"/>
      <c r="R2231" s="50"/>
      <c r="S2231" s="47"/>
      <c r="T2231" s="98"/>
      <c r="U2231" s="98"/>
      <c r="AF2231" s="39"/>
      <c r="AG2231" s="605"/>
      <c r="AH2231" s="605"/>
    </row>
    <row r="2232" spans="3:34" ht="19.5" customHeight="1">
      <c r="C2232" s="449"/>
      <c r="D2232" s="68"/>
      <c r="E2232" s="68"/>
      <c r="G2232" s="98"/>
      <c r="H2232" s="68"/>
      <c r="I2232" s="68"/>
      <c r="R2232" s="50"/>
      <c r="S2232" s="47"/>
      <c r="T2232" s="98"/>
      <c r="U2232" s="98"/>
      <c r="AF2232" s="39"/>
      <c r="AG2232" s="605"/>
      <c r="AH2232" s="605"/>
    </row>
    <row r="2233" spans="3:34" ht="19.5" customHeight="1">
      <c r="C2233" s="449"/>
      <c r="D2233" s="68"/>
      <c r="E2233" s="68"/>
      <c r="G2233" s="98"/>
      <c r="H2233" s="68"/>
      <c r="I2233" s="68"/>
      <c r="R2233" s="50"/>
      <c r="S2233" s="47"/>
      <c r="T2233" s="98"/>
      <c r="U2233" s="98"/>
      <c r="AF2233" s="39"/>
      <c r="AG2233" s="605"/>
      <c r="AH2233" s="605"/>
    </row>
    <row r="2234" spans="3:34" ht="19.5" customHeight="1">
      <c r="C2234" s="449"/>
      <c r="D2234" s="68"/>
      <c r="E2234" s="68"/>
      <c r="G2234" s="98"/>
      <c r="H2234" s="68"/>
      <c r="I2234" s="68"/>
      <c r="R2234" s="50"/>
      <c r="S2234" s="47"/>
      <c r="T2234" s="98"/>
      <c r="U2234" s="98"/>
      <c r="AF2234" s="39"/>
      <c r="AG2234" s="605"/>
      <c r="AH2234" s="605"/>
    </row>
    <row r="2235" spans="3:34" ht="19.5" customHeight="1">
      <c r="C2235" s="449"/>
      <c r="D2235" s="68"/>
      <c r="E2235" s="68"/>
      <c r="G2235" s="98"/>
      <c r="H2235" s="68"/>
      <c r="I2235" s="68"/>
      <c r="R2235" s="50"/>
      <c r="S2235" s="47"/>
      <c r="T2235" s="98"/>
      <c r="U2235" s="98"/>
      <c r="AF2235" s="39"/>
      <c r="AG2235" s="605"/>
      <c r="AH2235" s="605"/>
    </row>
    <row r="2236" spans="3:34" ht="19.5" customHeight="1">
      <c r="C2236" s="449"/>
      <c r="D2236" s="68"/>
      <c r="E2236" s="68"/>
      <c r="G2236" s="98"/>
      <c r="H2236" s="68"/>
      <c r="I2236" s="68"/>
      <c r="R2236" s="50"/>
      <c r="S2236" s="47"/>
      <c r="T2236" s="98"/>
      <c r="U2236" s="98"/>
      <c r="AF2236" s="39"/>
      <c r="AG2236" s="605"/>
      <c r="AH2236" s="605"/>
    </row>
    <row r="2237" spans="3:34" ht="19.5" customHeight="1">
      <c r="C2237" s="449"/>
      <c r="D2237" s="68"/>
      <c r="E2237" s="68"/>
      <c r="G2237" s="98"/>
      <c r="H2237" s="68"/>
      <c r="I2237" s="68"/>
      <c r="R2237" s="50"/>
      <c r="S2237" s="47"/>
      <c r="T2237" s="98"/>
      <c r="U2237" s="98"/>
      <c r="AF2237" s="39"/>
      <c r="AG2237" s="605"/>
      <c r="AH2237" s="605"/>
    </row>
    <row r="2238" spans="3:34" ht="19.5" customHeight="1">
      <c r="C2238" s="449"/>
      <c r="D2238" s="68"/>
      <c r="E2238" s="68"/>
      <c r="G2238" s="98"/>
      <c r="H2238" s="68"/>
      <c r="I2238" s="68"/>
      <c r="R2238" s="50"/>
      <c r="S2238" s="47"/>
      <c r="T2238" s="98"/>
      <c r="U2238" s="98"/>
      <c r="AF2238" s="39"/>
      <c r="AG2238" s="605"/>
      <c r="AH2238" s="605"/>
    </row>
    <row r="2239" spans="3:34" ht="19.5" customHeight="1">
      <c r="C2239" s="449"/>
      <c r="D2239" s="68"/>
      <c r="E2239" s="68"/>
      <c r="G2239" s="98"/>
      <c r="H2239" s="68"/>
      <c r="I2239" s="68"/>
      <c r="R2239" s="50"/>
      <c r="S2239" s="47"/>
      <c r="T2239" s="98"/>
      <c r="U2239" s="98"/>
      <c r="AF2239" s="39"/>
      <c r="AG2239" s="605"/>
      <c r="AH2239" s="605"/>
    </row>
    <row r="2240" spans="3:34" ht="19.5" customHeight="1">
      <c r="C2240" s="449"/>
      <c r="D2240" s="68"/>
      <c r="E2240" s="68"/>
      <c r="G2240" s="98"/>
      <c r="H2240" s="68"/>
      <c r="I2240" s="68"/>
      <c r="R2240" s="50"/>
      <c r="S2240" s="47"/>
      <c r="T2240" s="98"/>
      <c r="U2240" s="98"/>
      <c r="AF2240" s="39"/>
      <c r="AG2240" s="605"/>
      <c r="AH2240" s="605"/>
    </row>
    <row r="2241" spans="3:34" ht="19.5" customHeight="1">
      <c r="C2241" s="449"/>
      <c r="D2241" s="68"/>
      <c r="E2241" s="68"/>
      <c r="G2241" s="98"/>
      <c r="H2241" s="68"/>
      <c r="I2241" s="68"/>
      <c r="R2241" s="50"/>
      <c r="S2241" s="47"/>
      <c r="T2241" s="98"/>
      <c r="U2241" s="98"/>
      <c r="AF2241" s="39"/>
      <c r="AG2241" s="605"/>
      <c r="AH2241" s="605"/>
    </row>
    <row r="2242" spans="3:34" ht="19.5" customHeight="1">
      <c r="C2242" s="449"/>
      <c r="D2242" s="68"/>
      <c r="E2242" s="68"/>
      <c r="G2242" s="98"/>
      <c r="H2242" s="68"/>
      <c r="I2242" s="68"/>
      <c r="R2242" s="50"/>
      <c r="S2242" s="47"/>
      <c r="T2242" s="98"/>
      <c r="U2242" s="98"/>
      <c r="AF2242" s="39"/>
      <c r="AG2242" s="605"/>
      <c r="AH2242" s="605"/>
    </row>
    <row r="2243" spans="3:34" ht="19.5" customHeight="1">
      <c r="C2243" s="449"/>
      <c r="D2243" s="68"/>
      <c r="E2243" s="68"/>
      <c r="G2243" s="98"/>
      <c r="H2243" s="68"/>
      <c r="I2243" s="68"/>
      <c r="R2243" s="50"/>
      <c r="S2243" s="47"/>
      <c r="T2243" s="98"/>
      <c r="U2243" s="98"/>
      <c r="AF2243" s="39"/>
      <c r="AG2243" s="605"/>
      <c r="AH2243" s="605"/>
    </row>
    <row r="2244" spans="3:34" ht="19.5" customHeight="1">
      <c r="C2244" s="449"/>
      <c r="D2244" s="68"/>
      <c r="E2244" s="68"/>
      <c r="G2244" s="98"/>
      <c r="H2244" s="68"/>
      <c r="I2244" s="68"/>
      <c r="R2244" s="50"/>
      <c r="S2244" s="47"/>
      <c r="T2244" s="98"/>
      <c r="U2244" s="98"/>
      <c r="AF2244" s="39"/>
      <c r="AG2244" s="605"/>
      <c r="AH2244" s="605"/>
    </row>
    <row r="2245" spans="3:34" ht="19.5" customHeight="1">
      <c r="C2245" s="449"/>
      <c r="D2245" s="68"/>
      <c r="E2245" s="68"/>
      <c r="G2245" s="98"/>
      <c r="H2245" s="68"/>
      <c r="I2245" s="68"/>
      <c r="R2245" s="50"/>
      <c r="S2245" s="47"/>
      <c r="T2245" s="98"/>
      <c r="U2245" s="98"/>
      <c r="AF2245" s="39"/>
      <c r="AG2245" s="605"/>
      <c r="AH2245" s="605"/>
    </row>
    <row r="2246" spans="3:34" ht="19.5" customHeight="1">
      <c r="C2246" s="449"/>
      <c r="D2246" s="68"/>
      <c r="E2246" s="68"/>
      <c r="G2246" s="98"/>
      <c r="H2246" s="68"/>
      <c r="I2246" s="68"/>
      <c r="R2246" s="50"/>
      <c r="S2246" s="47"/>
      <c r="T2246" s="98"/>
      <c r="U2246" s="98"/>
      <c r="AF2246" s="39"/>
      <c r="AG2246" s="605"/>
      <c r="AH2246" s="605"/>
    </row>
    <row r="2247" spans="3:34" ht="19.5" customHeight="1">
      <c r="C2247" s="449"/>
      <c r="D2247" s="68"/>
      <c r="E2247" s="68"/>
      <c r="G2247" s="98"/>
      <c r="H2247" s="68"/>
      <c r="I2247" s="68"/>
      <c r="R2247" s="50"/>
      <c r="S2247" s="47"/>
      <c r="T2247" s="98"/>
      <c r="U2247" s="98"/>
      <c r="AF2247" s="39"/>
      <c r="AG2247" s="605"/>
      <c r="AH2247" s="605"/>
    </row>
    <row r="2248" spans="3:34" ht="19.5" customHeight="1">
      <c r="C2248" s="449"/>
      <c r="D2248" s="68"/>
      <c r="E2248" s="68"/>
      <c r="G2248" s="98"/>
      <c r="H2248" s="68"/>
      <c r="I2248" s="68"/>
      <c r="R2248" s="50"/>
      <c r="S2248" s="47"/>
      <c r="T2248" s="98"/>
      <c r="U2248" s="98"/>
      <c r="AF2248" s="39"/>
      <c r="AG2248" s="605"/>
      <c r="AH2248" s="605"/>
    </row>
    <row r="2249" spans="3:34" ht="19.5" customHeight="1">
      <c r="C2249" s="449"/>
      <c r="D2249" s="68"/>
      <c r="E2249" s="68"/>
      <c r="G2249" s="98"/>
      <c r="H2249" s="68"/>
      <c r="I2249" s="68"/>
      <c r="R2249" s="50"/>
      <c r="S2249" s="47"/>
      <c r="T2249" s="98"/>
      <c r="U2249" s="98"/>
      <c r="AF2249" s="39"/>
      <c r="AG2249" s="605"/>
      <c r="AH2249" s="605"/>
    </row>
    <row r="2250" spans="3:34" ht="19.5" customHeight="1">
      <c r="C2250" s="449"/>
      <c r="D2250" s="68"/>
      <c r="E2250" s="68"/>
      <c r="G2250" s="98"/>
      <c r="H2250" s="68"/>
      <c r="I2250" s="68"/>
      <c r="R2250" s="50"/>
      <c r="S2250" s="47"/>
      <c r="T2250" s="98"/>
      <c r="U2250" s="98"/>
      <c r="AF2250" s="39"/>
      <c r="AG2250" s="605"/>
      <c r="AH2250" s="605"/>
    </row>
    <row r="2251" spans="3:34" ht="19.5" customHeight="1">
      <c r="C2251" s="449"/>
      <c r="D2251" s="68"/>
      <c r="E2251" s="68"/>
      <c r="G2251" s="98"/>
      <c r="H2251" s="68"/>
      <c r="I2251" s="68"/>
      <c r="R2251" s="50"/>
      <c r="S2251" s="47"/>
      <c r="T2251" s="98"/>
      <c r="U2251" s="98"/>
      <c r="AF2251" s="39"/>
      <c r="AG2251" s="605"/>
      <c r="AH2251" s="605"/>
    </row>
    <row r="2252" spans="3:34" ht="19.5" customHeight="1">
      <c r="C2252" s="449"/>
      <c r="D2252" s="68"/>
      <c r="E2252" s="68"/>
      <c r="G2252" s="98"/>
      <c r="H2252" s="68"/>
      <c r="I2252" s="68"/>
      <c r="R2252" s="50"/>
      <c r="S2252" s="47"/>
      <c r="T2252" s="98"/>
      <c r="U2252" s="98"/>
      <c r="AF2252" s="39"/>
      <c r="AG2252" s="605"/>
      <c r="AH2252" s="605"/>
    </row>
    <row r="2253" spans="3:34" ht="19.5" customHeight="1">
      <c r="C2253" s="449"/>
      <c r="D2253" s="68"/>
      <c r="E2253" s="68"/>
      <c r="G2253" s="98"/>
      <c r="H2253" s="68"/>
      <c r="I2253" s="68"/>
      <c r="R2253" s="50"/>
      <c r="S2253" s="47"/>
      <c r="T2253" s="98"/>
      <c r="U2253" s="98"/>
      <c r="AF2253" s="39"/>
      <c r="AG2253" s="605"/>
      <c r="AH2253" s="605"/>
    </row>
    <row r="2254" spans="3:34" ht="19.5" customHeight="1">
      <c r="C2254" s="449"/>
      <c r="D2254" s="68"/>
      <c r="E2254" s="68"/>
      <c r="G2254" s="98"/>
      <c r="H2254" s="68"/>
      <c r="I2254" s="68"/>
      <c r="R2254" s="50"/>
      <c r="S2254" s="47"/>
      <c r="T2254" s="98"/>
      <c r="U2254" s="98"/>
      <c r="AF2254" s="39"/>
      <c r="AG2254" s="605"/>
      <c r="AH2254" s="605"/>
    </row>
    <row r="2255" spans="3:34" ht="19.5" customHeight="1">
      <c r="C2255" s="449"/>
      <c r="D2255" s="68"/>
      <c r="E2255" s="68"/>
      <c r="G2255" s="98"/>
      <c r="H2255" s="68"/>
      <c r="I2255" s="68"/>
      <c r="R2255" s="50"/>
      <c r="S2255" s="47"/>
      <c r="T2255" s="98"/>
      <c r="U2255" s="98"/>
      <c r="AF2255" s="39"/>
      <c r="AG2255" s="605"/>
      <c r="AH2255" s="605"/>
    </row>
    <row r="2256" spans="3:34" ht="19.5" customHeight="1">
      <c r="C2256" s="449"/>
      <c r="D2256" s="68"/>
      <c r="E2256" s="68"/>
      <c r="G2256" s="98"/>
      <c r="H2256" s="68"/>
      <c r="I2256" s="68"/>
      <c r="R2256" s="50"/>
      <c r="S2256" s="47"/>
      <c r="T2256" s="98"/>
      <c r="U2256" s="98"/>
      <c r="AF2256" s="39"/>
      <c r="AG2256" s="605"/>
      <c r="AH2256" s="605"/>
    </row>
    <row r="2257" spans="3:34" ht="19.5" customHeight="1">
      <c r="C2257" s="449"/>
      <c r="D2257" s="68"/>
      <c r="E2257" s="68"/>
      <c r="G2257" s="98"/>
      <c r="H2257" s="68"/>
      <c r="I2257" s="68"/>
      <c r="R2257" s="50"/>
      <c r="S2257" s="47"/>
      <c r="T2257" s="98"/>
      <c r="U2257" s="98"/>
      <c r="AF2257" s="39"/>
      <c r="AG2257" s="605"/>
      <c r="AH2257" s="605"/>
    </row>
    <row r="2258" spans="3:34" ht="19.5" customHeight="1">
      <c r="C2258" s="449"/>
      <c r="D2258" s="68"/>
      <c r="E2258" s="68"/>
      <c r="G2258" s="98"/>
      <c r="H2258" s="68"/>
      <c r="I2258" s="68"/>
      <c r="R2258" s="50"/>
      <c r="S2258" s="47"/>
      <c r="T2258" s="98"/>
      <c r="U2258" s="98"/>
      <c r="AF2258" s="39"/>
      <c r="AG2258" s="605"/>
      <c r="AH2258" s="605"/>
    </row>
    <row r="2259" spans="3:34" ht="19.5" customHeight="1">
      <c r="C2259" s="449"/>
      <c r="D2259" s="68"/>
      <c r="E2259" s="68"/>
      <c r="G2259" s="98"/>
      <c r="H2259" s="68"/>
      <c r="I2259" s="68"/>
      <c r="R2259" s="50"/>
      <c r="S2259" s="47"/>
      <c r="T2259" s="98"/>
      <c r="U2259" s="98"/>
      <c r="AF2259" s="39"/>
      <c r="AG2259" s="605"/>
      <c r="AH2259" s="605"/>
    </row>
    <row r="2260" spans="3:34" ht="19.5" customHeight="1">
      <c r="C2260" s="449"/>
      <c r="D2260" s="68"/>
      <c r="E2260" s="68"/>
      <c r="G2260" s="98"/>
      <c r="H2260" s="68"/>
      <c r="I2260" s="68"/>
      <c r="R2260" s="50"/>
      <c r="S2260" s="47"/>
      <c r="T2260" s="98"/>
      <c r="U2260" s="98"/>
      <c r="AF2260" s="39"/>
      <c r="AG2260" s="605"/>
      <c r="AH2260" s="605"/>
    </row>
    <row r="2261" spans="3:34" ht="19.5" customHeight="1">
      <c r="C2261" s="449"/>
      <c r="D2261" s="68"/>
      <c r="E2261" s="68"/>
      <c r="G2261" s="98"/>
      <c r="H2261" s="68"/>
      <c r="I2261" s="68"/>
      <c r="R2261" s="50"/>
      <c r="S2261" s="47"/>
      <c r="T2261" s="98"/>
      <c r="U2261" s="98"/>
      <c r="AF2261" s="39"/>
      <c r="AG2261" s="605"/>
      <c r="AH2261" s="605"/>
    </row>
    <row r="2262" spans="3:34" ht="19.5" customHeight="1">
      <c r="C2262" s="449"/>
      <c r="D2262" s="68"/>
      <c r="E2262" s="68"/>
      <c r="G2262" s="98"/>
      <c r="H2262" s="68"/>
      <c r="I2262" s="68"/>
      <c r="R2262" s="50"/>
      <c r="S2262" s="47"/>
      <c r="T2262" s="98"/>
      <c r="U2262" s="98"/>
      <c r="AF2262" s="39"/>
      <c r="AG2262" s="605"/>
      <c r="AH2262" s="605"/>
    </row>
    <row r="2263" spans="3:34" ht="19.5" customHeight="1">
      <c r="C2263" s="449"/>
      <c r="D2263" s="68"/>
      <c r="E2263" s="68"/>
      <c r="G2263" s="98"/>
      <c r="H2263" s="68"/>
      <c r="I2263" s="68"/>
      <c r="R2263" s="50"/>
      <c r="S2263" s="47"/>
      <c r="T2263" s="98"/>
      <c r="U2263" s="98"/>
      <c r="AF2263" s="39"/>
      <c r="AG2263" s="605"/>
      <c r="AH2263" s="605"/>
    </row>
    <row r="2264" spans="3:34" ht="19.5" customHeight="1">
      <c r="C2264" s="449"/>
      <c r="D2264" s="68"/>
      <c r="E2264" s="68"/>
      <c r="G2264" s="98"/>
      <c r="H2264" s="68"/>
      <c r="I2264" s="68"/>
      <c r="R2264" s="50"/>
      <c r="S2264" s="47"/>
      <c r="T2264" s="98"/>
      <c r="U2264" s="98"/>
      <c r="AF2264" s="39"/>
      <c r="AG2264" s="605"/>
      <c r="AH2264" s="605"/>
    </row>
    <row r="2265" spans="3:34" ht="19.5" customHeight="1">
      <c r="C2265" s="449"/>
      <c r="D2265" s="68"/>
      <c r="E2265" s="68"/>
      <c r="G2265" s="98"/>
      <c r="H2265" s="68"/>
      <c r="I2265" s="68"/>
      <c r="R2265" s="50"/>
      <c r="S2265" s="47"/>
      <c r="T2265" s="98"/>
      <c r="U2265" s="98"/>
      <c r="AF2265" s="39"/>
      <c r="AG2265" s="605"/>
      <c r="AH2265" s="605"/>
    </row>
    <row r="2266" spans="3:34" ht="19.5" customHeight="1">
      <c r="C2266" s="449"/>
      <c r="D2266" s="68"/>
      <c r="E2266" s="68"/>
      <c r="G2266" s="98"/>
      <c r="H2266" s="68"/>
      <c r="I2266" s="68"/>
      <c r="R2266" s="50"/>
      <c r="S2266" s="47"/>
      <c r="T2266" s="98"/>
      <c r="U2266" s="98"/>
      <c r="AF2266" s="39"/>
      <c r="AG2266" s="605"/>
      <c r="AH2266" s="605"/>
    </row>
    <row r="2267" spans="3:34" ht="19.5" customHeight="1">
      <c r="C2267" s="449"/>
      <c r="D2267" s="68"/>
      <c r="E2267" s="68"/>
      <c r="G2267" s="98"/>
      <c r="H2267" s="68"/>
      <c r="I2267" s="68"/>
      <c r="R2267" s="50"/>
      <c r="S2267" s="47"/>
      <c r="T2267" s="98"/>
      <c r="U2267" s="98"/>
      <c r="AF2267" s="39"/>
      <c r="AG2267" s="605"/>
      <c r="AH2267" s="605"/>
    </row>
    <row r="2268" spans="3:34" ht="19.5" customHeight="1">
      <c r="C2268" s="449"/>
      <c r="D2268" s="68"/>
      <c r="E2268" s="68"/>
      <c r="G2268" s="98"/>
      <c r="H2268" s="68"/>
      <c r="I2268" s="68"/>
      <c r="R2268" s="50"/>
      <c r="S2268" s="47"/>
      <c r="T2268" s="98"/>
      <c r="U2268" s="98"/>
      <c r="AF2268" s="39"/>
      <c r="AG2268" s="605"/>
      <c r="AH2268" s="605"/>
    </row>
    <row r="2269" spans="3:34" ht="19.5" customHeight="1">
      <c r="D2269" s="68"/>
      <c r="E2269" s="68"/>
      <c r="G2269" s="98"/>
      <c r="H2269" s="68"/>
      <c r="I2269" s="68"/>
      <c r="R2269" s="50"/>
      <c r="S2269" s="47"/>
      <c r="T2269" s="98"/>
      <c r="U2269" s="98"/>
      <c r="AG2269" s="605"/>
      <c r="AH2269" s="605"/>
    </row>
    <row r="2270" spans="3:34" ht="19.5" customHeight="1">
      <c r="D2270" s="68"/>
      <c r="E2270" s="68"/>
      <c r="G2270" s="98"/>
      <c r="H2270" s="68"/>
      <c r="I2270" s="68"/>
      <c r="R2270" s="50"/>
      <c r="S2270" s="47"/>
      <c r="T2270" s="98"/>
      <c r="U2270" s="98"/>
      <c r="AG2270" s="605"/>
      <c r="AH2270" s="605"/>
    </row>
    <row r="2271" spans="3:34" ht="19.5" customHeight="1">
      <c r="D2271" s="68"/>
      <c r="E2271" s="68"/>
      <c r="G2271" s="98"/>
      <c r="H2271" s="68"/>
      <c r="I2271" s="68"/>
      <c r="R2271" s="50"/>
      <c r="S2271" s="47"/>
      <c r="T2271" s="98"/>
      <c r="U2271" s="98"/>
      <c r="AG2271" s="605"/>
      <c r="AH2271" s="605"/>
    </row>
    <row r="2272" spans="3:34" ht="19.5" customHeight="1">
      <c r="D2272" s="68"/>
      <c r="E2272" s="68"/>
      <c r="G2272" s="98"/>
      <c r="H2272" s="68"/>
      <c r="I2272" s="68"/>
      <c r="R2272" s="50"/>
      <c r="S2272" s="47"/>
      <c r="T2272" s="98"/>
      <c r="U2272" s="98"/>
      <c r="AG2272" s="605"/>
      <c r="AH2272" s="605"/>
    </row>
    <row r="2273" spans="4:34" ht="19.5" customHeight="1">
      <c r="D2273" s="68"/>
      <c r="E2273" s="68"/>
      <c r="G2273" s="98"/>
      <c r="H2273" s="68"/>
      <c r="I2273" s="68"/>
      <c r="R2273" s="50"/>
      <c r="S2273" s="47"/>
      <c r="T2273" s="98"/>
      <c r="U2273" s="98"/>
      <c r="AG2273" s="605"/>
      <c r="AH2273" s="605"/>
    </row>
    <row r="2274" spans="4:34" ht="19.5" customHeight="1">
      <c r="D2274" s="68"/>
      <c r="E2274" s="68"/>
      <c r="G2274" s="98"/>
      <c r="H2274" s="68"/>
      <c r="I2274" s="68"/>
      <c r="R2274" s="50"/>
      <c r="S2274" s="47"/>
      <c r="T2274" s="98"/>
      <c r="U2274" s="98"/>
      <c r="AG2274" s="605"/>
      <c r="AH2274" s="605"/>
    </row>
    <row r="2275" spans="4:34" ht="19.5" customHeight="1">
      <c r="D2275" s="68"/>
      <c r="E2275" s="68"/>
      <c r="G2275" s="98"/>
      <c r="H2275" s="68"/>
      <c r="I2275" s="68"/>
      <c r="R2275" s="50"/>
      <c r="S2275" s="47"/>
      <c r="T2275" s="98"/>
      <c r="U2275" s="98"/>
      <c r="AG2275" s="605"/>
      <c r="AH2275" s="605"/>
    </row>
    <row r="2276" spans="4:34" ht="19.5" customHeight="1">
      <c r="D2276" s="68"/>
      <c r="E2276" s="68"/>
      <c r="G2276" s="98"/>
      <c r="H2276" s="68"/>
      <c r="I2276" s="68"/>
      <c r="R2276" s="50"/>
      <c r="S2276" s="47"/>
      <c r="T2276" s="98"/>
      <c r="U2276" s="98"/>
      <c r="AG2276" s="605"/>
      <c r="AH2276" s="605"/>
    </row>
    <row r="2277" spans="4:34" ht="19.5" customHeight="1">
      <c r="D2277" s="68"/>
      <c r="E2277" s="68"/>
      <c r="G2277" s="98"/>
      <c r="H2277" s="68"/>
      <c r="I2277" s="68"/>
      <c r="R2277" s="50"/>
      <c r="S2277" s="47"/>
      <c r="T2277" s="98"/>
      <c r="U2277" s="98"/>
      <c r="AG2277" s="605"/>
      <c r="AH2277" s="605"/>
    </row>
    <row r="2278" spans="4:34" ht="19.5" customHeight="1">
      <c r="D2278" s="68"/>
      <c r="E2278" s="68"/>
      <c r="G2278" s="98"/>
      <c r="H2278" s="68"/>
      <c r="I2278" s="68"/>
      <c r="R2278" s="50"/>
      <c r="S2278" s="47"/>
      <c r="T2278" s="98"/>
      <c r="U2278" s="98"/>
      <c r="AG2278" s="605"/>
      <c r="AH2278" s="605"/>
    </row>
    <row r="2279" spans="4:34" ht="19.5" customHeight="1">
      <c r="D2279" s="68"/>
      <c r="E2279" s="68"/>
      <c r="G2279" s="98"/>
      <c r="H2279" s="68"/>
      <c r="I2279" s="68"/>
      <c r="R2279" s="50"/>
      <c r="S2279" s="47"/>
      <c r="T2279" s="98"/>
      <c r="U2279" s="98"/>
      <c r="AG2279" s="605"/>
      <c r="AH2279" s="605"/>
    </row>
    <row r="2280" spans="4:34" ht="19.5" customHeight="1">
      <c r="D2280" s="68"/>
      <c r="E2280" s="68"/>
      <c r="G2280" s="98"/>
      <c r="H2280" s="68"/>
      <c r="I2280" s="68"/>
      <c r="R2280" s="50"/>
      <c r="S2280" s="47"/>
      <c r="T2280" s="98"/>
      <c r="U2280" s="98"/>
      <c r="AG2280" s="605"/>
      <c r="AH2280" s="605"/>
    </row>
    <row r="2281" spans="4:34" ht="19.5" customHeight="1">
      <c r="D2281" s="68"/>
      <c r="E2281" s="68"/>
      <c r="G2281" s="98"/>
      <c r="H2281" s="68"/>
      <c r="I2281" s="68"/>
      <c r="R2281" s="50"/>
      <c r="S2281" s="47"/>
      <c r="T2281" s="98"/>
      <c r="U2281" s="98"/>
      <c r="AG2281" s="605"/>
      <c r="AH2281" s="605"/>
    </row>
    <row r="2282" spans="4:34" ht="19.5" customHeight="1">
      <c r="D2282" s="68"/>
      <c r="E2282" s="68"/>
      <c r="G2282" s="98"/>
      <c r="H2282" s="68"/>
      <c r="I2282" s="68"/>
      <c r="R2282" s="50"/>
      <c r="S2282" s="47"/>
      <c r="T2282" s="98"/>
      <c r="U2282" s="98"/>
      <c r="AG2282" s="605"/>
      <c r="AH2282" s="605"/>
    </row>
    <row r="2283" spans="4:34" ht="19.5" customHeight="1">
      <c r="D2283" s="68"/>
      <c r="E2283" s="68"/>
      <c r="G2283" s="98"/>
      <c r="H2283" s="68"/>
      <c r="I2283" s="68"/>
      <c r="R2283" s="50"/>
      <c r="S2283" s="47"/>
      <c r="T2283" s="98"/>
      <c r="U2283" s="98"/>
      <c r="AG2283" s="605"/>
      <c r="AH2283" s="605"/>
    </row>
    <row r="2284" spans="4:34" ht="19.5" customHeight="1">
      <c r="D2284" s="68"/>
      <c r="E2284" s="68"/>
      <c r="G2284" s="98"/>
      <c r="H2284" s="68"/>
      <c r="I2284" s="68"/>
      <c r="R2284" s="50"/>
      <c r="S2284" s="47"/>
      <c r="T2284" s="98"/>
      <c r="U2284" s="98"/>
      <c r="AG2284" s="605"/>
      <c r="AH2284" s="605"/>
    </row>
    <row r="2285" spans="4:34" ht="19.5" customHeight="1">
      <c r="D2285" s="68"/>
      <c r="E2285" s="68"/>
      <c r="G2285" s="98"/>
      <c r="H2285" s="68"/>
      <c r="I2285" s="68"/>
      <c r="R2285" s="50"/>
      <c r="S2285" s="47"/>
      <c r="T2285" s="98"/>
      <c r="U2285" s="98"/>
      <c r="AG2285" s="605"/>
      <c r="AH2285" s="605"/>
    </row>
    <row r="2286" spans="4:34" ht="19.5" customHeight="1">
      <c r="D2286" s="68"/>
      <c r="E2286" s="68"/>
      <c r="G2286" s="98"/>
      <c r="H2286" s="68"/>
      <c r="I2286" s="68"/>
      <c r="R2286" s="50"/>
      <c r="S2286" s="47"/>
      <c r="T2286" s="98"/>
      <c r="U2286" s="98"/>
      <c r="AG2286" s="605"/>
      <c r="AH2286" s="605"/>
    </row>
    <row r="2287" spans="4:34" ht="19.5" customHeight="1">
      <c r="D2287" s="68"/>
      <c r="E2287" s="68"/>
      <c r="G2287" s="98"/>
      <c r="H2287" s="68"/>
      <c r="I2287" s="68"/>
      <c r="R2287" s="50"/>
      <c r="S2287" s="47"/>
      <c r="T2287" s="98"/>
      <c r="U2287" s="98"/>
      <c r="AG2287" s="605"/>
      <c r="AH2287" s="605"/>
    </row>
    <row r="2288" spans="4:34" ht="19.5" customHeight="1">
      <c r="D2288" s="68"/>
      <c r="E2288" s="68"/>
      <c r="G2288" s="98"/>
      <c r="H2288" s="68"/>
      <c r="I2288" s="68"/>
      <c r="R2288" s="50"/>
      <c r="S2288" s="47"/>
      <c r="T2288" s="98"/>
      <c r="U2288" s="98"/>
      <c r="AG2288" s="605"/>
      <c r="AH2288" s="605"/>
    </row>
    <row r="2289" spans="4:34" ht="19.5" customHeight="1">
      <c r="D2289" s="68"/>
      <c r="E2289" s="68"/>
      <c r="G2289" s="98"/>
      <c r="H2289" s="68"/>
      <c r="I2289" s="68"/>
      <c r="R2289" s="50"/>
      <c r="S2289" s="47"/>
      <c r="T2289" s="98"/>
      <c r="U2289" s="98"/>
      <c r="AG2289" s="605"/>
      <c r="AH2289" s="605"/>
    </row>
    <row r="2290" spans="4:34" ht="19.5" customHeight="1">
      <c r="D2290" s="68"/>
      <c r="E2290" s="68"/>
      <c r="G2290" s="98"/>
      <c r="H2290" s="68"/>
      <c r="I2290" s="68"/>
      <c r="R2290" s="50"/>
      <c r="S2290" s="47"/>
      <c r="T2290" s="98"/>
      <c r="U2290" s="98"/>
      <c r="AG2290" s="605"/>
      <c r="AH2290" s="605"/>
    </row>
    <row r="2291" spans="4:34" ht="19.5" customHeight="1">
      <c r="D2291" s="68"/>
      <c r="E2291" s="68"/>
      <c r="G2291" s="98"/>
      <c r="H2291" s="68"/>
      <c r="I2291" s="68"/>
      <c r="R2291" s="50"/>
      <c r="S2291" s="47"/>
      <c r="T2291" s="98"/>
      <c r="U2291" s="98"/>
      <c r="AG2291" s="605"/>
      <c r="AH2291" s="605"/>
    </row>
    <row r="2292" spans="4:34" ht="19.5" customHeight="1">
      <c r="D2292" s="68"/>
      <c r="E2292" s="68"/>
      <c r="G2292" s="98"/>
      <c r="H2292" s="68"/>
      <c r="I2292" s="68"/>
      <c r="R2292" s="50"/>
      <c r="S2292" s="47"/>
      <c r="T2292" s="98"/>
      <c r="U2292" s="98"/>
      <c r="AG2292" s="605"/>
      <c r="AH2292" s="605"/>
    </row>
    <row r="2293" spans="4:34" ht="19.5" customHeight="1">
      <c r="D2293" s="68"/>
      <c r="E2293" s="68"/>
      <c r="G2293" s="98"/>
      <c r="H2293" s="68"/>
      <c r="I2293" s="68"/>
      <c r="R2293" s="50"/>
      <c r="S2293" s="47"/>
      <c r="T2293" s="98"/>
      <c r="U2293" s="98"/>
      <c r="AG2293" s="605"/>
      <c r="AH2293" s="605"/>
    </row>
    <row r="2294" spans="4:34" ht="19.5" customHeight="1">
      <c r="D2294" s="68"/>
      <c r="E2294" s="68"/>
      <c r="G2294" s="98"/>
      <c r="H2294" s="68"/>
      <c r="I2294" s="68"/>
      <c r="R2294" s="50"/>
      <c r="S2294" s="47"/>
      <c r="T2294" s="98"/>
      <c r="U2294" s="98"/>
      <c r="AG2294" s="605"/>
      <c r="AH2294" s="605"/>
    </row>
    <row r="2295" spans="4:34" ht="19.5" customHeight="1">
      <c r="D2295" s="68"/>
      <c r="E2295" s="68"/>
      <c r="G2295" s="98"/>
      <c r="H2295" s="68"/>
      <c r="I2295" s="68"/>
      <c r="R2295" s="50"/>
      <c r="S2295" s="47"/>
      <c r="T2295" s="98"/>
      <c r="U2295" s="98"/>
      <c r="AG2295" s="605"/>
      <c r="AH2295" s="605"/>
    </row>
    <row r="2296" spans="4:34" ht="19.5" customHeight="1">
      <c r="D2296" s="68"/>
      <c r="E2296" s="68"/>
      <c r="G2296" s="98"/>
      <c r="H2296" s="68"/>
      <c r="I2296" s="68"/>
      <c r="R2296" s="50"/>
      <c r="S2296" s="47"/>
      <c r="T2296" s="98"/>
      <c r="U2296" s="98"/>
      <c r="AG2296" s="605"/>
      <c r="AH2296" s="605"/>
    </row>
    <row r="2297" spans="4:34" ht="19.5" customHeight="1">
      <c r="D2297" s="68"/>
      <c r="E2297" s="68"/>
      <c r="G2297" s="98"/>
      <c r="H2297" s="68"/>
      <c r="I2297" s="68"/>
      <c r="R2297" s="50"/>
      <c r="S2297" s="47"/>
      <c r="T2297" s="98"/>
      <c r="U2297" s="98"/>
      <c r="AG2297" s="605"/>
      <c r="AH2297" s="605"/>
    </row>
    <row r="2298" spans="4:34" ht="19.5" customHeight="1">
      <c r="D2298" s="68"/>
      <c r="E2298" s="68"/>
      <c r="G2298" s="98"/>
      <c r="H2298" s="68"/>
      <c r="I2298" s="68"/>
      <c r="R2298" s="50"/>
      <c r="S2298" s="47"/>
      <c r="T2298" s="98"/>
      <c r="U2298" s="98"/>
      <c r="AG2298" s="605"/>
      <c r="AH2298" s="605"/>
    </row>
    <row r="2299" spans="4:34" ht="19.5" customHeight="1">
      <c r="D2299" s="68"/>
      <c r="E2299" s="68"/>
      <c r="G2299" s="98"/>
      <c r="H2299" s="68"/>
      <c r="I2299" s="68"/>
      <c r="R2299" s="50"/>
      <c r="S2299" s="47"/>
      <c r="T2299" s="98"/>
      <c r="U2299" s="98"/>
      <c r="AG2299" s="605"/>
      <c r="AH2299" s="605"/>
    </row>
    <row r="2300" spans="4:34" ht="19.5" customHeight="1">
      <c r="D2300" s="68"/>
      <c r="E2300" s="68"/>
      <c r="G2300" s="98"/>
      <c r="H2300" s="68"/>
      <c r="I2300" s="68"/>
      <c r="R2300" s="50"/>
      <c r="S2300" s="47"/>
      <c r="T2300" s="98"/>
      <c r="U2300" s="98"/>
      <c r="AG2300" s="605"/>
      <c r="AH2300" s="605"/>
    </row>
    <row r="2301" spans="4:34" ht="19.5" customHeight="1">
      <c r="D2301" s="68"/>
      <c r="E2301" s="68"/>
      <c r="G2301" s="98"/>
      <c r="H2301" s="68"/>
      <c r="I2301" s="68"/>
      <c r="R2301" s="50"/>
      <c r="S2301" s="47"/>
      <c r="T2301" s="98"/>
      <c r="U2301" s="98"/>
      <c r="AG2301" s="605"/>
      <c r="AH2301" s="605"/>
    </row>
    <row r="2302" spans="4:34" ht="19.5" customHeight="1">
      <c r="D2302" s="68"/>
      <c r="E2302" s="68"/>
      <c r="G2302" s="98"/>
      <c r="H2302" s="68"/>
      <c r="I2302" s="68"/>
      <c r="R2302" s="50"/>
      <c r="S2302" s="47"/>
      <c r="T2302" s="98"/>
      <c r="U2302" s="98"/>
      <c r="AG2302" s="605"/>
      <c r="AH2302" s="605"/>
    </row>
    <row r="2303" spans="4:34" ht="19.5" customHeight="1">
      <c r="D2303" s="68"/>
      <c r="E2303" s="68"/>
      <c r="G2303" s="98"/>
      <c r="H2303" s="68"/>
      <c r="I2303" s="68"/>
      <c r="R2303" s="50"/>
      <c r="S2303" s="47"/>
      <c r="T2303" s="98"/>
      <c r="U2303" s="98"/>
      <c r="AG2303" s="605"/>
      <c r="AH2303" s="605"/>
    </row>
    <row r="2304" spans="4:34" ht="19.5" customHeight="1">
      <c r="D2304" s="68"/>
      <c r="E2304" s="68"/>
      <c r="G2304" s="98"/>
      <c r="H2304" s="68"/>
      <c r="I2304" s="68"/>
      <c r="R2304" s="50"/>
      <c r="S2304" s="47"/>
      <c r="T2304" s="98"/>
      <c r="U2304" s="98"/>
      <c r="AG2304" s="605"/>
      <c r="AH2304" s="605"/>
    </row>
    <row r="2305" spans="4:34" ht="19.5" customHeight="1">
      <c r="D2305" s="68"/>
      <c r="E2305" s="68"/>
      <c r="G2305" s="98"/>
      <c r="H2305" s="68"/>
      <c r="I2305" s="68"/>
      <c r="R2305" s="50"/>
      <c r="S2305" s="47"/>
      <c r="T2305" s="98"/>
      <c r="U2305" s="98"/>
      <c r="AG2305" s="605"/>
      <c r="AH2305" s="605"/>
    </row>
    <row r="2306" spans="4:34" ht="19.5" customHeight="1">
      <c r="D2306" s="68"/>
      <c r="E2306" s="68"/>
      <c r="G2306" s="98"/>
      <c r="H2306" s="68"/>
      <c r="I2306" s="68"/>
      <c r="R2306" s="50"/>
      <c r="S2306" s="47"/>
      <c r="T2306" s="98"/>
      <c r="U2306" s="98"/>
      <c r="AG2306" s="605"/>
      <c r="AH2306" s="605"/>
    </row>
    <row r="2307" spans="4:34" ht="19.5" customHeight="1">
      <c r="D2307" s="68"/>
      <c r="E2307" s="68"/>
      <c r="G2307" s="98"/>
      <c r="H2307" s="68"/>
      <c r="I2307" s="68"/>
      <c r="R2307" s="50"/>
      <c r="S2307" s="47"/>
      <c r="T2307" s="98"/>
      <c r="U2307" s="98"/>
      <c r="AG2307" s="605"/>
      <c r="AH2307" s="605"/>
    </row>
    <row r="2308" spans="4:34" ht="19.5" customHeight="1">
      <c r="D2308" s="68"/>
      <c r="E2308" s="68"/>
      <c r="G2308" s="98"/>
      <c r="H2308" s="68"/>
      <c r="I2308" s="68"/>
      <c r="R2308" s="50"/>
      <c r="S2308" s="47"/>
      <c r="T2308" s="98"/>
      <c r="U2308" s="98"/>
      <c r="AG2308" s="605"/>
      <c r="AH2308" s="605"/>
    </row>
    <row r="2309" spans="4:34" ht="19.5" customHeight="1">
      <c r="D2309" s="68"/>
      <c r="E2309" s="68"/>
      <c r="G2309" s="98"/>
      <c r="H2309" s="68"/>
      <c r="I2309" s="68"/>
      <c r="R2309" s="50"/>
      <c r="S2309" s="47"/>
      <c r="T2309" s="98"/>
      <c r="U2309" s="98"/>
      <c r="AG2309" s="605"/>
      <c r="AH2309" s="605"/>
    </row>
    <row r="2310" spans="4:34" ht="19.5" customHeight="1">
      <c r="D2310" s="68"/>
      <c r="E2310" s="68"/>
      <c r="G2310" s="98"/>
      <c r="H2310" s="68"/>
      <c r="I2310" s="68"/>
      <c r="R2310" s="50"/>
      <c r="S2310" s="47"/>
      <c r="T2310" s="98"/>
      <c r="U2310" s="98"/>
      <c r="AG2310" s="605"/>
      <c r="AH2310" s="605"/>
    </row>
    <row r="2311" spans="4:34" ht="19.5" customHeight="1">
      <c r="D2311" s="68"/>
      <c r="E2311" s="68"/>
      <c r="G2311" s="98"/>
      <c r="H2311" s="68"/>
      <c r="I2311" s="68"/>
      <c r="R2311" s="50"/>
      <c r="S2311" s="47"/>
      <c r="T2311" s="98"/>
      <c r="U2311" s="98"/>
      <c r="AG2311" s="605"/>
      <c r="AH2311" s="605"/>
    </row>
    <row r="2312" spans="4:34" ht="19.5" customHeight="1">
      <c r="D2312" s="68"/>
      <c r="E2312" s="68"/>
      <c r="G2312" s="98"/>
      <c r="H2312" s="68"/>
      <c r="I2312" s="68"/>
      <c r="R2312" s="50"/>
      <c r="S2312" s="47"/>
      <c r="T2312" s="98"/>
      <c r="U2312" s="98"/>
      <c r="AG2312" s="605"/>
      <c r="AH2312" s="605"/>
    </row>
    <row r="2313" spans="4:34" ht="19.5" customHeight="1">
      <c r="D2313" s="68"/>
      <c r="E2313" s="68"/>
      <c r="G2313" s="98"/>
      <c r="H2313" s="68"/>
      <c r="I2313" s="68"/>
      <c r="R2313" s="50"/>
      <c r="S2313" s="47"/>
      <c r="T2313" s="98"/>
      <c r="U2313" s="98"/>
      <c r="AG2313" s="605"/>
      <c r="AH2313" s="605"/>
    </row>
    <row r="2314" spans="4:34" ht="19.5" customHeight="1">
      <c r="D2314" s="68"/>
      <c r="E2314" s="68"/>
      <c r="G2314" s="98"/>
      <c r="H2314" s="68"/>
      <c r="I2314" s="68"/>
      <c r="R2314" s="50"/>
      <c r="S2314" s="47"/>
      <c r="T2314" s="98"/>
      <c r="U2314" s="98"/>
      <c r="AG2314" s="605"/>
      <c r="AH2314" s="605"/>
    </row>
    <row r="2315" spans="4:34" ht="19.5" customHeight="1">
      <c r="D2315" s="68"/>
      <c r="E2315" s="68"/>
      <c r="G2315" s="98"/>
      <c r="H2315" s="68"/>
      <c r="I2315" s="68"/>
      <c r="R2315" s="50"/>
      <c r="S2315" s="47"/>
      <c r="T2315" s="98"/>
      <c r="U2315" s="98"/>
      <c r="AG2315" s="605"/>
      <c r="AH2315" s="605"/>
    </row>
    <row r="2316" spans="4:34" ht="19.5" customHeight="1">
      <c r="D2316" s="68"/>
      <c r="E2316" s="68"/>
      <c r="G2316" s="98"/>
      <c r="H2316" s="68"/>
      <c r="I2316" s="68"/>
      <c r="R2316" s="50"/>
      <c r="S2316" s="47"/>
      <c r="T2316" s="98"/>
      <c r="U2316" s="98"/>
      <c r="AG2316" s="605"/>
      <c r="AH2316" s="605"/>
    </row>
    <row r="2317" spans="4:34" ht="19.5" customHeight="1">
      <c r="D2317" s="68"/>
      <c r="E2317" s="68"/>
      <c r="G2317" s="98"/>
      <c r="H2317" s="68"/>
      <c r="I2317" s="68"/>
      <c r="R2317" s="50"/>
      <c r="S2317" s="47"/>
      <c r="T2317" s="98"/>
      <c r="U2317" s="98"/>
      <c r="AG2317" s="605"/>
      <c r="AH2317" s="605"/>
    </row>
    <row r="2318" spans="4:34" ht="19.5" customHeight="1">
      <c r="D2318" s="68"/>
      <c r="E2318" s="68"/>
      <c r="G2318" s="98"/>
      <c r="H2318" s="68"/>
      <c r="I2318" s="68"/>
      <c r="R2318" s="50"/>
      <c r="S2318" s="47"/>
      <c r="T2318" s="98"/>
      <c r="U2318" s="98"/>
      <c r="AG2318" s="605"/>
      <c r="AH2318" s="605"/>
    </row>
    <row r="2319" spans="4:34" ht="19.5" customHeight="1">
      <c r="D2319" s="68"/>
      <c r="E2319" s="68"/>
      <c r="G2319" s="98"/>
      <c r="H2319" s="68"/>
      <c r="I2319" s="68"/>
      <c r="R2319" s="50"/>
      <c r="S2319" s="47"/>
      <c r="T2319" s="98"/>
      <c r="U2319" s="98"/>
      <c r="AG2319" s="605"/>
      <c r="AH2319" s="605"/>
    </row>
    <row r="2320" spans="4:34" ht="19.5" customHeight="1">
      <c r="D2320" s="68"/>
      <c r="E2320" s="68"/>
      <c r="G2320" s="98"/>
      <c r="H2320" s="68"/>
      <c r="I2320" s="68"/>
      <c r="R2320" s="50"/>
      <c r="S2320" s="47"/>
      <c r="T2320" s="98"/>
      <c r="U2320" s="98"/>
      <c r="AG2320" s="605"/>
      <c r="AH2320" s="605"/>
    </row>
    <row r="2321" spans="4:34" ht="19.5" customHeight="1">
      <c r="D2321" s="68"/>
      <c r="E2321" s="68"/>
      <c r="G2321" s="98"/>
      <c r="H2321" s="68"/>
      <c r="I2321" s="68"/>
      <c r="R2321" s="50"/>
      <c r="S2321" s="47"/>
      <c r="T2321" s="98"/>
      <c r="U2321" s="98"/>
      <c r="AG2321" s="605"/>
      <c r="AH2321" s="605"/>
    </row>
    <row r="2322" spans="4:34" ht="19.5" customHeight="1">
      <c r="D2322" s="68"/>
      <c r="E2322" s="68"/>
      <c r="G2322" s="98"/>
      <c r="H2322" s="68"/>
      <c r="I2322" s="68"/>
      <c r="R2322" s="50"/>
      <c r="S2322" s="47"/>
      <c r="T2322" s="98"/>
      <c r="U2322" s="98"/>
      <c r="AG2322" s="605"/>
      <c r="AH2322" s="605"/>
    </row>
    <row r="2323" spans="4:34" ht="19.5" customHeight="1">
      <c r="D2323" s="68"/>
      <c r="E2323" s="68"/>
      <c r="G2323" s="98"/>
      <c r="H2323" s="68"/>
      <c r="I2323" s="68"/>
      <c r="R2323" s="50"/>
      <c r="S2323" s="47"/>
      <c r="T2323" s="98"/>
      <c r="U2323" s="98"/>
      <c r="AG2323" s="605"/>
      <c r="AH2323" s="605"/>
    </row>
    <row r="2324" spans="4:34" ht="19.5" customHeight="1">
      <c r="D2324" s="68"/>
      <c r="E2324" s="68"/>
      <c r="G2324" s="98"/>
      <c r="H2324" s="68"/>
      <c r="I2324" s="68"/>
      <c r="R2324" s="50"/>
      <c r="S2324" s="47"/>
      <c r="T2324" s="98"/>
      <c r="U2324" s="98"/>
      <c r="AG2324" s="605"/>
      <c r="AH2324" s="605"/>
    </row>
    <row r="2325" spans="4:34" ht="19.5" customHeight="1">
      <c r="D2325" s="68"/>
      <c r="E2325" s="68"/>
      <c r="G2325" s="98"/>
      <c r="H2325" s="68"/>
      <c r="I2325" s="68"/>
      <c r="R2325" s="50"/>
      <c r="S2325" s="47"/>
      <c r="T2325" s="98"/>
      <c r="U2325" s="98"/>
      <c r="AG2325" s="605"/>
      <c r="AH2325" s="605"/>
    </row>
    <row r="2326" spans="4:34" ht="19.5" customHeight="1">
      <c r="D2326" s="68"/>
      <c r="E2326" s="68"/>
      <c r="G2326" s="98"/>
      <c r="H2326" s="68"/>
      <c r="I2326" s="68"/>
      <c r="R2326" s="50"/>
      <c r="S2326" s="47"/>
      <c r="T2326" s="98"/>
      <c r="U2326" s="98"/>
      <c r="AG2326" s="605"/>
      <c r="AH2326" s="605"/>
    </row>
    <row r="2327" spans="4:34" ht="19.5" customHeight="1">
      <c r="D2327" s="68"/>
      <c r="E2327" s="68"/>
      <c r="G2327" s="98"/>
      <c r="H2327" s="68"/>
      <c r="I2327" s="68"/>
      <c r="R2327" s="50"/>
      <c r="S2327" s="47"/>
      <c r="T2327" s="98"/>
      <c r="U2327" s="98"/>
      <c r="AG2327" s="605"/>
      <c r="AH2327" s="605"/>
    </row>
    <row r="2328" spans="4:34" ht="19.5" customHeight="1">
      <c r="D2328" s="68"/>
      <c r="E2328" s="68"/>
      <c r="G2328" s="98"/>
      <c r="H2328" s="68"/>
      <c r="I2328" s="68"/>
      <c r="R2328" s="50"/>
      <c r="S2328" s="47"/>
      <c r="T2328" s="98"/>
      <c r="U2328" s="98"/>
      <c r="AG2328" s="605"/>
      <c r="AH2328" s="605"/>
    </row>
    <row r="2329" spans="4:34" ht="19.5" customHeight="1">
      <c r="D2329" s="68"/>
      <c r="E2329" s="68"/>
      <c r="G2329" s="98"/>
      <c r="H2329" s="68"/>
      <c r="I2329" s="68"/>
      <c r="R2329" s="50"/>
      <c r="S2329" s="47"/>
      <c r="T2329" s="98"/>
      <c r="U2329" s="98"/>
      <c r="AG2329" s="605"/>
      <c r="AH2329" s="605"/>
    </row>
    <row r="2330" spans="4:34" ht="19.5" customHeight="1">
      <c r="D2330" s="68"/>
      <c r="E2330" s="68"/>
      <c r="G2330" s="98"/>
      <c r="H2330" s="68"/>
      <c r="I2330" s="68"/>
      <c r="R2330" s="50"/>
      <c r="S2330" s="47"/>
      <c r="T2330" s="98"/>
      <c r="U2330" s="98"/>
      <c r="AG2330" s="605"/>
      <c r="AH2330" s="605"/>
    </row>
    <row r="2331" spans="4:34" ht="19.5" customHeight="1">
      <c r="D2331" s="68"/>
      <c r="E2331" s="68"/>
      <c r="G2331" s="98"/>
      <c r="H2331" s="68"/>
      <c r="I2331" s="68"/>
      <c r="R2331" s="50"/>
      <c r="S2331" s="47"/>
      <c r="T2331" s="98"/>
      <c r="U2331" s="98"/>
      <c r="AG2331" s="605"/>
      <c r="AH2331" s="605"/>
    </row>
    <row r="2332" spans="4:34" ht="19.5" customHeight="1">
      <c r="D2332" s="68"/>
      <c r="E2332" s="68"/>
      <c r="G2332" s="98"/>
      <c r="H2332" s="68"/>
      <c r="I2332" s="68"/>
      <c r="R2332" s="50"/>
      <c r="S2332" s="47"/>
      <c r="T2332" s="98"/>
      <c r="U2332" s="98"/>
      <c r="AG2332" s="605"/>
      <c r="AH2332" s="605"/>
    </row>
    <row r="2333" spans="4:34" ht="19.5" customHeight="1">
      <c r="D2333" s="68"/>
      <c r="E2333" s="68"/>
      <c r="G2333" s="98"/>
      <c r="H2333" s="68"/>
      <c r="I2333" s="68"/>
      <c r="R2333" s="50"/>
      <c r="S2333" s="47"/>
      <c r="T2333" s="98"/>
      <c r="U2333" s="98"/>
      <c r="AG2333" s="605"/>
      <c r="AH2333" s="605"/>
    </row>
    <row r="2334" spans="4:34" ht="19.5" customHeight="1">
      <c r="D2334" s="68"/>
      <c r="E2334" s="68"/>
      <c r="G2334" s="98"/>
      <c r="H2334" s="68"/>
      <c r="I2334" s="68"/>
      <c r="R2334" s="50"/>
      <c r="S2334" s="47"/>
      <c r="T2334" s="98"/>
      <c r="U2334" s="98"/>
      <c r="AG2334" s="605"/>
      <c r="AH2334" s="605"/>
    </row>
    <row r="2335" spans="4:34" ht="19.5" customHeight="1">
      <c r="D2335" s="68"/>
      <c r="E2335" s="68"/>
      <c r="G2335" s="98"/>
      <c r="H2335" s="68"/>
      <c r="I2335" s="68"/>
      <c r="R2335" s="50"/>
      <c r="S2335" s="47"/>
      <c r="T2335" s="98"/>
      <c r="U2335" s="98"/>
      <c r="AG2335" s="605"/>
      <c r="AH2335" s="605"/>
    </row>
    <row r="2336" spans="4:34" ht="19.5" customHeight="1">
      <c r="D2336" s="68"/>
      <c r="E2336" s="68"/>
      <c r="G2336" s="98"/>
      <c r="H2336" s="68"/>
      <c r="I2336" s="68"/>
      <c r="R2336" s="50"/>
      <c r="S2336" s="47"/>
      <c r="T2336" s="98"/>
      <c r="U2336" s="98"/>
      <c r="AG2336" s="605"/>
      <c r="AH2336" s="605"/>
    </row>
    <row r="2337" spans="4:34" ht="19.5" customHeight="1">
      <c r="D2337" s="68"/>
      <c r="E2337" s="68"/>
      <c r="G2337" s="98"/>
      <c r="H2337" s="68"/>
      <c r="I2337" s="68"/>
      <c r="R2337" s="50"/>
      <c r="S2337" s="47"/>
      <c r="T2337" s="98"/>
      <c r="U2337" s="98"/>
      <c r="AG2337" s="605"/>
      <c r="AH2337" s="605"/>
    </row>
    <row r="2338" spans="4:34" ht="19.5" customHeight="1">
      <c r="D2338" s="68"/>
      <c r="E2338" s="68"/>
      <c r="G2338" s="98"/>
      <c r="H2338" s="68"/>
      <c r="I2338" s="68"/>
      <c r="R2338" s="50"/>
      <c r="S2338" s="47"/>
      <c r="T2338" s="98"/>
      <c r="U2338" s="98"/>
      <c r="AG2338" s="605"/>
      <c r="AH2338" s="605"/>
    </row>
    <row r="2339" spans="4:34" ht="19.5" customHeight="1">
      <c r="D2339" s="68"/>
      <c r="E2339" s="68"/>
      <c r="G2339" s="98"/>
      <c r="H2339" s="68"/>
      <c r="I2339" s="68"/>
      <c r="R2339" s="50"/>
      <c r="S2339" s="47"/>
      <c r="T2339" s="98"/>
      <c r="U2339" s="98"/>
      <c r="AG2339" s="605"/>
      <c r="AH2339" s="605"/>
    </row>
    <row r="2340" spans="4:34" ht="19.5" customHeight="1">
      <c r="D2340" s="68"/>
      <c r="E2340" s="68"/>
      <c r="G2340" s="98"/>
      <c r="H2340" s="68"/>
      <c r="I2340" s="68"/>
      <c r="R2340" s="50"/>
      <c r="S2340" s="47"/>
      <c r="T2340" s="98"/>
      <c r="U2340" s="98"/>
      <c r="AG2340" s="605"/>
      <c r="AH2340" s="605"/>
    </row>
    <row r="2341" spans="4:34" ht="19.5" customHeight="1">
      <c r="D2341" s="68"/>
      <c r="E2341" s="68"/>
      <c r="G2341" s="98"/>
      <c r="H2341" s="68"/>
      <c r="I2341" s="68"/>
      <c r="R2341" s="50"/>
      <c r="S2341" s="47"/>
      <c r="T2341" s="98"/>
      <c r="U2341" s="98"/>
      <c r="AG2341" s="605"/>
      <c r="AH2341" s="605"/>
    </row>
    <row r="2342" spans="4:34" ht="19.5" customHeight="1">
      <c r="D2342" s="68"/>
      <c r="E2342" s="68"/>
      <c r="G2342" s="98"/>
      <c r="H2342" s="68"/>
      <c r="I2342" s="68"/>
      <c r="R2342" s="50"/>
      <c r="S2342" s="47"/>
      <c r="T2342" s="98"/>
      <c r="U2342" s="98"/>
      <c r="AG2342" s="605"/>
      <c r="AH2342" s="605"/>
    </row>
    <row r="2343" spans="4:34" ht="19.5" customHeight="1">
      <c r="D2343" s="68"/>
      <c r="E2343" s="68"/>
      <c r="G2343" s="98"/>
      <c r="H2343" s="68"/>
      <c r="I2343" s="68"/>
      <c r="R2343" s="50"/>
      <c r="S2343" s="47"/>
      <c r="T2343" s="98"/>
      <c r="U2343" s="98"/>
      <c r="AG2343" s="605"/>
      <c r="AH2343" s="605"/>
    </row>
    <row r="2344" spans="4:34" ht="19.5" customHeight="1">
      <c r="D2344" s="68"/>
      <c r="E2344" s="68"/>
      <c r="G2344" s="98"/>
      <c r="H2344" s="68"/>
      <c r="I2344" s="68"/>
      <c r="R2344" s="50"/>
      <c r="S2344" s="47"/>
      <c r="T2344" s="98"/>
      <c r="U2344" s="98"/>
      <c r="AG2344" s="605"/>
      <c r="AH2344" s="605"/>
    </row>
    <row r="2345" spans="4:34" ht="19.5" customHeight="1">
      <c r="D2345" s="68"/>
      <c r="E2345" s="68"/>
      <c r="G2345" s="98"/>
      <c r="H2345" s="68"/>
      <c r="I2345" s="68"/>
      <c r="R2345" s="50"/>
      <c r="S2345" s="47"/>
      <c r="T2345" s="98"/>
      <c r="U2345" s="98"/>
      <c r="AG2345" s="605"/>
      <c r="AH2345" s="605"/>
    </row>
    <row r="2346" spans="4:34" ht="19.5" customHeight="1">
      <c r="D2346" s="68"/>
      <c r="E2346" s="68"/>
      <c r="G2346" s="98"/>
      <c r="H2346" s="68"/>
      <c r="I2346" s="68"/>
      <c r="R2346" s="50"/>
      <c r="S2346" s="47"/>
      <c r="T2346" s="98"/>
      <c r="U2346" s="98"/>
      <c r="AG2346" s="605"/>
      <c r="AH2346" s="605"/>
    </row>
    <row r="2347" spans="4:34" ht="19.5" customHeight="1">
      <c r="D2347" s="68"/>
      <c r="E2347" s="68"/>
      <c r="G2347" s="98"/>
      <c r="H2347" s="68"/>
      <c r="I2347" s="68"/>
      <c r="R2347" s="50"/>
      <c r="S2347" s="47"/>
      <c r="T2347" s="98"/>
      <c r="U2347" s="98"/>
      <c r="AG2347" s="605"/>
      <c r="AH2347" s="605"/>
    </row>
    <row r="2348" spans="4:34" ht="19.5" customHeight="1">
      <c r="D2348" s="68"/>
      <c r="E2348" s="68"/>
      <c r="G2348" s="98"/>
      <c r="H2348" s="68"/>
      <c r="I2348" s="68"/>
      <c r="R2348" s="50"/>
      <c r="S2348" s="47"/>
      <c r="T2348" s="98"/>
      <c r="U2348" s="98"/>
      <c r="AG2348" s="605"/>
      <c r="AH2348" s="605"/>
    </row>
    <row r="2349" spans="4:34" ht="19.5" customHeight="1">
      <c r="D2349" s="68"/>
      <c r="E2349" s="68"/>
      <c r="G2349" s="98"/>
      <c r="H2349" s="68"/>
      <c r="I2349" s="68"/>
      <c r="R2349" s="50"/>
      <c r="S2349" s="47"/>
      <c r="T2349" s="98"/>
      <c r="U2349" s="98"/>
      <c r="AG2349" s="605"/>
      <c r="AH2349" s="605"/>
    </row>
    <row r="2350" spans="4:34" ht="19.5" customHeight="1">
      <c r="D2350" s="68"/>
      <c r="E2350" s="68"/>
      <c r="G2350" s="98"/>
      <c r="H2350" s="68"/>
      <c r="I2350" s="68"/>
      <c r="R2350" s="50"/>
      <c r="S2350" s="47"/>
      <c r="T2350" s="98"/>
      <c r="U2350" s="98"/>
      <c r="AG2350" s="605"/>
      <c r="AH2350" s="605"/>
    </row>
    <row r="2351" spans="4:34" ht="19.5" customHeight="1">
      <c r="D2351" s="68"/>
      <c r="E2351" s="68"/>
      <c r="G2351" s="98"/>
      <c r="H2351" s="68"/>
      <c r="I2351" s="68"/>
      <c r="R2351" s="50"/>
      <c r="S2351" s="47"/>
      <c r="T2351" s="98"/>
      <c r="U2351" s="98"/>
      <c r="AG2351" s="605"/>
      <c r="AH2351" s="605"/>
    </row>
    <row r="2352" spans="4:34" ht="19.5" customHeight="1">
      <c r="D2352" s="68"/>
      <c r="E2352" s="68"/>
      <c r="G2352" s="98"/>
      <c r="H2352" s="68"/>
      <c r="I2352" s="68"/>
      <c r="R2352" s="50"/>
      <c r="S2352" s="47"/>
      <c r="T2352" s="98"/>
      <c r="U2352" s="98"/>
      <c r="AG2352" s="605"/>
      <c r="AH2352" s="605"/>
    </row>
    <row r="2353" spans="4:34" ht="19.5" customHeight="1">
      <c r="D2353" s="68"/>
      <c r="E2353" s="68"/>
      <c r="G2353" s="98"/>
      <c r="H2353" s="68"/>
      <c r="I2353" s="68"/>
      <c r="R2353" s="50"/>
      <c r="S2353" s="47"/>
      <c r="T2353" s="98"/>
      <c r="U2353" s="98"/>
      <c r="AG2353" s="605"/>
      <c r="AH2353" s="605"/>
    </row>
    <row r="2354" spans="4:34" ht="19.5" customHeight="1">
      <c r="D2354" s="68"/>
      <c r="E2354" s="68"/>
      <c r="G2354" s="98"/>
      <c r="H2354" s="68"/>
      <c r="I2354" s="68"/>
      <c r="R2354" s="50"/>
      <c r="S2354" s="47"/>
      <c r="T2354" s="98"/>
      <c r="U2354" s="98"/>
      <c r="AG2354" s="605"/>
      <c r="AH2354" s="605"/>
    </row>
    <row r="2355" spans="4:34" ht="19.5" customHeight="1">
      <c r="D2355" s="68"/>
      <c r="E2355" s="68"/>
      <c r="G2355" s="98"/>
      <c r="H2355" s="68"/>
      <c r="I2355" s="68"/>
      <c r="R2355" s="50"/>
      <c r="S2355" s="47"/>
      <c r="T2355" s="98"/>
      <c r="U2355" s="98"/>
      <c r="AG2355" s="605"/>
      <c r="AH2355" s="605"/>
    </row>
    <row r="2356" spans="4:34" ht="19.5" customHeight="1">
      <c r="D2356" s="68"/>
      <c r="E2356" s="68"/>
      <c r="G2356" s="98"/>
      <c r="H2356" s="68"/>
      <c r="I2356" s="68"/>
      <c r="R2356" s="50"/>
      <c r="S2356" s="47"/>
      <c r="T2356" s="98"/>
      <c r="U2356" s="98"/>
      <c r="AG2356" s="605"/>
      <c r="AH2356" s="605"/>
    </row>
    <row r="2357" spans="4:34" ht="19.5" customHeight="1">
      <c r="D2357" s="68"/>
      <c r="E2357" s="68"/>
      <c r="G2357" s="98"/>
      <c r="H2357" s="68"/>
      <c r="I2357" s="68"/>
      <c r="R2357" s="50"/>
      <c r="S2357" s="47"/>
      <c r="T2357" s="98"/>
      <c r="U2357" s="98"/>
      <c r="AG2357" s="605"/>
      <c r="AH2357" s="605"/>
    </row>
    <row r="2358" spans="4:34" ht="19.5" customHeight="1">
      <c r="D2358" s="68"/>
      <c r="E2358" s="68"/>
      <c r="G2358" s="98"/>
      <c r="H2358" s="68"/>
      <c r="I2358" s="68"/>
      <c r="R2358" s="50"/>
      <c r="S2358" s="47"/>
      <c r="T2358" s="98"/>
      <c r="U2358" s="98"/>
      <c r="AG2358" s="605"/>
      <c r="AH2358" s="605"/>
    </row>
    <row r="2359" spans="4:34" ht="19.5" customHeight="1">
      <c r="D2359" s="68"/>
      <c r="E2359" s="68"/>
      <c r="G2359" s="98"/>
      <c r="H2359" s="68"/>
      <c r="I2359" s="68"/>
      <c r="R2359" s="50"/>
      <c r="S2359" s="47"/>
      <c r="T2359" s="98"/>
      <c r="U2359" s="98"/>
      <c r="AG2359" s="605"/>
      <c r="AH2359" s="605"/>
    </row>
    <row r="2360" spans="4:34" ht="19.5" customHeight="1">
      <c r="D2360" s="68"/>
      <c r="E2360" s="68"/>
      <c r="G2360" s="98"/>
      <c r="H2360" s="68"/>
      <c r="I2360" s="68"/>
      <c r="R2360" s="50"/>
      <c r="S2360" s="47"/>
      <c r="T2360" s="98"/>
      <c r="U2360" s="98"/>
      <c r="AG2360" s="605"/>
      <c r="AH2360" s="605"/>
    </row>
    <row r="2361" spans="4:34" ht="19.5" customHeight="1">
      <c r="D2361" s="68"/>
      <c r="E2361" s="68"/>
      <c r="G2361" s="98"/>
      <c r="H2361" s="68"/>
      <c r="I2361" s="68"/>
      <c r="R2361" s="50"/>
      <c r="S2361" s="47"/>
      <c r="T2361" s="98"/>
      <c r="U2361" s="98"/>
      <c r="AG2361" s="605"/>
      <c r="AH2361" s="605"/>
    </row>
    <row r="2362" spans="4:34" ht="19.5" customHeight="1">
      <c r="D2362" s="68"/>
      <c r="E2362" s="68"/>
      <c r="G2362" s="98"/>
      <c r="H2362" s="68"/>
      <c r="I2362" s="68"/>
      <c r="R2362" s="50"/>
      <c r="S2362" s="47"/>
      <c r="T2362" s="98"/>
      <c r="U2362" s="98"/>
      <c r="AG2362" s="605"/>
      <c r="AH2362" s="605"/>
    </row>
    <row r="2363" spans="4:34" ht="19.5" customHeight="1">
      <c r="D2363" s="68"/>
      <c r="E2363" s="68"/>
      <c r="G2363" s="98"/>
      <c r="H2363" s="68"/>
      <c r="I2363" s="68"/>
      <c r="R2363" s="50"/>
      <c r="S2363" s="47"/>
      <c r="T2363" s="98"/>
      <c r="U2363" s="98"/>
      <c r="AG2363" s="605"/>
      <c r="AH2363" s="605"/>
    </row>
    <row r="2364" spans="4:34" ht="19.5" customHeight="1">
      <c r="D2364" s="68"/>
      <c r="E2364" s="68"/>
      <c r="G2364" s="98"/>
      <c r="H2364" s="68"/>
      <c r="I2364" s="68"/>
      <c r="R2364" s="50"/>
      <c r="S2364" s="47"/>
      <c r="T2364" s="98"/>
      <c r="U2364" s="98"/>
      <c r="AG2364" s="605"/>
      <c r="AH2364" s="605"/>
    </row>
    <row r="2365" spans="4:34" ht="19.5" customHeight="1">
      <c r="D2365" s="68"/>
      <c r="E2365" s="68"/>
      <c r="G2365" s="98"/>
      <c r="H2365" s="68"/>
      <c r="I2365" s="68"/>
      <c r="R2365" s="50"/>
      <c r="S2365" s="47"/>
      <c r="T2365" s="98"/>
      <c r="U2365" s="98"/>
      <c r="AG2365" s="605"/>
      <c r="AH2365" s="605"/>
    </row>
    <row r="2366" spans="4:34" ht="19.5" customHeight="1">
      <c r="D2366" s="68"/>
      <c r="E2366" s="68"/>
      <c r="G2366" s="98"/>
      <c r="H2366" s="68"/>
      <c r="I2366" s="68"/>
      <c r="R2366" s="50"/>
      <c r="S2366" s="47"/>
      <c r="T2366" s="98"/>
      <c r="U2366" s="98"/>
      <c r="AG2366" s="605"/>
      <c r="AH2366" s="605"/>
    </row>
    <row r="2367" spans="4:34" ht="19.5" customHeight="1">
      <c r="D2367" s="68"/>
      <c r="E2367" s="68"/>
      <c r="G2367" s="98"/>
      <c r="H2367" s="68"/>
      <c r="I2367" s="68"/>
      <c r="R2367" s="50"/>
      <c r="S2367" s="47"/>
      <c r="T2367" s="98"/>
      <c r="U2367" s="98"/>
      <c r="AG2367" s="605"/>
      <c r="AH2367" s="605"/>
    </row>
    <row r="2368" spans="4:34" ht="19.5" customHeight="1">
      <c r="D2368" s="68"/>
      <c r="E2368" s="68"/>
      <c r="G2368" s="98"/>
      <c r="H2368" s="68"/>
      <c r="I2368" s="68"/>
      <c r="R2368" s="50"/>
      <c r="S2368" s="47"/>
      <c r="T2368" s="98"/>
      <c r="U2368" s="98"/>
      <c r="AG2368" s="605"/>
      <c r="AH2368" s="605"/>
    </row>
    <row r="2369" spans="4:34" ht="19.5" customHeight="1">
      <c r="D2369" s="68"/>
      <c r="E2369" s="68"/>
      <c r="G2369" s="98"/>
      <c r="H2369" s="68"/>
      <c r="I2369" s="68"/>
      <c r="R2369" s="50"/>
      <c r="S2369" s="47"/>
      <c r="T2369" s="98"/>
      <c r="U2369" s="98"/>
      <c r="AG2369" s="605"/>
      <c r="AH2369" s="605"/>
    </row>
    <row r="2370" spans="4:34" ht="19.5" customHeight="1">
      <c r="D2370" s="68"/>
      <c r="E2370" s="68"/>
      <c r="G2370" s="98"/>
      <c r="H2370" s="68"/>
      <c r="I2370" s="68"/>
      <c r="R2370" s="50"/>
      <c r="S2370" s="47"/>
      <c r="T2370" s="98"/>
      <c r="U2370" s="98"/>
      <c r="AG2370" s="605"/>
      <c r="AH2370" s="605"/>
    </row>
    <row r="2371" spans="4:34" ht="19.5" customHeight="1">
      <c r="D2371" s="68"/>
      <c r="E2371" s="68"/>
      <c r="G2371" s="98"/>
      <c r="H2371" s="68"/>
      <c r="I2371" s="68"/>
      <c r="R2371" s="50"/>
      <c r="S2371" s="47"/>
      <c r="T2371" s="98"/>
      <c r="U2371" s="98"/>
      <c r="AG2371" s="605"/>
      <c r="AH2371" s="605"/>
    </row>
    <row r="2372" spans="4:34" ht="19.5" customHeight="1">
      <c r="D2372" s="68"/>
      <c r="E2372" s="68"/>
      <c r="G2372" s="98"/>
      <c r="H2372" s="68"/>
      <c r="I2372" s="68"/>
      <c r="R2372" s="50"/>
      <c r="S2372" s="47"/>
      <c r="T2372" s="98"/>
      <c r="U2372" s="98"/>
      <c r="AG2372" s="605"/>
      <c r="AH2372" s="605"/>
    </row>
    <row r="2373" spans="4:34" ht="19.5" customHeight="1">
      <c r="D2373" s="68"/>
      <c r="E2373" s="68"/>
      <c r="G2373" s="98"/>
      <c r="H2373" s="68"/>
      <c r="I2373" s="68"/>
      <c r="R2373" s="50"/>
      <c r="S2373" s="47"/>
      <c r="T2373" s="98"/>
      <c r="U2373" s="98"/>
      <c r="AG2373" s="605"/>
      <c r="AH2373" s="605"/>
    </row>
    <row r="2374" spans="4:34" ht="19.5" customHeight="1">
      <c r="D2374" s="68"/>
      <c r="E2374" s="68"/>
      <c r="G2374" s="98"/>
      <c r="H2374" s="68"/>
      <c r="I2374" s="68"/>
      <c r="R2374" s="50"/>
      <c r="S2374" s="47"/>
      <c r="T2374" s="98"/>
      <c r="U2374" s="98"/>
      <c r="AG2374" s="605"/>
      <c r="AH2374" s="605"/>
    </row>
    <row r="2375" spans="4:34" ht="19.5" customHeight="1">
      <c r="D2375" s="68"/>
      <c r="E2375" s="68"/>
      <c r="G2375" s="98"/>
      <c r="H2375" s="68"/>
      <c r="I2375" s="68"/>
      <c r="R2375" s="50"/>
      <c r="S2375" s="47"/>
      <c r="T2375" s="98"/>
      <c r="U2375" s="98"/>
      <c r="AG2375" s="605"/>
      <c r="AH2375" s="605"/>
    </row>
    <row r="2376" spans="4:34" ht="19.5" customHeight="1">
      <c r="D2376" s="68"/>
      <c r="E2376" s="68"/>
      <c r="G2376" s="98"/>
      <c r="H2376" s="68"/>
      <c r="I2376" s="68"/>
      <c r="R2376" s="50"/>
      <c r="S2376" s="47"/>
      <c r="T2376" s="98"/>
      <c r="U2376" s="98"/>
      <c r="AG2376" s="605"/>
      <c r="AH2376" s="605"/>
    </row>
    <row r="2377" spans="4:34" ht="19.5" customHeight="1">
      <c r="D2377" s="68"/>
      <c r="E2377" s="68"/>
      <c r="G2377" s="98"/>
      <c r="H2377" s="68"/>
      <c r="I2377" s="68"/>
      <c r="R2377" s="50"/>
      <c r="S2377" s="47"/>
      <c r="T2377" s="98"/>
      <c r="U2377" s="98"/>
      <c r="AG2377" s="605"/>
      <c r="AH2377" s="605"/>
    </row>
    <row r="2378" spans="4:34" ht="19.5" customHeight="1">
      <c r="D2378" s="68"/>
      <c r="E2378" s="68"/>
      <c r="G2378" s="98"/>
      <c r="H2378" s="68"/>
      <c r="I2378" s="68"/>
      <c r="R2378" s="50"/>
      <c r="S2378" s="47"/>
      <c r="T2378" s="98"/>
      <c r="U2378" s="98"/>
      <c r="AG2378" s="605"/>
      <c r="AH2378" s="605"/>
    </row>
    <row r="2379" spans="4:34" ht="19.5" customHeight="1">
      <c r="D2379" s="68"/>
      <c r="E2379" s="68"/>
      <c r="G2379" s="98"/>
      <c r="H2379" s="68"/>
      <c r="I2379" s="68"/>
      <c r="R2379" s="50"/>
      <c r="S2379" s="47"/>
      <c r="T2379" s="98"/>
      <c r="U2379" s="98"/>
      <c r="AG2379" s="605"/>
      <c r="AH2379" s="605"/>
    </row>
    <row r="2380" spans="4:34" ht="19.5" customHeight="1">
      <c r="D2380" s="68"/>
      <c r="E2380" s="68"/>
      <c r="G2380" s="98"/>
      <c r="H2380" s="68"/>
      <c r="I2380" s="68"/>
      <c r="R2380" s="50"/>
      <c r="S2380" s="47"/>
      <c r="T2380" s="98"/>
      <c r="U2380" s="98"/>
      <c r="AG2380" s="605"/>
      <c r="AH2380" s="605"/>
    </row>
    <row r="2381" spans="4:34" ht="19.5" customHeight="1">
      <c r="D2381" s="68"/>
      <c r="E2381" s="68"/>
      <c r="G2381" s="98"/>
      <c r="H2381" s="68"/>
      <c r="I2381" s="68"/>
      <c r="R2381" s="50"/>
      <c r="S2381" s="47"/>
      <c r="T2381" s="98"/>
      <c r="U2381" s="98"/>
      <c r="AG2381" s="605"/>
      <c r="AH2381" s="605"/>
    </row>
    <row r="2382" spans="4:34" ht="19.5" customHeight="1">
      <c r="D2382" s="68"/>
      <c r="E2382" s="68"/>
      <c r="G2382" s="98"/>
      <c r="H2382" s="68"/>
      <c r="I2382" s="68"/>
      <c r="R2382" s="50"/>
      <c r="S2382" s="47"/>
      <c r="T2382" s="98"/>
      <c r="U2382" s="98"/>
      <c r="AG2382" s="605"/>
      <c r="AH2382" s="605"/>
    </row>
    <row r="2383" spans="4:34" ht="19.5" customHeight="1">
      <c r="D2383" s="68"/>
      <c r="E2383" s="68"/>
      <c r="G2383" s="98"/>
      <c r="H2383" s="68"/>
      <c r="I2383" s="68"/>
      <c r="R2383" s="50"/>
      <c r="S2383" s="47"/>
      <c r="T2383" s="98"/>
      <c r="U2383" s="98"/>
      <c r="AG2383" s="605"/>
      <c r="AH2383" s="605"/>
    </row>
    <row r="2384" spans="4:34" ht="19.5" customHeight="1">
      <c r="D2384" s="68"/>
      <c r="E2384" s="68"/>
      <c r="G2384" s="98"/>
      <c r="H2384" s="68"/>
      <c r="I2384" s="68"/>
      <c r="R2384" s="50"/>
      <c r="S2384" s="47"/>
      <c r="T2384" s="98"/>
      <c r="U2384" s="98"/>
      <c r="AG2384" s="605"/>
      <c r="AH2384" s="605"/>
    </row>
    <row r="2385" spans="4:34" ht="19.5" customHeight="1">
      <c r="D2385" s="68"/>
      <c r="E2385" s="68"/>
      <c r="G2385" s="98"/>
      <c r="H2385" s="68"/>
      <c r="I2385" s="68"/>
      <c r="R2385" s="50"/>
      <c r="S2385" s="47"/>
      <c r="T2385" s="98"/>
      <c r="U2385" s="98"/>
      <c r="AG2385" s="605"/>
      <c r="AH2385" s="605"/>
    </row>
    <row r="2386" spans="4:34" ht="19.5" customHeight="1">
      <c r="D2386" s="68"/>
      <c r="E2386" s="68"/>
      <c r="G2386" s="98"/>
      <c r="H2386" s="68"/>
      <c r="I2386" s="68"/>
      <c r="R2386" s="50"/>
      <c r="S2386" s="47"/>
      <c r="T2386" s="98"/>
      <c r="U2386" s="98"/>
      <c r="AG2386" s="605"/>
      <c r="AH2386" s="605"/>
    </row>
    <row r="2387" spans="4:34" ht="19.5" customHeight="1">
      <c r="D2387" s="68"/>
      <c r="E2387" s="68"/>
      <c r="G2387" s="98"/>
      <c r="H2387" s="68"/>
      <c r="I2387" s="68"/>
      <c r="R2387" s="50"/>
      <c r="S2387" s="47"/>
      <c r="T2387" s="98"/>
      <c r="U2387" s="98"/>
      <c r="AG2387" s="605"/>
      <c r="AH2387" s="605"/>
    </row>
    <row r="2388" spans="4:34" ht="19.5" customHeight="1">
      <c r="D2388" s="68"/>
      <c r="E2388" s="68"/>
      <c r="G2388" s="98"/>
      <c r="H2388" s="68"/>
      <c r="I2388" s="68"/>
      <c r="R2388" s="50"/>
      <c r="S2388" s="47"/>
      <c r="T2388" s="98"/>
      <c r="U2388" s="98"/>
      <c r="AG2388" s="605"/>
      <c r="AH2388" s="605"/>
    </row>
    <row r="2389" spans="4:34" ht="19.5" customHeight="1">
      <c r="D2389" s="68"/>
      <c r="E2389" s="68"/>
      <c r="G2389" s="98"/>
      <c r="H2389" s="68"/>
      <c r="I2389" s="68"/>
      <c r="R2389" s="50"/>
      <c r="S2389" s="47"/>
      <c r="T2389" s="98"/>
      <c r="U2389" s="98"/>
      <c r="AG2389" s="605"/>
      <c r="AH2389" s="605"/>
    </row>
    <row r="2390" spans="4:34" ht="19.5" customHeight="1">
      <c r="D2390" s="68"/>
      <c r="E2390" s="68"/>
      <c r="G2390" s="98"/>
      <c r="H2390" s="68"/>
      <c r="I2390" s="68"/>
      <c r="R2390" s="50"/>
      <c r="S2390" s="47"/>
      <c r="T2390" s="98"/>
      <c r="U2390" s="98"/>
      <c r="AG2390" s="605"/>
      <c r="AH2390" s="605"/>
    </row>
    <row r="2391" spans="4:34" ht="19.5" customHeight="1">
      <c r="D2391" s="68"/>
      <c r="E2391" s="68"/>
      <c r="G2391" s="98"/>
      <c r="H2391" s="68"/>
      <c r="I2391" s="68"/>
      <c r="R2391" s="50"/>
      <c r="S2391" s="47"/>
      <c r="T2391" s="98"/>
      <c r="U2391" s="98"/>
      <c r="AG2391" s="605"/>
      <c r="AH2391" s="605"/>
    </row>
    <row r="2392" spans="4:34" ht="19.5" customHeight="1">
      <c r="D2392" s="68"/>
      <c r="E2392" s="68"/>
      <c r="G2392" s="98"/>
      <c r="H2392" s="68"/>
      <c r="I2392" s="68"/>
      <c r="R2392" s="50"/>
      <c r="S2392" s="47"/>
      <c r="T2392" s="98"/>
      <c r="U2392" s="98"/>
      <c r="AG2392" s="605"/>
      <c r="AH2392" s="605"/>
    </row>
    <row r="2393" spans="4:34" ht="19.5" customHeight="1">
      <c r="D2393" s="68"/>
      <c r="E2393" s="68"/>
      <c r="G2393" s="98"/>
      <c r="H2393" s="68"/>
      <c r="I2393" s="68"/>
      <c r="R2393" s="50"/>
      <c r="S2393" s="47"/>
      <c r="T2393" s="98"/>
      <c r="U2393" s="98"/>
      <c r="AG2393" s="605"/>
      <c r="AH2393" s="605"/>
    </row>
    <row r="2394" spans="4:34" ht="19.5" customHeight="1">
      <c r="D2394" s="68"/>
      <c r="E2394" s="68"/>
      <c r="G2394" s="98"/>
      <c r="H2394" s="68"/>
      <c r="I2394" s="68"/>
      <c r="R2394" s="50"/>
      <c r="S2394" s="47"/>
      <c r="T2394" s="98"/>
      <c r="U2394" s="98"/>
      <c r="AG2394" s="605"/>
      <c r="AH2394" s="605"/>
    </row>
    <row r="2395" spans="4:34" ht="19.5" customHeight="1">
      <c r="D2395" s="68"/>
      <c r="E2395" s="68"/>
      <c r="G2395" s="98"/>
      <c r="H2395" s="68"/>
      <c r="I2395" s="68"/>
      <c r="R2395" s="50"/>
      <c r="S2395" s="47"/>
      <c r="T2395" s="98"/>
      <c r="U2395" s="98"/>
      <c r="AG2395" s="605"/>
      <c r="AH2395" s="605"/>
    </row>
    <row r="2396" spans="4:34" ht="19.5" customHeight="1">
      <c r="D2396" s="68"/>
      <c r="E2396" s="68"/>
      <c r="G2396" s="98"/>
      <c r="H2396" s="68"/>
      <c r="I2396" s="68"/>
      <c r="R2396" s="50"/>
      <c r="S2396" s="47"/>
      <c r="T2396" s="98"/>
      <c r="U2396" s="98"/>
      <c r="AG2396" s="605"/>
      <c r="AH2396" s="605"/>
    </row>
    <row r="2397" spans="4:34" ht="19.5" customHeight="1">
      <c r="D2397" s="68"/>
      <c r="E2397" s="68"/>
      <c r="G2397" s="98"/>
      <c r="H2397" s="68"/>
      <c r="I2397" s="68"/>
      <c r="R2397" s="50"/>
      <c r="S2397" s="47"/>
      <c r="T2397" s="98"/>
      <c r="U2397" s="98"/>
      <c r="AG2397" s="605"/>
      <c r="AH2397" s="605"/>
    </row>
    <row r="2398" spans="4:34" ht="19.5" customHeight="1">
      <c r="D2398" s="68"/>
      <c r="E2398" s="68"/>
      <c r="G2398" s="98"/>
      <c r="H2398" s="68"/>
      <c r="I2398" s="68"/>
      <c r="R2398" s="50"/>
      <c r="S2398" s="47"/>
      <c r="T2398" s="98"/>
      <c r="U2398" s="98"/>
      <c r="AG2398" s="605"/>
      <c r="AH2398" s="605"/>
    </row>
    <row r="2399" spans="4:34" ht="19.5" customHeight="1">
      <c r="D2399" s="68"/>
      <c r="E2399" s="68"/>
      <c r="G2399" s="98"/>
      <c r="H2399" s="68"/>
      <c r="I2399" s="68"/>
      <c r="R2399" s="50"/>
      <c r="S2399" s="47"/>
      <c r="T2399" s="98"/>
      <c r="U2399" s="98"/>
      <c r="AG2399" s="605"/>
      <c r="AH2399" s="605"/>
    </row>
    <row r="2400" spans="4:34" ht="19.5" customHeight="1">
      <c r="D2400" s="68"/>
      <c r="E2400" s="68"/>
      <c r="G2400" s="98"/>
      <c r="H2400" s="68"/>
      <c r="I2400" s="68"/>
      <c r="R2400" s="50"/>
      <c r="S2400" s="47"/>
      <c r="T2400" s="98"/>
      <c r="U2400" s="98"/>
      <c r="AG2400" s="605"/>
      <c r="AH2400" s="605"/>
    </row>
    <row r="2401" spans="4:34" ht="19.5" customHeight="1">
      <c r="D2401" s="68"/>
      <c r="E2401" s="68"/>
      <c r="G2401" s="98"/>
      <c r="H2401" s="68"/>
      <c r="I2401" s="68"/>
      <c r="R2401" s="50"/>
      <c r="S2401" s="47"/>
      <c r="T2401" s="98"/>
      <c r="U2401" s="98"/>
      <c r="AG2401" s="605"/>
      <c r="AH2401" s="605"/>
    </row>
    <row r="2402" spans="4:34" ht="19.5" customHeight="1">
      <c r="D2402" s="68"/>
      <c r="E2402" s="68"/>
      <c r="G2402" s="98"/>
      <c r="H2402" s="68"/>
      <c r="I2402" s="68"/>
      <c r="R2402" s="50"/>
      <c r="S2402" s="47"/>
      <c r="T2402" s="98"/>
      <c r="U2402" s="98"/>
      <c r="AG2402" s="605"/>
      <c r="AH2402" s="605"/>
    </row>
    <row r="2403" spans="4:34" ht="19.5" customHeight="1">
      <c r="D2403" s="68"/>
      <c r="E2403" s="68"/>
      <c r="G2403" s="98"/>
      <c r="H2403" s="68"/>
      <c r="I2403" s="68"/>
      <c r="R2403" s="50"/>
      <c r="S2403" s="47"/>
      <c r="T2403" s="98"/>
      <c r="U2403" s="98"/>
      <c r="AG2403" s="605"/>
      <c r="AH2403" s="605"/>
    </row>
    <row r="2404" spans="4:34" ht="19.5" customHeight="1">
      <c r="D2404" s="68"/>
      <c r="E2404" s="68"/>
      <c r="G2404" s="98"/>
      <c r="H2404" s="68"/>
      <c r="I2404" s="68"/>
      <c r="R2404" s="50"/>
      <c r="S2404" s="47"/>
      <c r="T2404" s="98"/>
      <c r="U2404" s="98"/>
      <c r="AG2404" s="605"/>
      <c r="AH2404" s="605"/>
    </row>
    <row r="2405" spans="4:34" ht="19.5" customHeight="1">
      <c r="D2405" s="68"/>
      <c r="E2405" s="68"/>
      <c r="G2405" s="98"/>
      <c r="H2405" s="68"/>
      <c r="I2405" s="68"/>
      <c r="R2405" s="50"/>
      <c r="S2405" s="47"/>
      <c r="T2405" s="98"/>
      <c r="U2405" s="98"/>
      <c r="AG2405" s="605"/>
      <c r="AH2405" s="605"/>
    </row>
    <row r="2406" spans="4:34" ht="19.5" customHeight="1">
      <c r="D2406" s="68"/>
      <c r="E2406" s="68"/>
      <c r="G2406" s="98"/>
      <c r="H2406" s="68"/>
      <c r="I2406" s="68"/>
      <c r="R2406" s="50"/>
      <c r="S2406" s="47"/>
      <c r="T2406" s="98"/>
      <c r="U2406" s="98"/>
      <c r="AG2406" s="605"/>
      <c r="AH2406" s="605"/>
    </row>
    <row r="2407" spans="4:34" ht="19.5" customHeight="1">
      <c r="D2407" s="68"/>
      <c r="E2407" s="68"/>
      <c r="G2407" s="98"/>
      <c r="H2407" s="68"/>
      <c r="I2407" s="68"/>
      <c r="R2407" s="50"/>
      <c r="S2407" s="47"/>
      <c r="T2407" s="98"/>
      <c r="U2407" s="98"/>
      <c r="AG2407" s="605"/>
      <c r="AH2407" s="605"/>
    </row>
    <row r="2408" spans="4:34" ht="19.5" customHeight="1">
      <c r="D2408" s="68"/>
      <c r="E2408" s="68"/>
      <c r="G2408" s="98"/>
      <c r="H2408" s="68"/>
      <c r="I2408" s="68"/>
      <c r="R2408" s="50"/>
      <c r="S2408" s="47"/>
      <c r="T2408" s="98"/>
      <c r="U2408" s="98"/>
      <c r="AG2408" s="605"/>
      <c r="AH2408" s="605"/>
    </row>
    <row r="2409" spans="4:34" ht="19.5" customHeight="1">
      <c r="D2409" s="68"/>
      <c r="E2409" s="68"/>
      <c r="G2409" s="98"/>
      <c r="H2409" s="68"/>
      <c r="I2409" s="68"/>
      <c r="R2409" s="50"/>
      <c r="S2409" s="47"/>
      <c r="T2409" s="98"/>
      <c r="U2409" s="98"/>
      <c r="AG2409" s="605"/>
      <c r="AH2409" s="605"/>
    </row>
    <row r="2410" spans="4:34" ht="19.5" customHeight="1">
      <c r="D2410" s="68"/>
      <c r="E2410" s="68"/>
      <c r="G2410" s="98"/>
      <c r="H2410" s="68"/>
      <c r="I2410" s="68"/>
      <c r="R2410" s="50"/>
      <c r="S2410" s="47"/>
      <c r="T2410" s="98"/>
      <c r="U2410" s="98"/>
      <c r="AG2410" s="605"/>
      <c r="AH2410" s="605"/>
    </row>
    <row r="2411" spans="4:34" ht="19.5" customHeight="1">
      <c r="D2411" s="68"/>
      <c r="E2411" s="68"/>
      <c r="G2411" s="98"/>
      <c r="H2411" s="68"/>
      <c r="I2411" s="68"/>
      <c r="R2411" s="50"/>
      <c r="S2411" s="47"/>
      <c r="T2411" s="98"/>
      <c r="U2411" s="98"/>
      <c r="AG2411" s="605"/>
      <c r="AH2411" s="605"/>
    </row>
    <row r="2412" spans="4:34" ht="19.5" customHeight="1">
      <c r="D2412" s="68"/>
      <c r="E2412" s="68"/>
      <c r="G2412" s="98"/>
      <c r="H2412" s="68"/>
      <c r="I2412" s="68"/>
      <c r="R2412" s="50"/>
      <c r="S2412" s="47"/>
      <c r="T2412" s="98"/>
      <c r="U2412" s="98"/>
      <c r="AG2412" s="605"/>
      <c r="AH2412" s="605"/>
    </row>
    <row r="2413" spans="4:34" ht="19.5" customHeight="1">
      <c r="D2413" s="68"/>
      <c r="E2413" s="68"/>
      <c r="G2413" s="98"/>
      <c r="H2413" s="68"/>
      <c r="I2413" s="68"/>
      <c r="R2413" s="50"/>
      <c r="S2413" s="47"/>
      <c r="T2413" s="98"/>
      <c r="U2413" s="98"/>
      <c r="AG2413" s="605"/>
      <c r="AH2413" s="605"/>
    </row>
    <row r="2414" spans="4:34" ht="19.5" customHeight="1">
      <c r="D2414" s="68"/>
      <c r="E2414" s="68"/>
      <c r="G2414" s="98"/>
      <c r="H2414" s="68"/>
      <c r="I2414" s="68"/>
      <c r="R2414" s="50"/>
      <c r="S2414" s="47"/>
      <c r="T2414" s="98"/>
      <c r="U2414" s="98"/>
      <c r="AG2414" s="605"/>
      <c r="AH2414" s="605"/>
    </row>
    <row r="2415" spans="4:34" ht="19.5" customHeight="1">
      <c r="D2415" s="68"/>
      <c r="E2415" s="68"/>
      <c r="G2415" s="98"/>
      <c r="H2415" s="68"/>
      <c r="I2415" s="68"/>
      <c r="R2415" s="50"/>
      <c r="S2415" s="47"/>
      <c r="T2415" s="98"/>
      <c r="U2415" s="98"/>
      <c r="AG2415" s="605"/>
      <c r="AH2415" s="605"/>
    </row>
    <row r="2416" spans="4:34" ht="19.5" customHeight="1">
      <c r="D2416" s="68"/>
      <c r="E2416" s="68"/>
      <c r="G2416" s="98"/>
      <c r="H2416" s="68"/>
      <c r="I2416" s="68"/>
      <c r="R2416" s="50"/>
      <c r="S2416" s="47"/>
      <c r="T2416" s="98"/>
      <c r="U2416" s="98"/>
      <c r="AG2416" s="605"/>
      <c r="AH2416" s="605"/>
    </row>
    <row r="2417" spans="4:34" ht="19.5" customHeight="1">
      <c r="D2417" s="68"/>
      <c r="E2417" s="68"/>
      <c r="G2417" s="98"/>
      <c r="H2417" s="68"/>
      <c r="I2417" s="68"/>
      <c r="R2417" s="50"/>
      <c r="S2417" s="47"/>
      <c r="T2417" s="98"/>
      <c r="U2417" s="98"/>
      <c r="AG2417" s="605"/>
      <c r="AH2417" s="605"/>
    </row>
    <row r="2418" spans="4:34" ht="19.5" customHeight="1">
      <c r="D2418" s="68"/>
      <c r="E2418" s="68"/>
      <c r="G2418" s="98"/>
      <c r="H2418" s="68"/>
      <c r="I2418" s="68"/>
      <c r="R2418" s="50"/>
      <c r="S2418" s="47"/>
      <c r="T2418" s="98"/>
      <c r="U2418" s="98"/>
      <c r="AG2418" s="605"/>
      <c r="AH2418" s="605"/>
    </row>
    <row r="2419" spans="4:34" ht="19.5" customHeight="1">
      <c r="D2419" s="68"/>
      <c r="E2419" s="68"/>
      <c r="G2419" s="98"/>
      <c r="H2419" s="68"/>
      <c r="I2419" s="68"/>
      <c r="R2419" s="50"/>
      <c r="S2419" s="47"/>
      <c r="T2419" s="98"/>
      <c r="U2419" s="98"/>
      <c r="AG2419" s="605"/>
      <c r="AH2419" s="605"/>
    </row>
    <row r="2420" spans="4:34" ht="19.5" customHeight="1">
      <c r="D2420" s="68"/>
      <c r="E2420" s="68"/>
      <c r="G2420" s="98"/>
      <c r="H2420" s="68"/>
      <c r="I2420" s="68"/>
      <c r="R2420" s="50"/>
      <c r="S2420" s="47"/>
      <c r="T2420" s="98"/>
      <c r="U2420" s="98"/>
      <c r="AG2420" s="605"/>
      <c r="AH2420" s="605"/>
    </row>
    <row r="2421" spans="4:34" ht="19.5" customHeight="1">
      <c r="D2421" s="68"/>
      <c r="E2421" s="68"/>
      <c r="G2421" s="98"/>
      <c r="H2421" s="68"/>
      <c r="I2421" s="68"/>
      <c r="R2421" s="50"/>
      <c r="S2421" s="47"/>
      <c r="T2421" s="98"/>
      <c r="U2421" s="98"/>
      <c r="AG2421" s="605"/>
      <c r="AH2421" s="605"/>
    </row>
    <row r="2422" spans="4:34" ht="19.5" customHeight="1">
      <c r="D2422" s="68"/>
      <c r="E2422" s="68"/>
      <c r="G2422" s="98"/>
      <c r="H2422" s="68"/>
      <c r="I2422" s="68"/>
      <c r="R2422" s="50"/>
      <c r="S2422" s="47"/>
      <c r="T2422" s="98"/>
      <c r="U2422" s="98"/>
      <c r="AG2422" s="605"/>
      <c r="AH2422" s="605"/>
    </row>
    <row r="2423" spans="4:34" ht="19.5" customHeight="1">
      <c r="D2423" s="68"/>
      <c r="E2423" s="68"/>
      <c r="G2423" s="98"/>
      <c r="H2423" s="68"/>
      <c r="I2423" s="68"/>
      <c r="R2423" s="50"/>
      <c r="S2423" s="47"/>
      <c r="T2423" s="98"/>
      <c r="U2423" s="98"/>
      <c r="AG2423" s="605"/>
      <c r="AH2423" s="605"/>
    </row>
    <row r="2424" spans="4:34" ht="19.5" customHeight="1">
      <c r="D2424" s="68"/>
      <c r="E2424" s="68"/>
      <c r="G2424" s="98"/>
      <c r="H2424" s="68"/>
      <c r="I2424" s="68"/>
      <c r="R2424" s="50"/>
      <c r="S2424" s="47"/>
      <c r="T2424" s="98"/>
      <c r="U2424" s="98"/>
      <c r="AG2424" s="605"/>
      <c r="AH2424" s="605"/>
    </row>
    <row r="2425" spans="4:34" ht="19.5" customHeight="1">
      <c r="D2425" s="68"/>
      <c r="E2425" s="68"/>
      <c r="G2425" s="98"/>
      <c r="H2425" s="68"/>
      <c r="I2425" s="68"/>
      <c r="R2425" s="50"/>
      <c r="S2425" s="47"/>
      <c r="T2425" s="98"/>
      <c r="U2425" s="98"/>
      <c r="AG2425" s="605"/>
      <c r="AH2425" s="605"/>
    </row>
    <row r="2426" spans="4:34" ht="19.5" customHeight="1">
      <c r="D2426" s="68"/>
      <c r="E2426" s="68"/>
      <c r="G2426" s="98"/>
      <c r="H2426" s="68"/>
      <c r="I2426" s="68"/>
      <c r="R2426" s="50"/>
      <c r="S2426" s="47"/>
      <c r="T2426" s="98"/>
      <c r="U2426" s="98"/>
      <c r="AG2426" s="605"/>
      <c r="AH2426" s="605"/>
    </row>
    <row r="2427" spans="4:34" ht="19.5" customHeight="1">
      <c r="D2427" s="68"/>
      <c r="E2427" s="68"/>
      <c r="G2427" s="98"/>
      <c r="H2427" s="68"/>
      <c r="I2427" s="68"/>
      <c r="R2427" s="50"/>
      <c r="S2427" s="47"/>
      <c r="T2427" s="98"/>
      <c r="U2427" s="98"/>
      <c r="AG2427" s="605"/>
      <c r="AH2427" s="605"/>
    </row>
    <row r="2428" spans="4:34" ht="19.5" customHeight="1">
      <c r="D2428" s="68"/>
      <c r="E2428" s="68"/>
      <c r="G2428" s="98"/>
      <c r="H2428" s="68"/>
      <c r="I2428" s="68"/>
      <c r="R2428" s="50"/>
      <c r="S2428" s="47"/>
      <c r="T2428" s="98"/>
      <c r="U2428" s="98"/>
      <c r="AG2428" s="605"/>
      <c r="AH2428" s="605"/>
    </row>
    <row r="2429" spans="4:34" ht="19.5" customHeight="1">
      <c r="D2429" s="68"/>
      <c r="E2429" s="68"/>
      <c r="G2429" s="98"/>
      <c r="H2429" s="68"/>
      <c r="I2429" s="68"/>
      <c r="R2429" s="50"/>
      <c r="S2429" s="47"/>
      <c r="T2429" s="98"/>
      <c r="U2429" s="98"/>
      <c r="AG2429" s="605"/>
      <c r="AH2429" s="605"/>
    </row>
    <row r="2430" spans="4:34" ht="19.5" customHeight="1">
      <c r="D2430" s="68"/>
      <c r="E2430" s="68"/>
      <c r="G2430" s="98"/>
      <c r="H2430" s="68"/>
      <c r="I2430" s="68"/>
      <c r="R2430" s="50"/>
      <c r="S2430" s="47"/>
      <c r="T2430" s="98"/>
      <c r="U2430" s="98"/>
      <c r="AG2430" s="605"/>
      <c r="AH2430" s="605"/>
    </row>
    <row r="2431" spans="4:34" ht="19.5" customHeight="1">
      <c r="D2431" s="68"/>
      <c r="E2431" s="68"/>
      <c r="G2431" s="98"/>
      <c r="H2431" s="68"/>
      <c r="I2431" s="68"/>
      <c r="R2431" s="50"/>
      <c r="S2431" s="47"/>
      <c r="T2431" s="98"/>
      <c r="U2431" s="98"/>
      <c r="AG2431" s="605"/>
      <c r="AH2431" s="605"/>
    </row>
    <row r="2432" spans="4:34" ht="19.5" customHeight="1">
      <c r="D2432" s="68"/>
      <c r="E2432" s="68"/>
      <c r="G2432" s="98"/>
      <c r="H2432" s="68"/>
      <c r="I2432" s="68"/>
      <c r="R2432" s="50"/>
      <c r="S2432" s="47"/>
      <c r="T2432" s="98"/>
      <c r="U2432" s="98"/>
      <c r="AG2432" s="605"/>
      <c r="AH2432" s="605"/>
    </row>
    <row r="2433" spans="4:34" ht="19.5" customHeight="1">
      <c r="D2433" s="68"/>
      <c r="E2433" s="68"/>
      <c r="G2433" s="98"/>
      <c r="H2433" s="68"/>
      <c r="I2433" s="68"/>
      <c r="R2433" s="50"/>
      <c r="S2433" s="47"/>
      <c r="T2433" s="98"/>
      <c r="U2433" s="98"/>
      <c r="AG2433" s="605"/>
      <c r="AH2433" s="605"/>
    </row>
    <row r="2434" spans="4:34" ht="19.5" customHeight="1">
      <c r="D2434" s="68"/>
      <c r="E2434" s="68"/>
      <c r="G2434" s="98"/>
      <c r="H2434" s="68"/>
      <c r="I2434" s="68"/>
      <c r="R2434" s="50"/>
      <c r="S2434" s="47"/>
      <c r="T2434" s="98"/>
      <c r="U2434" s="98"/>
      <c r="AG2434" s="605"/>
      <c r="AH2434" s="605"/>
    </row>
    <row r="2435" spans="4:34" ht="19.5" customHeight="1">
      <c r="D2435" s="68"/>
      <c r="E2435" s="68"/>
      <c r="G2435" s="98"/>
      <c r="H2435" s="68"/>
      <c r="I2435" s="68"/>
      <c r="R2435" s="50"/>
      <c r="S2435" s="47"/>
      <c r="T2435" s="98"/>
      <c r="U2435" s="98"/>
      <c r="AG2435" s="605"/>
      <c r="AH2435" s="605"/>
    </row>
    <row r="2436" spans="4:34" ht="19.5" customHeight="1">
      <c r="D2436" s="68"/>
      <c r="E2436" s="68"/>
      <c r="G2436" s="98"/>
      <c r="H2436" s="68"/>
      <c r="I2436" s="68"/>
      <c r="R2436" s="50"/>
      <c r="S2436" s="47"/>
      <c r="T2436" s="98"/>
      <c r="U2436" s="98"/>
      <c r="AG2436" s="605"/>
      <c r="AH2436" s="605"/>
    </row>
    <row r="2437" spans="4:34" ht="19.5" customHeight="1">
      <c r="D2437" s="68"/>
      <c r="E2437" s="68"/>
      <c r="G2437" s="98"/>
      <c r="H2437" s="68"/>
      <c r="I2437" s="68"/>
      <c r="R2437" s="50"/>
      <c r="S2437" s="47"/>
      <c r="T2437" s="98"/>
      <c r="U2437" s="98"/>
      <c r="AG2437" s="605"/>
      <c r="AH2437" s="605"/>
    </row>
    <row r="2438" spans="4:34" ht="19.5" customHeight="1">
      <c r="D2438" s="68"/>
      <c r="E2438" s="68"/>
      <c r="G2438" s="98"/>
      <c r="H2438" s="68"/>
      <c r="I2438" s="68"/>
      <c r="R2438" s="50"/>
      <c r="S2438" s="47"/>
      <c r="T2438" s="98"/>
      <c r="U2438" s="98"/>
      <c r="AG2438" s="605"/>
      <c r="AH2438" s="605"/>
    </row>
    <row r="2439" spans="4:34" ht="19.5" customHeight="1">
      <c r="D2439" s="68"/>
      <c r="E2439" s="68"/>
      <c r="G2439" s="98"/>
      <c r="H2439" s="68"/>
      <c r="I2439" s="68"/>
      <c r="R2439" s="50"/>
      <c r="S2439" s="47"/>
      <c r="T2439" s="98"/>
      <c r="U2439" s="98"/>
      <c r="AG2439" s="605"/>
      <c r="AH2439" s="605"/>
    </row>
    <row r="2440" spans="4:34" ht="19.5" customHeight="1">
      <c r="D2440" s="68"/>
      <c r="E2440" s="68"/>
      <c r="G2440" s="98"/>
      <c r="H2440" s="68"/>
      <c r="I2440" s="68"/>
      <c r="R2440" s="50"/>
      <c r="S2440" s="47"/>
      <c r="T2440" s="98"/>
      <c r="U2440" s="98"/>
      <c r="AG2440" s="605"/>
      <c r="AH2440" s="605"/>
    </row>
    <row r="2441" spans="4:34" ht="19.5" customHeight="1">
      <c r="D2441" s="68"/>
      <c r="E2441" s="68"/>
      <c r="G2441" s="98"/>
      <c r="H2441" s="68"/>
      <c r="I2441" s="68"/>
      <c r="R2441" s="50"/>
      <c r="S2441" s="47"/>
      <c r="T2441" s="98"/>
      <c r="U2441" s="98"/>
      <c r="AG2441" s="605"/>
      <c r="AH2441" s="605"/>
    </row>
    <row r="2442" spans="4:34" ht="19.5" customHeight="1">
      <c r="D2442" s="68"/>
      <c r="E2442" s="68"/>
      <c r="G2442" s="98"/>
      <c r="H2442" s="68"/>
      <c r="I2442" s="68"/>
      <c r="R2442" s="50"/>
      <c r="S2442" s="47"/>
      <c r="T2442" s="98"/>
      <c r="U2442" s="98"/>
      <c r="AG2442" s="605"/>
      <c r="AH2442" s="605"/>
    </row>
    <row r="2443" spans="4:34" ht="19.5" customHeight="1">
      <c r="D2443" s="68"/>
      <c r="E2443" s="68"/>
      <c r="G2443" s="98"/>
      <c r="H2443" s="68"/>
      <c r="I2443" s="68"/>
      <c r="R2443" s="50"/>
      <c r="S2443" s="47"/>
      <c r="T2443" s="98"/>
      <c r="U2443" s="98"/>
      <c r="AG2443" s="605"/>
      <c r="AH2443" s="605"/>
    </row>
    <row r="2444" spans="4:34" ht="19.5" customHeight="1">
      <c r="D2444" s="68"/>
      <c r="E2444" s="68"/>
      <c r="G2444" s="98"/>
      <c r="H2444" s="68"/>
      <c r="I2444" s="68"/>
      <c r="R2444" s="50"/>
      <c r="S2444" s="47"/>
      <c r="T2444" s="98"/>
      <c r="U2444" s="98"/>
      <c r="AG2444" s="605"/>
      <c r="AH2444" s="605"/>
    </row>
    <row r="2445" spans="4:34" ht="19.5" customHeight="1">
      <c r="D2445" s="68"/>
      <c r="E2445" s="68"/>
      <c r="G2445" s="98"/>
      <c r="H2445" s="68"/>
      <c r="I2445" s="68"/>
      <c r="R2445" s="50"/>
      <c r="S2445" s="47"/>
      <c r="T2445" s="98"/>
      <c r="U2445" s="98"/>
      <c r="AG2445" s="605"/>
      <c r="AH2445" s="605"/>
    </row>
    <row r="2446" spans="4:34" ht="19.5" customHeight="1">
      <c r="D2446" s="68"/>
      <c r="E2446" s="68"/>
      <c r="G2446" s="98"/>
      <c r="H2446" s="68"/>
      <c r="I2446" s="68"/>
      <c r="R2446" s="50"/>
      <c r="S2446" s="47"/>
      <c r="T2446" s="98"/>
      <c r="U2446" s="98"/>
      <c r="AG2446" s="605"/>
      <c r="AH2446" s="605"/>
    </row>
    <row r="2447" spans="4:34" ht="19.5" customHeight="1">
      <c r="D2447" s="68"/>
      <c r="E2447" s="68"/>
      <c r="G2447" s="98"/>
      <c r="H2447" s="68"/>
      <c r="I2447" s="68"/>
      <c r="R2447" s="50"/>
      <c r="S2447" s="47"/>
      <c r="T2447" s="98"/>
      <c r="U2447" s="98"/>
      <c r="AG2447" s="605"/>
      <c r="AH2447" s="605"/>
    </row>
    <row r="2448" spans="4:34" ht="19.5" customHeight="1">
      <c r="D2448" s="68"/>
      <c r="E2448" s="68"/>
      <c r="G2448" s="98"/>
      <c r="H2448" s="68"/>
      <c r="I2448" s="68"/>
      <c r="R2448" s="50"/>
      <c r="S2448" s="47"/>
      <c r="T2448" s="98"/>
      <c r="U2448" s="98"/>
      <c r="AG2448" s="605"/>
      <c r="AH2448" s="605"/>
    </row>
    <row r="2449" spans="4:34" ht="19.5" customHeight="1">
      <c r="D2449" s="68"/>
      <c r="E2449" s="68"/>
      <c r="G2449" s="98"/>
      <c r="H2449" s="68"/>
      <c r="I2449" s="68"/>
      <c r="R2449" s="50"/>
      <c r="S2449" s="47"/>
      <c r="T2449" s="98"/>
      <c r="U2449" s="98"/>
      <c r="AG2449" s="605"/>
      <c r="AH2449" s="605"/>
    </row>
    <row r="2450" spans="4:34" ht="19.5" customHeight="1">
      <c r="D2450" s="68"/>
      <c r="E2450" s="68"/>
      <c r="G2450" s="98"/>
      <c r="H2450" s="68"/>
      <c r="I2450" s="68"/>
      <c r="R2450" s="50"/>
      <c r="S2450" s="47"/>
      <c r="T2450" s="98"/>
      <c r="U2450" s="98"/>
      <c r="AG2450" s="605"/>
      <c r="AH2450" s="605"/>
    </row>
    <row r="2451" spans="4:34" ht="19.5" customHeight="1">
      <c r="D2451" s="68"/>
      <c r="E2451" s="68"/>
      <c r="G2451" s="98"/>
      <c r="H2451" s="68"/>
      <c r="I2451" s="68"/>
      <c r="R2451" s="50"/>
      <c r="S2451" s="47"/>
      <c r="T2451" s="98"/>
      <c r="U2451" s="98"/>
      <c r="AG2451" s="605"/>
      <c r="AH2451" s="605"/>
    </row>
    <row r="2452" spans="4:34" ht="19.5" customHeight="1">
      <c r="D2452" s="68"/>
      <c r="E2452" s="68"/>
      <c r="G2452" s="98"/>
      <c r="H2452" s="68"/>
      <c r="I2452" s="68"/>
      <c r="R2452" s="50"/>
      <c r="S2452" s="47"/>
      <c r="T2452" s="98"/>
      <c r="U2452" s="98"/>
      <c r="AG2452" s="605"/>
      <c r="AH2452" s="605"/>
    </row>
    <row r="2453" spans="4:34" ht="19.5" customHeight="1">
      <c r="D2453" s="68"/>
      <c r="E2453" s="68"/>
      <c r="G2453" s="98"/>
      <c r="H2453" s="68"/>
      <c r="I2453" s="68"/>
      <c r="R2453" s="50"/>
      <c r="S2453" s="47"/>
      <c r="T2453" s="98"/>
      <c r="U2453" s="98"/>
      <c r="AG2453" s="605"/>
      <c r="AH2453" s="605"/>
    </row>
    <row r="2454" spans="4:34" ht="19.5" customHeight="1">
      <c r="D2454" s="68"/>
      <c r="E2454" s="68"/>
      <c r="G2454" s="98"/>
      <c r="H2454" s="68"/>
      <c r="I2454" s="68"/>
      <c r="R2454" s="50"/>
      <c r="S2454" s="47"/>
      <c r="T2454" s="98"/>
      <c r="U2454" s="98"/>
      <c r="AG2454" s="605"/>
      <c r="AH2454" s="605"/>
    </row>
    <row r="2455" spans="4:34" ht="19.5" customHeight="1">
      <c r="D2455" s="68"/>
      <c r="E2455" s="68"/>
      <c r="G2455" s="98"/>
      <c r="H2455" s="68"/>
      <c r="I2455" s="68"/>
      <c r="R2455" s="50"/>
      <c r="S2455" s="47"/>
      <c r="T2455" s="98"/>
      <c r="U2455" s="98"/>
      <c r="AG2455" s="605"/>
      <c r="AH2455" s="605"/>
    </row>
    <row r="2456" spans="4:34" ht="19.5" customHeight="1">
      <c r="D2456" s="68"/>
      <c r="E2456" s="68"/>
      <c r="G2456" s="98"/>
      <c r="H2456" s="68"/>
      <c r="I2456" s="68"/>
      <c r="R2456" s="50"/>
      <c r="S2456" s="47"/>
      <c r="T2456" s="98"/>
      <c r="U2456" s="98"/>
      <c r="AG2456" s="605"/>
      <c r="AH2456" s="605"/>
    </row>
    <row r="2457" spans="4:34" ht="19.5" customHeight="1">
      <c r="D2457" s="68"/>
      <c r="E2457" s="68"/>
      <c r="G2457" s="98"/>
      <c r="H2457" s="68"/>
      <c r="I2457" s="68"/>
      <c r="R2457" s="50"/>
      <c r="S2457" s="47"/>
      <c r="T2457" s="98"/>
      <c r="U2457" s="98"/>
      <c r="AG2457" s="605"/>
      <c r="AH2457" s="605"/>
    </row>
    <row r="2458" spans="4:34" ht="19.5" customHeight="1">
      <c r="D2458" s="68"/>
      <c r="E2458" s="68"/>
      <c r="G2458" s="98"/>
      <c r="H2458" s="68"/>
      <c r="I2458" s="68"/>
      <c r="R2458" s="50"/>
      <c r="S2458" s="47"/>
      <c r="T2458" s="98"/>
      <c r="U2458" s="98"/>
      <c r="AG2458" s="605"/>
      <c r="AH2458" s="605"/>
    </row>
    <row r="2459" spans="4:34" ht="19.5" customHeight="1">
      <c r="D2459" s="68"/>
      <c r="E2459" s="68"/>
      <c r="G2459" s="98"/>
      <c r="H2459" s="68"/>
      <c r="I2459" s="68"/>
      <c r="R2459" s="50"/>
      <c r="S2459" s="47"/>
      <c r="T2459" s="98"/>
      <c r="U2459" s="98"/>
      <c r="AG2459" s="605"/>
      <c r="AH2459" s="605"/>
    </row>
    <row r="2460" spans="4:34" ht="19.5" customHeight="1">
      <c r="D2460" s="68"/>
      <c r="E2460" s="68"/>
      <c r="G2460" s="98"/>
      <c r="H2460" s="68"/>
      <c r="I2460" s="68"/>
      <c r="R2460" s="50"/>
      <c r="S2460" s="47"/>
      <c r="T2460" s="98"/>
      <c r="U2460" s="98"/>
      <c r="AG2460" s="605"/>
      <c r="AH2460" s="605"/>
    </row>
    <row r="2461" spans="4:34" ht="19.5" customHeight="1">
      <c r="D2461" s="68"/>
      <c r="E2461" s="68"/>
      <c r="G2461" s="98"/>
      <c r="H2461" s="68"/>
      <c r="I2461" s="68"/>
      <c r="R2461" s="50"/>
      <c r="S2461" s="47"/>
      <c r="T2461" s="98"/>
      <c r="U2461" s="98"/>
      <c r="AG2461" s="605"/>
      <c r="AH2461" s="605"/>
    </row>
    <row r="2462" spans="4:34" ht="19.5" customHeight="1">
      <c r="D2462" s="68"/>
      <c r="E2462" s="68"/>
      <c r="G2462" s="98"/>
      <c r="H2462" s="68"/>
      <c r="I2462" s="68"/>
      <c r="R2462" s="50"/>
      <c r="S2462" s="47"/>
      <c r="T2462" s="98"/>
      <c r="U2462" s="98"/>
      <c r="AG2462" s="605"/>
      <c r="AH2462" s="605"/>
    </row>
    <row r="2463" spans="4:34" ht="19.5" customHeight="1">
      <c r="D2463" s="68"/>
      <c r="E2463" s="68"/>
      <c r="G2463" s="98"/>
      <c r="H2463" s="68"/>
      <c r="I2463" s="68"/>
      <c r="R2463" s="50"/>
      <c r="S2463" s="47"/>
      <c r="T2463" s="98"/>
      <c r="U2463" s="98"/>
      <c r="AG2463" s="605"/>
      <c r="AH2463" s="605"/>
    </row>
    <row r="2464" spans="4:34" ht="19.5" customHeight="1">
      <c r="D2464" s="68"/>
      <c r="E2464" s="68"/>
      <c r="G2464" s="98"/>
      <c r="H2464" s="68"/>
      <c r="I2464" s="68"/>
      <c r="R2464" s="50"/>
      <c r="S2464" s="47"/>
      <c r="T2464" s="98"/>
      <c r="U2464" s="98"/>
      <c r="AG2464" s="605"/>
      <c r="AH2464" s="605"/>
    </row>
    <row r="2465" spans="4:34" ht="19.5" customHeight="1">
      <c r="D2465" s="68"/>
      <c r="E2465" s="68"/>
      <c r="G2465" s="98"/>
      <c r="H2465" s="68"/>
      <c r="I2465" s="68"/>
      <c r="R2465" s="50"/>
      <c r="S2465" s="47"/>
      <c r="T2465" s="98"/>
      <c r="U2465" s="98"/>
      <c r="AG2465" s="605"/>
      <c r="AH2465" s="605"/>
    </row>
    <row r="2466" spans="4:34" ht="19.5" customHeight="1">
      <c r="D2466" s="68"/>
      <c r="E2466" s="68"/>
      <c r="G2466" s="98"/>
      <c r="H2466" s="68"/>
      <c r="I2466" s="68"/>
      <c r="R2466" s="50"/>
      <c r="S2466" s="47"/>
      <c r="T2466" s="98"/>
      <c r="U2466" s="98"/>
      <c r="AG2466" s="605"/>
      <c r="AH2466" s="605"/>
    </row>
    <row r="2467" spans="4:34" ht="19.5" customHeight="1">
      <c r="D2467" s="68"/>
      <c r="E2467" s="68"/>
      <c r="G2467" s="98"/>
      <c r="H2467" s="68"/>
      <c r="I2467" s="68"/>
      <c r="R2467" s="50"/>
      <c r="S2467" s="47"/>
      <c r="T2467" s="98"/>
      <c r="U2467" s="98"/>
      <c r="AG2467" s="605"/>
      <c r="AH2467" s="605"/>
    </row>
    <row r="2468" spans="4:34" ht="19.5" customHeight="1">
      <c r="D2468" s="68"/>
      <c r="E2468" s="68"/>
      <c r="G2468" s="98"/>
      <c r="H2468" s="68"/>
      <c r="I2468" s="68"/>
      <c r="R2468" s="50"/>
      <c r="S2468" s="47"/>
      <c r="T2468" s="98"/>
      <c r="U2468" s="98"/>
      <c r="AG2468" s="605"/>
      <c r="AH2468" s="605"/>
    </row>
    <row r="2469" spans="4:34" ht="19.5" customHeight="1">
      <c r="D2469" s="68"/>
      <c r="E2469" s="68"/>
      <c r="G2469" s="98"/>
      <c r="H2469" s="68"/>
      <c r="I2469" s="68"/>
      <c r="R2469" s="50"/>
      <c r="S2469" s="47"/>
      <c r="T2469" s="98"/>
      <c r="U2469" s="98"/>
      <c r="AG2469" s="605"/>
      <c r="AH2469" s="605"/>
    </row>
    <row r="2470" spans="4:34" ht="19.5" customHeight="1">
      <c r="D2470" s="68"/>
      <c r="E2470" s="68"/>
      <c r="G2470" s="98"/>
      <c r="H2470" s="68"/>
      <c r="I2470" s="68"/>
      <c r="R2470" s="50"/>
      <c r="S2470" s="47"/>
      <c r="T2470" s="98"/>
      <c r="U2470" s="98"/>
      <c r="AG2470" s="605"/>
      <c r="AH2470" s="605"/>
    </row>
    <row r="2471" spans="4:34" ht="19.5" customHeight="1">
      <c r="D2471" s="68"/>
      <c r="E2471" s="68"/>
      <c r="G2471" s="98"/>
      <c r="H2471" s="68"/>
      <c r="I2471" s="68"/>
      <c r="R2471" s="50"/>
      <c r="S2471" s="47"/>
      <c r="T2471" s="98"/>
      <c r="U2471" s="98"/>
      <c r="AG2471" s="605"/>
      <c r="AH2471" s="605"/>
    </row>
    <row r="2472" spans="4:34" ht="19.5" customHeight="1">
      <c r="D2472" s="68"/>
      <c r="E2472" s="68"/>
      <c r="G2472" s="98"/>
      <c r="H2472" s="68"/>
      <c r="I2472" s="68"/>
      <c r="R2472" s="50"/>
      <c r="S2472" s="47"/>
      <c r="T2472" s="98"/>
      <c r="U2472" s="98"/>
      <c r="AG2472" s="605"/>
      <c r="AH2472" s="605"/>
    </row>
    <row r="2473" spans="4:34" ht="19.5" customHeight="1">
      <c r="D2473" s="68"/>
      <c r="E2473" s="68"/>
      <c r="G2473" s="98"/>
      <c r="H2473" s="68"/>
      <c r="I2473" s="68"/>
      <c r="R2473" s="50"/>
      <c r="S2473" s="47"/>
      <c r="T2473" s="98"/>
      <c r="U2473" s="98"/>
      <c r="AG2473" s="605"/>
      <c r="AH2473" s="605"/>
    </row>
    <row r="2474" spans="4:34" ht="19.5" customHeight="1">
      <c r="D2474" s="68"/>
      <c r="E2474" s="68"/>
      <c r="G2474" s="98"/>
      <c r="H2474" s="68"/>
      <c r="I2474" s="68"/>
      <c r="R2474" s="50"/>
      <c r="S2474" s="47"/>
      <c r="T2474" s="98"/>
      <c r="U2474" s="98"/>
      <c r="AG2474" s="605"/>
      <c r="AH2474" s="605"/>
    </row>
    <row r="2475" spans="4:34" ht="19.5" customHeight="1">
      <c r="D2475" s="68"/>
      <c r="E2475" s="68"/>
      <c r="G2475" s="98"/>
      <c r="H2475" s="68"/>
      <c r="I2475" s="68"/>
      <c r="R2475" s="50"/>
      <c r="S2475" s="47"/>
      <c r="T2475" s="98"/>
      <c r="U2475" s="98"/>
      <c r="AG2475" s="605"/>
      <c r="AH2475" s="605"/>
    </row>
    <row r="2476" spans="4:34" ht="19.5" customHeight="1">
      <c r="D2476" s="68"/>
      <c r="E2476" s="68"/>
      <c r="G2476" s="98"/>
      <c r="H2476" s="68"/>
      <c r="I2476" s="68"/>
      <c r="R2476" s="50"/>
      <c r="S2476" s="47"/>
      <c r="T2476" s="98"/>
      <c r="U2476" s="98"/>
      <c r="AG2476" s="605"/>
      <c r="AH2476" s="605"/>
    </row>
    <row r="2477" spans="4:34" ht="19.5" customHeight="1">
      <c r="D2477" s="68"/>
      <c r="E2477" s="68"/>
      <c r="G2477" s="98"/>
      <c r="H2477" s="68"/>
      <c r="I2477" s="68"/>
      <c r="R2477" s="50"/>
      <c r="S2477" s="47"/>
      <c r="T2477" s="98"/>
      <c r="U2477" s="98"/>
      <c r="AG2477" s="605"/>
      <c r="AH2477" s="605"/>
    </row>
    <row r="2478" spans="4:34" ht="19.5" customHeight="1">
      <c r="D2478" s="68"/>
      <c r="E2478" s="68"/>
      <c r="G2478" s="98"/>
      <c r="H2478" s="68"/>
      <c r="I2478" s="68"/>
      <c r="R2478" s="50"/>
      <c r="S2478" s="47"/>
      <c r="T2478" s="98"/>
      <c r="U2478" s="98"/>
      <c r="AG2478" s="605"/>
      <c r="AH2478" s="605"/>
    </row>
    <row r="2479" spans="4:34" ht="19.5" customHeight="1">
      <c r="D2479" s="68"/>
      <c r="E2479" s="68"/>
      <c r="G2479" s="98"/>
      <c r="H2479" s="68"/>
      <c r="I2479" s="68"/>
      <c r="R2479" s="50"/>
      <c r="S2479" s="47"/>
      <c r="T2479" s="98"/>
      <c r="U2479" s="98"/>
      <c r="AG2479" s="605"/>
      <c r="AH2479" s="605"/>
    </row>
    <row r="2480" spans="4:34" ht="19.5" customHeight="1">
      <c r="D2480" s="68"/>
      <c r="E2480" s="68"/>
      <c r="G2480" s="98"/>
      <c r="H2480" s="68"/>
      <c r="I2480" s="68"/>
      <c r="R2480" s="50"/>
      <c r="S2480" s="47"/>
      <c r="T2480" s="98"/>
      <c r="U2480" s="98"/>
      <c r="AG2480" s="605"/>
      <c r="AH2480" s="605"/>
    </row>
    <row r="2481" spans="4:34" ht="19.5" customHeight="1">
      <c r="D2481" s="68"/>
      <c r="E2481" s="68"/>
      <c r="G2481" s="98"/>
      <c r="H2481" s="68"/>
      <c r="I2481" s="68"/>
      <c r="R2481" s="50"/>
      <c r="S2481" s="47"/>
      <c r="T2481" s="98"/>
      <c r="U2481" s="98"/>
      <c r="AG2481" s="605"/>
      <c r="AH2481" s="605"/>
    </row>
    <row r="2482" spans="4:34" ht="19.5" customHeight="1">
      <c r="D2482" s="68"/>
      <c r="E2482" s="68"/>
      <c r="G2482" s="98"/>
      <c r="H2482" s="68"/>
      <c r="I2482" s="68"/>
      <c r="R2482" s="50"/>
      <c r="S2482" s="47"/>
      <c r="T2482" s="98"/>
      <c r="U2482" s="98"/>
      <c r="AG2482" s="605"/>
      <c r="AH2482" s="605"/>
    </row>
    <row r="2483" spans="4:34" ht="19.5" customHeight="1">
      <c r="D2483" s="68"/>
      <c r="E2483" s="68"/>
      <c r="G2483" s="98"/>
      <c r="H2483" s="68"/>
      <c r="I2483" s="68"/>
      <c r="R2483" s="50"/>
      <c r="S2483" s="47"/>
      <c r="T2483" s="98"/>
      <c r="U2483" s="98"/>
      <c r="AG2483" s="605"/>
      <c r="AH2483" s="605"/>
    </row>
    <row r="2484" spans="4:34" ht="19.5" customHeight="1">
      <c r="D2484" s="68"/>
      <c r="E2484" s="68"/>
      <c r="G2484" s="98"/>
      <c r="H2484" s="68"/>
      <c r="I2484" s="68"/>
      <c r="R2484" s="50"/>
      <c r="S2484" s="47"/>
      <c r="T2484" s="98"/>
      <c r="U2484" s="98"/>
      <c r="AG2484" s="605"/>
      <c r="AH2484" s="605"/>
    </row>
    <row r="2485" spans="4:34" ht="19.5" customHeight="1">
      <c r="D2485" s="68"/>
      <c r="E2485" s="68"/>
      <c r="G2485" s="98"/>
      <c r="H2485" s="68"/>
      <c r="I2485" s="68"/>
      <c r="R2485" s="50"/>
      <c r="S2485" s="47"/>
      <c r="T2485" s="98"/>
      <c r="U2485" s="98"/>
      <c r="AG2485" s="605"/>
      <c r="AH2485" s="605"/>
    </row>
    <row r="2486" spans="4:34" ht="19.5" customHeight="1">
      <c r="D2486" s="68"/>
      <c r="E2486" s="68"/>
      <c r="G2486" s="98"/>
      <c r="H2486" s="68"/>
      <c r="I2486" s="68"/>
      <c r="R2486" s="50"/>
      <c r="S2486" s="47"/>
      <c r="T2486" s="98"/>
      <c r="U2486" s="98"/>
      <c r="AG2486" s="605"/>
      <c r="AH2486" s="605"/>
    </row>
    <row r="2487" spans="4:34" ht="19.5" customHeight="1">
      <c r="D2487" s="68"/>
      <c r="E2487" s="68"/>
      <c r="G2487" s="98"/>
      <c r="H2487" s="68"/>
      <c r="I2487" s="68"/>
      <c r="R2487" s="50"/>
      <c r="S2487" s="47"/>
      <c r="T2487" s="98"/>
      <c r="U2487" s="98"/>
      <c r="AG2487" s="605"/>
      <c r="AH2487" s="605"/>
    </row>
    <row r="2488" spans="4:34" ht="19.5" customHeight="1">
      <c r="D2488" s="68"/>
      <c r="E2488" s="68"/>
      <c r="G2488" s="98"/>
      <c r="H2488" s="68"/>
      <c r="I2488" s="68"/>
      <c r="R2488" s="50"/>
      <c r="S2488" s="47"/>
      <c r="T2488" s="98"/>
      <c r="U2488" s="98"/>
      <c r="AG2488" s="605"/>
      <c r="AH2488" s="605"/>
    </row>
    <row r="2489" spans="4:34" ht="19.5" customHeight="1">
      <c r="D2489" s="68"/>
      <c r="E2489" s="68"/>
      <c r="G2489" s="98"/>
      <c r="H2489" s="68"/>
      <c r="I2489" s="68"/>
      <c r="R2489" s="50"/>
      <c r="S2489" s="47"/>
      <c r="T2489" s="98"/>
      <c r="U2489" s="98"/>
      <c r="AG2489" s="605"/>
      <c r="AH2489" s="605"/>
    </row>
    <row r="2490" spans="4:34" ht="19.5" customHeight="1">
      <c r="D2490" s="68"/>
      <c r="E2490" s="68"/>
      <c r="G2490" s="98"/>
      <c r="H2490" s="68"/>
      <c r="I2490" s="68"/>
      <c r="R2490" s="50"/>
      <c r="S2490" s="47"/>
      <c r="T2490" s="98"/>
      <c r="U2490" s="98"/>
      <c r="AG2490" s="605"/>
      <c r="AH2490" s="605"/>
    </row>
    <row r="2491" spans="4:34" ht="19.5" customHeight="1">
      <c r="D2491" s="68"/>
      <c r="E2491" s="68"/>
      <c r="G2491" s="98"/>
      <c r="H2491" s="68"/>
      <c r="I2491" s="68"/>
      <c r="R2491" s="50"/>
      <c r="S2491" s="47"/>
      <c r="T2491" s="98"/>
      <c r="U2491" s="98"/>
      <c r="AG2491" s="605"/>
      <c r="AH2491" s="605"/>
    </row>
    <row r="2492" spans="4:34" ht="19.5" customHeight="1">
      <c r="D2492" s="68"/>
      <c r="E2492" s="68"/>
      <c r="G2492" s="98"/>
      <c r="H2492" s="68"/>
      <c r="I2492" s="68"/>
      <c r="R2492" s="50"/>
      <c r="S2492" s="47"/>
      <c r="T2492" s="98"/>
      <c r="U2492" s="98"/>
      <c r="AG2492" s="605"/>
      <c r="AH2492" s="605"/>
    </row>
    <row r="2493" spans="4:34" ht="19.5" customHeight="1">
      <c r="D2493" s="68"/>
      <c r="E2493" s="68"/>
      <c r="G2493" s="98"/>
      <c r="H2493" s="68"/>
      <c r="I2493" s="68"/>
      <c r="R2493" s="50"/>
      <c r="S2493" s="47"/>
      <c r="T2493" s="98"/>
      <c r="U2493" s="98"/>
      <c r="AG2493" s="605"/>
      <c r="AH2493" s="605"/>
    </row>
    <row r="2494" spans="4:34" ht="19.5" customHeight="1">
      <c r="D2494" s="68"/>
      <c r="E2494" s="68"/>
      <c r="G2494" s="98"/>
      <c r="H2494" s="68"/>
      <c r="I2494" s="68"/>
      <c r="R2494" s="50"/>
      <c r="S2494" s="47"/>
      <c r="T2494" s="98"/>
      <c r="U2494" s="98"/>
      <c r="AG2494" s="605"/>
      <c r="AH2494" s="605"/>
    </row>
    <row r="2495" spans="4:34" ht="19.5" customHeight="1">
      <c r="D2495" s="68"/>
      <c r="E2495" s="68"/>
      <c r="G2495" s="98"/>
      <c r="H2495" s="68"/>
      <c r="I2495" s="68"/>
      <c r="R2495" s="50"/>
      <c r="S2495" s="47"/>
      <c r="T2495" s="98"/>
      <c r="U2495" s="98"/>
      <c r="AG2495" s="605"/>
      <c r="AH2495" s="605"/>
    </row>
    <row r="2496" spans="4:34" ht="19.5" customHeight="1">
      <c r="D2496" s="68"/>
      <c r="E2496" s="68"/>
      <c r="G2496" s="98"/>
      <c r="H2496" s="68"/>
      <c r="I2496" s="68"/>
      <c r="R2496" s="50"/>
      <c r="S2496" s="47"/>
      <c r="T2496" s="98"/>
      <c r="U2496" s="98"/>
      <c r="AG2496" s="605"/>
      <c r="AH2496" s="605"/>
    </row>
    <row r="2497" spans="4:34" ht="19.5" customHeight="1">
      <c r="D2497" s="68"/>
      <c r="E2497" s="68"/>
      <c r="G2497" s="98"/>
      <c r="H2497" s="68"/>
      <c r="I2497" s="68"/>
      <c r="R2497" s="50"/>
      <c r="S2497" s="47"/>
      <c r="T2497" s="98"/>
      <c r="U2497" s="98"/>
      <c r="AG2497" s="605"/>
      <c r="AH2497" s="605"/>
    </row>
    <row r="2498" spans="4:34" ht="19.5" customHeight="1">
      <c r="D2498" s="68"/>
      <c r="E2498" s="68"/>
      <c r="G2498" s="98"/>
      <c r="H2498" s="68"/>
      <c r="I2498" s="68"/>
      <c r="R2498" s="50"/>
      <c r="S2498" s="47"/>
      <c r="T2498" s="98"/>
      <c r="U2498" s="98"/>
      <c r="AG2498" s="605"/>
      <c r="AH2498" s="605"/>
    </row>
    <row r="2499" spans="4:34" ht="19.5" customHeight="1">
      <c r="D2499" s="68"/>
      <c r="E2499" s="68"/>
      <c r="G2499" s="98"/>
      <c r="H2499" s="68"/>
      <c r="I2499" s="68"/>
      <c r="R2499" s="50"/>
      <c r="S2499" s="47"/>
      <c r="T2499" s="98"/>
      <c r="U2499" s="98"/>
      <c r="AG2499" s="605"/>
      <c r="AH2499" s="605"/>
    </row>
    <row r="2500" spans="4:34" ht="19.5" customHeight="1">
      <c r="D2500" s="68"/>
      <c r="E2500" s="68"/>
      <c r="G2500" s="98"/>
      <c r="H2500" s="68"/>
      <c r="I2500" s="68"/>
      <c r="R2500" s="50"/>
      <c r="S2500" s="47"/>
      <c r="T2500" s="98"/>
      <c r="U2500" s="98"/>
      <c r="AG2500" s="605"/>
      <c r="AH2500" s="605"/>
    </row>
    <row r="2501" spans="4:34" ht="19.5" customHeight="1">
      <c r="D2501" s="68"/>
      <c r="E2501" s="68"/>
      <c r="G2501" s="98"/>
      <c r="H2501" s="68"/>
      <c r="I2501" s="68"/>
      <c r="R2501" s="50"/>
      <c r="S2501" s="47"/>
      <c r="T2501" s="98"/>
      <c r="U2501" s="98"/>
      <c r="AG2501" s="605"/>
      <c r="AH2501" s="605"/>
    </row>
    <row r="2502" spans="4:34" ht="19.5" customHeight="1">
      <c r="D2502" s="68"/>
      <c r="E2502" s="68"/>
      <c r="G2502" s="98"/>
      <c r="H2502" s="68"/>
      <c r="I2502" s="68"/>
      <c r="R2502" s="50"/>
      <c r="S2502" s="47"/>
      <c r="T2502" s="98"/>
      <c r="U2502" s="98"/>
      <c r="AG2502" s="605"/>
      <c r="AH2502" s="605"/>
    </row>
    <row r="2503" spans="4:34" ht="19.5" customHeight="1">
      <c r="D2503" s="68"/>
      <c r="E2503" s="68"/>
      <c r="G2503" s="98"/>
      <c r="H2503" s="68"/>
      <c r="I2503" s="68"/>
      <c r="R2503" s="50"/>
      <c r="S2503" s="47"/>
      <c r="T2503" s="98"/>
      <c r="U2503" s="98"/>
      <c r="AG2503" s="605"/>
      <c r="AH2503" s="605"/>
    </row>
    <row r="2504" spans="4:34" ht="19.5" customHeight="1">
      <c r="D2504" s="68"/>
      <c r="E2504" s="68"/>
      <c r="G2504" s="98"/>
      <c r="H2504" s="68"/>
      <c r="I2504" s="68"/>
      <c r="R2504" s="50"/>
      <c r="S2504" s="47"/>
      <c r="T2504" s="98"/>
      <c r="U2504" s="98"/>
      <c r="AG2504" s="605"/>
      <c r="AH2504" s="605"/>
    </row>
    <row r="2505" spans="4:34" ht="19.5" customHeight="1">
      <c r="D2505" s="68"/>
      <c r="E2505" s="68"/>
      <c r="G2505" s="98"/>
      <c r="H2505" s="68"/>
      <c r="I2505" s="68"/>
      <c r="R2505" s="50"/>
      <c r="S2505" s="47"/>
      <c r="T2505" s="98"/>
      <c r="U2505" s="98"/>
      <c r="AG2505" s="605"/>
      <c r="AH2505" s="605"/>
    </row>
    <row r="2506" spans="4:34" ht="19.5" customHeight="1">
      <c r="D2506" s="68"/>
      <c r="E2506" s="68"/>
      <c r="G2506" s="98"/>
      <c r="H2506" s="68"/>
      <c r="I2506" s="68"/>
      <c r="R2506" s="50"/>
      <c r="S2506" s="47"/>
      <c r="T2506" s="98"/>
      <c r="U2506" s="98"/>
      <c r="AG2506" s="605"/>
      <c r="AH2506" s="605"/>
    </row>
    <row r="2507" spans="4:34" ht="19.5" customHeight="1">
      <c r="D2507" s="68"/>
      <c r="E2507" s="68"/>
      <c r="G2507" s="98"/>
      <c r="H2507" s="68"/>
      <c r="I2507" s="68"/>
      <c r="R2507" s="50"/>
      <c r="S2507" s="47"/>
      <c r="T2507" s="98"/>
      <c r="U2507" s="98"/>
      <c r="AG2507" s="605"/>
      <c r="AH2507" s="605"/>
    </row>
    <row r="2508" spans="4:34" ht="19.5" customHeight="1">
      <c r="D2508" s="68"/>
      <c r="E2508" s="68"/>
      <c r="G2508" s="98"/>
      <c r="H2508" s="68"/>
      <c r="I2508" s="68"/>
      <c r="R2508" s="50"/>
      <c r="S2508" s="47"/>
      <c r="T2508" s="98"/>
      <c r="U2508" s="98"/>
      <c r="AG2508" s="605"/>
      <c r="AH2508" s="605"/>
    </row>
    <row r="2509" spans="4:34" ht="19.5" customHeight="1">
      <c r="D2509" s="68"/>
      <c r="E2509" s="68"/>
      <c r="G2509" s="98"/>
      <c r="H2509" s="68"/>
      <c r="I2509" s="68"/>
      <c r="R2509" s="50"/>
      <c r="S2509" s="47"/>
      <c r="T2509" s="98"/>
      <c r="U2509" s="98"/>
      <c r="AG2509" s="605"/>
      <c r="AH2509" s="605"/>
    </row>
    <row r="2510" spans="4:34" ht="19.5" customHeight="1">
      <c r="D2510" s="68"/>
      <c r="E2510" s="68"/>
      <c r="G2510" s="98"/>
      <c r="H2510" s="68"/>
      <c r="I2510" s="68"/>
      <c r="R2510" s="50"/>
      <c r="S2510" s="47"/>
      <c r="T2510" s="98"/>
      <c r="U2510" s="98"/>
      <c r="AG2510" s="605"/>
      <c r="AH2510" s="605"/>
    </row>
    <row r="2511" spans="4:34" ht="19.5" customHeight="1">
      <c r="D2511" s="68"/>
      <c r="E2511" s="68"/>
      <c r="G2511" s="98"/>
      <c r="H2511" s="68"/>
      <c r="I2511" s="68"/>
      <c r="R2511" s="50"/>
      <c r="S2511" s="47"/>
      <c r="T2511" s="98"/>
      <c r="U2511" s="98"/>
      <c r="AG2511" s="605"/>
      <c r="AH2511" s="605"/>
    </row>
    <row r="2512" spans="4:34" ht="19.5" customHeight="1">
      <c r="D2512" s="68"/>
      <c r="E2512" s="68"/>
      <c r="G2512" s="98"/>
      <c r="H2512" s="68"/>
      <c r="I2512" s="68"/>
      <c r="R2512" s="50"/>
      <c r="S2512" s="47"/>
      <c r="T2512" s="98"/>
      <c r="U2512" s="98"/>
      <c r="AG2512" s="605"/>
      <c r="AH2512" s="605"/>
    </row>
    <row r="2513" spans="4:34" ht="19.5" customHeight="1">
      <c r="D2513" s="68"/>
      <c r="E2513" s="68"/>
      <c r="G2513" s="98"/>
      <c r="H2513" s="68"/>
      <c r="I2513" s="68"/>
      <c r="R2513" s="50"/>
      <c r="S2513" s="47"/>
      <c r="T2513" s="98"/>
      <c r="U2513" s="98"/>
      <c r="AG2513" s="605"/>
      <c r="AH2513" s="605"/>
    </row>
    <row r="2514" spans="4:34" ht="19.5" customHeight="1">
      <c r="D2514" s="68"/>
      <c r="E2514" s="68"/>
      <c r="G2514" s="98"/>
      <c r="H2514" s="68"/>
      <c r="I2514" s="68"/>
      <c r="R2514" s="50"/>
      <c r="S2514" s="47"/>
      <c r="T2514" s="98"/>
      <c r="U2514" s="98"/>
      <c r="AG2514" s="605"/>
      <c r="AH2514" s="605"/>
    </row>
    <row r="2515" spans="4:34" ht="19.5" customHeight="1">
      <c r="D2515" s="68"/>
      <c r="E2515" s="68"/>
      <c r="G2515" s="98"/>
      <c r="H2515" s="68"/>
      <c r="I2515" s="68"/>
      <c r="R2515" s="50"/>
      <c r="S2515" s="47"/>
      <c r="T2515" s="98"/>
      <c r="U2515" s="98"/>
      <c r="AG2515" s="605"/>
      <c r="AH2515" s="605"/>
    </row>
    <row r="2516" spans="4:34" ht="19.5" customHeight="1">
      <c r="D2516" s="68"/>
      <c r="E2516" s="68"/>
      <c r="G2516" s="98"/>
      <c r="H2516" s="68"/>
      <c r="I2516" s="68"/>
      <c r="R2516" s="50"/>
      <c r="S2516" s="47"/>
      <c r="T2516" s="98"/>
      <c r="U2516" s="98"/>
      <c r="AG2516" s="605"/>
      <c r="AH2516" s="605"/>
    </row>
    <row r="2517" spans="4:34" ht="19.5" customHeight="1">
      <c r="D2517" s="68"/>
      <c r="E2517" s="68"/>
      <c r="G2517" s="98"/>
      <c r="H2517" s="68"/>
      <c r="I2517" s="68"/>
      <c r="R2517" s="50"/>
      <c r="S2517" s="47"/>
      <c r="T2517" s="98"/>
      <c r="U2517" s="98"/>
      <c r="AG2517" s="605"/>
      <c r="AH2517" s="605"/>
    </row>
    <row r="2518" spans="4:34" ht="19.5" customHeight="1">
      <c r="D2518" s="68"/>
      <c r="E2518" s="68"/>
      <c r="G2518" s="98"/>
      <c r="H2518" s="68"/>
      <c r="I2518" s="68"/>
      <c r="R2518" s="50"/>
      <c r="S2518" s="47"/>
      <c r="T2518" s="98"/>
      <c r="U2518" s="98"/>
      <c r="AG2518" s="605"/>
      <c r="AH2518" s="605"/>
    </row>
    <row r="2519" spans="4:34" ht="19.5" customHeight="1">
      <c r="D2519" s="68"/>
      <c r="E2519" s="68"/>
      <c r="G2519" s="98"/>
      <c r="H2519" s="68"/>
      <c r="I2519" s="68"/>
      <c r="R2519" s="50"/>
      <c r="S2519" s="47"/>
      <c r="T2519" s="98"/>
      <c r="U2519" s="98"/>
      <c r="AG2519" s="605"/>
      <c r="AH2519" s="605"/>
    </row>
    <row r="2520" spans="4:34" ht="19.5" customHeight="1">
      <c r="D2520" s="68"/>
      <c r="E2520" s="68"/>
      <c r="G2520" s="98"/>
      <c r="H2520" s="68"/>
      <c r="I2520" s="68"/>
      <c r="R2520" s="50"/>
      <c r="S2520" s="47"/>
      <c r="T2520" s="98"/>
      <c r="U2520" s="98"/>
      <c r="AG2520" s="605"/>
      <c r="AH2520" s="605"/>
    </row>
    <row r="2521" spans="4:34" ht="19.5" customHeight="1">
      <c r="D2521" s="68"/>
      <c r="E2521" s="68"/>
      <c r="G2521" s="98"/>
      <c r="H2521" s="68"/>
      <c r="I2521" s="68"/>
      <c r="R2521" s="50"/>
      <c r="S2521" s="47"/>
      <c r="T2521" s="98"/>
      <c r="U2521" s="98"/>
      <c r="AG2521" s="605"/>
      <c r="AH2521" s="605"/>
    </row>
    <row r="2522" spans="4:34" ht="19.5" customHeight="1">
      <c r="D2522" s="68"/>
      <c r="E2522" s="68"/>
      <c r="G2522" s="98"/>
      <c r="H2522" s="68"/>
      <c r="I2522" s="68"/>
      <c r="R2522" s="50"/>
      <c r="S2522" s="47"/>
      <c r="T2522" s="98"/>
      <c r="U2522" s="98"/>
      <c r="AG2522" s="605"/>
      <c r="AH2522" s="605"/>
    </row>
    <row r="2523" spans="4:34" ht="19.5" customHeight="1">
      <c r="D2523" s="68"/>
      <c r="E2523" s="68"/>
      <c r="G2523" s="98"/>
      <c r="H2523" s="68"/>
      <c r="I2523" s="68"/>
      <c r="R2523" s="50"/>
      <c r="S2523" s="47"/>
      <c r="T2523" s="98"/>
      <c r="U2523" s="98"/>
      <c r="AG2523" s="605"/>
      <c r="AH2523" s="605"/>
    </row>
    <row r="2524" spans="4:34" ht="19.5" customHeight="1">
      <c r="D2524" s="68"/>
      <c r="E2524" s="68"/>
      <c r="G2524" s="98"/>
      <c r="H2524" s="68"/>
      <c r="I2524" s="68"/>
      <c r="R2524" s="50"/>
      <c r="S2524" s="47"/>
      <c r="T2524" s="98"/>
      <c r="U2524" s="98"/>
      <c r="AG2524" s="605"/>
      <c r="AH2524" s="605"/>
    </row>
    <row r="2525" spans="4:34" ht="19.5" customHeight="1">
      <c r="D2525" s="68"/>
      <c r="E2525" s="68"/>
      <c r="G2525" s="98"/>
      <c r="H2525" s="68"/>
      <c r="I2525" s="68"/>
      <c r="R2525" s="50"/>
      <c r="S2525" s="47"/>
      <c r="T2525" s="98"/>
      <c r="U2525" s="98"/>
      <c r="AG2525" s="605"/>
      <c r="AH2525" s="605"/>
    </row>
    <row r="2526" spans="4:34" ht="19.5" customHeight="1">
      <c r="D2526" s="68"/>
      <c r="E2526" s="68"/>
      <c r="G2526" s="98"/>
      <c r="H2526" s="68"/>
      <c r="I2526" s="68"/>
      <c r="R2526" s="50"/>
      <c r="S2526" s="47"/>
      <c r="T2526" s="98"/>
      <c r="U2526" s="98"/>
      <c r="AG2526" s="605"/>
      <c r="AH2526" s="605"/>
    </row>
    <row r="2527" spans="4:34" ht="19.5" customHeight="1">
      <c r="D2527" s="68"/>
      <c r="E2527" s="68"/>
      <c r="G2527" s="98"/>
      <c r="H2527" s="68"/>
      <c r="I2527" s="68"/>
      <c r="R2527" s="50"/>
      <c r="S2527" s="47"/>
      <c r="T2527" s="98"/>
      <c r="U2527" s="98"/>
      <c r="AG2527" s="605"/>
      <c r="AH2527" s="605"/>
    </row>
    <row r="2528" spans="4:34" ht="19.5" customHeight="1">
      <c r="D2528" s="68"/>
      <c r="E2528" s="68"/>
      <c r="G2528" s="98"/>
      <c r="H2528" s="68"/>
      <c r="I2528" s="68"/>
      <c r="R2528" s="50"/>
      <c r="S2528" s="47"/>
      <c r="T2528" s="98"/>
      <c r="U2528" s="98"/>
      <c r="AG2528" s="605"/>
      <c r="AH2528" s="605"/>
    </row>
    <row r="2529" spans="4:34" ht="19.5" customHeight="1">
      <c r="D2529" s="68"/>
      <c r="E2529" s="68"/>
      <c r="G2529" s="98"/>
      <c r="H2529" s="68"/>
      <c r="I2529" s="68"/>
      <c r="R2529" s="50"/>
      <c r="S2529" s="47"/>
      <c r="T2529" s="98"/>
      <c r="U2529" s="98"/>
      <c r="AG2529" s="605"/>
      <c r="AH2529" s="605"/>
    </row>
    <row r="2530" spans="4:34" ht="19.5" customHeight="1">
      <c r="D2530" s="68"/>
      <c r="E2530" s="68"/>
      <c r="G2530" s="98"/>
      <c r="H2530" s="68"/>
      <c r="I2530" s="68"/>
      <c r="R2530" s="50"/>
      <c r="S2530" s="47"/>
      <c r="T2530" s="98"/>
      <c r="U2530" s="98"/>
      <c r="AG2530" s="605"/>
      <c r="AH2530" s="605"/>
    </row>
    <row r="2531" spans="4:34" ht="19.5" customHeight="1">
      <c r="D2531" s="68"/>
      <c r="E2531" s="68"/>
      <c r="G2531" s="98"/>
      <c r="H2531" s="68"/>
      <c r="I2531" s="68"/>
      <c r="R2531" s="50"/>
      <c r="S2531" s="47"/>
      <c r="T2531" s="98"/>
      <c r="U2531" s="98"/>
      <c r="AG2531" s="605"/>
      <c r="AH2531" s="605"/>
    </row>
    <row r="2532" spans="4:34" ht="19.5" customHeight="1">
      <c r="D2532" s="68"/>
      <c r="E2532" s="68"/>
      <c r="G2532" s="98"/>
      <c r="H2532" s="68"/>
      <c r="I2532" s="68"/>
      <c r="R2532" s="50"/>
      <c r="S2532" s="47"/>
      <c r="T2532" s="98"/>
      <c r="U2532" s="98"/>
      <c r="AG2532" s="605"/>
      <c r="AH2532" s="605"/>
    </row>
    <row r="2533" spans="4:34" ht="19.5" customHeight="1">
      <c r="D2533" s="68"/>
      <c r="E2533" s="68"/>
      <c r="G2533" s="98"/>
      <c r="H2533" s="68"/>
      <c r="I2533" s="68"/>
      <c r="R2533" s="50"/>
      <c r="S2533" s="47"/>
      <c r="T2533" s="98"/>
      <c r="U2533" s="98"/>
      <c r="AG2533" s="605"/>
      <c r="AH2533" s="605"/>
    </row>
    <row r="2534" spans="4:34" ht="19.5" customHeight="1">
      <c r="D2534" s="68"/>
      <c r="E2534" s="68"/>
      <c r="G2534" s="98"/>
      <c r="H2534" s="68"/>
      <c r="I2534" s="68"/>
      <c r="R2534" s="50"/>
      <c r="S2534" s="47"/>
      <c r="T2534" s="98"/>
      <c r="U2534" s="98"/>
      <c r="AG2534" s="605"/>
      <c r="AH2534" s="605"/>
    </row>
    <row r="2535" spans="4:34" ht="19.5" customHeight="1">
      <c r="D2535" s="68"/>
      <c r="E2535" s="68"/>
      <c r="G2535" s="98"/>
      <c r="H2535" s="68"/>
      <c r="I2535" s="68"/>
      <c r="R2535" s="50"/>
      <c r="S2535" s="47"/>
      <c r="T2535" s="98"/>
      <c r="U2535" s="98"/>
      <c r="AG2535" s="605"/>
      <c r="AH2535" s="605"/>
    </row>
    <row r="2536" spans="4:34" ht="19.5" customHeight="1">
      <c r="D2536" s="68"/>
      <c r="E2536" s="68"/>
      <c r="G2536" s="98"/>
      <c r="H2536" s="68"/>
      <c r="I2536" s="68"/>
      <c r="R2536" s="50"/>
      <c r="S2536" s="47"/>
      <c r="T2536" s="98"/>
      <c r="U2536" s="98"/>
      <c r="AG2536" s="605"/>
      <c r="AH2536" s="605"/>
    </row>
    <row r="2537" spans="4:34" ht="19.5" customHeight="1">
      <c r="D2537" s="68"/>
      <c r="E2537" s="68"/>
      <c r="G2537" s="98"/>
      <c r="H2537" s="68"/>
      <c r="I2537" s="68"/>
      <c r="R2537" s="50"/>
      <c r="S2537" s="47"/>
      <c r="T2537" s="98"/>
      <c r="U2537" s="98"/>
      <c r="AG2537" s="605"/>
      <c r="AH2537" s="605"/>
    </row>
    <row r="2538" spans="4:34" ht="19.5" customHeight="1">
      <c r="D2538" s="68"/>
      <c r="E2538" s="68"/>
      <c r="G2538" s="98"/>
      <c r="H2538" s="68"/>
      <c r="I2538" s="68"/>
      <c r="R2538" s="50"/>
      <c r="S2538" s="47"/>
      <c r="T2538" s="98"/>
      <c r="U2538" s="98"/>
      <c r="AG2538" s="605"/>
      <c r="AH2538" s="605"/>
    </row>
    <row r="2539" spans="4:34" ht="19.5" customHeight="1">
      <c r="D2539" s="68"/>
      <c r="E2539" s="68"/>
      <c r="G2539" s="98"/>
      <c r="H2539" s="68"/>
      <c r="I2539" s="68"/>
      <c r="R2539" s="50"/>
      <c r="S2539" s="47"/>
      <c r="T2539" s="98"/>
      <c r="U2539" s="98"/>
      <c r="AG2539" s="605"/>
      <c r="AH2539" s="605"/>
    </row>
    <row r="2540" spans="4:34" ht="19.5" customHeight="1">
      <c r="D2540" s="68"/>
      <c r="E2540" s="68"/>
      <c r="G2540" s="98"/>
      <c r="H2540" s="68"/>
      <c r="I2540" s="68"/>
      <c r="R2540" s="50"/>
      <c r="S2540" s="47"/>
      <c r="T2540" s="98"/>
      <c r="U2540" s="98"/>
      <c r="AG2540" s="605"/>
      <c r="AH2540" s="605"/>
    </row>
    <row r="2541" spans="4:34" ht="19.5" customHeight="1">
      <c r="D2541" s="68"/>
      <c r="E2541" s="68"/>
      <c r="G2541" s="98"/>
      <c r="H2541" s="68"/>
      <c r="I2541" s="68"/>
      <c r="R2541" s="50"/>
      <c r="S2541" s="47"/>
      <c r="T2541" s="98"/>
      <c r="U2541" s="98"/>
      <c r="AG2541" s="605"/>
      <c r="AH2541" s="605"/>
    </row>
    <row r="2542" spans="4:34" ht="19.5" customHeight="1">
      <c r="D2542" s="68"/>
      <c r="E2542" s="68"/>
      <c r="G2542" s="98"/>
      <c r="H2542" s="68"/>
      <c r="I2542" s="68"/>
      <c r="R2542" s="50"/>
      <c r="S2542" s="47"/>
      <c r="T2542" s="98"/>
      <c r="U2542" s="98"/>
      <c r="AG2542" s="605"/>
      <c r="AH2542" s="605"/>
    </row>
    <row r="2543" spans="4:34" ht="19.5" customHeight="1">
      <c r="D2543" s="68"/>
      <c r="E2543" s="68"/>
      <c r="G2543" s="98"/>
      <c r="H2543" s="68"/>
      <c r="I2543" s="68"/>
      <c r="R2543" s="50"/>
      <c r="S2543" s="47"/>
      <c r="T2543" s="98"/>
      <c r="U2543" s="98"/>
      <c r="AG2543" s="605"/>
      <c r="AH2543" s="605"/>
    </row>
    <row r="2544" spans="4:34" ht="19.5" customHeight="1">
      <c r="D2544" s="68"/>
      <c r="E2544" s="68"/>
      <c r="G2544" s="98"/>
      <c r="H2544" s="68"/>
      <c r="I2544" s="68"/>
      <c r="R2544" s="50"/>
      <c r="S2544" s="47"/>
      <c r="T2544" s="98"/>
      <c r="U2544" s="98"/>
      <c r="AG2544" s="605"/>
      <c r="AH2544" s="605"/>
    </row>
    <row r="2545" spans="4:34" ht="19.5" customHeight="1">
      <c r="D2545" s="68"/>
      <c r="E2545" s="68"/>
      <c r="G2545" s="98"/>
      <c r="H2545" s="68"/>
      <c r="I2545" s="68"/>
      <c r="R2545" s="50"/>
      <c r="S2545" s="47"/>
      <c r="T2545" s="98"/>
      <c r="U2545" s="98"/>
      <c r="AG2545" s="605"/>
      <c r="AH2545" s="605"/>
    </row>
    <row r="2546" spans="4:34" ht="19.5" customHeight="1">
      <c r="D2546" s="68"/>
      <c r="E2546" s="68"/>
      <c r="G2546" s="98"/>
      <c r="H2546" s="68"/>
      <c r="I2546" s="68"/>
      <c r="R2546" s="50"/>
      <c r="S2546" s="47"/>
      <c r="T2546" s="98"/>
      <c r="U2546" s="98"/>
      <c r="AG2546" s="605"/>
      <c r="AH2546" s="605"/>
    </row>
    <row r="2547" spans="4:34" ht="19.5" customHeight="1">
      <c r="D2547" s="68"/>
      <c r="E2547" s="68"/>
      <c r="G2547" s="98"/>
      <c r="H2547" s="68"/>
      <c r="I2547" s="68"/>
      <c r="R2547" s="50"/>
      <c r="S2547" s="47"/>
      <c r="T2547" s="98"/>
      <c r="U2547" s="98"/>
      <c r="AG2547" s="605"/>
      <c r="AH2547" s="605"/>
    </row>
    <row r="2548" spans="4:34" ht="19.5" customHeight="1">
      <c r="D2548" s="68"/>
      <c r="E2548" s="68"/>
      <c r="G2548" s="98"/>
      <c r="H2548" s="68"/>
      <c r="I2548" s="68"/>
      <c r="R2548" s="50"/>
      <c r="S2548" s="47"/>
      <c r="T2548" s="98"/>
      <c r="U2548" s="98"/>
      <c r="AG2548" s="605"/>
      <c r="AH2548" s="605"/>
    </row>
    <row r="2549" spans="4:34" ht="19.5" customHeight="1">
      <c r="D2549" s="68"/>
      <c r="E2549" s="68"/>
      <c r="G2549" s="98"/>
      <c r="H2549" s="68"/>
      <c r="I2549" s="68"/>
      <c r="R2549" s="50"/>
      <c r="S2549" s="47"/>
      <c r="T2549" s="98"/>
      <c r="U2549" s="98"/>
      <c r="AG2549" s="605"/>
      <c r="AH2549" s="605"/>
    </row>
    <row r="2550" spans="4:34" ht="19.5" customHeight="1">
      <c r="D2550" s="68"/>
      <c r="E2550" s="68"/>
      <c r="G2550" s="98"/>
      <c r="H2550" s="68"/>
      <c r="I2550" s="68"/>
      <c r="R2550" s="50"/>
      <c r="S2550" s="47"/>
      <c r="T2550" s="98"/>
      <c r="U2550" s="98"/>
      <c r="AG2550" s="605"/>
      <c r="AH2550" s="605"/>
    </row>
    <row r="2551" spans="4:34" ht="19.5" customHeight="1">
      <c r="D2551" s="68"/>
      <c r="E2551" s="68"/>
      <c r="G2551" s="98"/>
      <c r="H2551" s="68"/>
      <c r="I2551" s="68"/>
      <c r="R2551" s="50"/>
      <c r="S2551" s="47"/>
      <c r="T2551" s="98"/>
      <c r="U2551" s="98"/>
      <c r="AG2551" s="605"/>
      <c r="AH2551" s="605"/>
    </row>
    <row r="2552" spans="4:34" ht="19.5" customHeight="1">
      <c r="D2552" s="68"/>
      <c r="E2552" s="68"/>
      <c r="G2552" s="98"/>
      <c r="H2552" s="68"/>
      <c r="I2552" s="68"/>
      <c r="R2552" s="50"/>
      <c r="S2552" s="47"/>
      <c r="T2552" s="98"/>
      <c r="U2552" s="98"/>
      <c r="AG2552" s="605"/>
      <c r="AH2552" s="605"/>
    </row>
    <row r="2553" spans="4:34" ht="19.5" customHeight="1">
      <c r="D2553" s="68"/>
      <c r="E2553" s="68"/>
      <c r="G2553" s="98"/>
      <c r="H2553" s="68"/>
      <c r="I2553" s="68"/>
      <c r="R2553" s="50"/>
      <c r="S2553" s="47"/>
      <c r="T2553" s="98"/>
      <c r="U2553" s="98"/>
      <c r="AG2553" s="605"/>
      <c r="AH2553" s="605"/>
    </row>
    <row r="2554" spans="4:34" ht="19.5" customHeight="1">
      <c r="D2554" s="68"/>
      <c r="E2554" s="68"/>
      <c r="G2554" s="98"/>
      <c r="H2554" s="68"/>
      <c r="I2554" s="68"/>
      <c r="R2554" s="50"/>
      <c r="S2554" s="47"/>
      <c r="T2554" s="98"/>
      <c r="U2554" s="98"/>
      <c r="AG2554" s="605"/>
      <c r="AH2554" s="605"/>
    </row>
    <row r="2555" spans="4:34" ht="19.5" customHeight="1">
      <c r="D2555" s="68"/>
      <c r="E2555" s="68"/>
      <c r="G2555" s="98"/>
      <c r="H2555" s="68"/>
      <c r="I2555" s="68"/>
      <c r="R2555" s="50"/>
      <c r="S2555" s="47"/>
      <c r="T2555" s="98"/>
      <c r="U2555" s="98"/>
      <c r="AG2555" s="605"/>
      <c r="AH2555" s="605"/>
    </row>
    <row r="2556" spans="4:34" ht="19.5" customHeight="1">
      <c r="D2556" s="68"/>
      <c r="E2556" s="68"/>
      <c r="G2556" s="98"/>
      <c r="H2556" s="68"/>
      <c r="I2556" s="68"/>
      <c r="R2556" s="50"/>
      <c r="S2556" s="47"/>
      <c r="T2556" s="98"/>
      <c r="U2556" s="98"/>
      <c r="AG2556" s="605"/>
      <c r="AH2556" s="605"/>
    </row>
    <row r="2557" spans="4:34" ht="19.5" customHeight="1">
      <c r="D2557" s="68"/>
      <c r="E2557" s="68"/>
      <c r="G2557" s="98"/>
      <c r="H2557" s="68"/>
      <c r="I2557" s="68"/>
      <c r="R2557" s="50"/>
      <c r="S2557" s="47"/>
      <c r="T2557" s="98"/>
      <c r="U2557" s="98"/>
      <c r="AG2557" s="605"/>
      <c r="AH2557" s="605"/>
    </row>
    <row r="2558" spans="4:34" ht="19.5" customHeight="1">
      <c r="D2558" s="68"/>
      <c r="E2558" s="68"/>
      <c r="G2558" s="98"/>
      <c r="H2558" s="68"/>
      <c r="I2558" s="68"/>
      <c r="R2558" s="50"/>
      <c r="S2558" s="47"/>
      <c r="T2558" s="98"/>
      <c r="U2558" s="98"/>
      <c r="AG2558" s="605"/>
      <c r="AH2558" s="605"/>
    </row>
    <row r="2559" spans="4:34" ht="19.5" customHeight="1">
      <c r="D2559" s="68"/>
      <c r="E2559" s="68"/>
      <c r="G2559" s="98"/>
      <c r="H2559" s="68"/>
      <c r="I2559" s="68"/>
      <c r="R2559" s="50"/>
      <c r="S2559" s="47"/>
      <c r="T2559" s="98"/>
      <c r="U2559" s="98"/>
      <c r="AG2559" s="605"/>
      <c r="AH2559" s="605"/>
    </row>
    <row r="2560" spans="4:34" ht="19.5" customHeight="1">
      <c r="D2560" s="68"/>
      <c r="E2560" s="68"/>
      <c r="G2560" s="98"/>
      <c r="H2560" s="68"/>
      <c r="I2560" s="68"/>
      <c r="R2560" s="50"/>
      <c r="S2560" s="47"/>
      <c r="T2560" s="98"/>
      <c r="U2560" s="98"/>
      <c r="AG2560" s="605"/>
      <c r="AH2560" s="605"/>
    </row>
    <row r="2561" spans="4:34" ht="19.5" customHeight="1">
      <c r="D2561" s="68"/>
      <c r="E2561" s="68"/>
      <c r="G2561" s="98"/>
      <c r="H2561" s="68"/>
      <c r="I2561" s="68"/>
      <c r="R2561" s="50"/>
      <c r="S2561" s="47"/>
      <c r="T2561" s="98"/>
      <c r="U2561" s="98"/>
      <c r="AG2561" s="605"/>
      <c r="AH2561" s="605"/>
    </row>
    <row r="2562" spans="4:34" ht="19.5" customHeight="1">
      <c r="D2562" s="68"/>
      <c r="E2562" s="68"/>
      <c r="G2562" s="98"/>
      <c r="H2562" s="68"/>
      <c r="I2562" s="68"/>
      <c r="R2562" s="50"/>
      <c r="S2562" s="47"/>
      <c r="T2562" s="98"/>
      <c r="U2562" s="98"/>
      <c r="AG2562" s="605"/>
      <c r="AH2562" s="605"/>
    </row>
    <row r="2563" spans="4:34" ht="19.5" customHeight="1">
      <c r="D2563" s="68"/>
      <c r="E2563" s="68"/>
      <c r="G2563" s="98"/>
      <c r="H2563" s="68"/>
      <c r="I2563" s="68"/>
      <c r="R2563" s="50"/>
      <c r="S2563" s="47"/>
      <c r="T2563" s="98"/>
      <c r="U2563" s="98"/>
      <c r="AG2563" s="605"/>
      <c r="AH2563" s="605"/>
    </row>
    <row r="2564" spans="4:34" ht="19.5" customHeight="1">
      <c r="D2564" s="68"/>
      <c r="E2564" s="68"/>
      <c r="G2564" s="98"/>
      <c r="H2564" s="68"/>
      <c r="I2564" s="68"/>
      <c r="R2564" s="50"/>
      <c r="S2564" s="47"/>
      <c r="T2564" s="98"/>
      <c r="U2564" s="98"/>
      <c r="AG2564" s="605"/>
      <c r="AH2564" s="605"/>
    </row>
    <row r="2565" spans="4:34" ht="19.5" customHeight="1">
      <c r="D2565" s="68"/>
      <c r="E2565" s="68"/>
      <c r="G2565" s="98"/>
      <c r="H2565" s="68"/>
      <c r="I2565" s="68"/>
      <c r="R2565" s="50"/>
      <c r="S2565" s="47"/>
      <c r="T2565" s="98"/>
      <c r="U2565" s="98"/>
      <c r="AG2565" s="605"/>
      <c r="AH2565" s="605"/>
    </row>
    <row r="2566" spans="4:34" ht="19.5" customHeight="1">
      <c r="D2566" s="68"/>
      <c r="E2566" s="68"/>
      <c r="G2566" s="98"/>
      <c r="H2566" s="68"/>
      <c r="I2566" s="68"/>
      <c r="R2566" s="50"/>
      <c r="S2566" s="47"/>
      <c r="T2566" s="98"/>
      <c r="U2566" s="98"/>
      <c r="AG2566" s="605"/>
      <c r="AH2566" s="605"/>
    </row>
    <row r="2567" spans="4:34" ht="19.5" customHeight="1">
      <c r="D2567" s="68"/>
      <c r="E2567" s="68"/>
      <c r="G2567" s="98"/>
      <c r="H2567" s="68"/>
      <c r="I2567" s="68"/>
      <c r="R2567" s="50"/>
      <c r="S2567" s="47"/>
      <c r="T2567" s="98"/>
      <c r="U2567" s="98"/>
      <c r="AG2567" s="605"/>
      <c r="AH2567" s="605"/>
    </row>
    <row r="2568" spans="4:34" ht="19.5" customHeight="1">
      <c r="D2568" s="68"/>
      <c r="E2568" s="68"/>
      <c r="G2568" s="98"/>
      <c r="H2568" s="68"/>
      <c r="I2568" s="68"/>
      <c r="R2568" s="50"/>
      <c r="S2568" s="47"/>
      <c r="T2568" s="98"/>
      <c r="U2568" s="98"/>
      <c r="AG2568" s="605"/>
      <c r="AH2568" s="605"/>
    </row>
    <row r="2569" spans="4:34" ht="19.5" customHeight="1">
      <c r="D2569" s="68"/>
      <c r="E2569" s="68"/>
      <c r="G2569" s="98"/>
      <c r="H2569" s="68"/>
      <c r="I2569" s="68"/>
      <c r="R2569" s="50"/>
      <c r="S2569" s="47"/>
      <c r="T2569" s="98"/>
      <c r="U2569" s="98"/>
      <c r="AG2569" s="605"/>
      <c r="AH2569" s="605"/>
    </row>
    <row r="2570" spans="4:34" ht="19.5" customHeight="1">
      <c r="D2570" s="68"/>
      <c r="E2570" s="68"/>
      <c r="G2570" s="98"/>
      <c r="H2570" s="68"/>
      <c r="I2570" s="68"/>
      <c r="R2570" s="50"/>
      <c r="S2570" s="47"/>
      <c r="T2570" s="98"/>
      <c r="U2570" s="98"/>
      <c r="AG2570" s="605"/>
      <c r="AH2570" s="605"/>
    </row>
    <row r="2571" spans="4:34" ht="19.5" customHeight="1">
      <c r="D2571" s="68"/>
      <c r="E2571" s="68"/>
      <c r="G2571" s="98"/>
      <c r="H2571" s="68"/>
      <c r="I2571" s="68"/>
      <c r="R2571" s="50"/>
      <c r="S2571" s="47"/>
      <c r="T2571" s="98"/>
      <c r="U2571" s="98"/>
      <c r="AG2571" s="605"/>
      <c r="AH2571" s="605"/>
    </row>
    <row r="2572" spans="4:34" ht="19.5" customHeight="1">
      <c r="D2572" s="68"/>
      <c r="E2572" s="68"/>
      <c r="G2572" s="98"/>
      <c r="H2572" s="68"/>
      <c r="I2572" s="68"/>
      <c r="R2572" s="50"/>
      <c r="S2572" s="47"/>
      <c r="T2572" s="98"/>
      <c r="U2572" s="98"/>
      <c r="AG2572" s="605"/>
      <c r="AH2572" s="605"/>
    </row>
    <row r="2573" spans="4:34" ht="19.5" customHeight="1">
      <c r="D2573" s="68"/>
      <c r="E2573" s="68"/>
      <c r="G2573" s="98"/>
      <c r="H2573" s="68"/>
      <c r="I2573" s="68"/>
      <c r="R2573" s="50"/>
      <c r="S2573" s="47"/>
      <c r="T2573" s="98"/>
      <c r="U2573" s="98"/>
      <c r="AG2573" s="605"/>
      <c r="AH2573" s="605"/>
    </row>
    <row r="2574" spans="4:34" ht="19.5" customHeight="1">
      <c r="D2574" s="68"/>
      <c r="E2574" s="68"/>
      <c r="G2574" s="98"/>
      <c r="H2574" s="68"/>
      <c r="I2574" s="68"/>
      <c r="R2574" s="50"/>
      <c r="S2574" s="47"/>
      <c r="T2574" s="98"/>
      <c r="U2574" s="98"/>
      <c r="AG2574" s="605"/>
      <c r="AH2574" s="605"/>
    </row>
    <row r="2575" spans="4:34" ht="19.5" customHeight="1">
      <c r="D2575" s="68"/>
      <c r="E2575" s="68"/>
      <c r="G2575" s="98"/>
      <c r="H2575" s="68"/>
      <c r="I2575" s="68"/>
      <c r="R2575" s="50"/>
      <c r="S2575" s="47"/>
      <c r="T2575" s="98"/>
      <c r="U2575" s="98"/>
      <c r="AG2575" s="605"/>
      <c r="AH2575" s="605"/>
    </row>
    <row r="2576" spans="4:34" ht="19.5" customHeight="1">
      <c r="D2576" s="68"/>
      <c r="E2576" s="68"/>
      <c r="G2576" s="98"/>
      <c r="H2576" s="68"/>
      <c r="I2576" s="68"/>
      <c r="R2576" s="50"/>
      <c r="S2576" s="47"/>
      <c r="T2576" s="98"/>
      <c r="U2576" s="98"/>
      <c r="AG2576" s="605"/>
      <c r="AH2576" s="605"/>
    </row>
    <row r="2577" spans="4:34" ht="19.5" customHeight="1">
      <c r="D2577" s="68"/>
      <c r="E2577" s="68"/>
      <c r="G2577" s="98"/>
      <c r="H2577" s="68"/>
      <c r="I2577" s="68"/>
      <c r="R2577" s="50"/>
      <c r="S2577" s="47"/>
      <c r="T2577" s="98"/>
      <c r="U2577" s="98"/>
      <c r="AG2577" s="605"/>
      <c r="AH2577" s="605"/>
    </row>
    <row r="2578" spans="4:34" ht="19.5" customHeight="1">
      <c r="D2578" s="68"/>
      <c r="E2578" s="68"/>
      <c r="G2578" s="98"/>
      <c r="H2578" s="68"/>
      <c r="I2578" s="68"/>
      <c r="R2578" s="50"/>
      <c r="S2578" s="47"/>
      <c r="T2578" s="98"/>
      <c r="U2578" s="98"/>
      <c r="AG2578" s="605"/>
      <c r="AH2578" s="605"/>
    </row>
    <row r="2579" spans="4:34" ht="19.5" customHeight="1">
      <c r="D2579" s="68"/>
      <c r="E2579" s="68"/>
      <c r="G2579" s="98"/>
      <c r="H2579" s="68"/>
      <c r="I2579" s="68"/>
      <c r="R2579" s="50"/>
      <c r="S2579" s="47"/>
      <c r="T2579" s="98"/>
      <c r="U2579" s="98"/>
      <c r="AG2579" s="605"/>
      <c r="AH2579" s="605"/>
    </row>
    <row r="2580" spans="4:34" ht="19.5" customHeight="1">
      <c r="D2580" s="68"/>
      <c r="E2580" s="68"/>
      <c r="G2580" s="98"/>
      <c r="H2580" s="68"/>
      <c r="I2580" s="68"/>
      <c r="R2580" s="50"/>
      <c r="S2580" s="47"/>
      <c r="T2580" s="98"/>
      <c r="U2580" s="98"/>
      <c r="AG2580" s="605"/>
      <c r="AH2580" s="605"/>
    </row>
    <row r="2581" spans="4:34" ht="19.5" customHeight="1">
      <c r="D2581" s="68"/>
      <c r="E2581" s="68"/>
      <c r="G2581" s="98"/>
      <c r="H2581" s="68"/>
      <c r="I2581" s="68"/>
      <c r="R2581" s="50"/>
      <c r="S2581" s="47"/>
      <c r="T2581" s="98"/>
      <c r="U2581" s="98"/>
      <c r="AG2581" s="605"/>
      <c r="AH2581" s="605"/>
    </row>
    <row r="2582" spans="4:34" ht="19.5" customHeight="1">
      <c r="D2582" s="68"/>
      <c r="E2582" s="68"/>
      <c r="G2582" s="98"/>
      <c r="H2582" s="68"/>
      <c r="I2582" s="68"/>
      <c r="R2582" s="50"/>
      <c r="S2582" s="47"/>
      <c r="T2582" s="98"/>
      <c r="U2582" s="98"/>
      <c r="AG2582" s="605"/>
      <c r="AH2582" s="605"/>
    </row>
    <row r="2583" spans="4:34" ht="19.5" customHeight="1">
      <c r="D2583" s="68"/>
      <c r="E2583" s="68"/>
      <c r="G2583" s="98"/>
      <c r="H2583" s="68"/>
      <c r="I2583" s="68"/>
      <c r="R2583" s="50"/>
      <c r="S2583" s="47"/>
      <c r="T2583" s="98"/>
      <c r="U2583" s="98"/>
      <c r="AG2583" s="605"/>
      <c r="AH2583" s="605"/>
    </row>
    <row r="2584" spans="4:34" ht="19.5" customHeight="1">
      <c r="D2584" s="68"/>
      <c r="E2584" s="68"/>
      <c r="G2584" s="98"/>
      <c r="H2584" s="68"/>
      <c r="I2584" s="68"/>
      <c r="R2584" s="50"/>
      <c r="S2584" s="47"/>
      <c r="T2584" s="98"/>
      <c r="U2584" s="98"/>
      <c r="AG2584" s="605"/>
      <c r="AH2584" s="605"/>
    </row>
    <row r="2585" spans="4:34" ht="19.5" customHeight="1">
      <c r="D2585" s="68"/>
      <c r="E2585" s="68"/>
      <c r="G2585" s="98"/>
      <c r="H2585" s="68"/>
      <c r="I2585" s="68"/>
      <c r="R2585" s="50"/>
      <c r="S2585" s="47"/>
      <c r="T2585" s="98"/>
      <c r="U2585" s="98"/>
      <c r="AG2585" s="605"/>
      <c r="AH2585" s="605"/>
    </row>
    <row r="2586" spans="4:34" ht="19.5" customHeight="1">
      <c r="D2586" s="68"/>
      <c r="E2586" s="68"/>
      <c r="G2586" s="98"/>
      <c r="H2586" s="68"/>
      <c r="I2586" s="68"/>
      <c r="R2586" s="50"/>
      <c r="S2586" s="47"/>
      <c r="T2586" s="98"/>
      <c r="U2586" s="98"/>
      <c r="AG2586" s="605"/>
      <c r="AH2586" s="605"/>
    </row>
    <row r="2587" spans="4:34" ht="19.5" customHeight="1">
      <c r="D2587" s="68"/>
      <c r="E2587" s="68"/>
      <c r="G2587" s="98"/>
      <c r="H2587" s="68"/>
      <c r="I2587" s="68"/>
      <c r="R2587" s="50"/>
      <c r="S2587" s="47"/>
      <c r="T2587" s="98"/>
      <c r="U2587" s="98"/>
      <c r="AG2587" s="605"/>
      <c r="AH2587" s="605"/>
    </row>
    <row r="2588" spans="4:34" ht="19.5" customHeight="1">
      <c r="D2588" s="68"/>
      <c r="E2588" s="68"/>
      <c r="G2588" s="98"/>
      <c r="H2588" s="68"/>
      <c r="I2588" s="68"/>
      <c r="R2588" s="50"/>
      <c r="S2588" s="47"/>
      <c r="T2588" s="98"/>
      <c r="U2588" s="98"/>
      <c r="AG2588" s="605"/>
      <c r="AH2588" s="605"/>
    </row>
    <row r="2589" spans="4:34" ht="19.5" customHeight="1">
      <c r="D2589" s="68"/>
      <c r="E2589" s="68"/>
      <c r="G2589" s="98"/>
      <c r="H2589" s="68"/>
      <c r="I2589" s="68"/>
      <c r="R2589" s="50"/>
      <c r="S2589" s="47"/>
      <c r="T2589" s="98"/>
      <c r="U2589" s="98"/>
      <c r="AG2589" s="605"/>
      <c r="AH2589" s="605"/>
    </row>
    <row r="2590" spans="4:34" ht="19.5" customHeight="1">
      <c r="D2590" s="68"/>
      <c r="E2590" s="68"/>
      <c r="G2590" s="98"/>
      <c r="H2590" s="68"/>
      <c r="I2590" s="68"/>
      <c r="R2590" s="50"/>
      <c r="S2590" s="47"/>
      <c r="T2590" s="98"/>
      <c r="U2590" s="98"/>
      <c r="AG2590" s="605"/>
      <c r="AH2590" s="605"/>
    </row>
    <row r="2591" spans="4:34" ht="19.5" customHeight="1">
      <c r="D2591" s="68"/>
      <c r="E2591" s="68"/>
      <c r="G2591" s="98"/>
      <c r="H2591" s="68"/>
      <c r="I2591" s="68"/>
      <c r="R2591" s="50"/>
      <c r="S2591" s="47"/>
      <c r="T2591" s="98"/>
      <c r="U2591" s="98"/>
      <c r="AG2591" s="605"/>
      <c r="AH2591" s="605"/>
    </row>
    <row r="2592" spans="4:34" ht="19.5" customHeight="1">
      <c r="D2592" s="68"/>
      <c r="E2592" s="68"/>
      <c r="G2592" s="98"/>
      <c r="H2592" s="68"/>
      <c r="I2592" s="68"/>
      <c r="R2592" s="50"/>
      <c r="S2592" s="47"/>
      <c r="T2592" s="98"/>
      <c r="U2592" s="98"/>
      <c r="AG2592" s="605"/>
      <c r="AH2592" s="605"/>
    </row>
    <row r="2593" spans="4:34" ht="19.5" customHeight="1">
      <c r="D2593" s="68"/>
      <c r="E2593" s="68"/>
      <c r="G2593" s="98"/>
      <c r="H2593" s="68"/>
      <c r="I2593" s="68"/>
      <c r="R2593" s="50"/>
      <c r="S2593" s="47"/>
      <c r="T2593" s="98"/>
      <c r="U2593" s="98"/>
      <c r="AG2593" s="605"/>
      <c r="AH2593" s="605"/>
    </row>
    <row r="2594" spans="4:34" ht="19.5" customHeight="1">
      <c r="D2594" s="68"/>
      <c r="E2594" s="68"/>
      <c r="G2594" s="98"/>
      <c r="H2594" s="68"/>
      <c r="I2594" s="68"/>
      <c r="R2594" s="50"/>
      <c r="S2594" s="47"/>
      <c r="T2594" s="98"/>
      <c r="U2594" s="98"/>
      <c r="AG2594" s="605"/>
      <c r="AH2594" s="605"/>
    </row>
    <row r="2595" spans="4:34" ht="19.5" customHeight="1">
      <c r="D2595" s="68"/>
      <c r="E2595" s="68"/>
      <c r="G2595" s="98"/>
      <c r="H2595" s="68"/>
      <c r="I2595" s="68"/>
      <c r="R2595" s="50"/>
      <c r="S2595" s="47"/>
      <c r="T2595" s="98"/>
      <c r="U2595" s="98"/>
      <c r="AG2595" s="605"/>
      <c r="AH2595" s="605"/>
    </row>
    <row r="2596" spans="4:34" ht="19.5" customHeight="1">
      <c r="D2596" s="68"/>
      <c r="E2596" s="68"/>
      <c r="G2596" s="98"/>
      <c r="H2596" s="68"/>
      <c r="I2596" s="68"/>
      <c r="R2596" s="50"/>
      <c r="S2596" s="47"/>
      <c r="T2596" s="98"/>
      <c r="U2596" s="98"/>
      <c r="AG2596" s="605"/>
      <c r="AH2596" s="605"/>
    </row>
    <row r="2597" spans="4:34" ht="19.5" customHeight="1">
      <c r="D2597" s="68"/>
      <c r="E2597" s="68"/>
      <c r="G2597" s="98"/>
      <c r="H2597" s="68"/>
      <c r="I2597" s="68"/>
      <c r="R2597" s="50"/>
      <c r="S2597" s="47"/>
      <c r="T2597" s="98"/>
      <c r="U2597" s="98"/>
      <c r="AG2597" s="605"/>
      <c r="AH2597" s="605"/>
    </row>
    <row r="2598" spans="4:34" ht="19.5" customHeight="1">
      <c r="D2598" s="68"/>
      <c r="E2598" s="68"/>
      <c r="G2598" s="98"/>
      <c r="H2598" s="68"/>
      <c r="I2598" s="68"/>
      <c r="R2598" s="50"/>
      <c r="S2598" s="47"/>
      <c r="T2598" s="98"/>
      <c r="U2598" s="98"/>
      <c r="AG2598" s="605"/>
      <c r="AH2598" s="605"/>
    </row>
    <row r="2599" spans="4:34" ht="19.5" customHeight="1">
      <c r="D2599" s="68"/>
      <c r="E2599" s="68"/>
      <c r="G2599" s="98"/>
      <c r="H2599" s="68"/>
      <c r="I2599" s="68"/>
      <c r="R2599" s="50"/>
      <c r="S2599" s="47"/>
      <c r="T2599" s="98"/>
      <c r="U2599" s="98"/>
      <c r="AG2599" s="605"/>
      <c r="AH2599" s="605"/>
    </row>
    <row r="2600" spans="4:34" ht="19.5" customHeight="1">
      <c r="D2600" s="68"/>
      <c r="E2600" s="68"/>
      <c r="G2600" s="98"/>
      <c r="H2600" s="68"/>
      <c r="I2600" s="68"/>
      <c r="R2600" s="50"/>
      <c r="S2600" s="47"/>
      <c r="T2600" s="98"/>
      <c r="U2600" s="98"/>
      <c r="AG2600" s="605"/>
      <c r="AH2600" s="605"/>
    </row>
    <row r="2601" spans="4:34" ht="19.5" customHeight="1">
      <c r="D2601" s="68"/>
      <c r="E2601" s="68"/>
      <c r="G2601" s="98"/>
      <c r="H2601" s="68"/>
      <c r="I2601" s="68"/>
      <c r="R2601" s="50"/>
      <c r="S2601" s="47"/>
      <c r="T2601" s="98"/>
      <c r="U2601" s="98"/>
      <c r="AG2601" s="605"/>
      <c r="AH2601" s="605"/>
    </row>
    <row r="2602" spans="4:34" ht="19.5" customHeight="1">
      <c r="D2602" s="68"/>
      <c r="E2602" s="68"/>
      <c r="G2602" s="98"/>
      <c r="H2602" s="68"/>
      <c r="I2602" s="68"/>
      <c r="R2602" s="50"/>
      <c r="S2602" s="47"/>
      <c r="T2602" s="98"/>
      <c r="U2602" s="98"/>
      <c r="AG2602" s="605"/>
      <c r="AH2602" s="605"/>
    </row>
    <row r="2603" spans="4:34" ht="19.5" customHeight="1">
      <c r="D2603" s="68"/>
      <c r="E2603" s="68"/>
      <c r="G2603" s="98"/>
      <c r="H2603" s="68"/>
      <c r="I2603" s="68"/>
      <c r="R2603" s="50"/>
      <c r="S2603" s="47"/>
      <c r="T2603" s="98"/>
      <c r="U2603" s="98"/>
      <c r="AG2603" s="605"/>
      <c r="AH2603" s="605"/>
    </row>
    <row r="2604" spans="4:34" ht="19.5" customHeight="1">
      <c r="D2604" s="68"/>
      <c r="E2604" s="68"/>
      <c r="G2604" s="98"/>
      <c r="H2604" s="68"/>
      <c r="I2604" s="68"/>
      <c r="R2604" s="50"/>
      <c r="S2604" s="47"/>
      <c r="T2604" s="98"/>
      <c r="U2604" s="98"/>
      <c r="AG2604" s="605"/>
      <c r="AH2604" s="605"/>
    </row>
    <row r="2605" spans="4:34" ht="19.5" customHeight="1">
      <c r="D2605" s="68"/>
      <c r="E2605" s="68"/>
      <c r="G2605" s="98"/>
      <c r="H2605" s="68"/>
      <c r="I2605" s="68"/>
      <c r="R2605" s="50"/>
      <c r="S2605" s="47"/>
      <c r="T2605" s="98"/>
      <c r="U2605" s="98"/>
      <c r="AG2605" s="605"/>
      <c r="AH2605" s="605"/>
    </row>
    <row r="2606" spans="4:34" ht="19.5" customHeight="1">
      <c r="D2606" s="68"/>
      <c r="E2606" s="68"/>
      <c r="G2606" s="98"/>
      <c r="H2606" s="68"/>
      <c r="I2606" s="68"/>
      <c r="R2606" s="50"/>
      <c r="S2606" s="47"/>
      <c r="T2606" s="98"/>
      <c r="U2606" s="98"/>
      <c r="AG2606" s="605"/>
      <c r="AH2606" s="605"/>
    </row>
    <row r="2607" spans="4:34" ht="19.5" customHeight="1">
      <c r="D2607" s="68"/>
      <c r="E2607" s="68"/>
      <c r="G2607" s="98"/>
      <c r="H2607" s="68"/>
      <c r="I2607" s="68"/>
      <c r="R2607" s="50"/>
      <c r="S2607" s="47"/>
      <c r="T2607" s="98"/>
      <c r="U2607" s="98"/>
      <c r="AG2607" s="605"/>
      <c r="AH2607" s="605"/>
    </row>
    <row r="2608" spans="4:34" ht="19.5" customHeight="1">
      <c r="D2608" s="68"/>
      <c r="E2608" s="68"/>
      <c r="G2608" s="98"/>
      <c r="H2608" s="68"/>
      <c r="I2608" s="68"/>
      <c r="R2608" s="50"/>
      <c r="S2608" s="47"/>
      <c r="T2608" s="98"/>
      <c r="U2608" s="98"/>
      <c r="AG2608" s="605"/>
      <c r="AH2608" s="605"/>
    </row>
    <row r="2609" spans="4:34" ht="19.5" customHeight="1">
      <c r="D2609" s="68"/>
      <c r="E2609" s="68"/>
      <c r="G2609" s="98"/>
      <c r="H2609" s="68"/>
      <c r="I2609" s="68"/>
      <c r="R2609" s="50"/>
      <c r="S2609" s="47"/>
      <c r="T2609" s="98"/>
      <c r="U2609" s="98"/>
      <c r="AG2609" s="605"/>
      <c r="AH2609" s="605"/>
    </row>
    <row r="2610" spans="4:34" ht="19.5" customHeight="1">
      <c r="D2610" s="68"/>
      <c r="E2610" s="68"/>
      <c r="G2610" s="98"/>
      <c r="H2610" s="68"/>
      <c r="I2610" s="68"/>
      <c r="R2610" s="50"/>
      <c r="S2610" s="47"/>
      <c r="T2610" s="98"/>
      <c r="U2610" s="98"/>
      <c r="AG2610" s="605"/>
      <c r="AH2610" s="605"/>
    </row>
    <row r="2611" spans="4:34" ht="19.5" customHeight="1">
      <c r="D2611" s="68"/>
      <c r="E2611" s="68"/>
      <c r="G2611" s="98"/>
      <c r="H2611" s="68"/>
      <c r="I2611" s="68"/>
      <c r="R2611" s="50"/>
      <c r="S2611" s="47"/>
      <c r="T2611" s="98"/>
      <c r="U2611" s="98"/>
      <c r="AG2611" s="605"/>
      <c r="AH2611" s="605"/>
    </row>
    <row r="2612" spans="4:34" ht="19.5" customHeight="1">
      <c r="D2612" s="68"/>
      <c r="E2612" s="68"/>
      <c r="G2612" s="98"/>
      <c r="H2612" s="68"/>
      <c r="I2612" s="68"/>
      <c r="R2612" s="50"/>
      <c r="S2612" s="47"/>
      <c r="T2612" s="98"/>
      <c r="U2612" s="98"/>
      <c r="AG2612" s="605"/>
      <c r="AH2612" s="605"/>
    </row>
    <row r="2613" spans="4:34" ht="19.5" customHeight="1">
      <c r="D2613" s="68"/>
      <c r="E2613" s="68"/>
      <c r="G2613" s="98"/>
      <c r="H2613" s="68"/>
      <c r="I2613" s="68"/>
      <c r="R2613" s="50"/>
      <c r="S2613" s="47"/>
      <c r="T2613" s="98"/>
      <c r="U2613" s="98"/>
      <c r="AG2613" s="605"/>
      <c r="AH2613" s="605"/>
    </row>
    <row r="2614" spans="4:34" ht="19.5" customHeight="1">
      <c r="D2614" s="68"/>
      <c r="E2614" s="68"/>
      <c r="G2614" s="98"/>
      <c r="H2614" s="68"/>
      <c r="I2614" s="68"/>
      <c r="R2614" s="50"/>
      <c r="S2614" s="47"/>
      <c r="T2614" s="98"/>
      <c r="U2614" s="98"/>
      <c r="AG2614" s="605"/>
      <c r="AH2614" s="605"/>
    </row>
    <row r="2615" spans="4:34" ht="19.5" customHeight="1">
      <c r="D2615" s="68"/>
      <c r="E2615" s="68"/>
      <c r="G2615" s="98"/>
      <c r="H2615" s="68"/>
      <c r="I2615" s="68"/>
      <c r="R2615" s="50"/>
      <c r="S2615" s="47"/>
      <c r="T2615" s="98"/>
      <c r="U2615" s="98"/>
      <c r="AG2615" s="605"/>
      <c r="AH2615" s="605"/>
    </row>
    <row r="2616" spans="4:34" ht="19.5" customHeight="1">
      <c r="D2616" s="68"/>
      <c r="E2616" s="68"/>
      <c r="G2616" s="98"/>
      <c r="H2616" s="68"/>
      <c r="I2616" s="68"/>
      <c r="R2616" s="50"/>
      <c r="S2616" s="47"/>
      <c r="T2616" s="98"/>
      <c r="U2616" s="98"/>
      <c r="AG2616" s="605"/>
      <c r="AH2616" s="605"/>
    </row>
    <row r="2617" spans="4:34" ht="19.5" customHeight="1">
      <c r="D2617" s="68"/>
      <c r="E2617" s="68"/>
      <c r="G2617" s="98"/>
      <c r="H2617" s="68"/>
      <c r="I2617" s="68"/>
      <c r="R2617" s="50"/>
      <c r="S2617" s="47"/>
      <c r="T2617" s="98"/>
      <c r="U2617" s="98"/>
      <c r="AG2617" s="605"/>
      <c r="AH2617" s="605"/>
    </row>
    <row r="2618" spans="4:34" ht="19.5" customHeight="1">
      <c r="D2618" s="68"/>
      <c r="E2618" s="68"/>
      <c r="G2618" s="98"/>
      <c r="H2618" s="68"/>
      <c r="I2618" s="68"/>
      <c r="R2618" s="50"/>
      <c r="S2618" s="47"/>
      <c r="T2618" s="98"/>
      <c r="U2618" s="98"/>
      <c r="AG2618" s="605"/>
      <c r="AH2618" s="605"/>
    </row>
    <row r="2619" spans="4:34" ht="19.5" customHeight="1">
      <c r="D2619" s="68"/>
      <c r="E2619" s="68"/>
      <c r="G2619" s="98"/>
      <c r="H2619" s="68"/>
      <c r="I2619" s="68"/>
      <c r="R2619" s="50"/>
      <c r="S2619" s="47"/>
      <c r="T2619" s="98"/>
      <c r="U2619" s="98"/>
      <c r="AG2619" s="605"/>
      <c r="AH2619" s="605"/>
    </row>
    <row r="2620" spans="4:34" ht="19.5" customHeight="1">
      <c r="D2620" s="68"/>
      <c r="E2620" s="68"/>
      <c r="G2620" s="98"/>
      <c r="H2620" s="68"/>
      <c r="I2620" s="68"/>
      <c r="R2620" s="50"/>
      <c r="S2620" s="47"/>
      <c r="T2620" s="98"/>
      <c r="U2620" s="98"/>
      <c r="AG2620" s="605"/>
      <c r="AH2620" s="605"/>
    </row>
    <row r="2621" spans="4:34" ht="19.5" customHeight="1">
      <c r="D2621" s="68"/>
      <c r="E2621" s="68"/>
      <c r="G2621" s="98"/>
      <c r="H2621" s="68"/>
      <c r="I2621" s="68"/>
      <c r="R2621" s="50"/>
      <c r="S2621" s="47"/>
      <c r="T2621" s="98"/>
      <c r="U2621" s="98"/>
      <c r="AG2621" s="605"/>
      <c r="AH2621" s="605"/>
    </row>
    <row r="2622" spans="4:34" ht="19.5" customHeight="1">
      <c r="D2622" s="68"/>
      <c r="E2622" s="68"/>
      <c r="G2622" s="98"/>
      <c r="H2622" s="68"/>
      <c r="I2622" s="68"/>
      <c r="R2622" s="50"/>
      <c r="S2622" s="47"/>
      <c r="T2622" s="98"/>
      <c r="U2622" s="98"/>
      <c r="AG2622" s="605"/>
      <c r="AH2622" s="605"/>
    </row>
    <row r="2623" spans="4:34" ht="19.5" customHeight="1">
      <c r="D2623" s="68"/>
      <c r="E2623" s="68"/>
      <c r="G2623" s="98"/>
      <c r="H2623" s="68"/>
      <c r="I2623" s="68"/>
      <c r="R2623" s="50"/>
      <c r="S2623" s="47"/>
      <c r="T2623" s="98"/>
      <c r="U2623" s="98"/>
      <c r="AG2623" s="605"/>
      <c r="AH2623" s="605"/>
    </row>
    <row r="2624" spans="4:34" ht="19.5" customHeight="1">
      <c r="D2624" s="68"/>
      <c r="E2624" s="68"/>
      <c r="G2624" s="98"/>
      <c r="H2624" s="68"/>
      <c r="I2624" s="68"/>
      <c r="R2624" s="50"/>
      <c r="S2624" s="47"/>
      <c r="T2624" s="98"/>
      <c r="U2624" s="98"/>
      <c r="AG2624" s="605"/>
      <c r="AH2624" s="605"/>
    </row>
    <row r="2625" spans="4:34" ht="19.5" customHeight="1">
      <c r="D2625" s="68"/>
      <c r="E2625" s="68"/>
      <c r="G2625" s="98"/>
      <c r="H2625" s="68"/>
      <c r="I2625" s="68"/>
      <c r="R2625" s="50"/>
      <c r="S2625" s="47"/>
      <c r="T2625" s="98"/>
      <c r="U2625" s="98"/>
      <c r="AG2625" s="605"/>
      <c r="AH2625" s="605"/>
    </row>
    <row r="2626" spans="4:34" ht="19.5" customHeight="1">
      <c r="D2626" s="68"/>
      <c r="E2626" s="68"/>
      <c r="G2626" s="98"/>
      <c r="H2626" s="68"/>
      <c r="I2626" s="68"/>
      <c r="R2626" s="50"/>
      <c r="S2626" s="47"/>
      <c r="T2626" s="98"/>
      <c r="U2626" s="98"/>
      <c r="AG2626" s="605"/>
      <c r="AH2626" s="605"/>
    </row>
    <row r="2627" spans="4:34" ht="19.5" customHeight="1">
      <c r="D2627" s="68"/>
      <c r="E2627" s="68"/>
      <c r="G2627" s="98"/>
      <c r="H2627" s="68"/>
      <c r="I2627" s="68"/>
      <c r="R2627" s="50"/>
      <c r="S2627" s="47"/>
      <c r="T2627" s="98"/>
      <c r="U2627" s="98"/>
      <c r="AG2627" s="605"/>
      <c r="AH2627" s="605"/>
    </row>
    <row r="2628" spans="4:34" ht="19.5" customHeight="1">
      <c r="D2628" s="68"/>
      <c r="E2628" s="68"/>
      <c r="G2628" s="98"/>
      <c r="H2628" s="68"/>
      <c r="I2628" s="68"/>
      <c r="R2628" s="50"/>
      <c r="S2628" s="47"/>
      <c r="T2628" s="98"/>
      <c r="U2628" s="98"/>
      <c r="AG2628" s="605"/>
      <c r="AH2628" s="605"/>
    </row>
    <row r="2629" spans="4:34" ht="19.5" customHeight="1">
      <c r="D2629" s="68"/>
      <c r="E2629" s="68"/>
      <c r="G2629" s="98"/>
      <c r="H2629" s="68"/>
      <c r="I2629" s="68"/>
      <c r="R2629" s="50"/>
      <c r="S2629" s="47"/>
      <c r="T2629" s="98"/>
      <c r="U2629" s="98"/>
      <c r="AG2629" s="605"/>
      <c r="AH2629" s="605"/>
    </row>
    <row r="2630" spans="4:34" ht="19.5" customHeight="1">
      <c r="D2630" s="68"/>
      <c r="E2630" s="68"/>
      <c r="G2630" s="98"/>
      <c r="H2630" s="68"/>
      <c r="I2630" s="68"/>
      <c r="R2630" s="50"/>
      <c r="S2630" s="47"/>
      <c r="T2630" s="98"/>
      <c r="U2630" s="98"/>
      <c r="AG2630" s="605"/>
      <c r="AH2630" s="605"/>
    </row>
    <row r="2631" spans="4:34" ht="19.5" customHeight="1">
      <c r="D2631" s="68"/>
      <c r="E2631" s="68"/>
      <c r="G2631" s="98"/>
      <c r="H2631" s="68"/>
      <c r="I2631" s="68"/>
      <c r="R2631" s="50"/>
      <c r="S2631" s="47"/>
      <c r="T2631" s="98"/>
      <c r="U2631" s="98"/>
      <c r="AG2631" s="605"/>
      <c r="AH2631" s="605"/>
    </row>
    <row r="2632" spans="4:34" ht="19.5" customHeight="1">
      <c r="D2632" s="68"/>
      <c r="E2632" s="68"/>
      <c r="G2632" s="98"/>
      <c r="H2632" s="68"/>
      <c r="I2632" s="68"/>
      <c r="R2632" s="50"/>
      <c r="S2632" s="47"/>
      <c r="T2632" s="98"/>
      <c r="U2632" s="98"/>
      <c r="AG2632" s="605"/>
      <c r="AH2632" s="605"/>
    </row>
    <row r="2633" spans="4:34" ht="19.5" customHeight="1">
      <c r="D2633" s="68"/>
      <c r="E2633" s="68"/>
      <c r="G2633" s="98"/>
      <c r="H2633" s="68"/>
      <c r="I2633" s="68"/>
      <c r="R2633" s="50"/>
      <c r="S2633" s="47"/>
      <c r="T2633" s="98"/>
      <c r="U2633" s="98"/>
      <c r="AG2633" s="605"/>
      <c r="AH2633" s="605"/>
    </row>
    <row r="2634" spans="4:34" ht="19.5" customHeight="1">
      <c r="D2634" s="68"/>
      <c r="E2634" s="68"/>
      <c r="G2634" s="98"/>
      <c r="H2634" s="68"/>
      <c r="I2634" s="68"/>
      <c r="R2634" s="50"/>
      <c r="S2634" s="47"/>
      <c r="T2634" s="98"/>
      <c r="U2634" s="98"/>
      <c r="AG2634" s="605"/>
      <c r="AH2634" s="605"/>
    </row>
    <row r="2635" spans="4:34" ht="19.5" customHeight="1">
      <c r="D2635" s="68"/>
      <c r="E2635" s="68"/>
      <c r="G2635" s="98"/>
      <c r="H2635" s="68"/>
      <c r="I2635" s="68"/>
      <c r="R2635" s="50"/>
      <c r="S2635" s="47"/>
      <c r="T2635" s="98"/>
      <c r="U2635" s="98"/>
      <c r="AG2635" s="605"/>
      <c r="AH2635" s="605"/>
    </row>
    <row r="2636" spans="4:34" ht="19.5" customHeight="1">
      <c r="D2636" s="68"/>
      <c r="E2636" s="68"/>
      <c r="G2636" s="98"/>
      <c r="H2636" s="68"/>
      <c r="I2636" s="68"/>
      <c r="R2636" s="50"/>
      <c r="S2636" s="47"/>
      <c r="T2636" s="98"/>
      <c r="U2636" s="98"/>
      <c r="AG2636" s="605"/>
      <c r="AH2636" s="605"/>
    </row>
    <row r="2637" spans="4:34" ht="19.5" customHeight="1">
      <c r="D2637" s="68"/>
      <c r="E2637" s="68"/>
      <c r="G2637" s="98"/>
      <c r="H2637" s="68"/>
      <c r="I2637" s="68"/>
      <c r="R2637" s="50"/>
      <c r="S2637" s="47"/>
      <c r="T2637" s="98"/>
      <c r="U2637" s="98"/>
      <c r="AG2637" s="605"/>
      <c r="AH2637" s="605"/>
    </row>
    <row r="2638" spans="4:34" ht="19.5" customHeight="1">
      <c r="D2638" s="68"/>
      <c r="E2638" s="68"/>
      <c r="G2638" s="98"/>
      <c r="H2638" s="68"/>
      <c r="I2638" s="68"/>
      <c r="R2638" s="50"/>
      <c r="S2638" s="47"/>
      <c r="T2638" s="98"/>
      <c r="U2638" s="98"/>
      <c r="AG2638" s="605"/>
      <c r="AH2638" s="605"/>
    </row>
    <row r="2639" spans="4:34" ht="19.5" customHeight="1">
      <c r="D2639" s="68"/>
      <c r="E2639" s="68"/>
      <c r="G2639" s="98"/>
      <c r="H2639" s="68"/>
      <c r="I2639" s="68"/>
      <c r="R2639" s="50"/>
      <c r="S2639" s="47"/>
      <c r="T2639" s="98"/>
      <c r="U2639" s="98"/>
      <c r="AG2639" s="605"/>
      <c r="AH2639" s="605"/>
    </row>
    <row r="2640" spans="4:34" ht="19.5" customHeight="1">
      <c r="D2640" s="68"/>
      <c r="E2640" s="68"/>
      <c r="G2640" s="98"/>
      <c r="H2640" s="68"/>
      <c r="I2640" s="68"/>
      <c r="R2640" s="50"/>
      <c r="S2640" s="47"/>
      <c r="T2640" s="98"/>
      <c r="U2640" s="98"/>
      <c r="AG2640" s="605"/>
      <c r="AH2640" s="605"/>
    </row>
    <row r="2641" spans="4:34" ht="19.5" customHeight="1">
      <c r="D2641" s="68"/>
      <c r="E2641" s="68"/>
      <c r="G2641" s="98"/>
      <c r="H2641" s="68"/>
      <c r="I2641" s="68"/>
      <c r="R2641" s="50"/>
      <c r="S2641" s="47"/>
      <c r="T2641" s="98"/>
      <c r="U2641" s="98"/>
      <c r="AG2641" s="605"/>
      <c r="AH2641" s="605"/>
    </row>
    <row r="2642" spans="4:34" ht="19.5" customHeight="1">
      <c r="D2642" s="68"/>
      <c r="E2642" s="68"/>
      <c r="G2642" s="98"/>
      <c r="H2642" s="68"/>
      <c r="I2642" s="68"/>
      <c r="R2642" s="50"/>
      <c r="S2642" s="47"/>
      <c r="T2642" s="98"/>
      <c r="U2642" s="98"/>
      <c r="AG2642" s="605"/>
      <c r="AH2642" s="605"/>
    </row>
    <row r="2643" spans="4:34" ht="19.5" customHeight="1">
      <c r="D2643" s="68"/>
      <c r="E2643" s="68"/>
      <c r="G2643" s="98"/>
      <c r="H2643" s="68"/>
      <c r="I2643" s="68"/>
      <c r="R2643" s="50"/>
      <c r="S2643" s="47"/>
      <c r="T2643" s="98"/>
      <c r="U2643" s="98"/>
      <c r="AG2643" s="605"/>
      <c r="AH2643" s="605"/>
    </row>
    <row r="2644" spans="4:34" ht="19.5" customHeight="1">
      <c r="D2644" s="68"/>
      <c r="E2644" s="68"/>
      <c r="G2644" s="98"/>
      <c r="H2644" s="68"/>
      <c r="I2644" s="68"/>
      <c r="R2644" s="50"/>
      <c r="S2644" s="47"/>
      <c r="T2644" s="98"/>
      <c r="U2644" s="98"/>
      <c r="AG2644" s="605"/>
      <c r="AH2644" s="605"/>
    </row>
    <row r="2645" spans="4:34" ht="19.5" customHeight="1">
      <c r="D2645" s="68"/>
      <c r="E2645" s="68"/>
      <c r="G2645" s="98"/>
      <c r="H2645" s="68"/>
      <c r="I2645" s="68"/>
      <c r="R2645" s="50"/>
      <c r="S2645" s="47"/>
      <c r="T2645" s="98"/>
      <c r="U2645" s="98"/>
      <c r="AG2645" s="605"/>
      <c r="AH2645" s="605"/>
    </row>
    <row r="2646" spans="4:34" ht="19.5" customHeight="1">
      <c r="D2646" s="68"/>
      <c r="E2646" s="68"/>
      <c r="G2646" s="98"/>
      <c r="H2646" s="68"/>
      <c r="I2646" s="68"/>
      <c r="R2646" s="50"/>
      <c r="S2646" s="47"/>
      <c r="T2646" s="98"/>
      <c r="U2646" s="98"/>
      <c r="AG2646" s="605"/>
      <c r="AH2646" s="605"/>
    </row>
    <row r="2647" spans="4:34" ht="19.5" customHeight="1">
      <c r="D2647" s="68"/>
      <c r="E2647" s="68"/>
      <c r="G2647" s="98"/>
      <c r="H2647" s="68"/>
      <c r="I2647" s="68"/>
      <c r="R2647" s="50"/>
      <c r="S2647" s="47"/>
      <c r="T2647" s="98"/>
      <c r="U2647" s="98"/>
      <c r="AG2647" s="605"/>
      <c r="AH2647" s="605"/>
    </row>
    <row r="2648" spans="4:34" ht="19.5" customHeight="1">
      <c r="D2648" s="68"/>
      <c r="E2648" s="68"/>
      <c r="G2648" s="98"/>
      <c r="H2648" s="68"/>
      <c r="I2648" s="68"/>
      <c r="R2648" s="50"/>
      <c r="S2648" s="47"/>
      <c r="T2648" s="98"/>
      <c r="U2648" s="98"/>
      <c r="AG2648" s="605"/>
      <c r="AH2648" s="605"/>
    </row>
    <row r="2649" spans="4:34" ht="19.5" customHeight="1">
      <c r="D2649" s="68"/>
      <c r="E2649" s="68"/>
      <c r="G2649" s="98"/>
      <c r="H2649" s="68"/>
      <c r="I2649" s="68"/>
      <c r="R2649" s="50"/>
      <c r="S2649" s="47"/>
      <c r="T2649" s="98"/>
      <c r="U2649" s="98"/>
      <c r="AG2649" s="605"/>
      <c r="AH2649" s="605"/>
    </row>
    <row r="2650" spans="4:34" ht="19.5" customHeight="1">
      <c r="D2650" s="68"/>
      <c r="E2650" s="68"/>
      <c r="G2650" s="98"/>
      <c r="H2650" s="68"/>
      <c r="I2650" s="68"/>
      <c r="R2650" s="50"/>
      <c r="S2650" s="47"/>
      <c r="T2650" s="98"/>
      <c r="U2650" s="98"/>
      <c r="AG2650" s="605"/>
      <c r="AH2650" s="605"/>
    </row>
    <row r="2651" spans="4:34" ht="19.5" customHeight="1">
      <c r="D2651" s="68"/>
      <c r="E2651" s="68"/>
      <c r="G2651" s="98"/>
      <c r="H2651" s="68"/>
      <c r="I2651" s="68"/>
      <c r="R2651" s="50"/>
      <c r="S2651" s="47"/>
      <c r="T2651" s="98"/>
      <c r="U2651" s="98"/>
      <c r="AG2651" s="605"/>
      <c r="AH2651" s="605"/>
    </row>
    <row r="2652" spans="4:34" ht="19.5" customHeight="1">
      <c r="D2652" s="68"/>
      <c r="E2652" s="68"/>
      <c r="G2652" s="98"/>
      <c r="H2652" s="68"/>
      <c r="I2652" s="68"/>
      <c r="R2652" s="50"/>
      <c r="S2652" s="47"/>
      <c r="T2652" s="98"/>
      <c r="U2652" s="98"/>
      <c r="AG2652" s="605"/>
      <c r="AH2652" s="605"/>
    </row>
    <row r="2653" spans="4:34" ht="19.5" customHeight="1">
      <c r="D2653" s="68"/>
      <c r="E2653" s="68"/>
      <c r="G2653" s="98"/>
      <c r="H2653" s="68"/>
      <c r="I2653" s="68"/>
      <c r="R2653" s="50"/>
      <c r="S2653" s="47"/>
      <c r="T2653" s="98"/>
      <c r="U2653" s="98"/>
      <c r="AG2653" s="605"/>
      <c r="AH2653" s="605"/>
    </row>
    <row r="2654" spans="4:34" ht="19.5" customHeight="1">
      <c r="D2654" s="68"/>
      <c r="E2654" s="68"/>
      <c r="G2654" s="98"/>
      <c r="H2654" s="68"/>
      <c r="I2654" s="68"/>
      <c r="R2654" s="50"/>
      <c r="S2654" s="47"/>
      <c r="T2654" s="98"/>
      <c r="U2654" s="98"/>
      <c r="AG2654" s="605"/>
      <c r="AH2654" s="605"/>
    </row>
    <row r="2655" spans="4:34" ht="19.5" customHeight="1">
      <c r="D2655" s="68"/>
      <c r="E2655" s="68"/>
      <c r="G2655" s="98"/>
      <c r="H2655" s="68"/>
      <c r="I2655" s="68"/>
      <c r="R2655" s="50"/>
      <c r="S2655" s="47"/>
      <c r="T2655" s="98"/>
      <c r="U2655" s="98"/>
      <c r="AG2655" s="605"/>
      <c r="AH2655" s="605"/>
    </row>
    <row r="2656" spans="4:34" ht="19.5" customHeight="1">
      <c r="D2656" s="68"/>
      <c r="E2656" s="68"/>
      <c r="G2656" s="98"/>
      <c r="H2656" s="68"/>
      <c r="I2656" s="68"/>
      <c r="R2656" s="50"/>
      <c r="S2656" s="47"/>
      <c r="T2656" s="98"/>
      <c r="U2656" s="98"/>
      <c r="AG2656" s="605"/>
      <c r="AH2656" s="605"/>
    </row>
    <row r="2657" spans="4:34" ht="19.5" customHeight="1">
      <c r="D2657" s="68"/>
      <c r="E2657" s="68"/>
      <c r="G2657" s="98"/>
      <c r="H2657" s="68"/>
      <c r="I2657" s="68"/>
      <c r="R2657" s="50"/>
      <c r="S2657" s="47"/>
      <c r="T2657" s="98"/>
      <c r="U2657" s="98"/>
      <c r="AG2657" s="605"/>
      <c r="AH2657" s="605"/>
    </row>
    <row r="2658" spans="4:34" ht="19.5" customHeight="1">
      <c r="D2658" s="68"/>
      <c r="E2658" s="68"/>
      <c r="G2658" s="98"/>
      <c r="H2658" s="68"/>
      <c r="I2658" s="68"/>
      <c r="R2658" s="50"/>
      <c r="S2658" s="47"/>
      <c r="T2658" s="98"/>
      <c r="U2658" s="98"/>
      <c r="AG2658" s="605"/>
      <c r="AH2658" s="605"/>
    </row>
    <row r="2659" spans="4:34" ht="19.5" customHeight="1">
      <c r="D2659" s="68"/>
      <c r="E2659" s="68"/>
      <c r="G2659" s="98"/>
      <c r="H2659" s="68"/>
      <c r="I2659" s="68"/>
      <c r="R2659" s="50"/>
      <c r="S2659" s="47"/>
      <c r="T2659" s="98"/>
      <c r="U2659" s="98"/>
      <c r="AG2659" s="605"/>
      <c r="AH2659" s="605"/>
    </row>
    <row r="2660" spans="4:34" ht="19.5" customHeight="1">
      <c r="D2660" s="68"/>
      <c r="E2660" s="68"/>
      <c r="G2660" s="98"/>
      <c r="H2660" s="68"/>
      <c r="I2660" s="68"/>
      <c r="R2660" s="50"/>
      <c r="S2660" s="47"/>
      <c r="T2660" s="98"/>
      <c r="U2660" s="98"/>
      <c r="AG2660" s="605"/>
      <c r="AH2660" s="605"/>
    </row>
    <row r="2661" spans="4:34" ht="19.5" customHeight="1">
      <c r="D2661" s="68"/>
      <c r="E2661" s="68"/>
      <c r="G2661" s="98"/>
      <c r="H2661" s="68"/>
      <c r="I2661" s="68"/>
      <c r="R2661" s="50"/>
      <c r="S2661" s="47"/>
      <c r="T2661" s="98"/>
      <c r="U2661" s="98"/>
      <c r="AG2661" s="605"/>
      <c r="AH2661" s="605"/>
    </row>
    <row r="2662" spans="4:34" ht="19.5" customHeight="1">
      <c r="D2662" s="68"/>
      <c r="E2662" s="68"/>
      <c r="G2662" s="98"/>
      <c r="H2662" s="68"/>
      <c r="I2662" s="68"/>
      <c r="R2662" s="50"/>
      <c r="S2662" s="47"/>
      <c r="T2662" s="98"/>
      <c r="U2662" s="98"/>
      <c r="AG2662" s="605"/>
      <c r="AH2662" s="605"/>
    </row>
    <row r="2663" spans="4:34" ht="19.5" customHeight="1">
      <c r="D2663" s="68"/>
      <c r="E2663" s="68"/>
      <c r="G2663" s="98"/>
      <c r="H2663" s="68"/>
      <c r="I2663" s="68"/>
      <c r="R2663" s="50"/>
      <c r="S2663" s="47"/>
      <c r="T2663" s="98"/>
      <c r="U2663" s="98"/>
      <c r="AG2663" s="605"/>
      <c r="AH2663" s="605"/>
    </row>
    <row r="2664" spans="4:34" ht="19.5" customHeight="1">
      <c r="D2664" s="68"/>
      <c r="E2664" s="68"/>
      <c r="G2664" s="98"/>
      <c r="H2664" s="68"/>
      <c r="I2664" s="68"/>
      <c r="R2664" s="50"/>
      <c r="S2664" s="47"/>
      <c r="T2664" s="98"/>
      <c r="U2664" s="98"/>
      <c r="AG2664" s="605"/>
      <c r="AH2664" s="605"/>
    </row>
    <row r="2665" spans="4:34" ht="19.5" customHeight="1">
      <c r="D2665" s="68"/>
      <c r="E2665" s="68"/>
      <c r="G2665" s="98"/>
      <c r="H2665" s="68"/>
      <c r="I2665" s="68"/>
      <c r="R2665" s="50"/>
      <c r="S2665" s="47"/>
      <c r="T2665" s="98"/>
      <c r="U2665" s="98"/>
      <c r="AG2665" s="605"/>
      <c r="AH2665" s="605"/>
    </row>
    <row r="2666" spans="4:34" ht="19.5" customHeight="1">
      <c r="D2666" s="68"/>
      <c r="E2666" s="68"/>
      <c r="G2666" s="98"/>
      <c r="H2666" s="68"/>
      <c r="I2666" s="68"/>
      <c r="R2666" s="50"/>
      <c r="S2666" s="47"/>
      <c r="T2666" s="98"/>
      <c r="U2666" s="98"/>
      <c r="AG2666" s="605"/>
      <c r="AH2666" s="605"/>
    </row>
    <row r="2667" spans="4:34" ht="19.5" customHeight="1">
      <c r="D2667" s="68"/>
      <c r="E2667" s="68"/>
      <c r="G2667" s="98"/>
      <c r="H2667" s="68"/>
      <c r="I2667" s="68"/>
      <c r="R2667" s="50"/>
      <c r="S2667" s="47"/>
      <c r="T2667" s="98"/>
      <c r="U2667" s="98"/>
      <c r="AG2667" s="605"/>
      <c r="AH2667" s="605"/>
    </row>
    <row r="2668" spans="4:34" ht="19.5" customHeight="1">
      <c r="D2668" s="68"/>
      <c r="E2668" s="68"/>
      <c r="G2668" s="98"/>
      <c r="H2668" s="68"/>
      <c r="I2668" s="68"/>
      <c r="R2668" s="50"/>
      <c r="S2668" s="47"/>
      <c r="T2668" s="98"/>
      <c r="U2668" s="98"/>
      <c r="AG2668" s="605"/>
      <c r="AH2668" s="605"/>
    </row>
    <row r="2669" spans="4:34" ht="19.5" customHeight="1">
      <c r="D2669" s="68"/>
      <c r="E2669" s="68"/>
      <c r="G2669" s="98"/>
      <c r="H2669" s="68"/>
      <c r="I2669" s="68"/>
      <c r="R2669" s="50"/>
      <c r="S2669" s="47"/>
      <c r="T2669" s="98"/>
      <c r="U2669" s="98"/>
      <c r="AG2669" s="605"/>
      <c r="AH2669" s="605"/>
    </row>
    <row r="2670" spans="4:34" ht="19.5" customHeight="1">
      <c r="D2670" s="68"/>
      <c r="E2670" s="68"/>
      <c r="G2670" s="98"/>
      <c r="H2670" s="68"/>
      <c r="I2670" s="68"/>
      <c r="R2670" s="50"/>
      <c r="S2670" s="47"/>
      <c r="T2670" s="98"/>
      <c r="U2670" s="98"/>
      <c r="AG2670" s="605"/>
      <c r="AH2670" s="605"/>
    </row>
    <row r="2671" spans="4:34" ht="19.5" customHeight="1">
      <c r="D2671" s="68"/>
      <c r="E2671" s="68"/>
      <c r="G2671" s="98"/>
      <c r="H2671" s="68"/>
      <c r="I2671" s="68"/>
      <c r="R2671" s="50"/>
      <c r="S2671" s="47"/>
      <c r="T2671" s="98"/>
      <c r="U2671" s="98"/>
      <c r="AG2671" s="605"/>
      <c r="AH2671" s="605"/>
    </row>
    <row r="2672" spans="4:34" ht="19.5" customHeight="1">
      <c r="D2672" s="68"/>
      <c r="E2672" s="68"/>
      <c r="G2672" s="98"/>
      <c r="H2672" s="68"/>
      <c r="I2672" s="68"/>
      <c r="R2672" s="50"/>
      <c r="S2672" s="47"/>
      <c r="T2672" s="98"/>
      <c r="U2672" s="98"/>
      <c r="AG2672" s="605"/>
      <c r="AH2672" s="605"/>
    </row>
    <row r="2673" spans="4:34" ht="19.5" customHeight="1">
      <c r="D2673" s="68"/>
      <c r="E2673" s="68"/>
      <c r="G2673" s="98"/>
      <c r="H2673" s="68"/>
      <c r="I2673" s="68"/>
      <c r="R2673" s="50"/>
      <c r="S2673" s="47"/>
      <c r="T2673" s="98"/>
      <c r="U2673" s="98"/>
      <c r="AG2673" s="605"/>
      <c r="AH2673" s="605"/>
    </row>
    <row r="2674" spans="4:34" ht="19.5" customHeight="1">
      <c r="D2674" s="68"/>
      <c r="E2674" s="68"/>
      <c r="G2674" s="98"/>
      <c r="H2674" s="68"/>
      <c r="I2674" s="68"/>
      <c r="R2674" s="50"/>
      <c r="S2674" s="47"/>
      <c r="T2674" s="98"/>
      <c r="U2674" s="98"/>
      <c r="AG2674" s="605"/>
      <c r="AH2674" s="605"/>
    </row>
    <row r="2675" spans="4:34" ht="19.5" customHeight="1">
      <c r="D2675" s="68"/>
      <c r="E2675" s="68"/>
      <c r="G2675" s="98"/>
      <c r="H2675" s="68"/>
      <c r="I2675" s="68"/>
      <c r="R2675" s="50"/>
      <c r="S2675" s="47"/>
      <c r="T2675" s="98"/>
      <c r="U2675" s="98"/>
      <c r="AG2675" s="605"/>
      <c r="AH2675" s="605"/>
    </row>
    <row r="2676" spans="4:34" ht="19.5" customHeight="1">
      <c r="D2676" s="68"/>
      <c r="E2676" s="68"/>
      <c r="G2676" s="98"/>
      <c r="H2676" s="68"/>
      <c r="I2676" s="68"/>
      <c r="R2676" s="50"/>
      <c r="S2676" s="47"/>
      <c r="T2676" s="98"/>
      <c r="U2676" s="98"/>
      <c r="AG2676" s="605"/>
      <c r="AH2676" s="605"/>
    </row>
    <row r="2677" spans="4:34" ht="19.5" customHeight="1">
      <c r="D2677" s="68"/>
      <c r="E2677" s="68"/>
      <c r="G2677" s="98"/>
      <c r="H2677" s="68"/>
      <c r="I2677" s="68"/>
      <c r="R2677" s="50"/>
      <c r="S2677" s="47"/>
      <c r="T2677" s="98"/>
      <c r="U2677" s="98"/>
      <c r="AG2677" s="605"/>
      <c r="AH2677" s="605"/>
    </row>
    <row r="2678" spans="4:34" ht="19.5" customHeight="1">
      <c r="D2678" s="68"/>
      <c r="E2678" s="68"/>
      <c r="G2678" s="98"/>
      <c r="H2678" s="68"/>
      <c r="I2678" s="68"/>
      <c r="R2678" s="50"/>
      <c r="S2678" s="47"/>
      <c r="T2678" s="98"/>
      <c r="U2678" s="98"/>
      <c r="AG2678" s="605"/>
      <c r="AH2678" s="605"/>
    </row>
    <row r="2679" spans="4:34" ht="19.5" customHeight="1">
      <c r="D2679" s="68"/>
      <c r="E2679" s="68"/>
      <c r="G2679" s="98"/>
      <c r="H2679" s="68"/>
      <c r="I2679" s="68"/>
      <c r="R2679" s="50"/>
      <c r="S2679" s="47"/>
      <c r="T2679" s="98"/>
      <c r="U2679" s="98"/>
      <c r="AG2679" s="605"/>
      <c r="AH2679" s="605"/>
    </row>
    <row r="2680" spans="4:34" ht="19.5" customHeight="1">
      <c r="D2680" s="68"/>
      <c r="E2680" s="68"/>
      <c r="G2680" s="98"/>
      <c r="H2680" s="68"/>
      <c r="I2680" s="68"/>
      <c r="R2680" s="50"/>
      <c r="S2680" s="47"/>
      <c r="T2680" s="98"/>
      <c r="U2680" s="98"/>
      <c r="AG2680" s="605"/>
      <c r="AH2680" s="605"/>
    </row>
    <row r="2681" spans="4:34" ht="19.5" customHeight="1">
      <c r="D2681" s="68"/>
      <c r="E2681" s="68"/>
      <c r="G2681" s="98"/>
      <c r="H2681" s="68"/>
      <c r="I2681" s="68"/>
      <c r="R2681" s="50"/>
      <c r="S2681" s="47"/>
      <c r="T2681" s="98"/>
      <c r="U2681" s="98"/>
      <c r="AG2681" s="605"/>
      <c r="AH2681" s="605"/>
    </row>
    <row r="2682" spans="4:34" ht="19.5" customHeight="1">
      <c r="D2682" s="68"/>
      <c r="E2682" s="68"/>
      <c r="G2682" s="98"/>
      <c r="H2682" s="68"/>
      <c r="I2682" s="68"/>
      <c r="R2682" s="50"/>
      <c r="S2682" s="47"/>
      <c r="T2682" s="98"/>
      <c r="U2682" s="98"/>
      <c r="AG2682" s="605"/>
      <c r="AH2682" s="605"/>
    </row>
    <row r="2683" spans="4:34" ht="19.5" customHeight="1">
      <c r="D2683" s="68"/>
      <c r="E2683" s="68"/>
      <c r="G2683" s="98"/>
      <c r="H2683" s="68"/>
      <c r="I2683" s="68"/>
      <c r="R2683" s="50"/>
      <c r="S2683" s="47"/>
      <c r="T2683" s="98"/>
      <c r="U2683" s="98"/>
      <c r="AG2683" s="605"/>
      <c r="AH2683" s="605"/>
    </row>
    <row r="2684" spans="4:34" ht="19.5" customHeight="1">
      <c r="D2684" s="68"/>
      <c r="E2684" s="68"/>
      <c r="G2684" s="98"/>
      <c r="H2684" s="68"/>
      <c r="I2684" s="68"/>
      <c r="R2684" s="50"/>
      <c r="S2684" s="47"/>
      <c r="T2684" s="98"/>
      <c r="U2684" s="98"/>
      <c r="AG2684" s="605"/>
      <c r="AH2684" s="605"/>
    </row>
    <row r="2685" spans="4:34" ht="19.5" customHeight="1">
      <c r="D2685" s="68"/>
      <c r="E2685" s="68"/>
      <c r="G2685" s="98"/>
      <c r="H2685" s="68"/>
      <c r="I2685" s="68"/>
      <c r="R2685" s="50"/>
      <c r="S2685" s="47"/>
      <c r="T2685" s="98"/>
      <c r="U2685" s="98"/>
      <c r="AG2685" s="605"/>
      <c r="AH2685" s="605"/>
    </row>
    <row r="2686" spans="4:34" ht="19.5" customHeight="1">
      <c r="D2686" s="68"/>
      <c r="E2686" s="68"/>
      <c r="G2686" s="98"/>
      <c r="H2686" s="68"/>
      <c r="I2686" s="68"/>
      <c r="R2686" s="50"/>
      <c r="S2686" s="47"/>
      <c r="T2686" s="98"/>
      <c r="U2686" s="98"/>
      <c r="AG2686" s="605"/>
      <c r="AH2686" s="605"/>
    </row>
    <row r="2687" spans="4:34" ht="19.5" customHeight="1">
      <c r="D2687" s="68"/>
      <c r="E2687" s="68"/>
      <c r="G2687" s="98"/>
      <c r="H2687" s="68"/>
      <c r="I2687" s="68"/>
      <c r="R2687" s="50"/>
      <c r="S2687" s="47"/>
      <c r="T2687" s="98"/>
      <c r="U2687" s="98"/>
      <c r="AG2687" s="605"/>
      <c r="AH2687" s="605"/>
    </row>
    <row r="2688" spans="4:34" ht="19.5" customHeight="1">
      <c r="D2688" s="68"/>
      <c r="E2688" s="68"/>
      <c r="G2688" s="98"/>
      <c r="H2688" s="68"/>
      <c r="I2688" s="68"/>
      <c r="R2688" s="50"/>
      <c r="S2688" s="47"/>
      <c r="T2688" s="98"/>
      <c r="U2688" s="98"/>
      <c r="AG2688" s="605"/>
      <c r="AH2688" s="605"/>
    </row>
    <row r="2689" spans="4:34" ht="19.5" customHeight="1">
      <c r="D2689" s="68"/>
      <c r="E2689" s="68"/>
      <c r="G2689" s="98"/>
      <c r="H2689" s="68"/>
      <c r="I2689" s="68"/>
      <c r="R2689" s="50"/>
      <c r="S2689" s="47"/>
      <c r="T2689" s="98"/>
      <c r="U2689" s="98"/>
      <c r="AG2689" s="605"/>
      <c r="AH2689" s="605"/>
    </row>
    <row r="2690" spans="4:34" ht="19.5" customHeight="1">
      <c r="D2690" s="68"/>
      <c r="E2690" s="68"/>
      <c r="G2690" s="98"/>
      <c r="H2690" s="68"/>
      <c r="I2690" s="68"/>
      <c r="R2690" s="50"/>
      <c r="S2690" s="47"/>
      <c r="T2690" s="98"/>
      <c r="U2690" s="98"/>
      <c r="AG2690" s="605"/>
      <c r="AH2690" s="605"/>
    </row>
    <row r="2691" spans="4:34" ht="19.5" customHeight="1">
      <c r="D2691" s="68"/>
      <c r="E2691" s="68"/>
      <c r="G2691" s="98"/>
      <c r="H2691" s="68"/>
      <c r="I2691" s="68"/>
      <c r="R2691" s="50"/>
      <c r="S2691" s="47"/>
      <c r="T2691" s="98"/>
      <c r="U2691" s="98"/>
      <c r="AG2691" s="605"/>
      <c r="AH2691" s="605"/>
    </row>
    <row r="2692" spans="4:34" ht="19.5" customHeight="1">
      <c r="D2692" s="68"/>
      <c r="E2692" s="68"/>
      <c r="G2692" s="98"/>
      <c r="H2692" s="68"/>
      <c r="I2692" s="68"/>
      <c r="R2692" s="50"/>
      <c r="S2692" s="47"/>
      <c r="T2692" s="98"/>
      <c r="U2692" s="98"/>
      <c r="AG2692" s="605"/>
      <c r="AH2692" s="605"/>
    </row>
    <row r="2693" spans="4:34" ht="19.5" customHeight="1">
      <c r="D2693" s="68"/>
      <c r="E2693" s="68"/>
      <c r="G2693" s="98"/>
      <c r="H2693" s="68"/>
      <c r="I2693" s="68"/>
      <c r="R2693" s="50"/>
      <c r="S2693" s="47"/>
      <c r="T2693" s="98"/>
      <c r="U2693" s="98"/>
      <c r="AG2693" s="605"/>
      <c r="AH2693" s="605"/>
    </row>
    <row r="2694" spans="4:34" ht="19.5" customHeight="1">
      <c r="D2694" s="68"/>
      <c r="E2694" s="68"/>
      <c r="G2694" s="98"/>
      <c r="H2694" s="68"/>
      <c r="I2694" s="68"/>
      <c r="R2694" s="50"/>
      <c r="S2694" s="47"/>
      <c r="T2694" s="98"/>
      <c r="U2694" s="98"/>
      <c r="AG2694" s="605"/>
      <c r="AH2694" s="605"/>
    </row>
    <row r="2695" spans="4:34" ht="19.5" customHeight="1">
      <c r="D2695" s="68"/>
      <c r="E2695" s="68"/>
      <c r="G2695" s="98"/>
      <c r="H2695" s="68"/>
      <c r="I2695" s="68"/>
      <c r="R2695" s="50"/>
      <c r="S2695" s="47"/>
      <c r="T2695" s="98"/>
      <c r="U2695" s="98"/>
      <c r="AG2695" s="605"/>
      <c r="AH2695" s="605"/>
    </row>
    <row r="2696" spans="4:34" ht="19.5" customHeight="1">
      <c r="D2696" s="68"/>
      <c r="E2696" s="68"/>
      <c r="G2696" s="98"/>
      <c r="H2696" s="68"/>
      <c r="I2696" s="68"/>
      <c r="R2696" s="50"/>
      <c r="S2696" s="47"/>
      <c r="T2696" s="98"/>
      <c r="U2696" s="98"/>
      <c r="AG2696" s="605"/>
      <c r="AH2696" s="605"/>
    </row>
    <row r="2697" spans="4:34" ht="19.5" customHeight="1">
      <c r="D2697" s="68"/>
      <c r="E2697" s="68"/>
      <c r="G2697" s="98"/>
      <c r="H2697" s="68"/>
      <c r="I2697" s="68"/>
      <c r="R2697" s="50"/>
      <c r="S2697" s="47"/>
      <c r="T2697" s="98"/>
      <c r="U2697" s="98"/>
      <c r="AG2697" s="605"/>
      <c r="AH2697" s="605"/>
    </row>
    <row r="2698" spans="4:34" ht="19.5" customHeight="1">
      <c r="D2698" s="68"/>
      <c r="E2698" s="68"/>
      <c r="G2698" s="98"/>
      <c r="H2698" s="68"/>
      <c r="I2698" s="68"/>
      <c r="R2698" s="50"/>
      <c r="S2698" s="47"/>
      <c r="T2698" s="98"/>
      <c r="U2698" s="98"/>
      <c r="AG2698" s="605"/>
      <c r="AH2698" s="605"/>
    </row>
    <row r="2699" spans="4:34" ht="19.5" customHeight="1">
      <c r="D2699" s="68"/>
      <c r="E2699" s="68"/>
      <c r="G2699" s="98"/>
      <c r="H2699" s="68"/>
      <c r="I2699" s="68"/>
      <c r="R2699" s="50"/>
      <c r="S2699" s="47"/>
      <c r="T2699" s="98"/>
      <c r="U2699" s="98"/>
      <c r="AG2699" s="605"/>
      <c r="AH2699" s="605"/>
    </row>
    <row r="2700" spans="4:34" ht="19.5" customHeight="1">
      <c r="D2700" s="68"/>
      <c r="E2700" s="68"/>
      <c r="G2700" s="98"/>
      <c r="H2700" s="68"/>
      <c r="I2700" s="68"/>
      <c r="R2700" s="50"/>
      <c r="S2700" s="47"/>
      <c r="T2700" s="98"/>
      <c r="U2700" s="98"/>
      <c r="AG2700" s="605"/>
      <c r="AH2700" s="605"/>
    </row>
    <row r="2701" spans="4:34" ht="19.5" customHeight="1">
      <c r="D2701" s="68"/>
      <c r="E2701" s="68"/>
      <c r="G2701" s="98"/>
      <c r="H2701" s="68"/>
      <c r="I2701" s="68"/>
      <c r="R2701" s="50"/>
      <c r="S2701" s="47"/>
      <c r="T2701" s="98"/>
      <c r="U2701" s="98"/>
      <c r="AG2701" s="605"/>
      <c r="AH2701" s="605"/>
    </row>
    <row r="2702" spans="4:34" ht="19.5" customHeight="1">
      <c r="D2702" s="68"/>
      <c r="E2702" s="68"/>
      <c r="G2702" s="98"/>
      <c r="H2702" s="68"/>
      <c r="I2702" s="68"/>
      <c r="R2702" s="50"/>
      <c r="S2702" s="47"/>
      <c r="T2702" s="98"/>
      <c r="U2702" s="98"/>
      <c r="AG2702" s="605"/>
      <c r="AH2702" s="605"/>
    </row>
    <row r="2703" spans="4:34" ht="19.5" customHeight="1">
      <c r="D2703" s="68"/>
      <c r="E2703" s="68"/>
      <c r="G2703" s="98"/>
      <c r="H2703" s="68"/>
      <c r="I2703" s="68"/>
      <c r="R2703" s="50"/>
      <c r="S2703" s="47"/>
      <c r="T2703" s="98"/>
      <c r="U2703" s="98"/>
      <c r="AG2703" s="605"/>
      <c r="AH2703" s="605"/>
    </row>
    <row r="2704" spans="4:34" ht="19.5" customHeight="1">
      <c r="D2704" s="68"/>
      <c r="E2704" s="68"/>
      <c r="G2704" s="98"/>
      <c r="H2704" s="68"/>
      <c r="I2704" s="68"/>
      <c r="R2704" s="50"/>
      <c r="S2704" s="47"/>
      <c r="T2704" s="98"/>
      <c r="U2704" s="98"/>
      <c r="AG2704" s="605"/>
      <c r="AH2704" s="605"/>
    </row>
    <row r="2705" spans="4:34" ht="19.5" customHeight="1">
      <c r="D2705" s="68"/>
      <c r="E2705" s="68"/>
      <c r="G2705" s="98"/>
      <c r="H2705" s="68"/>
      <c r="I2705" s="68"/>
      <c r="R2705" s="50"/>
      <c r="S2705" s="47"/>
      <c r="T2705" s="98"/>
      <c r="U2705" s="98"/>
      <c r="AG2705" s="605"/>
      <c r="AH2705" s="605"/>
    </row>
    <row r="2706" spans="4:34" ht="19.5" customHeight="1">
      <c r="D2706" s="68"/>
      <c r="E2706" s="68"/>
      <c r="G2706" s="98"/>
      <c r="H2706" s="68"/>
      <c r="I2706" s="68"/>
      <c r="R2706" s="50"/>
      <c r="S2706" s="47"/>
      <c r="T2706" s="98"/>
      <c r="U2706" s="98"/>
      <c r="AG2706" s="605"/>
      <c r="AH2706" s="605"/>
    </row>
    <row r="2707" spans="4:34" ht="19.5" customHeight="1">
      <c r="D2707" s="68"/>
      <c r="E2707" s="68"/>
      <c r="G2707" s="98"/>
      <c r="H2707" s="68"/>
      <c r="I2707" s="68"/>
      <c r="R2707" s="50"/>
      <c r="S2707" s="47"/>
      <c r="T2707" s="98"/>
      <c r="U2707" s="98"/>
      <c r="AG2707" s="605"/>
      <c r="AH2707" s="605"/>
    </row>
    <row r="2708" spans="4:34" ht="19.5" customHeight="1">
      <c r="D2708" s="68"/>
      <c r="E2708" s="68"/>
      <c r="G2708" s="98"/>
      <c r="H2708" s="68"/>
      <c r="I2708" s="68"/>
      <c r="R2708" s="50"/>
      <c r="S2708" s="47"/>
      <c r="T2708" s="98"/>
      <c r="U2708" s="98"/>
      <c r="AG2708" s="605"/>
      <c r="AH2708" s="605"/>
    </row>
    <row r="2709" spans="4:34" ht="19.5" customHeight="1">
      <c r="D2709" s="68"/>
      <c r="E2709" s="68"/>
      <c r="G2709" s="98"/>
      <c r="H2709" s="68"/>
      <c r="I2709" s="68"/>
      <c r="R2709" s="50"/>
      <c r="S2709" s="47"/>
      <c r="T2709" s="98"/>
      <c r="U2709" s="98"/>
      <c r="AG2709" s="605"/>
      <c r="AH2709" s="605"/>
    </row>
    <row r="2710" spans="4:34" ht="19.5" customHeight="1">
      <c r="D2710" s="68"/>
      <c r="E2710" s="68"/>
      <c r="G2710" s="98"/>
      <c r="H2710" s="68"/>
      <c r="I2710" s="68"/>
      <c r="R2710" s="50"/>
      <c r="S2710" s="47"/>
      <c r="T2710" s="98"/>
      <c r="U2710" s="98"/>
      <c r="AG2710" s="605"/>
      <c r="AH2710" s="605"/>
    </row>
    <row r="2711" spans="4:34" ht="19.5" customHeight="1">
      <c r="D2711" s="68"/>
      <c r="E2711" s="68"/>
      <c r="G2711" s="98"/>
      <c r="H2711" s="68"/>
      <c r="I2711" s="68"/>
      <c r="R2711" s="50"/>
      <c r="S2711" s="47"/>
      <c r="T2711" s="98"/>
      <c r="U2711" s="98"/>
      <c r="AG2711" s="605"/>
      <c r="AH2711" s="605"/>
    </row>
    <row r="2712" spans="4:34" ht="19.5" customHeight="1">
      <c r="D2712" s="68"/>
      <c r="E2712" s="68"/>
      <c r="G2712" s="98"/>
      <c r="H2712" s="68"/>
      <c r="I2712" s="68"/>
      <c r="R2712" s="50"/>
      <c r="S2712" s="47"/>
      <c r="T2712" s="98"/>
      <c r="U2712" s="98"/>
      <c r="AG2712" s="605"/>
      <c r="AH2712" s="605"/>
    </row>
    <row r="2713" spans="4:34" ht="19.5" customHeight="1">
      <c r="D2713" s="68"/>
      <c r="E2713" s="68"/>
      <c r="G2713" s="98"/>
      <c r="H2713" s="68"/>
      <c r="I2713" s="68"/>
      <c r="R2713" s="50"/>
      <c r="S2713" s="47"/>
      <c r="T2713" s="98"/>
      <c r="U2713" s="98"/>
      <c r="AG2713" s="605"/>
      <c r="AH2713" s="605"/>
    </row>
    <row r="2714" spans="4:34" ht="19.5" customHeight="1">
      <c r="D2714" s="68"/>
      <c r="E2714" s="68"/>
      <c r="G2714" s="98"/>
      <c r="H2714" s="68"/>
      <c r="I2714" s="68"/>
      <c r="R2714" s="50"/>
      <c r="S2714" s="47"/>
      <c r="T2714" s="98"/>
      <c r="U2714" s="98"/>
      <c r="AG2714" s="605"/>
      <c r="AH2714" s="605"/>
    </row>
    <row r="2715" spans="4:34" ht="19.5" customHeight="1">
      <c r="D2715" s="68"/>
      <c r="E2715" s="68"/>
      <c r="G2715" s="98"/>
      <c r="H2715" s="68"/>
      <c r="I2715" s="68"/>
      <c r="R2715" s="50"/>
      <c r="S2715" s="47"/>
      <c r="T2715" s="98"/>
      <c r="U2715" s="98"/>
      <c r="AG2715" s="605"/>
      <c r="AH2715" s="605"/>
    </row>
    <row r="2716" spans="4:34" ht="19.5" customHeight="1">
      <c r="D2716" s="68"/>
      <c r="E2716" s="68"/>
      <c r="G2716" s="98"/>
      <c r="H2716" s="68"/>
      <c r="I2716" s="68"/>
      <c r="R2716" s="50"/>
      <c r="S2716" s="47"/>
      <c r="T2716" s="98"/>
      <c r="U2716" s="98"/>
      <c r="AG2716" s="605"/>
      <c r="AH2716" s="605"/>
    </row>
    <row r="2717" spans="4:34" ht="19.5" customHeight="1">
      <c r="D2717" s="68"/>
      <c r="E2717" s="68"/>
      <c r="G2717" s="98"/>
      <c r="H2717" s="68"/>
      <c r="I2717" s="68"/>
      <c r="R2717" s="50"/>
      <c r="S2717" s="47"/>
      <c r="T2717" s="98"/>
      <c r="U2717" s="98"/>
      <c r="AG2717" s="605"/>
      <c r="AH2717" s="605"/>
    </row>
    <row r="2718" spans="4:34" ht="19.5" customHeight="1">
      <c r="D2718" s="68"/>
      <c r="E2718" s="68"/>
      <c r="G2718" s="98"/>
      <c r="H2718" s="68"/>
      <c r="I2718" s="68"/>
      <c r="R2718" s="50"/>
      <c r="S2718" s="47"/>
      <c r="T2718" s="98"/>
      <c r="U2718" s="98"/>
      <c r="AG2718" s="605"/>
      <c r="AH2718" s="605"/>
    </row>
    <row r="2719" spans="4:34" ht="19.5" customHeight="1">
      <c r="D2719" s="68"/>
      <c r="E2719" s="68"/>
      <c r="G2719" s="98"/>
      <c r="H2719" s="68"/>
      <c r="I2719" s="68"/>
      <c r="R2719" s="50"/>
      <c r="S2719" s="47"/>
      <c r="T2719" s="98"/>
      <c r="U2719" s="98"/>
      <c r="AG2719" s="605"/>
      <c r="AH2719" s="605"/>
    </row>
    <row r="2720" spans="4:34" ht="19.5" customHeight="1">
      <c r="D2720" s="68"/>
      <c r="E2720" s="68"/>
      <c r="G2720" s="98"/>
      <c r="H2720" s="68"/>
      <c r="I2720" s="68"/>
      <c r="R2720" s="50"/>
      <c r="S2720" s="47"/>
      <c r="T2720" s="98"/>
      <c r="U2720" s="98"/>
      <c r="AG2720" s="605"/>
      <c r="AH2720" s="605"/>
    </row>
    <row r="2721" spans="4:34" ht="19.5" customHeight="1">
      <c r="D2721" s="68"/>
      <c r="E2721" s="68"/>
      <c r="G2721" s="98"/>
      <c r="H2721" s="68"/>
      <c r="I2721" s="68"/>
      <c r="R2721" s="50"/>
      <c r="S2721" s="47"/>
      <c r="T2721" s="98"/>
      <c r="U2721" s="98"/>
      <c r="AG2721" s="605"/>
      <c r="AH2721" s="605"/>
    </row>
    <row r="2722" spans="4:34" ht="19.5" customHeight="1">
      <c r="D2722" s="68"/>
      <c r="E2722" s="68"/>
      <c r="G2722" s="98"/>
      <c r="H2722" s="68"/>
      <c r="I2722" s="68"/>
      <c r="R2722" s="50"/>
      <c r="S2722" s="47"/>
      <c r="T2722" s="98"/>
      <c r="U2722" s="98"/>
      <c r="AG2722" s="605"/>
      <c r="AH2722" s="605"/>
    </row>
    <row r="2723" spans="4:34" ht="19.5" customHeight="1">
      <c r="D2723" s="68"/>
      <c r="E2723" s="68"/>
      <c r="G2723" s="98"/>
      <c r="H2723" s="68"/>
      <c r="I2723" s="68"/>
      <c r="R2723" s="50"/>
      <c r="S2723" s="47"/>
      <c r="T2723" s="98"/>
      <c r="U2723" s="98"/>
      <c r="AG2723" s="605"/>
      <c r="AH2723" s="605"/>
    </row>
    <row r="2724" spans="4:34" ht="19.5" customHeight="1">
      <c r="D2724" s="68"/>
      <c r="E2724" s="68"/>
      <c r="G2724" s="98"/>
      <c r="H2724" s="68"/>
      <c r="I2724" s="68"/>
      <c r="R2724" s="50"/>
      <c r="S2724" s="47"/>
      <c r="T2724" s="98"/>
      <c r="U2724" s="98"/>
      <c r="AG2724" s="605"/>
      <c r="AH2724" s="605"/>
    </row>
    <row r="2725" spans="4:34" ht="19.5" customHeight="1">
      <c r="D2725" s="68"/>
      <c r="E2725" s="68"/>
      <c r="G2725" s="98"/>
      <c r="H2725" s="68"/>
      <c r="I2725" s="68"/>
      <c r="R2725" s="50"/>
      <c r="S2725" s="47"/>
      <c r="T2725" s="98"/>
      <c r="U2725" s="98"/>
      <c r="AG2725" s="605"/>
      <c r="AH2725" s="605"/>
    </row>
    <row r="2726" spans="4:34" ht="19.5" customHeight="1">
      <c r="D2726" s="68"/>
      <c r="E2726" s="68"/>
      <c r="G2726" s="98"/>
      <c r="H2726" s="68"/>
      <c r="I2726" s="68"/>
      <c r="R2726" s="50"/>
      <c r="S2726" s="47"/>
      <c r="T2726" s="98"/>
      <c r="U2726" s="98"/>
      <c r="AG2726" s="605"/>
      <c r="AH2726" s="605"/>
    </row>
    <row r="2727" spans="4:34" ht="19.5" customHeight="1">
      <c r="D2727" s="68"/>
      <c r="E2727" s="68"/>
      <c r="G2727" s="98"/>
      <c r="H2727" s="68"/>
      <c r="I2727" s="68"/>
      <c r="R2727" s="50"/>
      <c r="S2727" s="47"/>
      <c r="T2727" s="98"/>
      <c r="U2727" s="98"/>
      <c r="AG2727" s="605"/>
      <c r="AH2727" s="605"/>
    </row>
    <row r="2728" spans="4:34" ht="19.5" customHeight="1">
      <c r="D2728" s="68"/>
      <c r="E2728" s="68"/>
      <c r="G2728" s="98"/>
      <c r="H2728" s="68"/>
      <c r="I2728" s="68"/>
      <c r="R2728" s="50"/>
      <c r="S2728" s="47"/>
      <c r="T2728" s="98"/>
      <c r="U2728" s="98"/>
      <c r="AG2728" s="605"/>
      <c r="AH2728" s="605"/>
    </row>
    <row r="2729" spans="4:34" ht="19.5" customHeight="1">
      <c r="D2729" s="68"/>
      <c r="E2729" s="68"/>
      <c r="G2729" s="98"/>
      <c r="H2729" s="68"/>
      <c r="I2729" s="68"/>
      <c r="R2729" s="50"/>
      <c r="S2729" s="47"/>
      <c r="T2729" s="98"/>
      <c r="U2729" s="98"/>
      <c r="AG2729" s="605"/>
      <c r="AH2729" s="605"/>
    </row>
    <row r="2730" spans="4:34" ht="19.5" customHeight="1">
      <c r="D2730" s="68"/>
      <c r="E2730" s="68"/>
      <c r="G2730" s="98"/>
      <c r="H2730" s="68"/>
      <c r="I2730" s="68"/>
      <c r="R2730" s="50"/>
      <c r="S2730" s="47"/>
      <c r="T2730" s="98"/>
      <c r="U2730" s="98"/>
      <c r="AG2730" s="605"/>
      <c r="AH2730" s="605"/>
    </row>
    <row r="2731" spans="4:34" ht="19.5" customHeight="1">
      <c r="D2731" s="68"/>
      <c r="E2731" s="68"/>
      <c r="G2731" s="98"/>
      <c r="H2731" s="68"/>
      <c r="I2731" s="68"/>
      <c r="R2731" s="50"/>
      <c r="S2731" s="47"/>
      <c r="T2731" s="98"/>
      <c r="U2731" s="98"/>
      <c r="AG2731" s="605"/>
      <c r="AH2731" s="605"/>
    </row>
    <row r="2732" spans="4:34" ht="19.5" customHeight="1">
      <c r="D2732" s="68"/>
      <c r="E2732" s="68"/>
      <c r="G2732" s="98"/>
      <c r="H2732" s="68"/>
      <c r="I2732" s="68"/>
      <c r="R2732" s="50"/>
      <c r="S2732" s="47"/>
      <c r="T2732" s="98"/>
      <c r="U2732" s="98"/>
      <c r="AG2732" s="605"/>
      <c r="AH2732" s="605"/>
    </row>
    <row r="2733" spans="4:34" ht="19.5" customHeight="1">
      <c r="D2733" s="68"/>
      <c r="E2733" s="68"/>
      <c r="G2733" s="98"/>
      <c r="H2733" s="68"/>
      <c r="I2733" s="68"/>
      <c r="R2733" s="50"/>
      <c r="S2733" s="47"/>
      <c r="T2733" s="98"/>
      <c r="U2733" s="98"/>
      <c r="AG2733" s="605"/>
      <c r="AH2733" s="605"/>
    </row>
    <row r="2734" spans="4:34" ht="19.5" customHeight="1">
      <c r="D2734" s="68"/>
      <c r="E2734" s="68"/>
      <c r="G2734" s="98"/>
      <c r="H2734" s="68"/>
      <c r="I2734" s="68"/>
      <c r="R2734" s="50"/>
      <c r="S2734" s="47"/>
      <c r="T2734" s="98"/>
      <c r="U2734" s="98"/>
      <c r="AG2734" s="605"/>
      <c r="AH2734" s="605"/>
    </row>
    <row r="2735" spans="4:34" ht="19.5" customHeight="1">
      <c r="D2735" s="68"/>
      <c r="E2735" s="68"/>
      <c r="G2735" s="98"/>
      <c r="H2735" s="68"/>
      <c r="I2735" s="68"/>
      <c r="R2735" s="50"/>
      <c r="S2735" s="47"/>
      <c r="T2735" s="98"/>
      <c r="U2735" s="98"/>
      <c r="AG2735" s="605"/>
      <c r="AH2735" s="605"/>
    </row>
    <row r="2736" spans="4:34" ht="19.5" customHeight="1">
      <c r="D2736" s="68"/>
      <c r="E2736" s="68"/>
      <c r="G2736" s="98"/>
      <c r="H2736" s="68"/>
      <c r="I2736" s="68"/>
      <c r="R2736" s="50"/>
      <c r="S2736" s="47"/>
      <c r="T2736" s="98"/>
      <c r="U2736" s="98"/>
      <c r="AG2736" s="605"/>
      <c r="AH2736" s="605"/>
    </row>
    <row r="2737" spans="4:34" ht="19.5" customHeight="1">
      <c r="D2737" s="68"/>
      <c r="E2737" s="68"/>
      <c r="G2737" s="98"/>
      <c r="H2737" s="68"/>
      <c r="I2737" s="68"/>
      <c r="R2737" s="50"/>
      <c r="S2737" s="47"/>
      <c r="T2737" s="98"/>
      <c r="U2737" s="98"/>
      <c r="AG2737" s="605"/>
      <c r="AH2737" s="605"/>
    </row>
    <row r="2738" spans="4:34" ht="19.5" customHeight="1">
      <c r="D2738" s="68"/>
      <c r="E2738" s="68"/>
      <c r="G2738" s="98"/>
      <c r="H2738" s="68"/>
      <c r="I2738" s="68"/>
      <c r="R2738" s="50"/>
      <c r="S2738" s="47"/>
      <c r="T2738" s="98"/>
      <c r="U2738" s="98"/>
      <c r="AG2738" s="605"/>
      <c r="AH2738" s="605"/>
    </row>
    <row r="2739" spans="4:34" ht="19.5" customHeight="1">
      <c r="D2739" s="68"/>
      <c r="E2739" s="68"/>
      <c r="G2739" s="98"/>
      <c r="H2739" s="68"/>
      <c r="I2739" s="68"/>
      <c r="R2739" s="50"/>
      <c r="S2739" s="47"/>
      <c r="T2739" s="98"/>
      <c r="U2739" s="98"/>
      <c r="AG2739" s="605"/>
      <c r="AH2739" s="605"/>
    </row>
    <row r="2740" spans="4:34" ht="19.5" customHeight="1">
      <c r="D2740" s="68"/>
      <c r="E2740" s="68"/>
      <c r="G2740" s="98"/>
      <c r="H2740" s="68"/>
      <c r="I2740" s="68"/>
      <c r="R2740" s="50"/>
      <c r="S2740" s="47"/>
      <c r="T2740" s="98"/>
      <c r="U2740" s="98"/>
      <c r="AG2740" s="605"/>
      <c r="AH2740" s="605"/>
    </row>
    <row r="2741" spans="4:34" ht="19.5" customHeight="1">
      <c r="D2741" s="68"/>
      <c r="E2741" s="68"/>
      <c r="G2741" s="98"/>
      <c r="H2741" s="68"/>
      <c r="I2741" s="68"/>
      <c r="R2741" s="50"/>
      <c r="S2741" s="47"/>
      <c r="T2741" s="98"/>
      <c r="U2741" s="98"/>
      <c r="AG2741" s="605"/>
      <c r="AH2741" s="605"/>
    </row>
    <row r="2742" spans="4:34" ht="19.5" customHeight="1">
      <c r="D2742" s="68"/>
      <c r="E2742" s="68"/>
      <c r="G2742" s="98"/>
      <c r="H2742" s="68"/>
      <c r="I2742" s="68"/>
      <c r="R2742" s="50"/>
      <c r="S2742" s="47"/>
      <c r="T2742" s="98"/>
      <c r="U2742" s="98"/>
      <c r="AG2742" s="605"/>
      <c r="AH2742" s="605"/>
    </row>
    <row r="2743" spans="4:34" ht="19.5" customHeight="1">
      <c r="D2743" s="68"/>
      <c r="E2743" s="68"/>
      <c r="G2743" s="98"/>
      <c r="H2743" s="68"/>
      <c r="I2743" s="68"/>
      <c r="R2743" s="50"/>
      <c r="S2743" s="47"/>
      <c r="T2743" s="98"/>
      <c r="U2743" s="98"/>
      <c r="AG2743" s="605"/>
      <c r="AH2743" s="605"/>
    </row>
    <row r="2744" spans="4:34" ht="19.5" customHeight="1">
      <c r="D2744" s="68"/>
      <c r="E2744" s="68"/>
      <c r="G2744" s="98"/>
      <c r="H2744" s="68"/>
      <c r="I2744" s="68"/>
      <c r="R2744" s="50"/>
      <c r="S2744" s="47"/>
      <c r="T2744" s="98"/>
      <c r="U2744" s="98"/>
      <c r="AG2744" s="605"/>
      <c r="AH2744" s="605"/>
    </row>
    <row r="2745" spans="4:34" ht="19.5" customHeight="1">
      <c r="D2745" s="68"/>
      <c r="E2745" s="68"/>
      <c r="G2745" s="98"/>
      <c r="H2745" s="68"/>
      <c r="I2745" s="68"/>
      <c r="R2745" s="50"/>
      <c r="S2745" s="47"/>
      <c r="T2745" s="98"/>
      <c r="U2745" s="98"/>
      <c r="AG2745" s="605"/>
      <c r="AH2745" s="605"/>
    </row>
    <row r="2746" spans="4:34" ht="19.5" customHeight="1">
      <c r="D2746" s="68"/>
      <c r="E2746" s="68"/>
      <c r="G2746" s="98"/>
      <c r="H2746" s="68"/>
      <c r="I2746" s="68"/>
      <c r="R2746" s="50"/>
      <c r="S2746" s="47"/>
      <c r="T2746" s="98"/>
      <c r="U2746" s="98"/>
      <c r="AG2746" s="605"/>
      <c r="AH2746" s="605"/>
    </row>
    <row r="2747" spans="4:34" ht="19.5" customHeight="1">
      <c r="D2747" s="68"/>
      <c r="E2747" s="68"/>
      <c r="G2747" s="98"/>
      <c r="H2747" s="68"/>
      <c r="I2747" s="68"/>
      <c r="R2747" s="50"/>
      <c r="S2747" s="47"/>
      <c r="T2747" s="98"/>
      <c r="U2747" s="98"/>
      <c r="AG2747" s="605"/>
      <c r="AH2747" s="605"/>
    </row>
    <row r="2748" spans="4:34" ht="19.5" customHeight="1">
      <c r="D2748" s="68"/>
      <c r="E2748" s="68"/>
      <c r="G2748" s="98"/>
      <c r="H2748" s="68"/>
      <c r="I2748" s="68"/>
      <c r="R2748" s="50"/>
      <c r="S2748" s="47"/>
      <c r="T2748" s="98"/>
      <c r="U2748" s="98"/>
      <c r="AG2748" s="605"/>
      <c r="AH2748" s="605"/>
    </row>
    <row r="2749" spans="4:34" ht="19.5" customHeight="1">
      <c r="D2749" s="68"/>
      <c r="E2749" s="68"/>
      <c r="G2749" s="98"/>
      <c r="H2749" s="68"/>
      <c r="I2749" s="68"/>
      <c r="R2749" s="50"/>
      <c r="S2749" s="47"/>
      <c r="T2749" s="98"/>
      <c r="U2749" s="98"/>
      <c r="AG2749" s="605"/>
      <c r="AH2749" s="605"/>
    </row>
    <row r="2750" spans="4:34" ht="19.5" customHeight="1">
      <c r="D2750" s="68"/>
      <c r="E2750" s="68"/>
      <c r="G2750" s="98"/>
      <c r="H2750" s="68"/>
      <c r="I2750" s="68"/>
      <c r="R2750" s="50"/>
      <c r="S2750" s="47"/>
      <c r="T2750" s="98"/>
      <c r="U2750" s="98"/>
      <c r="AG2750" s="605"/>
      <c r="AH2750" s="605"/>
    </row>
    <row r="2751" spans="4:34" ht="19.5" customHeight="1">
      <c r="D2751" s="68"/>
      <c r="E2751" s="68"/>
      <c r="G2751" s="98"/>
      <c r="H2751" s="68"/>
      <c r="I2751" s="68"/>
      <c r="R2751" s="50"/>
      <c r="S2751" s="47"/>
      <c r="T2751" s="98"/>
      <c r="U2751" s="98"/>
      <c r="AG2751" s="605"/>
      <c r="AH2751" s="605"/>
    </row>
    <row r="2752" spans="4:34" ht="19.5" customHeight="1">
      <c r="D2752" s="68"/>
      <c r="E2752" s="68"/>
      <c r="G2752" s="98"/>
      <c r="H2752" s="68"/>
      <c r="I2752" s="68"/>
      <c r="R2752" s="50"/>
      <c r="S2752" s="47"/>
      <c r="T2752" s="98"/>
      <c r="U2752" s="98"/>
      <c r="AG2752" s="605"/>
      <c r="AH2752" s="605"/>
    </row>
    <row r="2753" spans="4:34" ht="19.5" customHeight="1">
      <c r="D2753" s="68"/>
      <c r="E2753" s="68"/>
      <c r="G2753" s="98"/>
      <c r="H2753" s="68"/>
      <c r="I2753" s="68"/>
      <c r="R2753" s="50"/>
      <c r="S2753" s="47"/>
      <c r="T2753" s="98"/>
      <c r="U2753" s="98"/>
      <c r="AG2753" s="605"/>
      <c r="AH2753" s="605"/>
    </row>
    <row r="2754" spans="4:34" ht="19.5" customHeight="1">
      <c r="D2754" s="68"/>
      <c r="E2754" s="68"/>
      <c r="G2754" s="98"/>
      <c r="H2754" s="68"/>
      <c r="I2754" s="68"/>
      <c r="R2754" s="50"/>
      <c r="S2754" s="47"/>
      <c r="T2754" s="98"/>
      <c r="U2754" s="98"/>
      <c r="AG2754" s="605"/>
      <c r="AH2754" s="605"/>
    </row>
    <row r="2755" spans="4:34" ht="19.5" customHeight="1">
      <c r="D2755" s="68"/>
      <c r="E2755" s="68"/>
      <c r="G2755" s="98"/>
      <c r="H2755" s="68"/>
      <c r="I2755" s="68"/>
      <c r="R2755" s="50"/>
      <c r="S2755" s="47"/>
      <c r="T2755" s="98"/>
      <c r="U2755" s="98"/>
      <c r="AG2755" s="605"/>
      <c r="AH2755" s="605"/>
    </row>
    <row r="2756" spans="4:34" ht="19.5" customHeight="1">
      <c r="D2756" s="68"/>
      <c r="E2756" s="68"/>
      <c r="G2756" s="98"/>
      <c r="H2756" s="68"/>
      <c r="I2756" s="68"/>
      <c r="R2756" s="50"/>
      <c r="S2756" s="47"/>
      <c r="T2756" s="98"/>
      <c r="U2756" s="98"/>
      <c r="AG2756" s="605"/>
      <c r="AH2756" s="605"/>
    </row>
    <row r="2757" spans="4:34" ht="19.5" customHeight="1">
      <c r="D2757" s="68"/>
      <c r="E2757" s="68"/>
      <c r="G2757" s="98"/>
      <c r="H2757" s="68"/>
      <c r="I2757" s="68"/>
      <c r="R2757" s="50"/>
      <c r="S2757" s="47"/>
      <c r="T2757" s="98"/>
      <c r="U2757" s="98"/>
      <c r="AG2757" s="605"/>
      <c r="AH2757" s="605"/>
    </row>
    <row r="2758" spans="4:34" ht="19.5" customHeight="1">
      <c r="D2758" s="68"/>
      <c r="E2758" s="68"/>
      <c r="G2758" s="98"/>
      <c r="H2758" s="68"/>
      <c r="I2758" s="68"/>
      <c r="R2758" s="50"/>
      <c r="S2758" s="47"/>
      <c r="T2758" s="98"/>
      <c r="U2758" s="98"/>
      <c r="AG2758" s="605"/>
      <c r="AH2758" s="605"/>
    </row>
    <row r="2759" spans="4:34" ht="19.5" customHeight="1">
      <c r="D2759" s="68"/>
      <c r="E2759" s="68"/>
      <c r="G2759" s="98"/>
      <c r="H2759" s="68"/>
      <c r="I2759" s="68"/>
      <c r="R2759" s="50"/>
      <c r="S2759" s="47"/>
      <c r="T2759" s="98"/>
      <c r="U2759" s="98"/>
      <c r="AG2759" s="605"/>
      <c r="AH2759" s="605"/>
    </row>
    <row r="2760" spans="4:34" ht="19.5" customHeight="1">
      <c r="D2760" s="68"/>
      <c r="E2760" s="68"/>
      <c r="G2760" s="98"/>
      <c r="H2760" s="68"/>
      <c r="I2760" s="68"/>
      <c r="R2760" s="50"/>
      <c r="S2760" s="47"/>
      <c r="T2760" s="98"/>
      <c r="U2760" s="98"/>
      <c r="AG2760" s="605"/>
      <c r="AH2760" s="605"/>
    </row>
    <row r="2761" spans="4:34" ht="19.5" customHeight="1">
      <c r="D2761" s="68"/>
      <c r="E2761" s="68"/>
      <c r="G2761" s="98"/>
      <c r="H2761" s="68"/>
      <c r="I2761" s="68"/>
      <c r="R2761" s="50"/>
      <c r="S2761" s="47"/>
      <c r="T2761" s="98"/>
      <c r="U2761" s="98"/>
      <c r="AG2761" s="605"/>
      <c r="AH2761" s="605"/>
    </row>
    <row r="2762" spans="4:34" ht="19.5" customHeight="1">
      <c r="D2762" s="68"/>
      <c r="E2762" s="68"/>
      <c r="G2762" s="98"/>
      <c r="H2762" s="68"/>
      <c r="I2762" s="68"/>
      <c r="R2762" s="50"/>
      <c r="S2762" s="47"/>
      <c r="T2762" s="98"/>
      <c r="U2762" s="98"/>
      <c r="AG2762" s="605"/>
      <c r="AH2762" s="605"/>
    </row>
    <row r="2763" spans="4:34" ht="19.5" customHeight="1">
      <c r="D2763" s="68"/>
      <c r="E2763" s="68"/>
      <c r="G2763" s="98"/>
      <c r="H2763" s="68"/>
      <c r="I2763" s="68"/>
      <c r="R2763" s="50"/>
      <c r="S2763" s="47"/>
      <c r="T2763" s="98"/>
      <c r="U2763" s="98"/>
      <c r="AG2763" s="605"/>
      <c r="AH2763" s="605"/>
    </row>
    <row r="2764" spans="4:34" ht="19.5" customHeight="1">
      <c r="D2764" s="68"/>
      <c r="E2764" s="68"/>
      <c r="G2764" s="98"/>
      <c r="H2764" s="68"/>
      <c r="I2764" s="68"/>
      <c r="R2764" s="50"/>
      <c r="S2764" s="47"/>
      <c r="T2764" s="98"/>
      <c r="U2764" s="98"/>
      <c r="AG2764" s="605"/>
      <c r="AH2764" s="605"/>
    </row>
    <row r="2765" spans="4:34" ht="19.5" customHeight="1">
      <c r="D2765" s="68"/>
      <c r="E2765" s="68"/>
      <c r="G2765" s="98"/>
      <c r="H2765" s="68"/>
      <c r="I2765" s="68"/>
      <c r="R2765" s="50"/>
      <c r="S2765" s="47"/>
      <c r="T2765" s="98"/>
      <c r="U2765" s="98"/>
      <c r="AG2765" s="605"/>
      <c r="AH2765" s="605"/>
    </row>
    <row r="2766" spans="4:34" ht="19.5" customHeight="1">
      <c r="D2766" s="68"/>
      <c r="E2766" s="68"/>
      <c r="G2766" s="98"/>
      <c r="H2766" s="68"/>
      <c r="I2766" s="68"/>
      <c r="R2766" s="50"/>
      <c r="S2766" s="47"/>
      <c r="T2766" s="98"/>
      <c r="U2766" s="98"/>
      <c r="AG2766" s="605"/>
      <c r="AH2766" s="605"/>
    </row>
    <row r="2767" spans="4:34" ht="19.5" customHeight="1">
      <c r="D2767" s="68"/>
      <c r="E2767" s="68"/>
      <c r="G2767" s="98"/>
      <c r="H2767" s="68"/>
      <c r="I2767" s="68"/>
      <c r="R2767" s="50"/>
      <c r="S2767" s="47"/>
      <c r="T2767" s="98"/>
      <c r="U2767" s="98"/>
      <c r="AG2767" s="605"/>
      <c r="AH2767" s="605"/>
    </row>
    <row r="2768" spans="4:34" ht="19.5" customHeight="1">
      <c r="D2768" s="68"/>
      <c r="E2768" s="68"/>
      <c r="G2768" s="98"/>
      <c r="H2768" s="68"/>
      <c r="I2768" s="68"/>
      <c r="R2768" s="50"/>
      <c r="S2768" s="47"/>
      <c r="T2768" s="98"/>
      <c r="U2768" s="98"/>
      <c r="AG2768" s="605"/>
      <c r="AH2768" s="605"/>
    </row>
    <row r="2769" spans="4:34" ht="19.5" customHeight="1">
      <c r="D2769" s="68"/>
      <c r="E2769" s="68"/>
      <c r="G2769" s="98"/>
      <c r="H2769" s="68"/>
      <c r="I2769" s="68"/>
      <c r="R2769" s="50"/>
      <c r="S2769" s="47"/>
      <c r="T2769" s="98"/>
      <c r="U2769" s="98"/>
      <c r="AG2769" s="605"/>
      <c r="AH2769" s="605"/>
    </row>
    <row r="2770" spans="4:34" ht="19.5" customHeight="1">
      <c r="D2770" s="68"/>
      <c r="E2770" s="68"/>
      <c r="G2770" s="98"/>
      <c r="H2770" s="68"/>
      <c r="I2770" s="68"/>
      <c r="R2770" s="50"/>
      <c r="S2770" s="47"/>
      <c r="T2770" s="98"/>
      <c r="U2770" s="98"/>
      <c r="AG2770" s="605"/>
      <c r="AH2770" s="605"/>
    </row>
    <row r="2771" spans="4:34" ht="19.5" customHeight="1">
      <c r="D2771" s="68"/>
      <c r="E2771" s="68"/>
      <c r="G2771" s="98"/>
      <c r="H2771" s="68"/>
      <c r="I2771" s="68"/>
      <c r="R2771" s="50"/>
      <c r="S2771" s="47"/>
      <c r="T2771" s="98"/>
      <c r="U2771" s="98"/>
      <c r="AG2771" s="605"/>
      <c r="AH2771" s="605"/>
    </row>
    <row r="2772" spans="4:34" ht="19.5" customHeight="1">
      <c r="D2772" s="68"/>
      <c r="E2772" s="68"/>
      <c r="G2772" s="98"/>
      <c r="H2772" s="68"/>
      <c r="I2772" s="68"/>
      <c r="R2772" s="50"/>
      <c r="S2772" s="47"/>
      <c r="T2772" s="98"/>
      <c r="U2772" s="98"/>
      <c r="AG2772" s="605"/>
      <c r="AH2772" s="605"/>
    </row>
    <row r="2773" spans="4:34" ht="19.5" customHeight="1">
      <c r="D2773" s="68"/>
      <c r="E2773" s="68"/>
      <c r="G2773" s="98"/>
      <c r="H2773" s="68"/>
      <c r="I2773" s="68"/>
      <c r="R2773" s="50"/>
      <c r="S2773" s="47"/>
      <c r="T2773" s="98"/>
      <c r="U2773" s="98"/>
      <c r="AG2773" s="605"/>
      <c r="AH2773" s="605"/>
    </row>
    <row r="2774" spans="4:34" ht="19.5" customHeight="1">
      <c r="D2774" s="68"/>
      <c r="E2774" s="68"/>
      <c r="G2774" s="98"/>
      <c r="H2774" s="68"/>
      <c r="I2774" s="68"/>
      <c r="R2774" s="50"/>
      <c r="S2774" s="47"/>
      <c r="T2774" s="98"/>
      <c r="U2774" s="98"/>
      <c r="AG2774" s="605"/>
      <c r="AH2774" s="605"/>
    </row>
    <row r="2775" spans="4:34" ht="19.5" customHeight="1">
      <c r="D2775" s="68"/>
      <c r="E2775" s="68"/>
      <c r="G2775" s="98"/>
      <c r="H2775" s="68"/>
      <c r="I2775" s="68"/>
      <c r="R2775" s="50"/>
      <c r="S2775" s="47"/>
      <c r="T2775" s="98"/>
      <c r="U2775" s="98"/>
      <c r="AG2775" s="605"/>
      <c r="AH2775" s="605"/>
    </row>
    <row r="2776" spans="4:34" ht="19.5" customHeight="1">
      <c r="D2776" s="68"/>
      <c r="E2776" s="68"/>
      <c r="G2776" s="98"/>
      <c r="H2776" s="68"/>
      <c r="I2776" s="68"/>
      <c r="R2776" s="50"/>
      <c r="S2776" s="47"/>
      <c r="T2776" s="98"/>
      <c r="U2776" s="98"/>
      <c r="AG2776" s="605"/>
      <c r="AH2776" s="605"/>
    </row>
    <row r="2777" spans="4:34" ht="19.5" customHeight="1">
      <c r="D2777" s="68"/>
      <c r="E2777" s="68"/>
      <c r="G2777" s="98"/>
      <c r="H2777" s="68"/>
      <c r="I2777" s="68"/>
      <c r="R2777" s="50"/>
      <c r="S2777" s="47"/>
      <c r="T2777" s="98"/>
      <c r="U2777" s="98"/>
      <c r="AG2777" s="605"/>
      <c r="AH2777" s="605"/>
    </row>
    <row r="2778" spans="4:34" ht="19.5" customHeight="1">
      <c r="D2778" s="68"/>
      <c r="E2778" s="68"/>
      <c r="G2778" s="98"/>
      <c r="H2778" s="68"/>
      <c r="I2778" s="68"/>
      <c r="R2778" s="50"/>
      <c r="S2778" s="47"/>
      <c r="T2778" s="98"/>
      <c r="U2778" s="98"/>
      <c r="AG2778" s="605"/>
      <c r="AH2778" s="605"/>
    </row>
    <row r="2779" spans="4:34" ht="19.5" customHeight="1">
      <c r="D2779" s="68"/>
      <c r="E2779" s="68"/>
      <c r="G2779" s="98"/>
      <c r="H2779" s="68"/>
      <c r="I2779" s="68"/>
      <c r="R2779" s="50"/>
      <c r="S2779" s="47"/>
      <c r="T2779" s="98"/>
      <c r="U2779" s="98"/>
      <c r="AG2779" s="605"/>
      <c r="AH2779" s="605"/>
    </row>
    <row r="2780" spans="4:34" ht="19.5" customHeight="1">
      <c r="D2780" s="68"/>
      <c r="E2780" s="68"/>
      <c r="G2780" s="98"/>
      <c r="H2780" s="68"/>
      <c r="I2780" s="68"/>
      <c r="R2780" s="50"/>
      <c r="S2780" s="47"/>
      <c r="T2780" s="98"/>
      <c r="U2780" s="98"/>
      <c r="AG2780" s="605"/>
      <c r="AH2780" s="605"/>
    </row>
    <row r="2781" spans="4:34" ht="19.5" customHeight="1">
      <c r="D2781" s="68"/>
      <c r="E2781" s="68"/>
      <c r="G2781" s="98"/>
      <c r="H2781" s="68"/>
      <c r="I2781" s="68"/>
      <c r="R2781" s="50"/>
      <c r="S2781" s="47"/>
      <c r="T2781" s="98"/>
      <c r="U2781" s="98"/>
      <c r="AG2781" s="605"/>
      <c r="AH2781" s="605"/>
    </row>
    <row r="2782" spans="4:34" ht="19.5" customHeight="1">
      <c r="D2782" s="68"/>
      <c r="E2782" s="68"/>
      <c r="G2782" s="98"/>
      <c r="H2782" s="68"/>
      <c r="I2782" s="68"/>
      <c r="R2782" s="50"/>
      <c r="S2782" s="47"/>
      <c r="T2782" s="98"/>
      <c r="U2782" s="98"/>
      <c r="AG2782" s="605"/>
      <c r="AH2782" s="605"/>
    </row>
    <row r="2783" spans="4:34" ht="19.5" customHeight="1">
      <c r="D2783" s="68"/>
      <c r="E2783" s="68"/>
      <c r="G2783" s="98"/>
      <c r="H2783" s="68"/>
      <c r="I2783" s="68"/>
      <c r="R2783" s="50"/>
      <c r="S2783" s="47"/>
      <c r="T2783" s="98"/>
      <c r="U2783" s="98"/>
      <c r="AG2783" s="605"/>
      <c r="AH2783" s="605"/>
    </row>
    <row r="2784" spans="4:34" ht="19.5" customHeight="1">
      <c r="D2784" s="68"/>
      <c r="E2784" s="68"/>
      <c r="G2784" s="98"/>
      <c r="H2784" s="68"/>
      <c r="I2784" s="68"/>
      <c r="R2784" s="50"/>
      <c r="S2784" s="47"/>
      <c r="T2784" s="98"/>
      <c r="U2784" s="98"/>
      <c r="AG2784" s="605"/>
      <c r="AH2784" s="605"/>
    </row>
    <row r="2785" spans="4:34" ht="19.5" customHeight="1">
      <c r="D2785" s="68"/>
      <c r="E2785" s="68"/>
      <c r="G2785" s="98"/>
      <c r="H2785" s="68"/>
      <c r="I2785" s="68"/>
      <c r="R2785" s="50"/>
      <c r="S2785" s="47"/>
      <c r="T2785" s="98"/>
      <c r="U2785" s="98"/>
      <c r="AG2785" s="605"/>
      <c r="AH2785" s="605"/>
    </row>
    <row r="2786" spans="4:34" ht="19.5" customHeight="1">
      <c r="D2786" s="68"/>
      <c r="E2786" s="68"/>
      <c r="G2786" s="98"/>
      <c r="H2786" s="68"/>
      <c r="I2786" s="68"/>
      <c r="R2786" s="50"/>
      <c r="S2786" s="47"/>
      <c r="T2786" s="98"/>
      <c r="U2786" s="98"/>
      <c r="AG2786" s="605"/>
      <c r="AH2786" s="605"/>
    </row>
    <row r="2787" spans="4:34" ht="19.5" customHeight="1">
      <c r="D2787" s="68"/>
      <c r="E2787" s="68"/>
      <c r="G2787" s="98"/>
      <c r="H2787" s="68"/>
      <c r="I2787" s="68"/>
      <c r="R2787" s="50"/>
      <c r="S2787" s="47"/>
      <c r="T2787" s="98"/>
      <c r="U2787" s="98"/>
      <c r="AG2787" s="605"/>
      <c r="AH2787" s="605"/>
    </row>
    <row r="2788" spans="4:34" ht="19.5" customHeight="1">
      <c r="D2788" s="68"/>
      <c r="E2788" s="68"/>
      <c r="G2788" s="98"/>
      <c r="H2788" s="68"/>
      <c r="I2788" s="68"/>
      <c r="R2788" s="50"/>
      <c r="S2788" s="47"/>
      <c r="T2788" s="98"/>
      <c r="U2788" s="98"/>
      <c r="AG2788" s="605"/>
      <c r="AH2788" s="605"/>
    </row>
    <row r="2789" spans="4:34" ht="19.5" customHeight="1">
      <c r="D2789" s="68"/>
      <c r="E2789" s="68"/>
      <c r="G2789" s="98"/>
      <c r="H2789" s="68"/>
      <c r="I2789" s="68"/>
      <c r="R2789" s="50"/>
      <c r="S2789" s="47"/>
      <c r="T2789" s="98"/>
      <c r="U2789" s="98"/>
      <c r="AG2789" s="605"/>
      <c r="AH2789" s="605"/>
    </row>
    <row r="2790" spans="4:34" ht="19.5" customHeight="1">
      <c r="D2790" s="68"/>
      <c r="E2790" s="68"/>
      <c r="G2790" s="98"/>
      <c r="H2790" s="68"/>
      <c r="I2790" s="68"/>
      <c r="R2790" s="50"/>
      <c r="S2790" s="47"/>
      <c r="T2790" s="98"/>
      <c r="U2790" s="98"/>
      <c r="AG2790" s="605"/>
      <c r="AH2790" s="605"/>
    </row>
    <row r="2791" spans="4:34" ht="19.5" customHeight="1">
      <c r="D2791" s="68"/>
      <c r="E2791" s="68"/>
      <c r="G2791" s="98"/>
      <c r="H2791" s="68"/>
      <c r="I2791" s="68"/>
      <c r="R2791" s="50"/>
      <c r="S2791" s="47"/>
      <c r="T2791" s="98"/>
      <c r="U2791" s="98"/>
      <c r="AG2791" s="605"/>
      <c r="AH2791" s="605"/>
    </row>
    <row r="2792" spans="4:34" ht="19.5" customHeight="1">
      <c r="D2792" s="68"/>
      <c r="E2792" s="68"/>
      <c r="G2792" s="98"/>
      <c r="H2792" s="68"/>
      <c r="I2792" s="68"/>
      <c r="R2792" s="50"/>
      <c r="S2792" s="47"/>
      <c r="T2792" s="98"/>
      <c r="U2792" s="98"/>
      <c r="AG2792" s="605"/>
      <c r="AH2792" s="605"/>
    </row>
    <row r="2793" spans="4:34" ht="19.5" customHeight="1">
      <c r="D2793" s="68"/>
      <c r="E2793" s="68"/>
      <c r="G2793" s="98"/>
      <c r="H2793" s="68"/>
      <c r="I2793" s="68"/>
      <c r="R2793" s="50"/>
      <c r="S2793" s="47"/>
      <c r="T2793" s="98"/>
      <c r="U2793" s="98"/>
      <c r="AG2793" s="605"/>
      <c r="AH2793" s="605"/>
    </row>
    <row r="2794" spans="4:34" ht="19.5" customHeight="1">
      <c r="D2794" s="68"/>
      <c r="E2794" s="68"/>
      <c r="G2794" s="98"/>
      <c r="H2794" s="68"/>
      <c r="I2794" s="68"/>
      <c r="R2794" s="50"/>
      <c r="S2794" s="47"/>
      <c r="T2794" s="98"/>
      <c r="U2794" s="98"/>
      <c r="AG2794" s="605"/>
      <c r="AH2794" s="605"/>
    </row>
    <row r="2795" spans="4:34" ht="19.5" customHeight="1">
      <c r="D2795" s="68"/>
      <c r="E2795" s="68"/>
      <c r="G2795" s="98"/>
      <c r="H2795" s="68"/>
      <c r="I2795" s="68"/>
      <c r="R2795" s="50"/>
      <c r="S2795" s="47"/>
      <c r="T2795" s="98"/>
      <c r="U2795" s="98"/>
      <c r="AG2795" s="605"/>
      <c r="AH2795" s="605"/>
    </row>
    <row r="2796" spans="4:34" ht="19.5" customHeight="1">
      <c r="D2796" s="68"/>
      <c r="E2796" s="68"/>
      <c r="G2796" s="98"/>
      <c r="H2796" s="68"/>
      <c r="I2796" s="68"/>
      <c r="R2796" s="50"/>
      <c r="S2796" s="47"/>
      <c r="T2796" s="98"/>
      <c r="U2796" s="98"/>
      <c r="AG2796" s="605"/>
      <c r="AH2796" s="605"/>
    </row>
    <row r="2797" spans="4:34" ht="19.5" customHeight="1">
      <c r="D2797" s="68"/>
      <c r="E2797" s="68"/>
      <c r="G2797" s="98"/>
      <c r="H2797" s="68"/>
      <c r="I2797" s="68"/>
      <c r="R2797" s="50"/>
      <c r="S2797" s="47"/>
      <c r="T2797" s="98"/>
      <c r="U2797" s="98"/>
      <c r="AG2797" s="605"/>
      <c r="AH2797" s="605"/>
    </row>
    <row r="2798" spans="4:34" ht="19.5" customHeight="1">
      <c r="D2798" s="68"/>
      <c r="E2798" s="68"/>
      <c r="G2798" s="98"/>
      <c r="H2798" s="68"/>
      <c r="I2798" s="68"/>
      <c r="R2798" s="50"/>
      <c r="S2798" s="47"/>
      <c r="T2798" s="98"/>
      <c r="U2798" s="98"/>
      <c r="AG2798" s="605"/>
      <c r="AH2798" s="605"/>
    </row>
    <row r="2799" spans="4:34" ht="19.5" customHeight="1">
      <c r="D2799" s="68"/>
      <c r="E2799" s="68"/>
      <c r="G2799" s="98"/>
      <c r="H2799" s="68"/>
      <c r="I2799" s="68"/>
      <c r="R2799" s="50"/>
      <c r="S2799" s="47"/>
      <c r="T2799" s="98"/>
      <c r="U2799" s="98"/>
      <c r="AG2799" s="605"/>
      <c r="AH2799" s="605"/>
    </row>
    <row r="2800" spans="4:34" ht="19.5" customHeight="1">
      <c r="D2800" s="68"/>
      <c r="E2800" s="68"/>
      <c r="G2800" s="98"/>
      <c r="H2800" s="68"/>
      <c r="I2800" s="68"/>
      <c r="R2800" s="50"/>
      <c r="S2800" s="47"/>
      <c r="T2800" s="98"/>
      <c r="U2800" s="98"/>
      <c r="AG2800" s="605"/>
      <c r="AH2800" s="605"/>
    </row>
    <row r="2801" spans="4:34" ht="19.5" customHeight="1">
      <c r="D2801" s="68"/>
      <c r="E2801" s="68"/>
      <c r="G2801" s="98"/>
      <c r="H2801" s="68"/>
      <c r="I2801" s="68"/>
      <c r="R2801" s="50"/>
      <c r="S2801" s="47"/>
      <c r="T2801" s="98"/>
      <c r="U2801" s="98"/>
      <c r="AG2801" s="605"/>
      <c r="AH2801" s="605"/>
    </row>
    <row r="2802" spans="4:34" ht="19.5" customHeight="1">
      <c r="D2802" s="68"/>
      <c r="E2802" s="68"/>
      <c r="G2802" s="98"/>
      <c r="H2802" s="68"/>
      <c r="I2802" s="68"/>
      <c r="R2802" s="50"/>
      <c r="S2802" s="47"/>
      <c r="T2802" s="98"/>
      <c r="U2802" s="98"/>
      <c r="AG2802" s="605"/>
      <c r="AH2802" s="605"/>
    </row>
    <row r="2803" spans="4:34" ht="19.5" customHeight="1">
      <c r="D2803" s="68"/>
      <c r="E2803" s="68"/>
      <c r="G2803" s="98"/>
      <c r="H2803" s="68"/>
      <c r="I2803" s="68"/>
      <c r="R2803" s="50"/>
      <c r="S2803" s="47"/>
      <c r="T2803" s="98"/>
      <c r="U2803" s="98"/>
      <c r="AG2803" s="605"/>
      <c r="AH2803" s="605"/>
    </row>
    <row r="2804" spans="4:34" ht="19.5" customHeight="1">
      <c r="D2804" s="68"/>
      <c r="E2804" s="68"/>
      <c r="G2804" s="98"/>
      <c r="H2804" s="68"/>
      <c r="I2804" s="68"/>
      <c r="R2804" s="50"/>
      <c r="S2804" s="47"/>
      <c r="T2804" s="98"/>
      <c r="U2804" s="98"/>
      <c r="AG2804" s="605"/>
      <c r="AH2804" s="605"/>
    </row>
    <row r="2805" spans="4:34" ht="19.5" customHeight="1">
      <c r="D2805" s="68"/>
      <c r="E2805" s="68"/>
      <c r="G2805" s="98"/>
      <c r="H2805" s="68"/>
      <c r="I2805" s="68"/>
      <c r="R2805" s="50"/>
      <c r="S2805" s="47"/>
      <c r="T2805" s="98"/>
      <c r="U2805" s="98"/>
      <c r="AG2805" s="605"/>
      <c r="AH2805" s="605"/>
    </row>
    <row r="2806" spans="4:34" ht="19.5" customHeight="1">
      <c r="D2806" s="68"/>
      <c r="E2806" s="68"/>
      <c r="G2806" s="98"/>
      <c r="H2806" s="68"/>
      <c r="I2806" s="68"/>
      <c r="R2806" s="50"/>
      <c r="S2806" s="47"/>
      <c r="T2806" s="98"/>
      <c r="U2806" s="98"/>
      <c r="AG2806" s="605"/>
      <c r="AH2806" s="605"/>
    </row>
    <row r="2807" spans="4:34" ht="19.5" customHeight="1">
      <c r="D2807" s="68"/>
      <c r="E2807" s="68"/>
      <c r="G2807" s="98"/>
      <c r="H2807" s="68"/>
      <c r="I2807" s="68"/>
      <c r="R2807" s="50"/>
      <c r="S2807" s="47"/>
      <c r="T2807" s="98"/>
      <c r="U2807" s="98"/>
      <c r="AG2807" s="605"/>
      <c r="AH2807" s="605"/>
    </row>
    <row r="2808" spans="4:34" ht="19.5" customHeight="1">
      <c r="D2808" s="68"/>
      <c r="E2808" s="68"/>
      <c r="G2808" s="98"/>
      <c r="H2808" s="68"/>
      <c r="I2808" s="68"/>
      <c r="R2808" s="50"/>
      <c r="S2808" s="47"/>
      <c r="T2808" s="98"/>
      <c r="U2808" s="98"/>
      <c r="AG2808" s="605"/>
      <c r="AH2808" s="605"/>
    </row>
    <row r="2809" spans="4:34" ht="19.5" customHeight="1">
      <c r="D2809" s="68"/>
      <c r="E2809" s="68"/>
      <c r="G2809" s="98"/>
      <c r="H2809" s="68"/>
      <c r="I2809" s="68"/>
      <c r="R2809" s="50"/>
      <c r="S2809" s="47"/>
      <c r="T2809" s="98"/>
      <c r="U2809" s="98"/>
      <c r="AG2809" s="605"/>
      <c r="AH2809" s="605"/>
    </row>
    <row r="2810" spans="4:34" ht="19.5" customHeight="1">
      <c r="D2810" s="68"/>
      <c r="E2810" s="68"/>
      <c r="G2810" s="98"/>
      <c r="H2810" s="68"/>
      <c r="I2810" s="68"/>
      <c r="R2810" s="50"/>
      <c r="S2810" s="47"/>
      <c r="T2810" s="98"/>
      <c r="U2810" s="98"/>
      <c r="AG2810" s="605"/>
      <c r="AH2810" s="605"/>
    </row>
    <row r="2811" spans="4:34" ht="19.5" customHeight="1">
      <c r="D2811" s="68"/>
      <c r="E2811" s="68"/>
      <c r="G2811" s="98"/>
      <c r="H2811" s="68"/>
      <c r="I2811" s="68"/>
      <c r="R2811" s="50"/>
      <c r="S2811" s="47"/>
      <c r="T2811" s="98"/>
      <c r="U2811" s="98"/>
      <c r="AG2811" s="605"/>
      <c r="AH2811" s="605"/>
    </row>
    <row r="2812" spans="4:34" ht="19.5" customHeight="1">
      <c r="D2812" s="68"/>
      <c r="E2812" s="68"/>
      <c r="G2812" s="98"/>
      <c r="H2812" s="68"/>
      <c r="I2812" s="68"/>
      <c r="R2812" s="50"/>
      <c r="S2812" s="47"/>
      <c r="T2812" s="98"/>
      <c r="U2812" s="98"/>
      <c r="AG2812" s="605"/>
      <c r="AH2812" s="605"/>
    </row>
    <row r="2813" spans="4:34" ht="19.5" customHeight="1">
      <c r="D2813" s="68"/>
      <c r="E2813" s="68"/>
      <c r="G2813" s="98"/>
      <c r="H2813" s="68"/>
      <c r="I2813" s="68"/>
      <c r="R2813" s="50"/>
      <c r="S2813" s="47"/>
      <c r="T2813" s="98"/>
      <c r="U2813" s="98"/>
      <c r="AG2813" s="605"/>
      <c r="AH2813" s="605"/>
    </row>
    <row r="2814" spans="4:34" ht="19.5" customHeight="1">
      <c r="D2814" s="68"/>
      <c r="E2814" s="68"/>
      <c r="G2814" s="98"/>
      <c r="H2814" s="68"/>
      <c r="I2814" s="68"/>
      <c r="R2814" s="50"/>
      <c r="S2814" s="47"/>
      <c r="T2814" s="98"/>
      <c r="U2814" s="98"/>
      <c r="AG2814" s="605"/>
      <c r="AH2814" s="605"/>
    </row>
    <row r="2815" spans="4:34" ht="19.5" customHeight="1">
      <c r="D2815" s="68"/>
      <c r="E2815" s="68"/>
      <c r="G2815" s="98"/>
      <c r="H2815" s="68"/>
      <c r="I2815" s="68"/>
      <c r="R2815" s="50"/>
      <c r="S2815" s="47"/>
      <c r="T2815" s="98"/>
      <c r="U2815" s="98"/>
      <c r="AG2815" s="605"/>
      <c r="AH2815" s="605"/>
    </row>
    <row r="2816" spans="4:34" ht="19.5" customHeight="1">
      <c r="D2816" s="68"/>
      <c r="E2816" s="68"/>
      <c r="G2816" s="98"/>
      <c r="H2816" s="68"/>
      <c r="I2816" s="68"/>
      <c r="R2816" s="50"/>
      <c r="S2816" s="47"/>
      <c r="T2816" s="98"/>
      <c r="U2816" s="98"/>
      <c r="AG2816" s="605"/>
      <c r="AH2816" s="605"/>
    </row>
    <row r="2817" spans="4:34" ht="19.5" customHeight="1">
      <c r="D2817" s="68"/>
      <c r="E2817" s="68"/>
      <c r="G2817" s="98"/>
      <c r="H2817" s="68"/>
      <c r="I2817" s="68"/>
      <c r="R2817" s="50"/>
      <c r="S2817" s="47"/>
      <c r="T2817" s="98"/>
      <c r="U2817" s="98"/>
      <c r="AG2817" s="605"/>
      <c r="AH2817" s="605"/>
    </row>
    <row r="2818" spans="4:34" ht="19.5" customHeight="1">
      <c r="D2818" s="68"/>
      <c r="E2818" s="68"/>
      <c r="G2818" s="98"/>
      <c r="H2818" s="68"/>
      <c r="I2818" s="68"/>
      <c r="R2818" s="50"/>
      <c r="S2818" s="47"/>
      <c r="T2818" s="98"/>
      <c r="U2818" s="98"/>
      <c r="AG2818" s="605"/>
      <c r="AH2818" s="605"/>
    </row>
    <row r="2819" spans="4:34" ht="19.5" customHeight="1">
      <c r="D2819" s="68"/>
      <c r="E2819" s="68"/>
      <c r="G2819" s="98"/>
      <c r="H2819" s="68"/>
      <c r="I2819" s="68"/>
      <c r="R2819" s="50"/>
      <c r="S2819" s="47"/>
      <c r="T2819" s="98"/>
      <c r="U2819" s="98"/>
      <c r="AG2819" s="605"/>
      <c r="AH2819" s="605"/>
    </row>
    <row r="2820" spans="4:34" ht="19.5" customHeight="1">
      <c r="D2820" s="68"/>
      <c r="E2820" s="68"/>
      <c r="G2820" s="98"/>
      <c r="H2820" s="68"/>
      <c r="I2820" s="68"/>
      <c r="R2820" s="50"/>
      <c r="S2820" s="47"/>
      <c r="T2820" s="98"/>
      <c r="U2820" s="98"/>
      <c r="AG2820" s="605"/>
      <c r="AH2820" s="605"/>
    </row>
    <row r="2821" spans="4:34" ht="19.5" customHeight="1">
      <c r="D2821" s="68"/>
      <c r="E2821" s="68"/>
      <c r="G2821" s="98"/>
      <c r="H2821" s="68"/>
      <c r="I2821" s="68"/>
      <c r="R2821" s="50"/>
      <c r="S2821" s="47"/>
      <c r="T2821" s="98"/>
      <c r="U2821" s="98"/>
      <c r="AG2821" s="605"/>
      <c r="AH2821" s="605"/>
    </row>
    <row r="2822" spans="4:34" ht="19.5" customHeight="1">
      <c r="D2822" s="68"/>
      <c r="E2822" s="68"/>
      <c r="G2822" s="98"/>
      <c r="H2822" s="68"/>
      <c r="I2822" s="68"/>
      <c r="R2822" s="50"/>
      <c r="S2822" s="47"/>
      <c r="T2822" s="98"/>
      <c r="U2822" s="98"/>
      <c r="AG2822" s="605"/>
      <c r="AH2822" s="605"/>
    </row>
    <row r="2823" spans="4:34" ht="19.5" customHeight="1">
      <c r="D2823" s="68"/>
      <c r="E2823" s="68"/>
      <c r="G2823" s="98"/>
      <c r="H2823" s="68"/>
      <c r="I2823" s="68"/>
      <c r="R2823" s="50"/>
      <c r="S2823" s="47"/>
      <c r="T2823" s="98"/>
      <c r="U2823" s="98"/>
      <c r="AG2823" s="605"/>
      <c r="AH2823" s="605"/>
    </row>
    <row r="2824" spans="4:34" ht="19.5" customHeight="1">
      <c r="D2824" s="68"/>
      <c r="E2824" s="68"/>
      <c r="G2824" s="98"/>
      <c r="H2824" s="68"/>
      <c r="I2824" s="68"/>
      <c r="R2824" s="50"/>
      <c r="S2824" s="47"/>
      <c r="T2824" s="98"/>
      <c r="U2824" s="98"/>
      <c r="AG2824" s="605"/>
      <c r="AH2824" s="605"/>
    </row>
    <row r="2825" spans="4:34" ht="19.5" customHeight="1">
      <c r="D2825" s="68"/>
      <c r="E2825" s="68"/>
      <c r="G2825" s="98"/>
      <c r="H2825" s="68"/>
      <c r="I2825" s="68"/>
      <c r="R2825" s="50"/>
      <c r="S2825" s="47"/>
      <c r="T2825" s="98"/>
      <c r="U2825" s="98"/>
      <c r="AG2825" s="605"/>
      <c r="AH2825" s="605"/>
    </row>
    <row r="2826" spans="4:34" ht="19.5" customHeight="1">
      <c r="D2826" s="68"/>
      <c r="E2826" s="68"/>
      <c r="G2826" s="98"/>
      <c r="H2826" s="68"/>
      <c r="I2826" s="68"/>
      <c r="R2826" s="50"/>
      <c r="S2826" s="47"/>
      <c r="T2826" s="98"/>
      <c r="U2826" s="98"/>
      <c r="AG2826" s="605"/>
      <c r="AH2826" s="605"/>
    </row>
    <row r="2827" spans="4:34" ht="19.5" customHeight="1">
      <c r="D2827" s="68"/>
      <c r="E2827" s="68"/>
      <c r="G2827" s="98"/>
      <c r="H2827" s="68"/>
      <c r="I2827" s="68"/>
      <c r="R2827" s="50"/>
      <c r="S2827" s="47"/>
      <c r="T2827" s="98"/>
      <c r="U2827" s="98"/>
      <c r="AG2827" s="605"/>
      <c r="AH2827" s="605"/>
    </row>
    <row r="2828" spans="4:34" ht="19.5" customHeight="1">
      <c r="D2828" s="68"/>
      <c r="E2828" s="68"/>
      <c r="G2828" s="98"/>
      <c r="H2828" s="68"/>
      <c r="I2828" s="68"/>
      <c r="R2828" s="50"/>
      <c r="S2828" s="47"/>
      <c r="T2828" s="98"/>
      <c r="U2828" s="98"/>
      <c r="AG2828" s="605"/>
      <c r="AH2828" s="605"/>
    </row>
    <row r="2829" spans="4:34" ht="19.5" customHeight="1">
      <c r="D2829" s="68"/>
      <c r="E2829" s="68"/>
      <c r="G2829" s="98"/>
      <c r="H2829" s="68"/>
      <c r="I2829" s="68"/>
      <c r="R2829" s="50"/>
      <c r="S2829" s="47"/>
      <c r="T2829" s="98"/>
      <c r="U2829" s="98"/>
      <c r="AG2829" s="605"/>
      <c r="AH2829" s="605"/>
    </row>
    <row r="2830" spans="4:34" ht="19.5" customHeight="1">
      <c r="D2830" s="68"/>
      <c r="E2830" s="68"/>
      <c r="G2830" s="98"/>
      <c r="H2830" s="68"/>
      <c r="I2830" s="68"/>
      <c r="R2830" s="50"/>
      <c r="S2830" s="47"/>
      <c r="T2830" s="98"/>
      <c r="U2830" s="98"/>
      <c r="AG2830" s="605"/>
      <c r="AH2830" s="605"/>
    </row>
    <row r="2831" spans="4:34" ht="19.5" customHeight="1">
      <c r="D2831" s="68"/>
      <c r="E2831" s="68"/>
      <c r="G2831" s="98"/>
      <c r="H2831" s="68"/>
      <c r="I2831" s="68"/>
      <c r="R2831" s="50"/>
      <c r="S2831" s="47"/>
      <c r="T2831" s="98"/>
      <c r="U2831" s="98"/>
      <c r="AG2831" s="605"/>
      <c r="AH2831" s="605"/>
    </row>
    <row r="2832" spans="4:34" ht="19.5" customHeight="1">
      <c r="D2832" s="68"/>
      <c r="E2832" s="68"/>
      <c r="G2832" s="98"/>
      <c r="H2832" s="68"/>
      <c r="I2832" s="68"/>
      <c r="R2832" s="50"/>
      <c r="S2832" s="47"/>
      <c r="T2832" s="98"/>
      <c r="U2832" s="98"/>
      <c r="AG2832" s="605"/>
      <c r="AH2832" s="605"/>
    </row>
    <row r="2833" spans="4:34" ht="19.5" customHeight="1">
      <c r="D2833" s="68"/>
      <c r="E2833" s="68"/>
      <c r="G2833" s="98"/>
      <c r="H2833" s="68"/>
      <c r="I2833" s="68"/>
      <c r="R2833" s="50"/>
      <c r="S2833" s="47"/>
      <c r="T2833" s="98"/>
      <c r="U2833" s="98"/>
      <c r="AG2833" s="605"/>
      <c r="AH2833" s="605"/>
    </row>
    <row r="2834" spans="4:34" ht="19.5" customHeight="1">
      <c r="D2834" s="68"/>
      <c r="E2834" s="68"/>
      <c r="G2834" s="98"/>
      <c r="H2834" s="68"/>
      <c r="I2834" s="68"/>
      <c r="R2834" s="50"/>
      <c r="S2834" s="47"/>
      <c r="T2834" s="98"/>
      <c r="U2834" s="98"/>
      <c r="AG2834" s="605"/>
      <c r="AH2834" s="605"/>
    </row>
    <row r="2835" spans="4:34" ht="19.5" customHeight="1">
      <c r="D2835" s="68"/>
      <c r="E2835" s="68"/>
      <c r="G2835" s="98"/>
      <c r="H2835" s="68"/>
      <c r="I2835" s="68"/>
      <c r="R2835" s="50"/>
      <c r="S2835" s="47"/>
      <c r="T2835" s="98"/>
      <c r="U2835" s="98"/>
      <c r="AG2835" s="605"/>
      <c r="AH2835" s="605"/>
    </row>
    <row r="2836" spans="4:34" ht="19.5" customHeight="1">
      <c r="D2836" s="68"/>
      <c r="E2836" s="68"/>
      <c r="G2836" s="98"/>
      <c r="H2836" s="68"/>
      <c r="I2836" s="68"/>
      <c r="R2836" s="50"/>
      <c r="S2836" s="47"/>
      <c r="T2836" s="98"/>
      <c r="U2836" s="98"/>
      <c r="AG2836" s="605"/>
      <c r="AH2836" s="605"/>
    </row>
    <row r="2837" spans="4:34" ht="19.5" customHeight="1">
      <c r="D2837" s="68"/>
      <c r="E2837" s="68"/>
      <c r="G2837" s="98"/>
      <c r="H2837" s="68"/>
      <c r="I2837" s="68"/>
      <c r="R2837" s="50"/>
      <c r="S2837" s="47"/>
      <c r="T2837" s="98"/>
      <c r="U2837" s="98"/>
      <c r="AG2837" s="605"/>
      <c r="AH2837" s="605"/>
    </row>
    <row r="2838" spans="4:34" ht="19.5" customHeight="1">
      <c r="D2838" s="68"/>
      <c r="E2838" s="68"/>
      <c r="G2838" s="98"/>
      <c r="H2838" s="68"/>
      <c r="I2838" s="68"/>
      <c r="R2838" s="50"/>
      <c r="S2838" s="47"/>
      <c r="T2838" s="98"/>
      <c r="U2838" s="98"/>
      <c r="AG2838" s="605"/>
      <c r="AH2838" s="605"/>
    </row>
    <row r="2839" spans="4:34" ht="19.5" customHeight="1">
      <c r="D2839" s="68"/>
      <c r="E2839" s="68"/>
      <c r="G2839" s="98"/>
      <c r="H2839" s="68"/>
      <c r="I2839" s="68"/>
      <c r="R2839" s="50"/>
      <c r="S2839" s="47"/>
      <c r="T2839" s="98"/>
      <c r="U2839" s="98"/>
      <c r="AG2839" s="605"/>
      <c r="AH2839" s="605"/>
    </row>
    <row r="2840" spans="4:34" ht="19.5" customHeight="1">
      <c r="D2840" s="68"/>
      <c r="E2840" s="68"/>
      <c r="G2840" s="98"/>
      <c r="H2840" s="68"/>
      <c r="I2840" s="68"/>
      <c r="R2840" s="50"/>
      <c r="S2840" s="47"/>
      <c r="T2840" s="98"/>
      <c r="U2840" s="98"/>
      <c r="AG2840" s="605"/>
      <c r="AH2840" s="605"/>
    </row>
    <row r="2841" spans="4:34" ht="19.5" customHeight="1">
      <c r="D2841" s="68"/>
      <c r="E2841" s="68"/>
      <c r="G2841" s="98"/>
      <c r="H2841" s="68"/>
      <c r="I2841" s="68"/>
      <c r="R2841" s="50"/>
      <c r="S2841" s="47"/>
      <c r="T2841" s="98"/>
      <c r="U2841" s="98"/>
      <c r="AG2841" s="605"/>
      <c r="AH2841" s="605"/>
    </row>
    <row r="2842" spans="4:34" ht="19.5" customHeight="1">
      <c r="D2842" s="68"/>
      <c r="E2842" s="68"/>
      <c r="G2842" s="98"/>
      <c r="H2842" s="68"/>
      <c r="I2842" s="68"/>
      <c r="R2842" s="50"/>
      <c r="S2842" s="47"/>
      <c r="T2842" s="98"/>
      <c r="U2842" s="98"/>
      <c r="AG2842" s="605"/>
      <c r="AH2842" s="605"/>
    </row>
    <row r="2843" spans="4:34" ht="19.5" customHeight="1">
      <c r="D2843" s="68"/>
      <c r="E2843" s="68"/>
      <c r="G2843" s="98"/>
      <c r="H2843" s="68"/>
      <c r="I2843" s="68"/>
      <c r="R2843" s="50"/>
      <c r="S2843" s="47"/>
      <c r="T2843" s="98"/>
      <c r="U2843" s="98"/>
      <c r="AG2843" s="605"/>
      <c r="AH2843" s="605"/>
    </row>
    <row r="2844" spans="4:34" ht="19.5" customHeight="1">
      <c r="D2844" s="68"/>
      <c r="E2844" s="68"/>
      <c r="G2844" s="98"/>
      <c r="H2844" s="68"/>
      <c r="I2844" s="68"/>
      <c r="R2844" s="50"/>
      <c r="S2844" s="47"/>
      <c r="T2844" s="98"/>
      <c r="U2844" s="98"/>
      <c r="AG2844" s="605"/>
      <c r="AH2844" s="605"/>
    </row>
    <row r="2845" spans="4:34" ht="19.5" customHeight="1">
      <c r="D2845" s="68"/>
      <c r="E2845" s="68"/>
      <c r="G2845" s="98"/>
      <c r="H2845" s="68"/>
      <c r="I2845" s="68"/>
      <c r="R2845" s="50"/>
      <c r="S2845" s="47"/>
      <c r="T2845" s="98"/>
      <c r="U2845" s="98"/>
      <c r="AG2845" s="605"/>
      <c r="AH2845" s="605"/>
    </row>
    <row r="2846" spans="4:34" ht="19.5" customHeight="1">
      <c r="D2846" s="68"/>
      <c r="E2846" s="68"/>
      <c r="G2846" s="98"/>
      <c r="H2846" s="68"/>
      <c r="I2846" s="68"/>
      <c r="R2846" s="50"/>
      <c r="S2846" s="47"/>
      <c r="T2846" s="98"/>
      <c r="U2846" s="98"/>
      <c r="AG2846" s="605"/>
      <c r="AH2846" s="605"/>
    </row>
    <row r="2847" spans="4:34" ht="19.5" customHeight="1">
      <c r="D2847" s="68"/>
      <c r="E2847" s="68"/>
      <c r="G2847" s="98"/>
      <c r="H2847" s="68"/>
      <c r="I2847" s="68"/>
      <c r="R2847" s="50"/>
      <c r="S2847" s="47"/>
      <c r="T2847" s="98"/>
      <c r="U2847" s="98"/>
      <c r="AG2847" s="605"/>
      <c r="AH2847" s="605"/>
    </row>
    <row r="2848" spans="4:34" ht="19.5" customHeight="1">
      <c r="D2848" s="68"/>
      <c r="E2848" s="68"/>
      <c r="G2848" s="98"/>
      <c r="H2848" s="68"/>
      <c r="I2848" s="68"/>
      <c r="R2848" s="50"/>
      <c r="S2848" s="47"/>
      <c r="T2848" s="98"/>
      <c r="U2848" s="98"/>
      <c r="AG2848" s="605"/>
      <c r="AH2848" s="605"/>
    </row>
    <row r="2849" spans="4:34" ht="19.5" customHeight="1">
      <c r="D2849" s="68"/>
      <c r="E2849" s="68"/>
      <c r="G2849" s="98"/>
      <c r="H2849" s="68"/>
      <c r="I2849" s="68"/>
      <c r="R2849" s="50"/>
      <c r="S2849" s="47"/>
      <c r="T2849" s="98"/>
      <c r="U2849" s="98"/>
      <c r="AG2849" s="605"/>
      <c r="AH2849" s="605"/>
    </row>
    <row r="2850" spans="4:34" ht="19.5" customHeight="1">
      <c r="D2850" s="68"/>
      <c r="E2850" s="68"/>
      <c r="G2850" s="98"/>
      <c r="H2850" s="68"/>
      <c r="I2850" s="68"/>
      <c r="R2850" s="50"/>
      <c r="S2850" s="47"/>
      <c r="T2850" s="98"/>
      <c r="U2850" s="98"/>
      <c r="AG2850" s="605"/>
      <c r="AH2850" s="605"/>
    </row>
    <row r="2851" spans="4:34" ht="19.5" customHeight="1">
      <c r="D2851" s="68"/>
      <c r="E2851" s="68"/>
      <c r="G2851" s="98"/>
      <c r="H2851" s="68"/>
      <c r="I2851" s="68"/>
      <c r="R2851" s="50"/>
      <c r="S2851" s="47"/>
      <c r="T2851" s="98"/>
      <c r="U2851" s="98"/>
      <c r="AG2851" s="605"/>
      <c r="AH2851" s="605"/>
    </row>
    <row r="2852" spans="4:34" ht="19.5" customHeight="1">
      <c r="D2852" s="68"/>
      <c r="E2852" s="68"/>
      <c r="G2852" s="98"/>
      <c r="H2852" s="68"/>
      <c r="I2852" s="68"/>
      <c r="R2852" s="50"/>
      <c r="S2852" s="47"/>
      <c r="T2852" s="98"/>
      <c r="U2852" s="98"/>
      <c r="AG2852" s="605"/>
      <c r="AH2852" s="605"/>
    </row>
    <row r="2853" spans="4:34" ht="19.5" customHeight="1">
      <c r="D2853" s="68"/>
      <c r="E2853" s="68"/>
      <c r="G2853" s="98"/>
      <c r="H2853" s="68"/>
      <c r="I2853" s="68"/>
      <c r="R2853" s="50"/>
      <c r="S2853" s="47"/>
      <c r="T2853" s="98"/>
      <c r="U2853" s="98"/>
      <c r="AG2853" s="605"/>
      <c r="AH2853" s="605"/>
    </row>
    <row r="2854" spans="4:34" ht="19.5" customHeight="1">
      <c r="D2854" s="68"/>
      <c r="E2854" s="68"/>
      <c r="G2854" s="98"/>
      <c r="H2854" s="68"/>
      <c r="I2854" s="68"/>
      <c r="R2854" s="50"/>
      <c r="S2854" s="47"/>
      <c r="T2854" s="98"/>
      <c r="U2854" s="98"/>
      <c r="AG2854" s="605"/>
      <c r="AH2854" s="605"/>
    </row>
    <row r="2855" spans="4:34" ht="19.5" customHeight="1">
      <c r="D2855" s="68"/>
      <c r="E2855" s="68"/>
      <c r="G2855" s="98"/>
      <c r="H2855" s="68"/>
      <c r="I2855" s="68"/>
      <c r="R2855" s="50"/>
      <c r="S2855" s="47"/>
      <c r="T2855" s="98"/>
      <c r="U2855" s="98"/>
      <c r="AG2855" s="605"/>
      <c r="AH2855" s="605"/>
    </row>
    <row r="2856" spans="4:34" ht="19.5" customHeight="1">
      <c r="D2856" s="68"/>
      <c r="E2856" s="68"/>
      <c r="G2856" s="98"/>
      <c r="H2856" s="68"/>
      <c r="I2856" s="68"/>
      <c r="R2856" s="50"/>
      <c r="S2856" s="47"/>
      <c r="T2856" s="98"/>
      <c r="U2856" s="98"/>
      <c r="AG2856" s="605"/>
      <c r="AH2856" s="605"/>
    </row>
    <row r="2857" spans="4:34" ht="19.5" customHeight="1">
      <c r="D2857" s="68"/>
      <c r="E2857" s="68"/>
      <c r="G2857" s="98"/>
      <c r="H2857" s="68"/>
      <c r="I2857" s="68"/>
      <c r="R2857" s="50"/>
      <c r="S2857" s="47"/>
      <c r="T2857" s="98"/>
      <c r="U2857" s="98"/>
      <c r="AG2857" s="605"/>
      <c r="AH2857" s="605"/>
    </row>
    <row r="2858" spans="4:34" ht="19.5" customHeight="1">
      <c r="D2858" s="68"/>
      <c r="E2858" s="68"/>
      <c r="G2858" s="98"/>
      <c r="H2858" s="68"/>
      <c r="I2858" s="68"/>
      <c r="R2858" s="50"/>
      <c r="S2858" s="47"/>
      <c r="T2858" s="98"/>
      <c r="U2858" s="98"/>
      <c r="AG2858" s="605"/>
      <c r="AH2858" s="605"/>
    </row>
    <row r="2859" spans="4:34" ht="19.5" customHeight="1">
      <c r="D2859" s="68"/>
      <c r="E2859" s="68"/>
      <c r="G2859" s="98"/>
      <c r="H2859" s="68"/>
      <c r="I2859" s="68"/>
      <c r="R2859" s="50"/>
      <c r="S2859" s="47"/>
      <c r="T2859" s="98"/>
      <c r="U2859" s="98"/>
      <c r="AG2859" s="605"/>
      <c r="AH2859" s="605"/>
    </row>
    <row r="2860" spans="4:34" ht="19.5" customHeight="1">
      <c r="D2860" s="68"/>
      <c r="E2860" s="68"/>
      <c r="G2860" s="98"/>
      <c r="H2860" s="68"/>
      <c r="I2860" s="68"/>
      <c r="R2860" s="50"/>
      <c r="S2860" s="47"/>
      <c r="T2860" s="98"/>
      <c r="U2860" s="98"/>
      <c r="AG2860" s="605"/>
      <c r="AH2860" s="605"/>
    </row>
    <row r="2861" spans="4:34" ht="19.5" customHeight="1">
      <c r="D2861" s="68"/>
      <c r="E2861" s="68"/>
      <c r="G2861" s="98"/>
      <c r="H2861" s="68"/>
      <c r="I2861" s="68"/>
      <c r="R2861" s="50"/>
      <c r="S2861" s="47"/>
      <c r="T2861" s="98"/>
      <c r="U2861" s="98"/>
      <c r="AG2861" s="605"/>
      <c r="AH2861" s="605"/>
    </row>
    <row r="2862" spans="4:34" ht="19.5" customHeight="1">
      <c r="D2862" s="68"/>
      <c r="E2862" s="68"/>
      <c r="G2862" s="98"/>
      <c r="H2862" s="68"/>
      <c r="I2862" s="68"/>
      <c r="R2862" s="50"/>
      <c r="S2862" s="47"/>
      <c r="T2862" s="98"/>
      <c r="U2862" s="98"/>
      <c r="AG2862" s="605"/>
      <c r="AH2862" s="605"/>
    </row>
    <row r="2863" spans="4:34" ht="19.5" customHeight="1">
      <c r="D2863" s="68"/>
      <c r="E2863" s="68"/>
      <c r="G2863" s="98"/>
      <c r="H2863" s="68"/>
      <c r="I2863" s="68"/>
      <c r="R2863" s="50"/>
      <c r="S2863" s="47"/>
      <c r="T2863" s="98"/>
      <c r="U2863" s="98"/>
      <c r="AG2863" s="605"/>
      <c r="AH2863" s="605"/>
    </row>
    <row r="2864" spans="4:34" ht="19.5" customHeight="1">
      <c r="D2864" s="68"/>
      <c r="E2864" s="68"/>
      <c r="G2864" s="98"/>
      <c r="H2864" s="68"/>
      <c r="I2864" s="68"/>
      <c r="R2864" s="50"/>
      <c r="S2864" s="47"/>
      <c r="T2864" s="98"/>
      <c r="U2864" s="98"/>
      <c r="AG2864" s="605"/>
      <c r="AH2864" s="605"/>
    </row>
    <row r="2865" spans="4:34" ht="19.5" customHeight="1">
      <c r="D2865" s="68"/>
      <c r="E2865" s="68"/>
      <c r="G2865" s="98"/>
      <c r="H2865" s="68"/>
      <c r="I2865" s="68"/>
      <c r="R2865" s="50"/>
      <c r="S2865" s="47"/>
      <c r="T2865" s="98"/>
      <c r="U2865" s="98"/>
      <c r="AG2865" s="605"/>
      <c r="AH2865" s="605"/>
    </row>
    <row r="2866" spans="4:34" ht="19.5" customHeight="1">
      <c r="D2866" s="68"/>
      <c r="E2866" s="68"/>
      <c r="G2866" s="98"/>
      <c r="H2866" s="68"/>
      <c r="I2866" s="68"/>
      <c r="R2866" s="50"/>
      <c r="S2866" s="47"/>
      <c r="T2866" s="98"/>
      <c r="U2866" s="98"/>
      <c r="AG2866" s="605"/>
      <c r="AH2866" s="605"/>
    </row>
    <row r="2867" spans="4:34" ht="19.5" customHeight="1">
      <c r="D2867" s="68"/>
      <c r="E2867" s="68"/>
      <c r="G2867" s="98"/>
      <c r="H2867" s="68"/>
      <c r="I2867" s="68"/>
      <c r="R2867" s="50"/>
      <c r="S2867" s="47"/>
      <c r="T2867" s="98"/>
      <c r="U2867" s="98"/>
      <c r="AG2867" s="605"/>
      <c r="AH2867" s="605"/>
    </row>
    <row r="2868" spans="4:34" ht="19.5" customHeight="1">
      <c r="D2868" s="68"/>
      <c r="E2868" s="68"/>
      <c r="G2868" s="98"/>
      <c r="H2868" s="68"/>
      <c r="I2868" s="68"/>
      <c r="R2868" s="50"/>
      <c r="S2868" s="47"/>
      <c r="T2868" s="98"/>
      <c r="U2868" s="98"/>
      <c r="AG2868" s="605"/>
      <c r="AH2868" s="605"/>
    </row>
    <row r="2869" spans="4:34" ht="19.5" customHeight="1">
      <c r="D2869" s="68"/>
      <c r="E2869" s="68"/>
      <c r="G2869" s="98"/>
      <c r="H2869" s="68"/>
      <c r="I2869" s="68"/>
      <c r="R2869" s="50"/>
      <c r="S2869" s="47"/>
      <c r="T2869" s="98"/>
      <c r="U2869" s="98"/>
      <c r="AG2869" s="605"/>
      <c r="AH2869" s="605"/>
    </row>
    <row r="2870" spans="4:34" ht="19.5" customHeight="1">
      <c r="D2870" s="68"/>
      <c r="E2870" s="68"/>
      <c r="G2870" s="98"/>
      <c r="H2870" s="68"/>
      <c r="I2870" s="68"/>
      <c r="R2870" s="50"/>
      <c r="S2870" s="47"/>
      <c r="T2870" s="98"/>
      <c r="U2870" s="98"/>
      <c r="AG2870" s="605"/>
      <c r="AH2870" s="605"/>
    </row>
    <row r="2871" spans="4:34" ht="19.5" customHeight="1">
      <c r="D2871" s="68"/>
      <c r="E2871" s="68"/>
      <c r="G2871" s="98"/>
      <c r="H2871" s="68"/>
      <c r="I2871" s="68"/>
      <c r="R2871" s="50"/>
      <c r="S2871" s="47"/>
      <c r="T2871" s="98"/>
      <c r="U2871" s="98"/>
      <c r="AG2871" s="605"/>
      <c r="AH2871" s="605"/>
    </row>
    <row r="2872" spans="4:34" ht="19.5" customHeight="1">
      <c r="D2872" s="68"/>
      <c r="E2872" s="68"/>
      <c r="G2872" s="98"/>
      <c r="H2872" s="68"/>
      <c r="I2872" s="68"/>
      <c r="R2872" s="50"/>
      <c r="S2872" s="47"/>
      <c r="T2872" s="98"/>
      <c r="U2872" s="98"/>
      <c r="AG2872" s="605"/>
      <c r="AH2872" s="605"/>
    </row>
    <row r="2873" spans="4:34" ht="19.5" customHeight="1">
      <c r="D2873" s="68"/>
      <c r="E2873" s="68"/>
      <c r="G2873" s="98"/>
      <c r="H2873" s="68"/>
      <c r="I2873" s="68"/>
      <c r="R2873" s="50"/>
      <c r="S2873" s="47"/>
      <c r="T2873" s="98"/>
      <c r="U2873" s="98"/>
      <c r="AG2873" s="605"/>
      <c r="AH2873" s="605"/>
    </row>
    <row r="2874" spans="4:34" ht="19.5" customHeight="1">
      <c r="D2874" s="68"/>
      <c r="E2874" s="68"/>
      <c r="G2874" s="98"/>
      <c r="H2874" s="68"/>
      <c r="I2874" s="68"/>
      <c r="R2874" s="50"/>
      <c r="S2874" s="47"/>
      <c r="T2874" s="98"/>
      <c r="U2874" s="98"/>
      <c r="AG2874" s="605"/>
      <c r="AH2874" s="605"/>
    </row>
    <row r="2875" spans="4:34" ht="19.5" customHeight="1">
      <c r="D2875" s="68"/>
      <c r="E2875" s="68"/>
      <c r="G2875" s="98"/>
      <c r="H2875" s="68"/>
      <c r="I2875" s="68"/>
      <c r="R2875" s="50"/>
      <c r="S2875" s="47"/>
      <c r="T2875" s="98"/>
      <c r="U2875" s="98"/>
      <c r="AG2875" s="605"/>
      <c r="AH2875" s="605"/>
    </row>
    <row r="2876" spans="4:34" ht="19.5" customHeight="1">
      <c r="D2876" s="68"/>
      <c r="E2876" s="68"/>
      <c r="G2876" s="98"/>
      <c r="H2876" s="68"/>
      <c r="I2876" s="68"/>
      <c r="R2876" s="50"/>
      <c r="S2876" s="47"/>
      <c r="T2876" s="98"/>
      <c r="U2876" s="98"/>
      <c r="AG2876" s="605"/>
      <c r="AH2876" s="605"/>
    </row>
    <row r="2877" spans="4:34" ht="19.5" customHeight="1">
      <c r="D2877" s="68"/>
      <c r="E2877" s="68"/>
      <c r="G2877" s="98"/>
      <c r="H2877" s="68"/>
      <c r="I2877" s="68"/>
      <c r="R2877" s="50"/>
      <c r="S2877" s="47"/>
      <c r="T2877" s="98"/>
      <c r="U2877" s="98"/>
      <c r="AG2877" s="605"/>
      <c r="AH2877" s="605"/>
    </row>
    <row r="2878" spans="4:34" ht="19.5" customHeight="1">
      <c r="D2878" s="68"/>
      <c r="E2878" s="68"/>
      <c r="G2878" s="98"/>
      <c r="H2878" s="68"/>
      <c r="I2878" s="68"/>
      <c r="R2878" s="50"/>
      <c r="S2878" s="47"/>
      <c r="T2878" s="98"/>
      <c r="U2878" s="98"/>
      <c r="AG2878" s="605"/>
      <c r="AH2878" s="605"/>
    </row>
    <row r="2879" spans="4:34" ht="19.5" customHeight="1">
      <c r="D2879" s="68"/>
      <c r="E2879" s="68"/>
      <c r="G2879" s="98"/>
      <c r="H2879" s="68"/>
      <c r="I2879" s="68"/>
      <c r="R2879" s="50"/>
      <c r="S2879" s="47"/>
      <c r="T2879" s="98"/>
      <c r="U2879" s="98"/>
      <c r="AG2879" s="605"/>
      <c r="AH2879" s="605"/>
    </row>
    <row r="2880" spans="4:34" ht="19.5" customHeight="1">
      <c r="D2880" s="68"/>
      <c r="E2880" s="68"/>
      <c r="G2880" s="98"/>
      <c r="H2880" s="68"/>
      <c r="I2880" s="68"/>
      <c r="R2880" s="50"/>
      <c r="S2880" s="47"/>
      <c r="T2880" s="98"/>
      <c r="U2880" s="98"/>
      <c r="AG2880" s="605"/>
      <c r="AH2880" s="605"/>
    </row>
    <row r="2881" spans="4:34" ht="19.5" customHeight="1">
      <c r="D2881" s="68"/>
      <c r="E2881" s="68"/>
      <c r="G2881" s="98"/>
      <c r="H2881" s="68"/>
      <c r="I2881" s="68"/>
      <c r="R2881" s="50"/>
      <c r="S2881" s="47"/>
      <c r="T2881" s="98"/>
      <c r="U2881" s="98"/>
      <c r="AG2881" s="605"/>
      <c r="AH2881" s="605"/>
    </row>
    <row r="2882" spans="4:34" ht="19.5" customHeight="1">
      <c r="D2882" s="68"/>
      <c r="E2882" s="68"/>
      <c r="G2882" s="98"/>
      <c r="H2882" s="68"/>
      <c r="I2882" s="68"/>
      <c r="R2882" s="50"/>
      <c r="S2882" s="47"/>
      <c r="T2882" s="98"/>
      <c r="U2882" s="98"/>
      <c r="AG2882" s="605"/>
      <c r="AH2882" s="605"/>
    </row>
    <row r="2883" spans="4:34" ht="19.5" customHeight="1">
      <c r="D2883" s="68"/>
      <c r="E2883" s="68"/>
      <c r="G2883" s="98"/>
      <c r="H2883" s="68"/>
      <c r="I2883" s="68"/>
      <c r="R2883" s="50"/>
      <c r="S2883" s="47"/>
      <c r="T2883" s="98"/>
      <c r="U2883" s="98"/>
      <c r="AG2883" s="605"/>
      <c r="AH2883" s="605"/>
    </row>
    <row r="2884" spans="4:34" ht="19.5" customHeight="1">
      <c r="D2884" s="68"/>
      <c r="E2884" s="68"/>
      <c r="G2884" s="98"/>
      <c r="H2884" s="68"/>
      <c r="I2884" s="68"/>
      <c r="R2884" s="50"/>
      <c r="S2884" s="47"/>
      <c r="T2884" s="98"/>
      <c r="U2884" s="98"/>
      <c r="AG2884" s="605"/>
      <c r="AH2884" s="605"/>
    </row>
    <row r="2885" spans="4:34" ht="19.5" customHeight="1">
      <c r="D2885" s="68"/>
      <c r="E2885" s="68"/>
      <c r="G2885" s="98"/>
      <c r="H2885" s="68"/>
      <c r="I2885" s="68"/>
      <c r="R2885" s="50"/>
      <c r="S2885" s="47"/>
      <c r="T2885" s="98"/>
      <c r="U2885" s="98"/>
      <c r="AG2885" s="605"/>
      <c r="AH2885" s="605"/>
    </row>
    <row r="2886" spans="4:34" ht="19.5" customHeight="1">
      <c r="D2886" s="68"/>
      <c r="E2886" s="68"/>
      <c r="G2886" s="98"/>
      <c r="H2886" s="68"/>
      <c r="I2886" s="68"/>
      <c r="R2886" s="50"/>
      <c r="S2886" s="47"/>
      <c r="T2886" s="98"/>
      <c r="U2886" s="98"/>
      <c r="AG2886" s="605"/>
      <c r="AH2886" s="605"/>
    </row>
    <row r="2887" spans="4:34" ht="19.5" customHeight="1">
      <c r="D2887" s="68"/>
      <c r="E2887" s="68"/>
      <c r="G2887" s="98"/>
      <c r="H2887" s="68"/>
      <c r="I2887" s="68"/>
      <c r="R2887" s="50"/>
      <c r="S2887" s="47"/>
      <c r="T2887" s="98"/>
      <c r="U2887" s="98"/>
      <c r="AG2887" s="605"/>
      <c r="AH2887" s="605"/>
    </row>
    <row r="2888" spans="4:34" ht="19.5" customHeight="1">
      <c r="D2888" s="68"/>
      <c r="E2888" s="68"/>
      <c r="G2888" s="98"/>
      <c r="H2888" s="68"/>
      <c r="I2888" s="68"/>
      <c r="R2888" s="50"/>
      <c r="S2888" s="47"/>
      <c r="T2888" s="98"/>
      <c r="U2888" s="98"/>
      <c r="AG2888" s="605"/>
      <c r="AH2888" s="605"/>
    </row>
    <row r="2889" spans="4:34" ht="19.5" customHeight="1">
      <c r="D2889" s="68"/>
      <c r="E2889" s="68"/>
      <c r="G2889" s="98"/>
      <c r="H2889" s="68"/>
      <c r="I2889" s="68"/>
      <c r="R2889" s="50"/>
      <c r="S2889" s="47"/>
      <c r="T2889" s="98"/>
      <c r="U2889" s="98"/>
      <c r="AG2889" s="605"/>
      <c r="AH2889" s="605"/>
    </row>
    <row r="2890" spans="4:34" ht="19.5" customHeight="1">
      <c r="D2890" s="68"/>
      <c r="E2890" s="68"/>
      <c r="G2890" s="98"/>
      <c r="H2890" s="68"/>
      <c r="I2890" s="68"/>
      <c r="R2890" s="50"/>
      <c r="S2890" s="47"/>
      <c r="T2890" s="98"/>
      <c r="U2890" s="98"/>
      <c r="AG2890" s="605"/>
      <c r="AH2890" s="605"/>
    </row>
    <row r="2891" spans="4:34" ht="19.5" customHeight="1">
      <c r="D2891" s="68"/>
      <c r="E2891" s="68"/>
      <c r="G2891" s="98"/>
      <c r="H2891" s="68"/>
      <c r="I2891" s="68"/>
      <c r="R2891" s="50"/>
      <c r="S2891" s="47"/>
      <c r="T2891" s="98"/>
      <c r="U2891" s="98"/>
      <c r="AG2891" s="605"/>
      <c r="AH2891" s="605"/>
    </row>
    <row r="2892" spans="4:34" ht="19.5" customHeight="1">
      <c r="D2892" s="68"/>
      <c r="E2892" s="68"/>
      <c r="G2892" s="98"/>
      <c r="H2892" s="68"/>
      <c r="I2892" s="68"/>
      <c r="R2892" s="50"/>
      <c r="S2892" s="47"/>
      <c r="T2892" s="98"/>
      <c r="U2892" s="98"/>
      <c r="AG2892" s="605"/>
      <c r="AH2892" s="605"/>
    </row>
    <row r="2893" spans="4:34" ht="19.5" customHeight="1">
      <c r="D2893" s="68"/>
      <c r="E2893" s="68"/>
      <c r="G2893" s="98"/>
      <c r="H2893" s="68"/>
      <c r="I2893" s="68"/>
      <c r="R2893" s="50"/>
      <c r="S2893" s="47"/>
      <c r="T2893" s="98"/>
      <c r="U2893" s="98"/>
      <c r="AG2893" s="605"/>
      <c r="AH2893" s="605"/>
    </row>
    <row r="2894" spans="4:34" ht="19.5" customHeight="1">
      <c r="D2894" s="68"/>
      <c r="E2894" s="68"/>
      <c r="G2894" s="98"/>
      <c r="H2894" s="68"/>
      <c r="I2894" s="68"/>
      <c r="R2894" s="50"/>
      <c r="S2894" s="47"/>
      <c r="T2894" s="98"/>
      <c r="U2894" s="98"/>
      <c r="AG2894" s="605"/>
      <c r="AH2894" s="605"/>
    </row>
    <row r="2895" spans="4:34" ht="19.5" customHeight="1">
      <c r="D2895" s="68"/>
      <c r="E2895" s="68"/>
      <c r="G2895" s="98"/>
      <c r="H2895" s="68"/>
      <c r="I2895" s="68"/>
      <c r="R2895" s="50"/>
      <c r="S2895" s="47"/>
      <c r="T2895" s="98"/>
      <c r="U2895" s="98"/>
      <c r="AG2895" s="605"/>
      <c r="AH2895" s="605"/>
    </row>
    <row r="2896" spans="4:34" ht="19.5" customHeight="1">
      <c r="D2896" s="68"/>
      <c r="E2896" s="68"/>
      <c r="G2896" s="98"/>
      <c r="H2896" s="68"/>
      <c r="I2896" s="68"/>
      <c r="R2896" s="50"/>
      <c r="S2896" s="47"/>
      <c r="T2896" s="98"/>
      <c r="U2896" s="98"/>
      <c r="AG2896" s="605"/>
      <c r="AH2896" s="605"/>
    </row>
    <row r="2897" spans="4:34" ht="19.5" customHeight="1">
      <c r="D2897" s="68"/>
      <c r="E2897" s="68"/>
      <c r="G2897" s="98"/>
      <c r="H2897" s="68"/>
      <c r="I2897" s="68"/>
      <c r="R2897" s="50"/>
      <c r="S2897" s="47"/>
      <c r="T2897" s="98"/>
      <c r="U2897" s="98"/>
      <c r="AG2897" s="605"/>
      <c r="AH2897" s="605"/>
    </row>
    <row r="2898" spans="4:34" ht="19.5" customHeight="1">
      <c r="D2898" s="68"/>
      <c r="E2898" s="68"/>
      <c r="G2898" s="98"/>
      <c r="H2898" s="68"/>
      <c r="I2898" s="68"/>
      <c r="R2898" s="50"/>
      <c r="S2898" s="47"/>
      <c r="T2898" s="98"/>
      <c r="U2898" s="98"/>
      <c r="AG2898" s="605"/>
      <c r="AH2898" s="605"/>
    </row>
    <row r="2899" spans="4:34" ht="19.5" customHeight="1">
      <c r="D2899" s="68"/>
      <c r="E2899" s="68"/>
      <c r="G2899" s="98"/>
      <c r="H2899" s="68"/>
      <c r="I2899" s="68"/>
      <c r="R2899" s="50"/>
      <c r="S2899" s="47"/>
      <c r="T2899" s="98"/>
      <c r="U2899" s="98"/>
      <c r="AG2899" s="605"/>
      <c r="AH2899" s="605"/>
    </row>
    <row r="2900" spans="4:34" ht="19.5" customHeight="1">
      <c r="D2900" s="68"/>
      <c r="E2900" s="68"/>
      <c r="G2900" s="98"/>
      <c r="H2900" s="68"/>
      <c r="I2900" s="68"/>
      <c r="R2900" s="50"/>
      <c r="S2900" s="47"/>
      <c r="T2900" s="98"/>
      <c r="U2900" s="98"/>
      <c r="AG2900" s="605"/>
      <c r="AH2900" s="605"/>
    </row>
    <row r="2901" spans="4:34" ht="19.5" customHeight="1">
      <c r="D2901" s="68"/>
      <c r="E2901" s="68"/>
      <c r="G2901" s="98"/>
      <c r="H2901" s="68"/>
      <c r="I2901" s="68"/>
      <c r="R2901" s="50"/>
      <c r="S2901" s="47"/>
      <c r="T2901" s="98"/>
      <c r="U2901" s="98"/>
      <c r="AG2901" s="605"/>
      <c r="AH2901" s="605"/>
    </row>
    <row r="2902" spans="4:34" ht="19.5" customHeight="1">
      <c r="D2902" s="68"/>
      <c r="E2902" s="68"/>
      <c r="G2902" s="98"/>
      <c r="H2902" s="68"/>
      <c r="I2902" s="68"/>
      <c r="R2902" s="50"/>
      <c r="S2902" s="47"/>
      <c r="T2902" s="98"/>
      <c r="U2902" s="98"/>
      <c r="AG2902" s="605"/>
      <c r="AH2902" s="605"/>
    </row>
    <row r="2903" spans="4:34" ht="19.5" customHeight="1">
      <c r="D2903" s="68"/>
      <c r="E2903" s="68"/>
      <c r="G2903" s="98"/>
      <c r="H2903" s="68"/>
      <c r="I2903" s="68"/>
      <c r="R2903" s="50"/>
      <c r="S2903" s="47"/>
      <c r="T2903" s="98"/>
      <c r="U2903" s="98"/>
      <c r="AG2903" s="605"/>
      <c r="AH2903" s="605"/>
    </row>
    <row r="2904" spans="4:34" ht="19.5" customHeight="1">
      <c r="D2904" s="68"/>
      <c r="E2904" s="68"/>
      <c r="G2904" s="98"/>
      <c r="H2904" s="68"/>
      <c r="I2904" s="68"/>
      <c r="R2904" s="50"/>
      <c r="S2904" s="47"/>
      <c r="T2904" s="98"/>
      <c r="U2904" s="98"/>
      <c r="AG2904" s="605"/>
      <c r="AH2904" s="605"/>
    </row>
    <row r="2905" spans="4:34" ht="19.5" customHeight="1">
      <c r="D2905" s="68"/>
      <c r="E2905" s="68"/>
      <c r="G2905" s="98"/>
      <c r="H2905" s="68"/>
      <c r="I2905" s="68"/>
      <c r="R2905" s="50"/>
      <c r="S2905" s="47"/>
      <c r="T2905" s="98"/>
      <c r="U2905" s="98"/>
      <c r="AG2905" s="605"/>
      <c r="AH2905" s="605"/>
    </row>
    <row r="2906" spans="4:34" ht="19.5" customHeight="1">
      <c r="D2906" s="68"/>
      <c r="E2906" s="68"/>
      <c r="G2906" s="98"/>
      <c r="H2906" s="68"/>
      <c r="I2906" s="68"/>
      <c r="R2906" s="50"/>
      <c r="S2906" s="47"/>
      <c r="T2906" s="98"/>
      <c r="U2906" s="98"/>
      <c r="AG2906" s="605"/>
      <c r="AH2906" s="605"/>
    </row>
    <row r="2907" spans="4:34" ht="19.5" customHeight="1">
      <c r="D2907" s="68"/>
      <c r="E2907" s="68"/>
      <c r="G2907" s="98"/>
      <c r="H2907" s="68"/>
      <c r="I2907" s="68"/>
      <c r="R2907" s="50"/>
      <c r="S2907" s="47"/>
      <c r="T2907" s="98"/>
      <c r="U2907" s="98"/>
      <c r="AG2907" s="605"/>
      <c r="AH2907" s="605"/>
    </row>
    <row r="2908" spans="4:34" ht="19.5" customHeight="1">
      <c r="D2908" s="68"/>
      <c r="E2908" s="68"/>
      <c r="G2908" s="98"/>
      <c r="H2908" s="68"/>
      <c r="I2908" s="68"/>
      <c r="R2908" s="50"/>
      <c r="S2908" s="47"/>
      <c r="T2908" s="98"/>
      <c r="U2908" s="98"/>
      <c r="AG2908" s="605"/>
      <c r="AH2908" s="605"/>
    </row>
    <row r="2909" spans="4:34" ht="19.5" customHeight="1">
      <c r="D2909" s="68"/>
      <c r="E2909" s="68"/>
      <c r="G2909" s="98"/>
      <c r="H2909" s="68"/>
      <c r="I2909" s="68"/>
      <c r="R2909" s="50"/>
      <c r="S2909" s="47"/>
      <c r="T2909" s="98"/>
      <c r="U2909" s="98"/>
      <c r="AG2909" s="605"/>
      <c r="AH2909" s="605"/>
    </row>
    <row r="2910" spans="4:34" ht="19.5" customHeight="1">
      <c r="D2910" s="68"/>
      <c r="E2910" s="68"/>
      <c r="G2910" s="98"/>
      <c r="H2910" s="68"/>
      <c r="I2910" s="68"/>
      <c r="R2910" s="50"/>
      <c r="S2910" s="47"/>
      <c r="T2910" s="98"/>
      <c r="U2910" s="98"/>
      <c r="AG2910" s="605"/>
      <c r="AH2910" s="605"/>
    </row>
    <row r="2911" spans="4:34" ht="19.5" customHeight="1">
      <c r="D2911" s="68"/>
      <c r="E2911" s="68"/>
      <c r="G2911" s="98"/>
      <c r="H2911" s="68"/>
      <c r="I2911" s="68"/>
      <c r="R2911" s="50"/>
      <c r="S2911" s="47"/>
      <c r="T2911" s="98"/>
      <c r="U2911" s="98"/>
      <c r="AG2911" s="605"/>
      <c r="AH2911" s="605"/>
    </row>
    <row r="2912" spans="4:34" ht="19.5" customHeight="1">
      <c r="D2912" s="68"/>
      <c r="E2912" s="68"/>
      <c r="G2912" s="98"/>
      <c r="H2912" s="68"/>
      <c r="I2912" s="68"/>
      <c r="R2912" s="50"/>
      <c r="S2912" s="47"/>
      <c r="T2912" s="98"/>
      <c r="U2912" s="98"/>
      <c r="AG2912" s="605"/>
      <c r="AH2912" s="605"/>
    </row>
    <row r="2913" spans="4:34" ht="19.5" customHeight="1">
      <c r="D2913" s="68"/>
      <c r="E2913" s="68"/>
      <c r="G2913" s="98"/>
      <c r="H2913" s="68"/>
      <c r="I2913" s="68"/>
      <c r="R2913" s="50"/>
      <c r="S2913" s="47"/>
      <c r="T2913" s="98"/>
      <c r="U2913" s="98"/>
      <c r="AG2913" s="605"/>
      <c r="AH2913" s="605"/>
    </row>
    <row r="2914" spans="4:34" ht="19.5" customHeight="1">
      <c r="D2914" s="68"/>
      <c r="E2914" s="68"/>
      <c r="G2914" s="98"/>
      <c r="H2914" s="68"/>
      <c r="I2914" s="68"/>
      <c r="R2914" s="50"/>
      <c r="S2914" s="47"/>
      <c r="T2914" s="98"/>
      <c r="U2914" s="98"/>
      <c r="AG2914" s="605"/>
      <c r="AH2914" s="605"/>
    </row>
    <row r="2915" spans="4:34" ht="19.5" customHeight="1">
      <c r="D2915" s="68"/>
      <c r="E2915" s="68"/>
      <c r="G2915" s="98"/>
      <c r="H2915" s="68"/>
      <c r="I2915" s="68"/>
      <c r="R2915" s="50"/>
      <c r="S2915" s="47"/>
      <c r="T2915" s="98"/>
      <c r="U2915" s="98"/>
      <c r="AG2915" s="605"/>
      <c r="AH2915" s="605"/>
    </row>
    <row r="2916" spans="4:34" ht="19.5" customHeight="1">
      <c r="D2916" s="68"/>
      <c r="E2916" s="68"/>
      <c r="G2916" s="98"/>
      <c r="H2916" s="68"/>
      <c r="I2916" s="68"/>
      <c r="R2916" s="50"/>
      <c r="S2916" s="47"/>
      <c r="T2916" s="98"/>
      <c r="U2916" s="98"/>
      <c r="AG2916" s="605"/>
      <c r="AH2916" s="605"/>
    </row>
    <row r="2917" spans="4:34" ht="19.5" customHeight="1">
      <c r="D2917" s="68"/>
      <c r="E2917" s="68"/>
      <c r="G2917" s="98"/>
      <c r="H2917" s="68"/>
      <c r="I2917" s="68"/>
      <c r="R2917" s="50"/>
      <c r="S2917" s="47"/>
      <c r="T2917" s="98"/>
      <c r="U2917" s="98"/>
      <c r="AG2917" s="605"/>
      <c r="AH2917" s="605"/>
    </row>
    <row r="2918" spans="4:34" ht="19.5" customHeight="1">
      <c r="D2918" s="68"/>
      <c r="E2918" s="68"/>
      <c r="G2918" s="98"/>
      <c r="H2918" s="68"/>
      <c r="I2918" s="68"/>
      <c r="R2918" s="50"/>
      <c r="S2918" s="47"/>
      <c r="T2918" s="98"/>
      <c r="U2918" s="98"/>
      <c r="AG2918" s="605"/>
      <c r="AH2918" s="605"/>
    </row>
    <row r="2919" spans="4:34" ht="19.5" customHeight="1">
      <c r="D2919" s="68"/>
      <c r="E2919" s="68"/>
      <c r="G2919" s="98"/>
      <c r="H2919" s="68"/>
      <c r="I2919" s="68"/>
      <c r="R2919" s="50"/>
      <c r="S2919" s="47"/>
      <c r="T2919" s="98"/>
      <c r="U2919" s="98"/>
      <c r="AG2919" s="605"/>
      <c r="AH2919" s="605"/>
    </row>
    <row r="2920" spans="4:34" ht="19.5" customHeight="1">
      <c r="D2920" s="68"/>
      <c r="E2920" s="68"/>
      <c r="G2920" s="98"/>
      <c r="H2920" s="68"/>
      <c r="I2920" s="68"/>
      <c r="R2920" s="50"/>
      <c r="S2920" s="47"/>
      <c r="T2920" s="98"/>
      <c r="U2920" s="98"/>
      <c r="AG2920" s="605"/>
      <c r="AH2920" s="605"/>
    </row>
    <row r="2921" spans="4:34" ht="19.5" customHeight="1">
      <c r="D2921" s="68"/>
      <c r="E2921" s="68"/>
      <c r="G2921" s="98"/>
      <c r="H2921" s="68"/>
      <c r="I2921" s="68"/>
      <c r="R2921" s="50"/>
      <c r="S2921" s="47"/>
      <c r="T2921" s="98"/>
      <c r="U2921" s="98"/>
      <c r="AG2921" s="605"/>
      <c r="AH2921" s="605"/>
    </row>
    <row r="2922" spans="4:34" ht="19.5" customHeight="1">
      <c r="D2922" s="68"/>
      <c r="E2922" s="68"/>
      <c r="G2922" s="98"/>
      <c r="H2922" s="68"/>
      <c r="I2922" s="68"/>
      <c r="R2922" s="50"/>
      <c r="S2922" s="47"/>
      <c r="T2922" s="98"/>
      <c r="U2922" s="98"/>
      <c r="AG2922" s="605"/>
      <c r="AH2922" s="605"/>
    </row>
    <row r="2923" spans="4:34" ht="19.5" customHeight="1">
      <c r="D2923" s="68"/>
      <c r="E2923" s="68"/>
      <c r="G2923" s="98"/>
      <c r="H2923" s="68"/>
      <c r="I2923" s="68"/>
      <c r="R2923" s="50"/>
      <c r="S2923" s="47"/>
      <c r="T2923" s="98"/>
      <c r="U2923" s="98"/>
      <c r="AG2923" s="605"/>
      <c r="AH2923" s="605"/>
    </row>
    <row r="2924" spans="4:34" ht="19.5" customHeight="1">
      <c r="D2924" s="68"/>
      <c r="E2924" s="68"/>
      <c r="G2924" s="98"/>
      <c r="H2924" s="68"/>
      <c r="I2924" s="68"/>
      <c r="R2924" s="50"/>
      <c r="S2924" s="47"/>
      <c r="T2924" s="98"/>
      <c r="U2924" s="98"/>
      <c r="AG2924" s="605"/>
      <c r="AH2924" s="605"/>
    </row>
    <row r="2925" spans="4:34" ht="19.5" customHeight="1">
      <c r="D2925" s="68"/>
      <c r="E2925" s="68"/>
      <c r="G2925" s="98"/>
      <c r="H2925" s="68"/>
      <c r="I2925" s="68"/>
      <c r="R2925" s="50"/>
      <c r="S2925" s="47"/>
      <c r="T2925" s="98"/>
      <c r="U2925" s="98"/>
      <c r="AG2925" s="605"/>
      <c r="AH2925" s="605"/>
    </row>
    <row r="2926" spans="4:34" ht="19.5" customHeight="1">
      <c r="D2926" s="68"/>
      <c r="E2926" s="68"/>
      <c r="G2926" s="98"/>
      <c r="H2926" s="68"/>
      <c r="I2926" s="68"/>
      <c r="R2926" s="50"/>
      <c r="S2926" s="47"/>
      <c r="T2926" s="98"/>
      <c r="U2926" s="98"/>
      <c r="AG2926" s="605"/>
      <c r="AH2926" s="605"/>
    </row>
    <row r="2927" spans="4:34" ht="19.5" customHeight="1">
      <c r="D2927" s="68"/>
      <c r="E2927" s="68"/>
      <c r="G2927" s="98"/>
      <c r="H2927" s="68"/>
      <c r="I2927" s="68"/>
      <c r="R2927" s="50"/>
      <c r="S2927" s="47"/>
      <c r="T2927" s="98"/>
      <c r="U2927" s="98"/>
      <c r="AG2927" s="605"/>
      <c r="AH2927" s="605"/>
    </row>
    <row r="2928" spans="4:34" ht="19.5" customHeight="1">
      <c r="D2928" s="68"/>
      <c r="E2928" s="68"/>
      <c r="G2928" s="98"/>
      <c r="H2928" s="68"/>
      <c r="I2928" s="68"/>
      <c r="R2928" s="50"/>
      <c r="S2928" s="47"/>
      <c r="T2928" s="98"/>
      <c r="U2928" s="98"/>
      <c r="AG2928" s="605"/>
      <c r="AH2928" s="605"/>
    </row>
    <row r="2929" spans="4:34" ht="19.5" customHeight="1">
      <c r="D2929" s="68"/>
      <c r="E2929" s="68"/>
      <c r="G2929" s="98"/>
      <c r="H2929" s="68"/>
      <c r="I2929" s="68"/>
      <c r="R2929" s="50"/>
      <c r="S2929" s="47"/>
      <c r="T2929" s="98"/>
      <c r="U2929" s="98"/>
      <c r="AG2929" s="605"/>
      <c r="AH2929" s="605"/>
    </row>
    <row r="2930" spans="4:34" ht="19.5" customHeight="1">
      <c r="D2930" s="68"/>
      <c r="E2930" s="68"/>
      <c r="G2930" s="98"/>
      <c r="H2930" s="68"/>
      <c r="I2930" s="68"/>
      <c r="R2930" s="50"/>
      <c r="S2930" s="47"/>
      <c r="T2930" s="98"/>
      <c r="U2930" s="98"/>
      <c r="AG2930" s="605"/>
      <c r="AH2930" s="605"/>
    </row>
    <row r="2931" spans="4:34" ht="19.5" customHeight="1">
      <c r="D2931" s="68"/>
      <c r="E2931" s="68"/>
      <c r="G2931" s="98"/>
      <c r="H2931" s="68"/>
      <c r="I2931" s="68"/>
      <c r="R2931" s="50"/>
      <c r="S2931" s="47"/>
      <c r="T2931" s="98"/>
      <c r="U2931" s="98"/>
      <c r="AG2931" s="605"/>
      <c r="AH2931" s="605"/>
    </row>
    <row r="2932" spans="4:34" ht="19.5" customHeight="1">
      <c r="D2932" s="68"/>
      <c r="E2932" s="68"/>
      <c r="G2932" s="98"/>
      <c r="H2932" s="68"/>
      <c r="I2932" s="68"/>
      <c r="R2932" s="50"/>
      <c r="S2932" s="47"/>
      <c r="T2932" s="98"/>
      <c r="U2932" s="98"/>
      <c r="AG2932" s="605"/>
      <c r="AH2932" s="605"/>
    </row>
    <row r="2933" spans="4:34" ht="19.5" customHeight="1">
      <c r="D2933" s="68"/>
      <c r="E2933" s="68"/>
      <c r="G2933" s="98"/>
      <c r="H2933" s="68"/>
      <c r="I2933" s="68"/>
      <c r="R2933" s="50"/>
      <c r="S2933" s="47"/>
      <c r="T2933" s="98"/>
      <c r="U2933" s="98"/>
      <c r="AG2933" s="605"/>
      <c r="AH2933" s="605"/>
    </row>
    <row r="2934" spans="4:34" ht="19.5" customHeight="1">
      <c r="D2934" s="68"/>
      <c r="E2934" s="68"/>
      <c r="G2934" s="98"/>
      <c r="H2934" s="68"/>
      <c r="I2934" s="68"/>
      <c r="R2934" s="50"/>
      <c r="S2934" s="47"/>
      <c r="T2934" s="98"/>
      <c r="U2934" s="98"/>
      <c r="AG2934" s="605"/>
      <c r="AH2934" s="605"/>
    </row>
    <row r="2935" spans="4:34" ht="19.5" customHeight="1">
      <c r="D2935" s="68"/>
      <c r="E2935" s="68"/>
      <c r="G2935" s="98"/>
      <c r="H2935" s="68"/>
      <c r="I2935" s="68"/>
      <c r="R2935" s="50"/>
      <c r="S2935" s="47"/>
      <c r="T2935" s="98"/>
      <c r="U2935" s="98"/>
      <c r="AG2935" s="605"/>
      <c r="AH2935" s="605"/>
    </row>
    <row r="2936" spans="4:34" ht="19.5" customHeight="1">
      <c r="D2936" s="68"/>
      <c r="E2936" s="68"/>
      <c r="G2936" s="98"/>
      <c r="H2936" s="68"/>
      <c r="I2936" s="68"/>
      <c r="R2936" s="50"/>
      <c r="S2936" s="47"/>
      <c r="T2936" s="98"/>
      <c r="U2936" s="98"/>
      <c r="AG2936" s="605"/>
      <c r="AH2936" s="605"/>
    </row>
    <row r="2937" spans="4:34" ht="19.5" customHeight="1">
      <c r="D2937" s="68"/>
      <c r="E2937" s="68"/>
      <c r="G2937" s="98"/>
      <c r="H2937" s="68"/>
      <c r="I2937" s="68"/>
      <c r="R2937" s="50"/>
      <c r="S2937" s="47"/>
      <c r="T2937" s="98"/>
      <c r="U2937" s="98"/>
      <c r="AG2937" s="605"/>
      <c r="AH2937" s="605"/>
    </row>
    <row r="2938" spans="4:34" ht="19.5" customHeight="1">
      <c r="D2938" s="68"/>
      <c r="E2938" s="68"/>
      <c r="G2938" s="98"/>
      <c r="H2938" s="68"/>
      <c r="I2938" s="68"/>
      <c r="R2938" s="50"/>
      <c r="S2938" s="47"/>
      <c r="T2938" s="98"/>
      <c r="U2938" s="98"/>
      <c r="AG2938" s="605"/>
      <c r="AH2938" s="605"/>
    </row>
    <row r="2939" spans="4:34" ht="19.5" customHeight="1">
      <c r="D2939" s="68"/>
      <c r="E2939" s="68"/>
      <c r="G2939" s="98"/>
      <c r="H2939" s="68"/>
      <c r="I2939" s="68"/>
      <c r="R2939" s="50"/>
      <c r="S2939" s="47"/>
      <c r="T2939" s="98"/>
      <c r="U2939" s="98"/>
      <c r="AG2939" s="605"/>
      <c r="AH2939" s="605"/>
    </row>
    <row r="2940" spans="4:34" ht="19.5" customHeight="1">
      <c r="D2940" s="68"/>
      <c r="E2940" s="68"/>
      <c r="G2940" s="98"/>
      <c r="H2940" s="68"/>
      <c r="I2940" s="68"/>
      <c r="R2940" s="50"/>
      <c r="S2940" s="47"/>
      <c r="T2940" s="98"/>
      <c r="U2940" s="98"/>
      <c r="AG2940" s="605"/>
      <c r="AH2940" s="605"/>
    </row>
    <row r="2941" spans="4:34" ht="19.5" customHeight="1">
      <c r="D2941" s="68"/>
      <c r="E2941" s="68"/>
      <c r="G2941" s="98"/>
      <c r="H2941" s="68"/>
      <c r="I2941" s="68"/>
      <c r="R2941" s="50"/>
      <c r="S2941" s="47"/>
      <c r="T2941" s="98"/>
      <c r="U2941" s="98"/>
      <c r="AG2941" s="605"/>
      <c r="AH2941" s="605"/>
    </row>
    <row r="2942" spans="4:34" ht="19.5" customHeight="1">
      <c r="D2942" s="68"/>
      <c r="E2942" s="68"/>
      <c r="G2942" s="98"/>
      <c r="H2942" s="68"/>
      <c r="I2942" s="68"/>
      <c r="R2942" s="50"/>
      <c r="S2942" s="47"/>
      <c r="T2942" s="98"/>
      <c r="U2942" s="98"/>
      <c r="AG2942" s="605"/>
      <c r="AH2942" s="605"/>
    </row>
    <row r="2943" spans="4:34" ht="19.5" customHeight="1">
      <c r="D2943" s="68"/>
      <c r="E2943" s="68"/>
      <c r="G2943" s="98"/>
      <c r="H2943" s="68"/>
      <c r="I2943" s="68"/>
      <c r="R2943" s="50"/>
      <c r="S2943" s="47"/>
      <c r="T2943" s="98"/>
      <c r="U2943" s="98"/>
      <c r="AG2943" s="605"/>
      <c r="AH2943" s="605"/>
    </row>
    <row r="2944" spans="4:34" ht="19.5" customHeight="1">
      <c r="D2944" s="68"/>
      <c r="E2944" s="68"/>
      <c r="G2944" s="98"/>
      <c r="H2944" s="68"/>
      <c r="I2944" s="68"/>
      <c r="R2944" s="50"/>
      <c r="S2944" s="47"/>
      <c r="T2944" s="98"/>
      <c r="U2944" s="98"/>
      <c r="AG2944" s="605"/>
      <c r="AH2944" s="605"/>
    </row>
    <row r="2945" spans="4:34" ht="19.5" customHeight="1">
      <c r="D2945" s="68"/>
      <c r="E2945" s="68"/>
      <c r="G2945" s="98"/>
      <c r="H2945" s="68"/>
      <c r="I2945" s="68"/>
      <c r="R2945" s="50"/>
      <c r="S2945" s="47"/>
      <c r="T2945" s="98"/>
      <c r="U2945" s="98"/>
      <c r="AG2945" s="605"/>
      <c r="AH2945" s="605"/>
    </row>
    <row r="2946" spans="4:34" ht="19.5" customHeight="1">
      <c r="D2946" s="68"/>
      <c r="E2946" s="68"/>
      <c r="G2946" s="98"/>
      <c r="H2946" s="68"/>
      <c r="I2946" s="68"/>
      <c r="R2946" s="50"/>
      <c r="S2946" s="47"/>
      <c r="T2946" s="98"/>
      <c r="U2946" s="98"/>
      <c r="AG2946" s="605"/>
      <c r="AH2946" s="605"/>
    </row>
    <row r="2947" spans="4:34" ht="19.5" customHeight="1">
      <c r="D2947" s="68"/>
      <c r="E2947" s="68"/>
      <c r="G2947" s="98"/>
      <c r="H2947" s="68"/>
      <c r="I2947" s="68"/>
      <c r="R2947" s="50"/>
      <c r="S2947" s="47"/>
      <c r="T2947" s="98"/>
      <c r="U2947" s="98"/>
      <c r="AG2947" s="605"/>
      <c r="AH2947" s="605"/>
    </row>
    <row r="2948" spans="4:34" ht="19.5" customHeight="1">
      <c r="D2948" s="68"/>
      <c r="E2948" s="68"/>
      <c r="G2948" s="98"/>
      <c r="H2948" s="68"/>
      <c r="I2948" s="68"/>
      <c r="R2948" s="50"/>
      <c r="S2948" s="47"/>
      <c r="T2948" s="98"/>
      <c r="U2948" s="98"/>
      <c r="AG2948" s="605"/>
      <c r="AH2948" s="605"/>
    </row>
    <row r="2949" spans="4:34" ht="19.5" customHeight="1">
      <c r="D2949" s="68"/>
      <c r="E2949" s="68"/>
      <c r="G2949" s="98"/>
      <c r="H2949" s="68"/>
      <c r="I2949" s="68"/>
      <c r="R2949" s="50"/>
      <c r="S2949" s="47"/>
      <c r="T2949" s="98"/>
      <c r="U2949" s="98"/>
      <c r="AG2949" s="605"/>
      <c r="AH2949" s="605"/>
    </row>
    <row r="2950" spans="4:34" ht="19.5" customHeight="1">
      <c r="D2950" s="68"/>
      <c r="E2950" s="68"/>
      <c r="G2950" s="98"/>
      <c r="H2950" s="68"/>
      <c r="I2950" s="68"/>
      <c r="R2950" s="50"/>
      <c r="S2950" s="47"/>
      <c r="T2950" s="98"/>
      <c r="U2950" s="98"/>
      <c r="AG2950" s="605"/>
      <c r="AH2950" s="605"/>
    </row>
    <row r="2951" spans="4:34" ht="19.5" customHeight="1">
      <c r="D2951" s="68"/>
      <c r="E2951" s="68"/>
      <c r="G2951" s="98"/>
      <c r="H2951" s="68"/>
      <c r="I2951" s="68"/>
      <c r="R2951" s="50"/>
      <c r="S2951" s="47"/>
      <c r="T2951" s="98"/>
      <c r="U2951" s="98"/>
      <c r="AG2951" s="605"/>
      <c r="AH2951" s="605"/>
    </row>
    <row r="2952" spans="4:34" ht="19.5" customHeight="1">
      <c r="D2952" s="68"/>
      <c r="E2952" s="68"/>
      <c r="G2952" s="98"/>
      <c r="H2952" s="68"/>
      <c r="I2952" s="68"/>
      <c r="R2952" s="50"/>
      <c r="S2952" s="47"/>
      <c r="T2952" s="98"/>
      <c r="U2952" s="98"/>
      <c r="AG2952" s="605"/>
      <c r="AH2952" s="605"/>
    </row>
    <row r="2953" spans="4:34" ht="19.5" customHeight="1">
      <c r="D2953" s="68"/>
      <c r="E2953" s="68"/>
      <c r="G2953" s="98"/>
      <c r="H2953" s="68"/>
      <c r="I2953" s="68"/>
      <c r="R2953" s="50"/>
      <c r="S2953" s="47"/>
      <c r="T2953" s="98"/>
      <c r="U2953" s="98"/>
      <c r="AG2953" s="605"/>
      <c r="AH2953" s="605"/>
    </row>
    <row r="2954" spans="4:34" ht="19.5" customHeight="1">
      <c r="D2954" s="68"/>
      <c r="E2954" s="68"/>
      <c r="G2954" s="98"/>
      <c r="H2954" s="68"/>
      <c r="I2954" s="68"/>
      <c r="R2954" s="50"/>
      <c r="S2954" s="47"/>
      <c r="T2954" s="98"/>
      <c r="U2954" s="98"/>
      <c r="AG2954" s="605"/>
      <c r="AH2954" s="605"/>
    </row>
    <row r="2955" spans="4:34" ht="19.5" customHeight="1">
      <c r="D2955" s="68"/>
      <c r="E2955" s="68"/>
      <c r="G2955" s="98"/>
      <c r="H2955" s="68"/>
      <c r="I2955" s="68"/>
      <c r="R2955" s="50"/>
      <c r="S2955" s="47"/>
      <c r="T2955" s="98"/>
      <c r="U2955" s="98"/>
      <c r="AG2955" s="605"/>
      <c r="AH2955" s="605"/>
    </row>
    <row r="2956" spans="4:34" ht="19.5" customHeight="1">
      <c r="D2956" s="68"/>
      <c r="E2956" s="68"/>
      <c r="G2956" s="98"/>
      <c r="H2956" s="68"/>
      <c r="I2956" s="68"/>
      <c r="R2956" s="50"/>
      <c r="S2956" s="47"/>
      <c r="T2956" s="98"/>
      <c r="U2956" s="98"/>
      <c r="AG2956" s="605"/>
      <c r="AH2956" s="605"/>
    </row>
    <row r="2957" spans="4:34" ht="19.5" customHeight="1">
      <c r="D2957" s="68"/>
      <c r="E2957" s="68"/>
      <c r="G2957" s="98"/>
      <c r="H2957" s="68"/>
      <c r="I2957" s="68"/>
      <c r="R2957" s="50"/>
      <c r="S2957" s="47"/>
      <c r="T2957" s="98"/>
      <c r="U2957" s="98"/>
      <c r="AG2957" s="605"/>
      <c r="AH2957" s="605"/>
    </row>
    <row r="2958" spans="4:34" ht="19.5" customHeight="1">
      <c r="D2958" s="68"/>
      <c r="E2958" s="68"/>
      <c r="G2958" s="98"/>
      <c r="H2958" s="68"/>
      <c r="I2958" s="68"/>
      <c r="R2958" s="50"/>
      <c r="S2958" s="47"/>
      <c r="T2958" s="98"/>
      <c r="U2958" s="98"/>
      <c r="AG2958" s="605"/>
      <c r="AH2958" s="605"/>
    </row>
    <row r="2959" spans="4:34" ht="19.5" customHeight="1">
      <c r="D2959" s="68"/>
      <c r="E2959" s="68"/>
      <c r="G2959" s="98"/>
      <c r="H2959" s="68"/>
      <c r="I2959" s="68"/>
      <c r="R2959" s="50"/>
      <c r="S2959" s="47"/>
      <c r="T2959" s="98"/>
      <c r="U2959" s="98"/>
      <c r="AG2959" s="605"/>
      <c r="AH2959" s="605"/>
    </row>
    <row r="2960" spans="4:34" ht="19.5" customHeight="1">
      <c r="D2960" s="68"/>
      <c r="E2960" s="68"/>
      <c r="G2960" s="98"/>
      <c r="H2960" s="68"/>
      <c r="I2960" s="68"/>
      <c r="R2960" s="50"/>
      <c r="S2960" s="47"/>
      <c r="T2960" s="98"/>
      <c r="U2960" s="98"/>
      <c r="AG2960" s="605"/>
      <c r="AH2960" s="605"/>
    </row>
    <row r="2961" spans="4:34" ht="19.5" customHeight="1">
      <c r="D2961" s="68"/>
      <c r="E2961" s="68"/>
      <c r="G2961" s="98"/>
      <c r="H2961" s="68"/>
      <c r="I2961" s="68"/>
      <c r="R2961" s="50"/>
      <c r="S2961" s="47"/>
      <c r="T2961" s="98"/>
      <c r="U2961" s="98"/>
      <c r="AG2961" s="605"/>
      <c r="AH2961" s="605"/>
    </row>
    <row r="2962" spans="4:34" ht="19.5" customHeight="1">
      <c r="D2962" s="68"/>
      <c r="E2962" s="68"/>
      <c r="G2962" s="98"/>
      <c r="H2962" s="68"/>
      <c r="I2962" s="68"/>
      <c r="R2962" s="50"/>
      <c r="S2962" s="47"/>
      <c r="T2962" s="98"/>
      <c r="U2962" s="98"/>
      <c r="AG2962" s="605"/>
      <c r="AH2962" s="605"/>
    </row>
    <row r="2963" spans="4:34" ht="19.5" customHeight="1">
      <c r="D2963" s="68"/>
      <c r="E2963" s="68"/>
      <c r="G2963" s="98"/>
      <c r="H2963" s="68"/>
      <c r="I2963" s="68"/>
      <c r="R2963" s="50"/>
      <c r="S2963" s="47"/>
      <c r="T2963" s="98"/>
      <c r="U2963" s="98"/>
      <c r="AG2963" s="605"/>
      <c r="AH2963" s="605"/>
    </row>
    <row r="2964" spans="4:34" ht="19.5" customHeight="1">
      <c r="D2964" s="68"/>
      <c r="E2964" s="68"/>
      <c r="G2964" s="98"/>
      <c r="H2964" s="68"/>
      <c r="I2964" s="68"/>
      <c r="R2964" s="50"/>
      <c r="S2964" s="47"/>
      <c r="T2964" s="98"/>
      <c r="U2964" s="98"/>
      <c r="AG2964" s="605"/>
      <c r="AH2964" s="605"/>
    </row>
    <row r="2965" spans="4:34" ht="19.5" customHeight="1">
      <c r="D2965" s="68"/>
      <c r="E2965" s="68"/>
      <c r="G2965" s="98"/>
      <c r="H2965" s="68"/>
      <c r="I2965" s="68"/>
      <c r="R2965" s="50"/>
      <c r="S2965" s="47"/>
      <c r="T2965" s="98"/>
      <c r="U2965" s="98"/>
      <c r="AG2965" s="605"/>
      <c r="AH2965" s="605"/>
    </row>
    <row r="2966" spans="4:34" ht="19.5" customHeight="1">
      <c r="D2966" s="68"/>
      <c r="E2966" s="68"/>
      <c r="G2966" s="98"/>
      <c r="H2966" s="68"/>
      <c r="I2966" s="68"/>
      <c r="R2966" s="50"/>
      <c r="S2966" s="47"/>
      <c r="T2966" s="98"/>
      <c r="U2966" s="98"/>
      <c r="AG2966" s="605"/>
      <c r="AH2966" s="605"/>
    </row>
    <row r="2967" spans="4:34" ht="19.5" customHeight="1">
      <c r="D2967" s="68"/>
      <c r="E2967" s="68"/>
      <c r="G2967" s="98"/>
      <c r="H2967" s="68"/>
      <c r="I2967" s="68"/>
      <c r="R2967" s="50"/>
      <c r="S2967" s="47"/>
      <c r="T2967" s="98"/>
      <c r="U2967" s="98"/>
      <c r="AG2967" s="605"/>
      <c r="AH2967" s="605"/>
    </row>
    <row r="2968" spans="4:34" ht="19.5" customHeight="1">
      <c r="D2968" s="68"/>
      <c r="E2968" s="68"/>
      <c r="G2968" s="98"/>
      <c r="H2968" s="68"/>
      <c r="I2968" s="68"/>
      <c r="R2968" s="50"/>
      <c r="S2968" s="47"/>
      <c r="T2968" s="98"/>
      <c r="U2968" s="98"/>
      <c r="AG2968" s="605"/>
      <c r="AH2968" s="605"/>
    </row>
    <row r="2969" spans="4:34" ht="19.5" customHeight="1">
      <c r="G2969" s="98"/>
      <c r="R2969" s="50"/>
      <c r="S2969" s="47"/>
      <c r="T2969" s="98"/>
      <c r="U2969" s="98"/>
      <c r="AG2969" s="605"/>
      <c r="AH2969" s="605"/>
    </row>
    <row r="2970" spans="4:34" ht="19.5" customHeight="1">
      <c r="G2970" s="98"/>
      <c r="R2970" s="50"/>
      <c r="S2970" s="47"/>
      <c r="T2970" s="98"/>
      <c r="U2970" s="98"/>
      <c r="AG2970" s="605"/>
      <c r="AH2970" s="605"/>
    </row>
    <row r="2971" spans="4:34" ht="19.5" customHeight="1">
      <c r="G2971" s="98"/>
      <c r="R2971" s="50"/>
      <c r="S2971" s="47"/>
      <c r="T2971" s="98"/>
      <c r="U2971" s="98"/>
      <c r="AG2971" s="605"/>
      <c r="AH2971" s="605"/>
    </row>
    <row r="2972" spans="4:34" ht="19.5" customHeight="1">
      <c r="G2972" s="98"/>
      <c r="R2972" s="50"/>
      <c r="S2972" s="47"/>
      <c r="T2972" s="98"/>
      <c r="U2972" s="98"/>
      <c r="AG2972" s="605"/>
      <c r="AH2972" s="605"/>
    </row>
    <row r="2973" spans="4:34" ht="19.5" customHeight="1">
      <c r="G2973" s="98"/>
      <c r="R2973" s="50"/>
      <c r="S2973" s="47"/>
      <c r="T2973" s="98"/>
      <c r="U2973" s="98"/>
      <c r="AG2973" s="605"/>
      <c r="AH2973" s="605"/>
    </row>
    <row r="2974" spans="4:34" ht="19.5" customHeight="1">
      <c r="G2974" s="98"/>
      <c r="R2974" s="50"/>
      <c r="S2974" s="47"/>
      <c r="T2974" s="98"/>
      <c r="U2974" s="98"/>
      <c r="AG2974" s="605"/>
      <c r="AH2974" s="605"/>
    </row>
    <row r="2975" spans="4:34" ht="19.5" customHeight="1">
      <c r="G2975" s="98"/>
      <c r="R2975" s="50"/>
      <c r="S2975" s="47"/>
      <c r="T2975" s="98"/>
      <c r="U2975" s="98"/>
      <c r="AG2975" s="605"/>
      <c r="AH2975" s="605"/>
    </row>
    <row r="2976" spans="4:34" ht="19.5" customHeight="1">
      <c r="G2976" s="98"/>
      <c r="R2976" s="50"/>
      <c r="S2976" s="47"/>
      <c r="T2976" s="98"/>
      <c r="U2976" s="98"/>
      <c r="AG2976" s="605"/>
      <c r="AH2976" s="605"/>
    </row>
    <row r="2977" spans="7:34" ht="19.5" customHeight="1">
      <c r="G2977" s="98"/>
      <c r="R2977" s="50"/>
      <c r="S2977" s="47"/>
      <c r="T2977" s="98"/>
      <c r="U2977" s="98"/>
      <c r="AG2977" s="605"/>
      <c r="AH2977" s="605"/>
    </row>
    <row r="2978" spans="7:34" ht="19.5" customHeight="1">
      <c r="G2978" s="98"/>
      <c r="R2978" s="50"/>
      <c r="S2978" s="47"/>
      <c r="T2978" s="98"/>
      <c r="U2978" s="98"/>
      <c r="AG2978" s="605"/>
      <c r="AH2978" s="605"/>
    </row>
    <row r="2979" spans="7:34" ht="19.5" customHeight="1">
      <c r="G2979" s="98"/>
      <c r="R2979" s="50"/>
      <c r="S2979" s="47"/>
      <c r="T2979" s="98"/>
      <c r="U2979" s="98"/>
      <c r="AG2979" s="605"/>
      <c r="AH2979" s="605"/>
    </row>
    <row r="2980" spans="7:34" ht="19.5" customHeight="1">
      <c r="G2980" s="98"/>
      <c r="R2980" s="50"/>
      <c r="S2980" s="47"/>
      <c r="T2980" s="98"/>
      <c r="U2980" s="98"/>
      <c r="AG2980" s="605"/>
      <c r="AH2980" s="605"/>
    </row>
    <row r="2981" spans="7:34" ht="19.5" customHeight="1">
      <c r="G2981" s="98"/>
      <c r="R2981" s="50"/>
      <c r="S2981" s="47"/>
      <c r="T2981" s="98"/>
      <c r="U2981" s="98"/>
      <c r="AG2981" s="605"/>
      <c r="AH2981" s="605"/>
    </row>
    <row r="2982" spans="7:34" ht="19.5" customHeight="1">
      <c r="G2982" s="98"/>
      <c r="R2982" s="50"/>
      <c r="S2982" s="47"/>
      <c r="T2982" s="98"/>
      <c r="U2982" s="98"/>
      <c r="AG2982" s="605"/>
      <c r="AH2982" s="605"/>
    </row>
    <row r="2983" spans="7:34" ht="19.5" customHeight="1">
      <c r="G2983" s="98"/>
      <c r="R2983" s="50"/>
      <c r="S2983" s="47"/>
      <c r="T2983" s="98"/>
      <c r="U2983" s="98"/>
      <c r="AG2983" s="605"/>
      <c r="AH2983" s="605"/>
    </row>
    <row r="2984" spans="7:34" ht="19.5" customHeight="1">
      <c r="G2984" s="98"/>
      <c r="R2984" s="50"/>
      <c r="S2984" s="47"/>
      <c r="T2984" s="98"/>
      <c r="U2984" s="98"/>
      <c r="AG2984" s="605"/>
      <c r="AH2984" s="605"/>
    </row>
    <row r="2985" spans="7:34" ht="19.5" customHeight="1">
      <c r="G2985" s="98"/>
      <c r="R2985" s="50"/>
      <c r="S2985" s="47"/>
      <c r="T2985" s="98"/>
      <c r="U2985" s="98"/>
      <c r="AG2985" s="605"/>
      <c r="AH2985" s="605"/>
    </row>
    <row r="2986" spans="7:34" ht="19.5" customHeight="1">
      <c r="G2986" s="98"/>
      <c r="R2986" s="50"/>
      <c r="S2986" s="47"/>
      <c r="T2986" s="98"/>
      <c r="U2986" s="98"/>
      <c r="AG2986" s="605"/>
      <c r="AH2986" s="605"/>
    </row>
    <row r="2987" spans="7:34" ht="19.5" customHeight="1">
      <c r="G2987" s="98"/>
      <c r="R2987" s="50"/>
      <c r="S2987" s="47"/>
      <c r="T2987" s="98"/>
      <c r="U2987" s="98"/>
      <c r="AG2987" s="605"/>
      <c r="AH2987" s="605"/>
    </row>
    <row r="2988" spans="7:34" ht="19.5" customHeight="1">
      <c r="G2988" s="98"/>
      <c r="R2988" s="50"/>
      <c r="S2988" s="47"/>
      <c r="T2988" s="98"/>
      <c r="U2988" s="98"/>
      <c r="AG2988" s="605"/>
      <c r="AH2988" s="605"/>
    </row>
    <row r="2989" spans="7:34" ht="19.5" customHeight="1">
      <c r="G2989" s="98"/>
      <c r="R2989" s="50"/>
      <c r="S2989" s="47"/>
      <c r="T2989" s="98"/>
      <c r="U2989" s="98"/>
      <c r="AG2989" s="605"/>
      <c r="AH2989" s="605"/>
    </row>
    <row r="2990" spans="7:34" ht="19.5" customHeight="1">
      <c r="G2990" s="98"/>
      <c r="R2990" s="50"/>
      <c r="S2990" s="47"/>
      <c r="T2990" s="98"/>
      <c r="U2990" s="98"/>
      <c r="AG2990" s="605"/>
      <c r="AH2990" s="605"/>
    </row>
    <row r="2991" spans="7:34" ht="19.5" customHeight="1">
      <c r="G2991" s="98"/>
      <c r="R2991" s="50"/>
      <c r="S2991" s="47"/>
      <c r="T2991" s="98"/>
      <c r="U2991" s="98"/>
      <c r="AG2991" s="605"/>
      <c r="AH2991" s="605"/>
    </row>
    <row r="2992" spans="7:34" ht="19.5" customHeight="1">
      <c r="G2992" s="98"/>
      <c r="R2992" s="50"/>
      <c r="S2992" s="47"/>
      <c r="T2992" s="98"/>
      <c r="U2992" s="98"/>
      <c r="AG2992" s="605"/>
      <c r="AH2992" s="605"/>
    </row>
    <row r="2993" spans="7:34" ht="19.5" customHeight="1">
      <c r="G2993" s="98"/>
      <c r="R2993" s="50"/>
      <c r="S2993" s="47"/>
      <c r="T2993" s="98"/>
      <c r="U2993" s="98"/>
      <c r="AG2993" s="605"/>
      <c r="AH2993" s="605"/>
    </row>
    <row r="2994" spans="7:34" ht="19.5" customHeight="1">
      <c r="G2994" s="98"/>
      <c r="R2994" s="50"/>
      <c r="S2994" s="47"/>
      <c r="T2994" s="98"/>
      <c r="U2994" s="98"/>
      <c r="AG2994" s="605"/>
      <c r="AH2994" s="605"/>
    </row>
    <row r="2995" spans="7:34" ht="19.5" customHeight="1">
      <c r="G2995" s="98"/>
      <c r="R2995" s="50"/>
      <c r="S2995" s="47"/>
      <c r="T2995" s="98"/>
      <c r="U2995" s="98"/>
      <c r="AG2995" s="605"/>
      <c r="AH2995" s="605"/>
    </row>
    <row r="2996" spans="7:34" ht="19.5" customHeight="1">
      <c r="G2996" s="98"/>
      <c r="R2996" s="50"/>
      <c r="S2996" s="47"/>
      <c r="T2996" s="98"/>
      <c r="U2996" s="98"/>
      <c r="AG2996" s="605"/>
      <c r="AH2996" s="605"/>
    </row>
    <row r="2997" spans="7:34" ht="19.5" customHeight="1">
      <c r="G2997" s="98"/>
      <c r="R2997" s="50"/>
      <c r="S2997" s="47"/>
      <c r="T2997" s="98"/>
      <c r="U2997" s="98"/>
      <c r="AG2997" s="605"/>
      <c r="AH2997" s="605"/>
    </row>
    <row r="2998" spans="7:34" ht="19.5" customHeight="1">
      <c r="G2998" s="98"/>
      <c r="R2998" s="50"/>
      <c r="S2998" s="47"/>
      <c r="T2998" s="98"/>
      <c r="U2998" s="98"/>
      <c r="AG2998" s="605"/>
      <c r="AH2998" s="605"/>
    </row>
    <row r="2999" spans="7:34" ht="19.5" customHeight="1">
      <c r="G2999" s="98"/>
      <c r="R2999" s="50"/>
      <c r="S2999" s="47"/>
      <c r="T2999" s="98"/>
      <c r="U2999" s="98"/>
      <c r="AG2999" s="605"/>
      <c r="AH2999" s="605"/>
    </row>
    <row r="3000" spans="7:34" ht="19.5" customHeight="1">
      <c r="G3000" s="98"/>
      <c r="R3000" s="50"/>
      <c r="S3000" s="47"/>
      <c r="T3000" s="98"/>
      <c r="U3000" s="98"/>
      <c r="AG3000" s="605"/>
      <c r="AH3000" s="605"/>
    </row>
    <row r="3001" spans="7:34" ht="19.5" customHeight="1">
      <c r="G3001" s="98"/>
      <c r="R3001" s="50"/>
      <c r="S3001" s="47"/>
      <c r="T3001" s="98"/>
      <c r="U3001" s="98"/>
      <c r="AG3001" s="605"/>
      <c r="AH3001" s="605"/>
    </row>
    <row r="3002" spans="7:34" ht="19.5" customHeight="1">
      <c r="G3002" s="98"/>
      <c r="R3002" s="50"/>
      <c r="S3002" s="47"/>
      <c r="T3002" s="98"/>
      <c r="U3002" s="98"/>
      <c r="AG3002" s="605"/>
      <c r="AH3002" s="605"/>
    </row>
    <row r="3003" spans="7:34" ht="19.5" customHeight="1">
      <c r="G3003" s="98"/>
      <c r="R3003" s="50"/>
      <c r="S3003" s="47"/>
      <c r="T3003" s="98"/>
      <c r="U3003" s="98"/>
      <c r="AG3003" s="605"/>
      <c r="AH3003" s="605"/>
    </row>
    <row r="3004" spans="7:34" ht="19.5" customHeight="1">
      <c r="G3004" s="98"/>
      <c r="R3004" s="50"/>
      <c r="S3004" s="47"/>
      <c r="T3004" s="98"/>
      <c r="U3004" s="98"/>
      <c r="AG3004" s="605"/>
      <c r="AH3004" s="605"/>
    </row>
    <row r="3005" spans="7:34" ht="19.5" customHeight="1">
      <c r="G3005" s="98"/>
      <c r="R3005" s="50"/>
      <c r="S3005" s="47"/>
      <c r="T3005" s="98"/>
      <c r="U3005" s="98"/>
      <c r="AG3005" s="605"/>
      <c r="AH3005" s="605"/>
    </row>
    <row r="3006" spans="7:34" ht="19.5" customHeight="1">
      <c r="G3006" s="98"/>
      <c r="R3006" s="50"/>
      <c r="S3006" s="47"/>
      <c r="T3006" s="98"/>
      <c r="U3006" s="98"/>
      <c r="AG3006" s="605"/>
      <c r="AH3006" s="605"/>
    </row>
    <row r="3007" spans="7:34" ht="19.5" customHeight="1">
      <c r="G3007" s="98"/>
      <c r="R3007" s="50"/>
      <c r="S3007" s="47"/>
      <c r="T3007" s="98"/>
      <c r="U3007" s="98"/>
      <c r="AG3007" s="605"/>
      <c r="AH3007" s="605"/>
    </row>
    <row r="3008" spans="7:34" ht="19.5" customHeight="1">
      <c r="G3008" s="98"/>
      <c r="R3008" s="50"/>
      <c r="S3008" s="47"/>
      <c r="T3008" s="98"/>
      <c r="U3008" s="98"/>
      <c r="AG3008" s="605"/>
      <c r="AH3008" s="605"/>
    </row>
    <row r="3009" spans="7:34" ht="19.5" customHeight="1">
      <c r="G3009" s="98"/>
      <c r="R3009" s="50"/>
      <c r="S3009" s="47"/>
      <c r="T3009" s="98"/>
      <c r="U3009" s="98"/>
      <c r="AG3009" s="605"/>
      <c r="AH3009" s="605"/>
    </row>
    <row r="3010" spans="7:34" ht="19.5" customHeight="1">
      <c r="G3010" s="98"/>
      <c r="R3010" s="50"/>
      <c r="S3010" s="47"/>
      <c r="T3010" s="98"/>
      <c r="U3010" s="98"/>
      <c r="AG3010" s="605"/>
      <c r="AH3010" s="605"/>
    </row>
    <row r="3011" spans="7:34" ht="19.5" customHeight="1">
      <c r="G3011" s="98"/>
      <c r="R3011" s="50"/>
      <c r="S3011" s="47"/>
      <c r="T3011" s="98"/>
      <c r="U3011" s="98"/>
      <c r="AG3011" s="605"/>
      <c r="AH3011" s="605"/>
    </row>
    <row r="3012" spans="7:34" ht="19.5" customHeight="1">
      <c r="G3012" s="98"/>
      <c r="R3012" s="50"/>
      <c r="S3012" s="47"/>
      <c r="T3012" s="98"/>
      <c r="U3012" s="98"/>
      <c r="AG3012" s="605"/>
      <c r="AH3012" s="605"/>
    </row>
    <row r="3013" spans="7:34" ht="19.5" customHeight="1">
      <c r="G3013" s="98"/>
      <c r="R3013" s="50"/>
      <c r="S3013" s="47"/>
      <c r="T3013" s="98"/>
      <c r="U3013" s="98"/>
      <c r="AG3013" s="605"/>
      <c r="AH3013" s="605"/>
    </row>
    <row r="3014" spans="7:34" ht="19.5" customHeight="1">
      <c r="G3014" s="98"/>
      <c r="R3014" s="50"/>
      <c r="S3014" s="47"/>
      <c r="T3014" s="98"/>
      <c r="U3014" s="98"/>
      <c r="AG3014" s="605"/>
      <c r="AH3014" s="605"/>
    </row>
    <row r="3015" spans="7:34" ht="19.5" customHeight="1">
      <c r="G3015" s="98"/>
      <c r="R3015" s="50"/>
      <c r="S3015" s="47"/>
      <c r="T3015" s="98"/>
      <c r="U3015" s="98"/>
      <c r="AG3015" s="605"/>
      <c r="AH3015" s="605"/>
    </row>
    <row r="3016" spans="7:34" ht="19.5" customHeight="1">
      <c r="G3016" s="98"/>
      <c r="R3016" s="50"/>
      <c r="S3016" s="47"/>
      <c r="T3016" s="98"/>
      <c r="U3016" s="98"/>
      <c r="AG3016" s="605"/>
      <c r="AH3016" s="605"/>
    </row>
    <row r="3017" spans="7:34" ht="19.5" customHeight="1">
      <c r="G3017" s="98"/>
      <c r="R3017" s="50"/>
      <c r="S3017" s="47"/>
      <c r="T3017" s="98"/>
      <c r="U3017" s="98"/>
      <c r="AG3017" s="605"/>
      <c r="AH3017" s="605"/>
    </row>
    <row r="3018" spans="7:34" ht="19.5" customHeight="1">
      <c r="G3018" s="98"/>
      <c r="R3018" s="50"/>
      <c r="S3018" s="47"/>
      <c r="T3018" s="98"/>
      <c r="U3018" s="98"/>
      <c r="AG3018" s="605"/>
      <c r="AH3018" s="605"/>
    </row>
    <row r="3019" spans="7:34" ht="19.5" customHeight="1">
      <c r="G3019" s="98"/>
      <c r="R3019" s="50"/>
      <c r="S3019" s="47"/>
      <c r="T3019" s="98"/>
      <c r="U3019" s="98"/>
      <c r="AG3019" s="605"/>
      <c r="AH3019" s="605"/>
    </row>
    <row r="3020" spans="7:34" ht="19.5" customHeight="1">
      <c r="G3020" s="98"/>
      <c r="R3020" s="50"/>
      <c r="S3020" s="47"/>
      <c r="T3020" s="98"/>
      <c r="U3020" s="98"/>
      <c r="AG3020" s="605"/>
      <c r="AH3020" s="605"/>
    </row>
    <row r="3021" spans="7:34" ht="19.5" customHeight="1">
      <c r="G3021" s="98"/>
      <c r="R3021" s="50"/>
      <c r="S3021" s="47"/>
      <c r="T3021" s="98"/>
      <c r="U3021" s="98"/>
      <c r="AG3021" s="605"/>
      <c r="AH3021" s="605"/>
    </row>
    <row r="3022" spans="7:34" ht="19.5" customHeight="1">
      <c r="G3022" s="98"/>
      <c r="R3022" s="50"/>
      <c r="S3022" s="47"/>
      <c r="T3022" s="98"/>
      <c r="U3022" s="98"/>
      <c r="AG3022" s="605"/>
      <c r="AH3022" s="605"/>
    </row>
    <row r="3023" spans="7:34" ht="19.5" customHeight="1">
      <c r="G3023" s="98"/>
      <c r="R3023" s="50"/>
      <c r="S3023" s="47"/>
      <c r="T3023" s="98"/>
      <c r="U3023" s="98"/>
      <c r="AG3023" s="605"/>
      <c r="AH3023" s="605"/>
    </row>
    <row r="3024" spans="7:34" ht="19.5" customHeight="1">
      <c r="G3024" s="98"/>
      <c r="R3024" s="50"/>
      <c r="S3024" s="47"/>
      <c r="T3024" s="98"/>
      <c r="U3024" s="98"/>
      <c r="AG3024" s="605"/>
      <c r="AH3024" s="605"/>
    </row>
    <row r="3025" spans="7:34" ht="19.5" customHeight="1">
      <c r="G3025" s="98"/>
      <c r="R3025" s="50"/>
      <c r="S3025" s="47"/>
      <c r="T3025" s="98"/>
      <c r="U3025" s="98"/>
      <c r="AG3025" s="605"/>
      <c r="AH3025" s="605"/>
    </row>
    <row r="3026" spans="7:34" ht="19.5" customHeight="1">
      <c r="G3026" s="98"/>
      <c r="R3026" s="50"/>
      <c r="S3026" s="47"/>
      <c r="T3026" s="98"/>
      <c r="U3026" s="98"/>
      <c r="AG3026" s="605"/>
      <c r="AH3026" s="605"/>
    </row>
    <row r="3027" spans="7:34" ht="19.5" customHeight="1">
      <c r="G3027" s="98"/>
      <c r="R3027" s="50"/>
      <c r="S3027" s="47"/>
      <c r="T3027" s="98"/>
      <c r="U3027" s="98"/>
      <c r="AG3027" s="605"/>
      <c r="AH3027" s="605"/>
    </row>
    <row r="3028" spans="7:34" ht="19.5" customHeight="1">
      <c r="G3028" s="98"/>
      <c r="R3028" s="50"/>
      <c r="S3028" s="47"/>
      <c r="T3028" s="98"/>
      <c r="U3028" s="98"/>
      <c r="AG3028" s="605"/>
      <c r="AH3028" s="605"/>
    </row>
    <row r="3029" spans="7:34" ht="19.5" customHeight="1">
      <c r="G3029" s="98"/>
      <c r="R3029" s="50"/>
      <c r="S3029" s="47"/>
      <c r="T3029" s="98"/>
      <c r="U3029" s="98"/>
      <c r="AG3029" s="605"/>
      <c r="AH3029" s="605"/>
    </row>
    <row r="3030" spans="7:34" ht="19.5" customHeight="1">
      <c r="G3030" s="98"/>
      <c r="R3030" s="50"/>
      <c r="S3030" s="47"/>
      <c r="T3030" s="98"/>
      <c r="U3030" s="98"/>
      <c r="AG3030" s="605"/>
      <c r="AH3030" s="605"/>
    </row>
    <row r="3031" spans="7:34" ht="19.5" customHeight="1">
      <c r="G3031" s="98"/>
      <c r="R3031" s="50"/>
      <c r="S3031" s="47"/>
      <c r="T3031" s="98"/>
      <c r="U3031" s="98"/>
      <c r="AG3031" s="605"/>
      <c r="AH3031" s="605"/>
    </row>
    <row r="3032" spans="7:34" ht="19.5" customHeight="1">
      <c r="G3032" s="98"/>
      <c r="R3032" s="50"/>
      <c r="S3032" s="47"/>
      <c r="T3032" s="98"/>
      <c r="U3032" s="98"/>
      <c r="AG3032" s="605"/>
      <c r="AH3032" s="605"/>
    </row>
    <row r="3033" spans="7:34" ht="19.5" customHeight="1">
      <c r="G3033" s="98"/>
      <c r="R3033" s="50"/>
      <c r="S3033" s="47"/>
      <c r="T3033" s="98"/>
      <c r="U3033" s="98"/>
      <c r="AG3033" s="605"/>
      <c r="AH3033" s="605"/>
    </row>
    <row r="3034" spans="7:34" ht="19.5" customHeight="1">
      <c r="G3034" s="98"/>
      <c r="R3034" s="50"/>
      <c r="S3034" s="47"/>
      <c r="T3034" s="98"/>
      <c r="U3034" s="98"/>
      <c r="AG3034" s="605"/>
      <c r="AH3034" s="605"/>
    </row>
    <row r="3035" spans="7:34" ht="19.5" customHeight="1">
      <c r="G3035" s="98"/>
      <c r="R3035" s="50"/>
      <c r="S3035" s="47"/>
      <c r="T3035" s="98"/>
      <c r="U3035" s="98"/>
      <c r="AG3035" s="605"/>
      <c r="AH3035" s="605"/>
    </row>
    <row r="3036" spans="7:34" ht="19.5" customHeight="1">
      <c r="G3036" s="98"/>
      <c r="R3036" s="50"/>
      <c r="S3036" s="47"/>
      <c r="T3036" s="98"/>
      <c r="U3036" s="98"/>
      <c r="AG3036" s="605"/>
      <c r="AH3036" s="605"/>
    </row>
    <row r="3037" spans="7:34" ht="19.5" customHeight="1">
      <c r="G3037" s="98"/>
      <c r="R3037" s="50"/>
      <c r="S3037" s="47"/>
      <c r="T3037" s="98"/>
      <c r="U3037" s="98"/>
      <c r="AG3037" s="605"/>
      <c r="AH3037" s="605"/>
    </row>
    <row r="3038" spans="7:34" ht="19.5" customHeight="1">
      <c r="G3038" s="98"/>
      <c r="R3038" s="50"/>
      <c r="S3038" s="47"/>
      <c r="T3038" s="98"/>
      <c r="U3038" s="98"/>
      <c r="AG3038" s="605"/>
      <c r="AH3038" s="605"/>
    </row>
    <row r="3039" spans="7:34" ht="19.5" customHeight="1">
      <c r="G3039" s="98"/>
      <c r="R3039" s="50"/>
      <c r="S3039" s="47"/>
      <c r="T3039" s="98"/>
      <c r="U3039" s="98"/>
      <c r="AG3039" s="605"/>
      <c r="AH3039" s="605"/>
    </row>
    <row r="3040" spans="7:34" ht="19.5" customHeight="1">
      <c r="G3040" s="98"/>
      <c r="R3040" s="50"/>
      <c r="S3040" s="47"/>
      <c r="T3040" s="98"/>
      <c r="U3040" s="98"/>
      <c r="AG3040" s="605"/>
      <c r="AH3040" s="605"/>
    </row>
    <row r="3041" spans="7:34" ht="19.5" customHeight="1">
      <c r="G3041" s="98"/>
      <c r="R3041" s="50"/>
      <c r="S3041" s="47"/>
      <c r="T3041" s="98"/>
      <c r="U3041" s="98"/>
      <c r="AG3041" s="605"/>
      <c r="AH3041" s="605"/>
    </row>
    <row r="3042" spans="7:34" ht="19.5" customHeight="1">
      <c r="G3042" s="98"/>
      <c r="R3042" s="50"/>
      <c r="S3042" s="47"/>
      <c r="T3042" s="98"/>
      <c r="U3042" s="98"/>
      <c r="AG3042" s="605"/>
      <c r="AH3042" s="605"/>
    </row>
    <row r="3043" spans="7:34" ht="19.5" customHeight="1">
      <c r="G3043" s="98"/>
      <c r="R3043" s="50"/>
      <c r="S3043" s="47"/>
      <c r="T3043" s="98"/>
      <c r="U3043" s="98"/>
      <c r="AG3043" s="605"/>
      <c r="AH3043" s="605"/>
    </row>
    <row r="3044" spans="7:34" ht="19.5" customHeight="1">
      <c r="G3044" s="98"/>
      <c r="R3044" s="50"/>
      <c r="S3044" s="47"/>
      <c r="T3044" s="98"/>
      <c r="U3044" s="98"/>
      <c r="AG3044" s="605"/>
      <c r="AH3044" s="605"/>
    </row>
    <row r="3045" spans="7:34" ht="19.5" customHeight="1">
      <c r="G3045" s="98"/>
      <c r="R3045" s="50"/>
      <c r="S3045" s="47"/>
      <c r="T3045" s="98"/>
      <c r="U3045" s="98"/>
      <c r="AG3045" s="605"/>
      <c r="AH3045" s="605"/>
    </row>
    <row r="3046" spans="7:34" ht="19.5" customHeight="1">
      <c r="G3046" s="98"/>
      <c r="R3046" s="50"/>
      <c r="S3046" s="47"/>
      <c r="T3046" s="98"/>
      <c r="U3046" s="98"/>
      <c r="AG3046" s="605"/>
      <c r="AH3046" s="605"/>
    </row>
    <row r="3047" spans="7:34" ht="19.5" customHeight="1">
      <c r="G3047" s="98"/>
      <c r="R3047" s="50"/>
      <c r="S3047" s="47"/>
      <c r="T3047" s="98"/>
      <c r="U3047" s="98"/>
      <c r="AG3047" s="605"/>
      <c r="AH3047" s="605"/>
    </row>
    <row r="3048" spans="7:34" ht="19.5" customHeight="1">
      <c r="G3048" s="98"/>
      <c r="R3048" s="50"/>
      <c r="S3048" s="47"/>
      <c r="T3048" s="98"/>
      <c r="U3048" s="98"/>
      <c r="AG3048" s="605"/>
      <c r="AH3048" s="605"/>
    </row>
    <row r="3049" spans="7:34" ht="19.5" customHeight="1">
      <c r="G3049" s="98"/>
      <c r="R3049" s="50"/>
      <c r="S3049" s="47"/>
      <c r="T3049" s="98"/>
      <c r="U3049" s="98"/>
      <c r="AG3049" s="605"/>
      <c r="AH3049" s="605"/>
    </row>
    <row r="3050" spans="7:34" ht="19.5" customHeight="1">
      <c r="G3050" s="98"/>
      <c r="R3050" s="50"/>
      <c r="S3050" s="47"/>
      <c r="T3050" s="98"/>
      <c r="U3050" s="98"/>
      <c r="AG3050" s="605"/>
      <c r="AH3050" s="605"/>
    </row>
    <row r="3051" spans="7:34" ht="19.5" customHeight="1">
      <c r="G3051" s="98"/>
      <c r="R3051" s="50"/>
      <c r="S3051" s="47"/>
      <c r="T3051" s="98"/>
      <c r="U3051" s="98"/>
      <c r="AG3051" s="605"/>
      <c r="AH3051" s="605"/>
    </row>
    <row r="3052" spans="7:34" ht="19.5" customHeight="1">
      <c r="G3052" s="98"/>
      <c r="R3052" s="50"/>
      <c r="S3052" s="47"/>
      <c r="T3052" s="98"/>
      <c r="U3052" s="98"/>
      <c r="AG3052" s="605"/>
      <c r="AH3052" s="605"/>
    </row>
    <row r="3053" spans="7:34" ht="19.5" customHeight="1">
      <c r="G3053" s="98"/>
      <c r="R3053" s="50"/>
      <c r="S3053" s="47"/>
      <c r="T3053" s="98"/>
      <c r="U3053" s="98"/>
      <c r="AG3053" s="605"/>
      <c r="AH3053" s="605"/>
    </row>
    <row r="3054" spans="7:34" ht="19.5" customHeight="1">
      <c r="G3054" s="98"/>
      <c r="R3054" s="50"/>
      <c r="S3054" s="47"/>
      <c r="T3054" s="98"/>
      <c r="U3054" s="98"/>
      <c r="AG3054" s="605"/>
      <c r="AH3054" s="605"/>
    </row>
    <row r="3055" spans="7:34" ht="19.5" customHeight="1">
      <c r="G3055" s="98"/>
      <c r="R3055" s="50"/>
      <c r="S3055" s="47"/>
      <c r="T3055" s="98"/>
      <c r="U3055" s="98"/>
      <c r="AG3055" s="605"/>
      <c r="AH3055" s="605"/>
    </row>
    <row r="3056" spans="7:34" ht="19.5" customHeight="1">
      <c r="G3056" s="98"/>
      <c r="R3056" s="50"/>
      <c r="S3056" s="47"/>
      <c r="T3056" s="98"/>
      <c r="U3056" s="98"/>
      <c r="AG3056" s="605"/>
      <c r="AH3056" s="605"/>
    </row>
    <row r="3057" spans="7:34" ht="19.5" customHeight="1">
      <c r="G3057" s="98"/>
      <c r="R3057" s="50"/>
      <c r="S3057" s="47"/>
      <c r="T3057" s="98"/>
      <c r="U3057" s="98"/>
      <c r="AG3057" s="605"/>
      <c r="AH3057" s="605"/>
    </row>
    <row r="3058" spans="7:34" ht="19.5" customHeight="1">
      <c r="G3058" s="98"/>
      <c r="R3058" s="50"/>
      <c r="S3058" s="47"/>
      <c r="T3058" s="98"/>
      <c r="U3058" s="98"/>
      <c r="AG3058" s="605"/>
      <c r="AH3058" s="605"/>
    </row>
    <row r="3059" spans="7:34" ht="19.5" customHeight="1">
      <c r="G3059" s="98"/>
      <c r="R3059" s="50"/>
      <c r="S3059" s="47"/>
      <c r="T3059" s="98"/>
      <c r="U3059" s="98"/>
      <c r="AG3059" s="605"/>
      <c r="AH3059" s="605"/>
    </row>
    <row r="3060" spans="7:34" ht="19.5" customHeight="1">
      <c r="G3060" s="98"/>
      <c r="R3060" s="50"/>
      <c r="S3060" s="47"/>
      <c r="T3060" s="98"/>
      <c r="U3060" s="98"/>
      <c r="AG3060" s="605"/>
      <c r="AH3060" s="605"/>
    </row>
    <row r="3061" spans="7:34" ht="19.5" customHeight="1">
      <c r="G3061" s="98"/>
      <c r="R3061" s="50"/>
      <c r="S3061" s="47"/>
      <c r="T3061" s="98"/>
      <c r="U3061" s="98"/>
      <c r="AG3061" s="605"/>
      <c r="AH3061" s="605"/>
    </row>
    <row r="3062" spans="7:34" ht="19.5" customHeight="1">
      <c r="G3062" s="98"/>
      <c r="R3062" s="50"/>
      <c r="S3062" s="47"/>
      <c r="T3062" s="98"/>
      <c r="U3062" s="98"/>
      <c r="AG3062" s="605"/>
      <c r="AH3062" s="605"/>
    </row>
    <row r="3063" spans="7:34" ht="19.5" customHeight="1">
      <c r="G3063" s="98"/>
      <c r="R3063" s="50"/>
      <c r="S3063" s="47"/>
      <c r="T3063" s="98"/>
      <c r="U3063" s="98"/>
      <c r="AG3063" s="605"/>
      <c r="AH3063" s="605"/>
    </row>
    <row r="3064" spans="7:34" ht="19.5" customHeight="1">
      <c r="G3064" s="98"/>
      <c r="R3064" s="50"/>
      <c r="S3064" s="47"/>
      <c r="T3064" s="98"/>
      <c r="U3064" s="98"/>
      <c r="AG3064" s="605"/>
      <c r="AH3064" s="605"/>
    </row>
    <row r="3065" spans="7:34" ht="19.5" customHeight="1">
      <c r="G3065" s="98"/>
      <c r="R3065" s="50"/>
      <c r="S3065" s="47"/>
      <c r="T3065" s="98"/>
      <c r="U3065" s="98"/>
      <c r="AG3065" s="605"/>
      <c r="AH3065" s="605"/>
    </row>
    <row r="3066" spans="7:34" ht="19.5" customHeight="1">
      <c r="G3066" s="98"/>
      <c r="R3066" s="50"/>
      <c r="S3066" s="47"/>
      <c r="T3066" s="98"/>
      <c r="U3066" s="98"/>
      <c r="AG3066" s="605"/>
      <c r="AH3066" s="605"/>
    </row>
    <row r="3067" spans="7:34" ht="19.5" customHeight="1">
      <c r="G3067" s="98"/>
      <c r="R3067" s="50"/>
      <c r="S3067" s="47"/>
      <c r="T3067" s="98"/>
      <c r="U3067" s="98"/>
      <c r="AG3067" s="605"/>
      <c r="AH3067" s="605"/>
    </row>
    <row r="3068" spans="7:34" ht="19.5" customHeight="1">
      <c r="G3068" s="98"/>
      <c r="R3068" s="50"/>
      <c r="S3068" s="47"/>
      <c r="T3068" s="98"/>
      <c r="U3068" s="98"/>
      <c r="AG3068" s="605"/>
      <c r="AH3068" s="605"/>
    </row>
    <row r="3069" spans="7:34" ht="19.5" customHeight="1">
      <c r="G3069" s="98"/>
      <c r="R3069" s="50"/>
      <c r="S3069" s="47"/>
      <c r="T3069" s="98"/>
      <c r="U3069" s="98"/>
      <c r="AG3069" s="605"/>
      <c r="AH3069" s="605"/>
    </row>
    <row r="3070" spans="7:34" ht="19.5" customHeight="1">
      <c r="G3070" s="98"/>
      <c r="R3070" s="50"/>
      <c r="S3070" s="47"/>
      <c r="T3070" s="98"/>
      <c r="U3070" s="98"/>
      <c r="AG3070" s="605"/>
      <c r="AH3070" s="605"/>
    </row>
    <row r="3071" spans="7:34" ht="19.5" customHeight="1">
      <c r="G3071" s="98"/>
      <c r="R3071" s="50"/>
      <c r="S3071" s="47"/>
      <c r="T3071" s="98"/>
      <c r="U3071" s="98"/>
      <c r="AG3071" s="605"/>
      <c r="AH3071" s="605"/>
    </row>
    <row r="3072" spans="7:34" ht="19.5" customHeight="1">
      <c r="G3072" s="98"/>
      <c r="R3072" s="50"/>
      <c r="S3072" s="47"/>
      <c r="T3072" s="98"/>
      <c r="U3072" s="98"/>
      <c r="AG3072" s="605"/>
      <c r="AH3072" s="605"/>
    </row>
    <row r="3073" spans="7:34" ht="19.5" customHeight="1">
      <c r="G3073" s="98"/>
      <c r="R3073" s="50"/>
      <c r="S3073" s="47"/>
      <c r="T3073" s="98"/>
      <c r="U3073" s="98"/>
      <c r="AG3073" s="605"/>
      <c r="AH3073" s="605"/>
    </row>
    <row r="3074" spans="7:34" ht="19.5" customHeight="1">
      <c r="G3074" s="98"/>
      <c r="R3074" s="50"/>
      <c r="S3074" s="47"/>
      <c r="T3074" s="98"/>
      <c r="U3074" s="98"/>
      <c r="AG3074" s="605"/>
      <c r="AH3074" s="605"/>
    </row>
    <row r="3075" spans="7:34" ht="19.5" customHeight="1">
      <c r="G3075" s="98"/>
      <c r="R3075" s="50"/>
      <c r="S3075" s="47"/>
      <c r="T3075" s="98"/>
      <c r="U3075" s="98"/>
      <c r="AG3075" s="605"/>
      <c r="AH3075" s="605"/>
    </row>
    <row r="3076" spans="7:34" ht="19.5" customHeight="1">
      <c r="G3076" s="98"/>
      <c r="R3076" s="50"/>
      <c r="S3076" s="47"/>
      <c r="T3076" s="98"/>
      <c r="U3076" s="98"/>
      <c r="AG3076" s="605"/>
      <c r="AH3076" s="605"/>
    </row>
    <row r="3077" spans="7:34" ht="19.5" customHeight="1">
      <c r="G3077" s="98"/>
      <c r="R3077" s="50"/>
      <c r="S3077" s="47"/>
      <c r="T3077" s="98"/>
      <c r="U3077" s="98"/>
      <c r="AG3077" s="605"/>
      <c r="AH3077" s="605"/>
    </row>
    <row r="3078" spans="7:34" ht="19.5" customHeight="1">
      <c r="G3078" s="98"/>
      <c r="R3078" s="50"/>
      <c r="S3078" s="47"/>
      <c r="T3078" s="98"/>
      <c r="U3078" s="98"/>
      <c r="AG3078" s="605"/>
      <c r="AH3078" s="605"/>
    </row>
    <row r="3079" spans="7:34" ht="19.5" customHeight="1">
      <c r="G3079" s="98"/>
      <c r="R3079" s="50"/>
      <c r="S3079" s="47"/>
      <c r="T3079" s="98"/>
      <c r="U3079" s="98"/>
      <c r="AG3079" s="605"/>
      <c r="AH3079" s="605"/>
    </row>
    <row r="3080" spans="7:34" ht="19.5" customHeight="1">
      <c r="G3080" s="98"/>
      <c r="R3080" s="50"/>
      <c r="S3080" s="47"/>
      <c r="T3080" s="98"/>
      <c r="U3080" s="98"/>
      <c r="AG3080" s="605"/>
      <c r="AH3080" s="605"/>
    </row>
    <row r="3081" spans="7:34" ht="19.5" customHeight="1">
      <c r="G3081" s="98"/>
      <c r="R3081" s="50"/>
      <c r="S3081" s="47"/>
      <c r="T3081" s="98"/>
      <c r="U3081" s="98"/>
      <c r="AG3081" s="605"/>
      <c r="AH3081" s="605"/>
    </row>
    <row r="3082" spans="7:34" ht="19.5" customHeight="1">
      <c r="G3082" s="98"/>
      <c r="R3082" s="50"/>
      <c r="S3082" s="47"/>
      <c r="T3082" s="98"/>
      <c r="U3082" s="98"/>
      <c r="AG3082" s="605"/>
      <c r="AH3082" s="605"/>
    </row>
    <row r="3083" spans="7:34" ht="19.5" customHeight="1">
      <c r="G3083" s="98"/>
      <c r="R3083" s="50"/>
      <c r="S3083" s="47"/>
      <c r="T3083" s="98"/>
      <c r="U3083" s="98"/>
      <c r="AG3083" s="605"/>
      <c r="AH3083" s="605"/>
    </row>
    <row r="3084" spans="7:34" ht="19.5" customHeight="1">
      <c r="G3084" s="98"/>
      <c r="R3084" s="50"/>
      <c r="S3084" s="47"/>
      <c r="T3084" s="98"/>
      <c r="U3084" s="98"/>
      <c r="AG3084" s="605"/>
      <c r="AH3084" s="605"/>
    </row>
    <row r="3085" spans="7:34" ht="19.5" customHeight="1">
      <c r="G3085" s="98"/>
      <c r="R3085" s="50"/>
      <c r="S3085" s="47"/>
      <c r="T3085" s="98"/>
      <c r="U3085" s="98"/>
      <c r="AG3085" s="605"/>
      <c r="AH3085" s="605"/>
    </row>
    <row r="3086" spans="7:34" ht="19.5" customHeight="1">
      <c r="G3086" s="98"/>
      <c r="R3086" s="50"/>
      <c r="S3086" s="47"/>
      <c r="T3086" s="98"/>
      <c r="U3086" s="98"/>
      <c r="AG3086" s="605"/>
      <c r="AH3086" s="605"/>
    </row>
    <row r="3087" spans="7:34" ht="19.5" customHeight="1">
      <c r="G3087" s="98"/>
      <c r="R3087" s="50"/>
      <c r="S3087" s="47"/>
      <c r="T3087" s="98"/>
      <c r="U3087" s="98"/>
      <c r="AG3087" s="605"/>
      <c r="AH3087" s="605"/>
    </row>
    <row r="3088" spans="7:34" ht="19.5" customHeight="1">
      <c r="G3088" s="98"/>
      <c r="R3088" s="50"/>
      <c r="S3088" s="47"/>
      <c r="T3088" s="98"/>
      <c r="U3088" s="98"/>
      <c r="AG3088" s="605"/>
      <c r="AH3088" s="605"/>
    </row>
    <row r="3089" spans="7:34" ht="19.5" customHeight="1">
      <c r="G3089" s="98"/>
      <c r="R3089" s="50"/>
      <c r="S3089" s="47"/>
      <c r="T3089" s="98"/>
      <c r="U3089" s="98"/>
      <c r="AG3089" s="605"/>
      <c r="AH3089" s="605"/>
    </row>
    <row r="3090" spans="7:34" ht="19.5" customHeight="1">
      <c r="G3090" s="98"/>
      <c r="R3090" s="50"/>
      <c r="S3090" s="47"/>
      <c r="T3090" s="98"/>
      <c r="U3090" s="98"/>
      <c r="AG3090" s="605"/>
      <c r="AH3090" s="605"/>
    </row>
    <row r="3091" spans="7:34" ht="19.5" customHeight="1">
      <c r="G3091" s="98"/>
      <c r="R3091" s="50"/>
      <c r="S3091" s="47"/>
      <c r="T3091" s="98"/>
      <c r="U3091" s="98"/>
      <c r="AG3091" s="605"/>
      <c r="AH3091" s="605"/>
    </row>
    <row r="3092" spans="7:34" ht="19.5" customHeight="1">
      <c r="G3092" s="98"/>
      <c r="R3092" s="50"/>
      <c r="S3092" s="47"/>
      <c r="T3092" s="98"/>
      <c r="U3092" s="98"/>
      <c r="AG3092" s="605"/>
      <c r="AH3092" s="605"/>
    </row>
    <row r="3093" spans="7:34" ht="19.5" customHeight="1">
      <c r="G3093" s="98"/>
      <c r="R3093" s="50"/>
      <c r="S3093" s="47"/>
      <c r="T3093" s="98"/>
      <c r="U3093" s="98"/>
      <c r="AG3093" s="605"/>
      <c r="AH3093" s="605"/>
    </row>
    <row r="3094" spans="7:34" ht="19.5" customHeight="1">
      <c r="G3094" s="98"/>
      <c r="R3094" s="50"/>
      <c r="S3094" s="47"/>
      <c r="T3094" s="98"/>
      <c r="U3094" s="98"/>
      <c r="AG3094" s="605"/>
      <c r="AH3094" s="605"/>
    </row>
    <row r="3095" spans="7:34" ht="19.5" customHeight="1">
      <c r="G3095" s="98"/>
      <c r="R3095" s="50"/>
      <c r="S3095" s="47"/>
      <c r="T3095" s="98"/>
      <c r="U3095" s="98"/>
      <c r="AG3095" s="605"/>
      <c r="AH3095" s="605"/>
    </row>
    <row r="3096" spans="7:34" ht="19.5" customHeight="1">
      <c r="G3096" s="98"/>
      <c r="R3096" s="50"/>
      <c r="S3096" s="47"/>
      <c r="T3096" s="98"/>
      <c r="U3096" s="98"/>
      <c r="AG3096" s="605"/>
      <c r="AH3096" s="605"/>
    </row>
    <row r="3097" spans="7:34" ht="19.5" customHeight="1">
      <c r="G3097" s="98"/>
      <c r="R3097" s="50"/>
      <c r="S3097" s="47"/>
      <c r="T3097" s="98"/>
      <c r="U3097" s="98"/>
      <c r="AG3097" s="605"/>
      <c r="AH3097" s="605"/>
    </row>
    <row r="3098" spans="7:34" ht="19.5" customHeight="1">
      <c r="G3098" s="98"/>
      <c r="R3098" s="50"/>
      <c r="S3098" s="47"/>
      <c r="T3098" s="98"/>
      <c r="U3098" s="98"/>
      <c r="AG3098" s="605"/>
      <c r="AH3098" s="605"/>
    </row>
    <row r="3099" spans="7:34" ht="19.5" customHeight="1">
      <c r="G3099" s="98"/>
      <c r="R3099" s="50"/>
      <c r="S3099" s="47"/>
      <c r="T3099" s="98"/>
      <c r="U3099" s="98"/>
      <c r="AG3099" s="605"/>
      <c r="AH3099" s="605"/>
    </row>
    <row r="3100" spans="7:34" ht="19.5" customHeight="1">
      <c r="G3100" s="98"/>
      <c r="R3100" s="50"/>
      <c r="S3100" s="47"/>
      <c r="T3100" s="98"/>
      <c r="U3100" s="98"/>
      <c r="AG3100" s="605"/>
      <c r="AH3100" s="605"/>
    </row>
    <row r="3101" spans="7:34" ht="19.5" customHeight="1">
      <c r="G3101" s="98"/>
      <c r="R3101" s="50"/>
      <c r="S3101" s="47"/>
      <c r="T3101" s="98"/>
      <c r="U3101" s="98"/>
      <c r="AG3101" s="605"/>
      <c r="AH3101" s="605"/>
    </row>
    <row r="3102" spans="7:34" ht="19.5" customHeight="1">
      <c r="G3102" s="98"/>
      <c r="R3102" s="50"/>
      <c r="S3102" s="47"/>
      <c r="T3102" s="98"/>
      <c r="U3102" s="98"/>
      <c r="AG3102" s="605"/>
      <c r="AH3102" s="605"/>
    </row>
    <row r="3103" spans="7:34" ht="19.5" customHeight="1">
      <c r="G3103" s="98"/>
      <c r="R3103" s="50"/>
      <c r="S3103" s="47"/>
      <c r="T3103" s="98"/>
      <c r="U3103" s="98"/>
      <c r="AG3103" s="605"/>
      <c r="AH3103" s="605"/>
    </row>
    <row r="3104" spans="7:34" ht="19.5" customHeight="1">
      <c r="G3104" s="98"/>
      <c r="R3104" s="50"/>
      <c r="S3104" s="47"/>
      <c r="T3104" s="98"/>
      <c r="U3104" s="98"/>
      <c r="AG3104" s="605"/>
      <c r="AH3104" s="605"/>
    </row>
    <row r="3105" spans="7:34" ht="19.5" customHeight="1">
      <c r="G3105" s="98"/>
      <c r="R3105" s="50"/>
      <c r="S3105" s="47"/>
      <c r="T3105" s="98"/>
      <c r="U3105" s="98"/>
      <c r="AG3105" s="605"/>
      <c r="AH3105" s="605"/>
    </row>
    <row r="3106" spans="7:34" ht="19.5" customHeight="1">
      <c r="G3106" s="98"/>
      <c r="R3106" s="50"/>
      <c r="S3106" s="47"/>
      <c r="T3106" s="98"/>
      <c r="U3106" s="98"/>
      <c r="AG3106" s="605"/>
      <c r="AH3106" s="605"/>
    </row>
    <row r="3107" spans="7:34" ht="19.5" customHeight="1">
      <c r="G3107" s="98"/>
      <c r="R3107" s="50"/>
      <c r="S3107" s="47"/>
      <c r="T3107" s="98"/>
      <c r="U3107" s="98"/>
      <c r="AG3107" s="605"/>
      <c r="AH3107" s="605"/>
    </row>
    <row r="3108" spans="7:34" ht="19.5" customHeight="1">
      <c r="G3108" s="98"/>
      <c r="R3108" s="50"/>
      <c r="S3108" s="47"/>
      <c r="T3108" s="98"/>
      <c r="U3108" s="98"/>
      <c r="AG3108" s="605"/>
      <c r="AH3108" s="605"/>
    </row>
    <row r="3109" spans="7:34" ht="19.5" customHeight="1">
      <c r="G3109" s="98"/>
      <c r="R3109" s="50"/>
      <c r="S3109" s="47"/>
      <c r="T3109" s="98"/>
      <c r="U3109" s="98"/>
      <c r="AG3109" s="605"/>
      <c r="AH3109" s="605"/>
    </row>
    <row r="3110" spans="7:34" ht="19.5" customHeight="1">
      <c r="G3110" s="98"/>
      <c r="R3110" s="50"/>
      <c r="S3110" s="47"/>
      <c r="T3110" s="98"/>
      <c r="U3110" s="98"/>
      <c r="AG3110" s="605"/>
      <c r="AH3110" s="605"/>
    </row>
    <row r="3111" spans="7:34" ht="19.5" customHeight="1">
      <c r="G3111" s="98"/>
      <c r="R3111" s="50"/>
      <c r="S3111" s="47"/>
      <c r="T3111" s="98"/>
      <c r="U3111" s="98"/>
      <c r="AG3111" s="605"/>
      <c r="AH3111" s="605"/>
    </row>
    <row r="3112" spans="7:34" ht="19.5" customHeight="1">
      <c r="G3112" s="98"/>
      <c r="R3112" s="50"/>
      <c r="S3112" s="47"/>
      <c r="T3112" s="98"/>
      <c r="U3112" s="98"/>
      <c r="AG3112" s="605"/>
      <c r="AH3112" s="605"/>
    </row>
    <row r="3113" spans="7:34" ht="19.5" customHeight="1">
      <c r="G3113" s="98"/>
      <c r="R3113" s="50"/>
      <c r="S3113" s="47"/>
      <c r="T3113" s="98"/>
      <c r="U3113" s="98"/>
      <c r="AG3113" s="605"/>
      <c r="AH3113" s="605"/>
    </row>
    <row r="3114" spans="7:34" ht="19.5" customHeight="1">
      <c r="G3114" s="98"/>
      <c r="R3114" s="50"/>
      <c r="S3114" s="47"/>
      <c r="T3114" s="98"/>
      <c r="U3114" s="98"/>
      <c r="AG3114" s="605"/>
      <c r="AH3114" s="605"/>
    </row>
    <row r="3115" spans="7:34" ht="19.5" customHeight="1">
      <c r="G3115" s="98"/>
      <c r="R3115" s="50"/>
      <c r="S3115" s="47"/>
      <c r="T3115" s="98"/>
      <c r="U3115" s="98"/>
      <c r="AG3115" s="605"/>
      <c r="AH3115" s="605"/>
    </row>
    <row r="3116" spans="7:34" ht="19.5" customHeight="1">
      <c r="G3116" s="98"/>
      <c r="R3116" s="50"/>
      <c r="S3116" s="47"/>
      <c r="T3116" s="98"/>
      <c r="U3116" s="98"/>
      <c r="AG3116" s="605"/>
      <c r="AH3116" s="605"/>
    </row>
    <row r="3117" spans="7:34" ht="19.5" customHeight="1">
      <c r="G3117" s="98"/>
      <c r="R3117" s="50"/>
      <c r="S3117" s="47"/>
      <c r="T3117" s="98"/>
      <c r="U3117" s="98"/>
      <c r="AG3117" s="605"/>
      <c r="AH3117" s="605"/>
    </row>
    <row r="3118" spans="7:34" ht="19.5" customHeight="1">
      <c r="G3118" s="98"/>
      <c r="R3118" s="50"/>
      <c r="S3118" s="47"/>
      <c r="T3118" s="98"/>
      <c r="U3118" s="98"/>
      <c r="AG3118" s="605"/>
      <c r="AH3118" s="605"/>
    </row>
    <row r="3119" spans="7:34" ht="19.5" customHeight="1">
      <c r="G3119" s="98"/>
      <c r="R3119" s="50"/>
      <c r="S3119" s="47"/>
      <c r="T3119" s="98"/>
      <c r="U3119" s="98"/>
      <c r="AG3119" s="605"/>
      <c r="AH3119" s="605"/>
    </row>
    <row r="3120" spans="7:34" ht="19.5" customHeight="1">
      <c r="G3120" s="98"/>
      <c r="R3120" s="50"/>
      <c r="S3120" s="47"/>
      <c r="T3120" s="98"/>
      <c r="U3120" s="98"/>
      <c r="AG3120" s="605"/>
      <c r="AH3120" s="605"/>
    </row>
    <row r="3121" spans="7:34" ht="19.5" customHeight="1">
      <c r="G3121" s="98"/>
      <c r="R3121" s="50"/>
      <c r="S3121" s="47"/>
      <c r="T3121" s="98"/>
      <c r="U3121" s="98"/>
      <c r="AG3121" s="605"/>
      <c r="AH3121" s="605"/>
    </row>
    <row r="3122" spans="7:34" ht="19.5" customHeight="1">
      <c r="G3122" s="98"/>
      <c r="R3122" s="50"/>
      <c r="S3122" s="47"/>
      <c r="T3122" s="98"/>
      <c r="U3122" s="98"/>
      <c r="AG3122" s="605"/>
      <c r="AH3122" s="605"/>
    </row>
    <row r="3123" spans="7:34" ht="19.5" customHeight="1">
      <c r="G3123" s="98"/>
      <c r="R3123" s="50"/>
      <c r="S3123" s="47"/>
      <c r="T3123" s="98"/>
      <c r="U3123" s="98"/>
      <c r="AG3123" s="605"/>
      <c r="AH3123" s="605"/>
    </row>
    <row r="3124" spans="7:34" ht="19.5" customHeight="1">
      <c r="G3124" s="98"/>
      <c r="R3124" s="50"/>
      <c r="S3124" s="47"/>
      <c r="T3124" s="98"/>
      <c r="U3124" s="98"/>
      <c r="AG3124" s="605"/>
      <c r="AH3124" s="605"/>
    </row>
    <row r="3125" spans="7:34" ht="19.5" customHeight="1">
      <c r="G3125" s="98"/>
      <c r="R3125" s="50"/>
      <c r="S3125" s="47"/>
      <c r="T3125" s="98"/>
      <c r="U3125" s="98"/>
      <c r="AG3125" s="605"/>
      <c r="AH3125" s="605"/>
    </row>
    <row r="3126" spans="7:34" ht="19.5" customHeight="1">
      <c r="G3126" s="98"/>
      <c r="R3126" s="50"/>
      <c r="S3126" s="47"/>
      <c r="T3126" s="98"/>
      <c r="U3126" s="98"/>
      <c r="AG3126" s="605"/>
      <c r="AH3126" s="605"/>
    </row>
    <row r="3127" spans="7:34" ht="19.5" customHeight="1">
      <c r="G3127" s="98"/>
      <c r="R3127" s="50"/>
      <c r="S3127" s="47"/>
      <c r="T3127" s="98"/>
      <c r="U3127" s="98"/>
      <c r="AG3127" s="605"/>
      <c r="AH3127" s="605"/>
    </row>
    <row r="3128" spans="7:34" ht="19.5" customHeight="1">
      <c r="G3128" s="98"/>
      <c r="R3128" s="50"/>
      <c r="S3128" s="47"/>
      <c r="T3128" s="98"/>
      <c r="U3128" s="98"/>
      <c r="AG3128" s="605"/>
      <c r="AH3128" s="605"/>
    </row>
    <row r="3129" spans="7:34" ht="19.5" customHeight="1">
      <c r="G3129" s="98"/>
      <c r="R3129" s="50"/>
      <c r="S3129" s="47"/>
      <c r="T3129" s="98"/>
      <c r="U3129" s="98"/>
      <c r="AG3129" s="605"/>
      <c r="AH3129" s="605"/>
    </row>
    <row r="3130" spans="7:34" ht="19.5" customHeight="1">
      <c r="G3130" s="98"/>
      <c r="R3130" s="50"/>
      <c r="S3130" s="47"/>
      <c r="T3130" s="98"/>
      <c r="U3130" s="98"/>
      <c r="AG3130" s="605"/>
      <c r="AH3130" s="605"/>
    </row>
    <row r="3131" spans="7:34" ht="19.5" customHeight="1">
      <c r="G3131" s="98"/>
      <c r="R3131" s="50"/>
      <c r="S3131" s="47"/>
      <c r="T3131" s="98"/>
      <c r="U3131" s="98"/>
      <c r="AG3131" s="605"/>
      <c r="AH3131" s="605"/>
    </row>
    <row r="3132" spans="7:34" ht="19.5" customHeight="1">
      <c r="G3132" s="98"/>
      <c r="R3132" s="50"/>
      <c r="S3132" s="47"/>
      <c r="T3132" s="98"/>
      <c r="U3132" s="98"/>
      <c r="AG3132" s="605"/>
      <c r="AH3132" s="605"/>
    </row>
    <row r="3133" spans="7:34" ht="19.5" customHeight="1">
      <c r="G3133" s="98"/>
      <c r="R3133" s="50"/>
      <c r="S3133" s="47"/>
      <c r="T3133" s="98"/>
      <c r="U3133" s="98"/>
      <c r="AG3133" s="605"/>
      <c r="AH3133" s="605"/>
    </row>
    <row r="3134" spans="7:34" ht="19.5" customHeight="1">
      <c r="G3134" s="98"/>
      <c r="R3134" s="50"/>
      <c r="S3134" s="47"/>
      <c r="T3134" s="98"/>
      <c r="U3134" s="98"/>
      <c r="AG3134" s="605"/>
      <c r="AH3134" s="605"/>
    </row>
    <row r="3135" spans="7:34" ht="19.5" customHeight="1">
      <c r="G3135" s="98"/>
      <c r="R3135" s="50"/>
      <c r="S3135" s="47"/>
      <c r="T3135" s="98"/>
      <c r="U3135" s="98"/>
      <c r="AG3135" s="605"/>
      <c r="AH3135" s="605"/>
    </row>
    <row r="3136" spans="7:34" ht="19.5" customHeight="1">
      <c r="G3136" s="98"/>
      <c r="R3136" s="50"/>
      <c r="S3136" s="47"/>
      <c r="T3136" s="98"/>
      <c r="U3136" s="98"/>
      <c r="AG3136" s="605"/>
      <c r="AH3136" s="605"/>
    </row>
    <row r="3137" spans="7:34" ht="19.5" customHeight="1">
      <c r="G3137" s="98"/>
      <c r="R3137" s="50"/>
      <c r="S3137" s="47"/>
      <c r="T3137" s="98"/>
      <c r="U3137" s="98"/>
      <c r="AG3137" s="605"/>
      <c r="AH3137" s="605"/>
    </row>
    <row r="3138" spans="7:34" ht="19.5" customHeight="1">
      <c r="G3138" s="98"/>
      <c r="R3138" s="50"/>
      <c r="S3138" s="47"/>
      <c r="T3138" s="98"/>
      <c r="U3138" s="98"/>
      <c r="AG3138" s="605"/>
      <c r="AH3138" s="605"/>
    </row>
    <row r="3139" spans="7:34" ht="19.5" customHeight="1">
      <c r="G3139" s="98"/>
      <c r="R3139" s="50"/>
      <c r="S3139" s="47"/>
      <c r="T3139" s="98"/>
      <c r="U3139" s="98"/>
      <c r="AG3139" s="605"/>
      <c r="AH3139" s="605"/>
    </row>
    <row r="3140" spans="7:34" ht="19.5" customHeight="1">
      <c r="G3140" s="98"/>
      <c r="R3140" s="50"/>
      <c r="S3140" s="47"/>
      <c r="T3140" s="98"/>
      <c r="U3140" s="98"/>
      <c r="AG3140" s="605"/>
      <c r="AH3140" s="605"/>
    </row>
    <row r="3141" spans="7:34" ht="19.5" customHeight="1">
      <c r="G3141" s="98"/>
      <c r="R3141" s="50"/>
      <c r="S3141" s="47"/>
      <c r="T3141" s="98"/>
      <c r="U3141" s="98"/>
      <c r="AG3141" s="605"/>
      <c r="AH3141" s="605"/>
    </row>
    <row r="3142" spans="7:34" ht="19.5" customHeight="1">
      <c r="G3142" s="98"/>
      <c r="R3142" s="50"/>
      <c r="S3142" s="47"/>
      <c r="T3142" s="98"/>
      <c r="U3142" s="98"/>
      <c r="AG3142" s="605"/>
      <c r="AH3142" s="605"/>
    </row>
    <row r="3143" spans="7:34" ht="19.5" customHeight="1">
      <c r="G3143" s="98"/>
      <c r="R3143" s="50"/>
      <c r="S3143" s="47"/>
      <c r="T3143" s="98"/>
      <c r="U3143" s="98"/>
      <c r="AG3143" s="605"/>
      <c r="AH3143" s="605"/>
    </row>
    <row r="3144" spans="7:34" ht="19.5" customHeight="1">
      <c r="G3144" s="98"/>
      <c r="R3144" s="50"/>
      <c r="S3144" s="47"/>
      <c r="T3144" s="98"/>
      <c r="U3144" s="98"/>
      <c r="AG3144" s="605"/>
      <c r="AH3144" s="605"/>
    </row>
    <row r="3145" spans="7:34" ht="19.5" customHeight="1">
      <c r="G3145" s="98"/>
      <c r="R3145" s="50"/>
      <c r="S3145" s="47"/>
      <c r="T3145" s="98"/>
      <c r="U3145" s="98"/>
      <c r="AG3145" s="605"/>
      <c r="AH3145" s="605"/>
    </row>
    <row r="3146" spans="7:34" ht="19.5" customHeight="1">
      <c r="G3146" s="98"/>
      <c r="R3146" s="50"/>
      <c r="S3146" s="47"/>
      <c r="T3146" s="98"/>
      <c r="U3146" s="98"/>
      <c r="AG3146" s="605"/>
      <c r="AH3146" s="605"/>
    </row>
    <row r="3147" spans="7:34" ht="19.5" customHeight="1">
      <c r="G3147" s="98"/>
      <c r="R3147" s="50"/>
      <c r="S3147" s="47"/>
      <c r="T3147" s="98"/>
      <c r="U3147" s="98"/>
      <c r="AG3147" s="605"/>
      <c r="AH3147" s="605"/>
    </row>
    <row r="3148" spans="7:34" ht="19.5" customHeight="1">
      <c r="G3148" s="98"/>
      <c r="R3148" s="50"/>
      <c r="S3148" s="47"/>
      <c r="T3148" s="98"/>
      <c r="U3148" s="98"/>
      <c r="AG3148" s="605"/>
      <c r="AH3148" s="605"/>
    </row>
    <row r="3149" spans="7:34" ht="19.5" customHeight="1">
      <c r="G3149" s="98"/>
      <c r="R3149" s="50"/>
      <c r="S3149" s="47"/>
      <c r="T3149" s="98"/>
      <c r="U3149" s="98"/>
      <c r="AG3149" s="605"/>
      <c r="AH3149" s="605"/>
    </row>
    <row r="3150" spans="7:34" ht="19.5" customHeight="1">
      <c r="G3150" s="98"/>
      <c r="R3150" s="50"/>
      <c r="S3150" s="47"/>
      <c r="T3150" s="98"/>
      <c r="U3150" s="98"/>
      <c r="AG3150" s="605"/>
      <c r="AH3150" s="605"/>
    </row>
    <row r="3151" spans="7:34" ht="19.5" customHeight="1">
      <c r="G3151" s="98"/>
      <c r="R3151" s="50"/>
      <c r="S3151" s="47"/>
      <c r="T3151" s="98"/>
      <c r="U3151" s="98"/>
      <c r="AG3151" s="605"/>
      <c r="AH3151" s="605"/>
    </row>
    <row r="3152" spans="7:34" ht="19.5" customHeight="1">
      <c r="G3152" s="98"/>
      <c r="R3152" s="50"/>
      <c r="S3152" s="47"/>
      <c r="T3152" s="98"/>
      <c r="U3152" s="98"/>
      <c r="AG3152" s="605"/>
      <c r="AH3152" s="605"/>
    </row>
    <row r="3153" spans="7:34" ht="19.5" customHeight="1">
      <c r="G3153" s="98"/>
      <c r="R3153" s="50"/>
      <c r="S3153" s="47"/>
      <c r="T3153" s="98"/>
      <c r="U3153" s="98"/>
      <c r="AG3153" s="605"/>
      <c r="AH3153" s="605"/>
    </row>
    <row r="3154" spans="7:34" ht="19.5" customHeight="1">
      <c r="G3154" s="98"/>
      <c r="R3154" s="50"/>
      <c r="S3154" s="47"/>
      <c r="T3154" s="98"/>
      <c r="U3154" s="98"/>
      <c r="AG3154" s="605"/>
      <c r="AH3154" s="605"/>
    </row>
    <row r="3155" spans="7:34" ht="19.5" customHeight="1">
      <c r="G3155" s="98"/>
      <c r="R3155" s="50"/>
      <c r="S3155" s="47"/>
      <c r="T3155" s="98"/>
      <c r="U3155" s="98"/>
      <c r="AG3155" s="605"/>
      <c r="AH3155" s="605"/>
    </row>
    <row r="3156" spans="7:34" ht="19.5" customHeight="1">
      <c r="G3156" s="98"/>
      <c r="R3156" s="50"/>
      <c r="S3156" s="47"/>
      <c r="T3156" s="98"/>
      <c r="U3156" s="98"/>
      <c r="AG3156" s="605"/>
      <c r="AH3156" s="605"/>
    </row>
    <row r="3157" spans="7:34" ht="19.5" customHeight="1">
      <c r="G3157" s="98"/>
      <c r="R3157" s="50"/>
      <c r="S3157" s="47"/>
      <c r="T3157" s="98"/>
      <c r="U3157" s="98"/>
      <c r="AG3157" s="605"/>
      <c r="AH3157" s="605"/>
    </row>
    <row r="3158" spans="7:34" ht="19.5" customHeight="1">
      <c r="G3158" s="98"/>
      <c r="R3158" s="50"/>
      <c r="S3158" s="47"/>
      <c r="T3158" s="98"/>
      <c r="U3158" s="98"/>
      <c r="AG3158" s="605"/>
      <c r="AH3158" s="605"/>
    </row>
    <row r="3159" spans="7:34" ht="19.5" customHeight="1">
      <c r="G3159" s="98"/>
      <c r="R3159" s="50"/>
      <c r="S3159" s="47"/>
      <c r="T3159" s="98"/>
      <c r="U3159" s="98"/>
      <c r="AG3159" s="605"/>
      <c r="AH3159" s="605"/>
    </row>
    <row r="3160" spans="7:34" ht="19.5" customHeight="1">
      <c r="G3160" s="98"/>
      <c r="R3160" s="50"/>
      <c r="S3160" s="47"/>
      <c r="T3160" s="98"/>
      <c r="U3160" s="98"/>
      <c r="AG3160" s="605"/>
      <c r="AH3160" s="605"/>
    </row>
    <row r="3161" spans="7:34" ht="19.5" customHeight="1">
      <c r="G3161" s="98"/>
      <c r="R3161" s="50"/>
      <c r="S3161" s="47"/>
      <c r="T3161" s="98"/>
      <c r="U3161" s="98"/>
      <c r="AG3161" s="605"/>
      <c r="AH3161" s="605"/>
    </row>
    <row r="3162" spans="7:34" ht="19.5" customHeight="1">
      <c r="G3162" s="98"/>
      <c r="R3162" s="50"/>
      <c r="S3162" s="47"/>
      <c r="T3162" s="98"/>
      <c r="U3162" s="98"/>
      <c r="AG3162" s="605"/>
      <c r="AH3162" s="605"/>
    </row>
    <row r="3163" spans="7:34" ht="19.5" customHeight="1">
      <c r="G3163" s="98"/>
      <c r="R3163" s="50"/>
      <c r="S3163" s="47"/>
      <c r="T3163" s="98"/>
      <c r="U3163" s="98"/>
      <c r="AG3163" s="605"/>
      <c r="AH3163" s="605"/>
    </row>
    <row r="3164" spans="7:34" ht="19.5" customHeight="1">
      <c r="G3164" s="98"/>
      <c r="R3164" s="50"/>
      <c r="S3164" s="47"/>
      <c r="T3164" s="98"/>
      <c r="U3164" s="98"/>
      <c r="AG3164" s="605"/>
      <c r="AH3164" s="605"/>
    </row>
    <row r="3165" spans="7:34" ht="19.5" customHeight="1">
      <c r="G3165" s="98"/>
      <c r="R3165" s="50"/>
      <c r="S3165" s="47"/>
      <c r="T3165" s="98"/>
      <c r="U3165" s="98"/>
      <c r="AG3165" s="605"/>
      <c r="AH3165" s="605"/>
    </row>
    <row r="3166" spans="7:34" ht="19.5" customHeight="1">
      <c r="G3166" s="98"/>
      <c r="R3166" s="50"/>
      <c r="S3166" s="47"/>
      <c r="T3166" s="98"/>
      <c r="U3166" s="98"/>
      <c r="AG3166" s="605"/>
      <c r="AH3166" s="605"/>
    </row>
    <row r="3167" spans="7:34" ht="19.5" customHeight="1">
      <c r="G3167" s="98"/>
      <c r="R3167" s="50"/>
      <c r="S3167" s="47"/>
      <c r="T3167" s="98"/>
      <c r="U3167" s="98"/>
      <c r="AG3167" s="605"/>
      <c r="AH3167" s="605"/>
    </row>
    <row r="3168" spans="7:34" ht="19.5" customHeight="1">
      <c r="G3168" s="98"/>
      <c r="R3168" s="50"/>
      <c r="S3168" s="47"/>
      <c r="T3168" s="98"/>
      <c r="U3168" s="98"/>
      <c r="AG3168" s="605"/>
      <c r="AH3168" s="605"/>
    </row>
    <row r="3169" spans="7:34" ht="19.5" customHeight="1">
      <c r="G3169" s="98"/>
      <c r="R3169" s="50"/>
      <c r="S3169" s="47"/>
      <c r="T3169" s="98"/>
      <c r="U3169" s="98"/>
      <c r="AG3169" s="605"/>
      <c r="AH3169" s="605"/>
    </row>
    <row r="3170" spans="7:34" ht="19.5" customHeight="1">
      <c r="G3170" s="98"/>
      <c r="R3170" s="50"/>
      <c r="S3170" s="47"/>
      <c r="T3170" s="98"/>
      <c r="U3170" s="98"/>
      <c r="AG3170" s="605"/>
      <c r="AH3170" s="605"/>
    </row>
    <row r="3171" spans="7:34" ht="19.5" customHeight="1">
      <c r="G3171" s="98"/>
      <c r="R3171" s="50"/>
      <c r="S3171" s="47"/>
      <c r="T3171" s="98"/>
      <c r="U3171" s="98"/>
      <c r="AG3171" s="605"/>
      <c r="AH3171" s="605"/>
    </row>
    <row r="3172" spans="7:34" ht="19.5" customHeight="1">
      <c r="G3172" s="98"/>
      <c r="R3172" s="50"/>
      <c r="S3172" s="47"/>
      <c r="T3172" s="98"/>
      <c r="U3172" s="98"/>
      <c r="AG3172" s="605"/>
      <c r="AH3172" s="605"/>
    </row>
    <row r="3173" spans="7:34" ht="19.5" customHeight="1">
      <c r="G3173" s="98"/>
      <c r="R3173" s="50"/>
      <c r="S3173" s="47"/>
      <c r="T3173" s="98"/>
      <c r="U3173" s="98"/>
      <c r="AG3173" s="605"/>
      <c r="AH3173" s="605"/>
    </row>
    <row r="3174" spans="7:34" ht="19.5" customHeight="1">
      <c r="G3174" s="98"/>
      <c r="R3174" s="50"/>
      <c r="S3174" s="47"/>
      <c r="T3174" s="98"/>
      <c r="U3174" s="98"/>
      <c r="AG3174" s="605"/>
      <c r="AH3174" s="605"/>
    </row>
    <row r="3175" spans="7:34" ht="19.5" customHeight="1">
      <c r="G3175" s="98"/>
      <c r="R3175" s="50"/>
      <c r="S3175" s="47"/>
      <c r="T3175" s="98"/>
      <c r="U3175" s="98"/>
      <c r="AG3175" s="605"/>
      <c r="AH3175" s="605"/>
    </row>
    <row r="3176" spans="7:34" ht="19.5" customHeight="1">
      <c r="G3176" s="98"/>
      <c r="R3176" s="50"/>
      <c r="S3176" s="47"/>
      <c r="T3176" s="98"/>
      <c r="U3176" s="98"/>
      <c r="AG3176" s="605"/>
      <c r="AH3176" s="605"/>
    </row>
    <row r="3177" spans="7:34" ht="19.5" customHeight="1">
      <c r="G3177" s="98"/>
      <c r="R3177" s="50"/>
      <c r="S3177" s="47"/>
      <c r="T3177" s="98"/>
      <c r="U3177" s="98"/>
      <c r="AG3177" s="605"/>
      <c r="AH3177" s="605"/>
    </row>
    <row r="3178" spans="7:34" ht="19.5" customHeight="1">
      <c r="G3178" s="98"/>
      <c r="R3178" s="50"/>
      <c r="S3178" s="47"/>
      <c r="T3178" s="98"/>
      <c r="U3178" s="98"/>
      <c r="AG3178" s="605"/>
      <c r="AH3178" s="605"/>
    </row>
    <row r="3179" spans="7:34" ht="19.5" customHeight="1">
      <c r="G3179" s="98"/>
      <c r="R3179" s="50"/>
      <c r="S3179" s="47"/>
      <c r="T3179" s="98"/>
      <c r="U3179" s="98"/>
      <c r="AG3179" s="605"/>
      <c r="AH3179" s="605"/>
    </row>
    <row r="3180" spans="7:34" ht="19.5" customHeight="1">
      <c r="G3180" s="98"/>
      <c r="R3180" s="50"/>
      <c r="S3180" s="47"/>
      <c r="T3180" s="98"/>
      <c r="U3180" s="98"/>
      <c r="AG3180" s="605"/>
      <c r="AH3180" s="605"/>
    </row>
    <row r="3181" spans="7:34" ht="19.5" customHeight="1">
      <c r="G3181" s="98"/>
      <c r="R3181" s="50"/>
      <c r="S3181" s="47"/>
      <c r="T3181" s="98"/>
      <c r="U3181" s="98"/>
      <c r="AG3181" s="605"/>
      <c r="AH3181" s="605"/>
    </row>
    <row r="3182" spans="7:34" ht="19.5" customHeight="1">
      <c r="G3182" s="98"/>
      <c r="R3182" s="50"/>
      <c r="S3182" s="47"/>
      <c r="T3182" s="98"/>
      <c r="U3182" s="98"/>
      <c r="AG3182" s="605"/>
      <c r="AH3182" s="605"/>
    </row>
    <row r="3183" spans="7:34" ht="19.5" customHeight="1">
      <c r="G3183" s="98"/>
      <c r="R3183" s="50"/>
      <c r="S3183" s="47"/>
      <c r="T3183" s="98"/>
      <c r="U3183" s="98"/>
      <c r="AG3183" s="605"/>
      <c r="AH3183" s="605"/>
    </row>
    <row r="3184" spans="7:34" ht="19.5" customHeight="1">
      <c r="G3184" s="98"/>
      <c r="R3184" s="50"/>
      <c r="S3184" s="47"/>
      <c r="T3184" s="98"/>
      <c r="U3184" s="98"/>
      <c r="AG3184" s="605"/>
      <c r="AH3184" s="605"/>
    </row>
    <row r="3185" spans="7:34" ht="19.5" customHeight="1">
      <c r="G3185" s="98"/>
      <c r="R3185" s="50"/>
      <c r="S3185" s="47"/>
      <c r="T3185" s="98"/>
      <c r="U3185" s="98"/>
      <c r="AG3185" s="605"/>
      <c r="AH3185" s="605"/>
    </row>
    <row r="3186" spans="7:34" ht="19.5" customHeight="1">
      <c r="G3186" s="98"/>
      <c r="R3186" s="50"/>
      <c r="S3186" s="47"/>
      <c r="T3186" s="98"/>
      <c r="U3186" s="98"/>
      <c r="AG3186" s="605"/>
      <c r="AH3186" s="605"/>
    </row>
    <row r="3187" spans="7:34" ht="19.5" customHeight="1">
      <c r="G3187" s="98"/>
      <c r="R3187" s="50"/>
      <c r="S3187" s="47"/>
      <c r="T3187" s="98"/>
      <c r="U3187" s="98"/>
      <c r="AG3187" s="605"/>
      <c r="AH3187" s="605"/>
    </row>
    <row r="3188" spans="7:34" ht="19.5" customHeight="1">
      <c r="G3188" s="98"/>
      <c r="R3188" s="50"/>
      <c r="S3188" s="47"/>
      <c r="T3188" s="98"/>
      <c r="U3188" s="98"/>
      <c r="AG3188" s="605"/>
      <c r="AH3188" s="605"/>
    </row>
    <row r="3189" spans="7:34" ht="19.5" customHeight="1">
      <c r="G3189" s="98"/>
      <c r="R3189" s="50"/>
      <c r="S3189" s="47"/>
      <c r="T3189" s="98"/>
      <c r="U3189" s="98"/>
      <c r="AG3189" s="605"/>
      <c r="AH3189" s="605"/>
    </row>
    <row r="3190" spans="7:34" ht="19.5" customHeight="1">
      <c r="G3190" s="98"/>
      <c r="R3190" s="50"/>
      <c r="S3190" s="47"/>
      <c r="T3190" s="98"/>
      <c r="U3190" s="98"/>
      <c r="AG3190" s="605"/>
      <c r="AH3190" s="605"/>
    </row>
    <row r="3191" spans="7:34" ht="19.5" customHeight="1">
      <c r="G3191" s="98"/>
      <c r="R3191" s="50"/>
      <c r="S3191" s="47"/>
      <c r="T3191" s="98"/>
      <c r="U3191" s="98"/>
      <c r="AG3191" s="605"/>
      <c r="AH3191" s="605"/>
    </row>
    <row r="3192" spans="7:34" ht="19.5" customHeight="1">
      <c r="G3192" s="98"/>
      <c r="R3192" s="50"/>
      <c r="S3192" s="47"/>
      <c r="T3192" s="98"/>
      <c r="U3192" s="98"/>
      <c r="AG3192" s="605"/>
      <c r="AH3192" s="605"/>
    </row>
    <row r="3193" spans="7:34" ht="19.5" customHeight="1">
      <c r="G3193" s="98"/>
      <c r="R3193" s="50"/>
      <c r="S3193" s="47"/>
      <c r="T3193" s="98"/>
      <c r="U3193" s="98"/>
      <c r="AG3193" s="605"/>
      <c r="AH3193" s="605"/>
    </row>
    <row r="3194" spans="7:34" ht="19.5" customHeight="1">
      <c r="G3194" s="98"/>
      <c r="R3194" s="50"/>
      <c r="S3194" s="47"/>
      <c r="T3194" s="98"/>
      <c r="U3194" s="98"/>
      <c r="AG3194" s="605"/>
      <c r="AH3194" s="605"/>
    </row>
    <row r="3195" spans="7:34" ht="19.5" customHeight="1">
      <c r="G3195" s="98"/>
      <c r="R3195" s="50"/>
      <c r="S3195" s="47"/>
      <c r="T3195" s="98"/>
      <c r="U3195" s="98"/>
      <c r="AG3195" s="605"/>
      <c r="AH3195" s="605"/>
    </row>
    <row r="3196" spans="7:34" ht="19.5" customHeight="1">
      <c r="G3196" s="98"/>
      <c r="R3196" s="50"/>
      <c r="S3196" s="47"/>
      <c r="T3196" s="98"/>
      <c r="U3196" s="98"/>
      <c r="AG3196" s="605"/>
      <c r="AH3196" s="605"/>
    </row>
    <row r="3197" spans="7:34" ht="19.5" customHeight="1">
      <c r="G3197" s="98"/>
      <c r="R3197" s="50"/>
      <c r="S3197" s="47"/>
      <c r="T3197" s="98"/>
      <c r="U3197" s="98"/>
      <c r="AG3197" s="605"/>
      <c r="AH3197" s="605"/>
    </row>
    <row r="3198" spans="7:34" ht="19.5" customHeight="1">
      <c r="G3198" s="98"/>
      <c r="R3198" s="50"/>
      <c r="S3198" s="47"/>
      <c r="T3198" s="98"/>
      <c r="U3198" s="98"/>
      <c r="AG3198" s="605"/>
      <c r="AH3198" s="605"/>
    </row>
    <row r="3199" spans="7:34" ht="19.5" customHeight="1">
      <c r="G3199" s="98"/>
      <c r="R3199" s="50"/>
      <c r="S3199" s="47"/>
      <c r="T3199" s="98"/>
      <c r="U3199" s="98"/>
      <c r="AG3199" s="605"/>
      <c r="AH3199" s="605"/>
    </row>
    <row r="3200" spans="7:34" ht="19.5" customHeight="1">
      <c r="G3200" s="98"/>
      <c r="R3200" s="50"/>
      <c r="S3200" s="47"/>
      <c r="T3200" s="98"/>
      <c r="U3200" s="98"/>
      <c r="AG3200" s="605"/>
      <c r="AH3200" s="605"/>
    </row>
    <row r="3201" spans="7:34" ht="19.5" customHeight="1">
      <c r="G3201" s="98"/>
      <c r="R3201" s="50"/>
      <c r="S3201" s="47"/>
      <c r="T3201" s="98"/>
      <c r="U3201" s="98"/>
      <c r="AG3201" s="605"/>
      <c r="AH3201" s="605"/>
    </row>
    <row r="3202" spans="7:34" ht="19.5" customHeight="1">
      <c r="G3202" s="98"/>
      <c r="R3202" s="50"/>
      <c r="S3202" s="47"/>
      <c r="T3202" s="98"/>
      <c r="U3202" s="98"/>
      <c r="AG3202" s="605"/>
      <c r="AH3202" s="605"/>
    </row>
    <row r="3203" spans="7:34" ht="19.5" customHeight="1">
      <c r="G3203" s="98"/>
      <c r="R3203" s="50"/>
      <c r="S3203" s="47"/>
      <c r="T3203" s="98"/>
      <c r="U3203" s="98"/>
      <c r="AG3203" s="605"/>
      <c r="AH3203" s="605"/>
    </row>
    <row r="3204" spans="7:34" ht="19.5" customHeight="1">
      <c r="G3204" s="98"/>
      <c r="R3204" s="50"/>
      <c r="S3204" s="47"/>
      <c r="T3204" s="98"/>
      <c r="U3204" s="98"/>
      <c r="AG3204" s="605"/>
      <c r="AH3204" s="605"/>
    </row>
    <row r="3205" spans="7:34" ht="19.5" customHeight="1">
      <c r="G3205" s="98"/>
      <c r="R3205" s="50"/>
      <c r="S3205" s="47"/>
      <c r="T3205" s="98"/>
      <c r="U3205" s="98"/>
      <c r="AG3205" s="605"/>
      <c r="AH3205" s="605"/>
    </row>
    <row r="3206" spans="7:34" ht="19.5" customHeight="1">
      <c r="G3206" s="98"/>
      <c r="R3206" s="50"/>
      <c r="S3206" s="47"/>
      <c r="T3206" s="98"/>
      <c r="U3206" s="98"/>
      <c r="AG3206" s="605"/>
      <c r="AH3206" s="605"/>
    </row>
    <row r="3207" spans="7:34" ht="19.5" customHeight="1">
      <c r="G3207" s="98"/>
      <c r="R3207" s="50"/>
      <c r="S3207" s="47"/>
      <c r="T3207" s="98"/>
      <c r="U3207" s="98"/>
      <c r="AG3207" s="605"/>
      <c r="AH3207" s="605"/>
    </row>
    <row r="3208" spans="7:34" ht="19.5" customHeight="1">
      <c r="G3208" s="98"/>
      <c r="R3208" s="50"/>
      <c r="S3208" s="47"/>
      <c r="T3208" s="98"/>
      <c r="U3208" s="98"/>
      <c r="AG3208" s="605"/>
      <c r="AH3208" s="605"/>
    </row>
    <row r="3209" spans="7:34" ht="19.5" customHeight="1">
      <c r="G3209" s="98"/>
      <c r="R3209" s="50"/>
      <c r="S3209" s="47"/>
      <c r="T3209" s="98"/>
      <c r="U3209" s="98"/>
      <c r="AG3209" s="605"/>
      <c r="AH3209" s="605"/>
    </row>
    <row r="3210" spans="7:34" ht="19.5" customHeight="1">
      <c r="G3210" s="98"/>
      <c r="R3210" s="50"/>
      <c r="S3210" s="47"/>
      <c r="T3210" s="98"/>
      <c r="U3210" s="98"/>
      <c r="AG3210" s="605"/>
      <c r="AH3210" s="605"/>
    </row>
    <row r="3211" spans="7:34" ht="19.5" customHeight="1">
      <c r="G3211" s="98"/>
      <c r="R3211" s="50"/>
      <c r="S3211" s="47"/>
      <c r="T3211" s="98"/>
      <c r="U3211" s="98"/>
      <c r="AG3211" s="605"/>
      <c r="AH3211" s="605"/>
    </row>
    <row r="3212" spans="7:34" ht="19.5" customHeight="1">
      <c r="G3212" s="98"/>
      <c r="R3212" s="50"/>
      <c r="S3212" s="47"/>
      <c r="T3212" s="98"/>
      <c r="U3212" s="98"/>
      <c r="AG3212" s="605"/>
      <c r="AH3212" s="605"/>
    </row>
    <row r="3213" spans="7:34" ht="19.5" customHeight="1">
      <c r="G3213" s="98"/>
      <c r="R3213" s="50"/>
      <c r="S3213" s="47"/>
      <c r="T3213" s="98"/>
      <c r="U3213" s="98"/>
      <c r="AG3213" s="605"/>
      <c r="AH3213" s="605"/>
    </row>
    <row r="3214" spans="7:34" ht="19.5" customHeight="1">
      <c r="G3214" s="98"/>
      <c r="R3214" s="50"/>
      <c r="S3214" s="47"/>
      <c r="T3214" s="98"/>
      <c r="U3214" s="98"/>
      <c r="AG3214" s="605"/>
      <c r="AH3214" s="605"/>
    </row>
    <row r="3215" spans="7:34" ht="19.5" customHeight="1">
      <c r="G3215" s="98"/>
      <c r="R3215" s="50"/>
      <c r="S3215" s="47"/>
      <c r="T3215" s="98"/>
      <c r="U3215" s="98"/>
      <c r="AG3215" s="605"/>
      <c r="AH3215" s="605"/>
    </row>
    <row r="3216" spans="7:34" ht="19.5" customHeight="1">
      <c r="G3216" s="98"/>
      <c r="R3216" s="50"/>
      <c r="S3216" s="47"/>
      <c r="T3216" s="98"/>
      <c r="U3216" s="98"/>
      <c r="AG3216" s="605"/>
      <c r="AH3216" s="605"/>
    </row>
    <row r="3217" spans="7:34" ht="19.5" customHeight="1">
      <c r="G3217" s="98"/>
      <c r="R3217" s="50"/>
      <c r="S3217" s="47"/>
      <c r="T3217" s="98"/>
      <c r="U3217" s="98"/>
      <c r="AG3217" s="605"/>
      <c r="AH3217" s="605"/>
    </row>
    <row r="3218" spans="7:34" ht="19.5" customHeight="1">
      <c r="G3218" s="98"/>
      <c r="R3218" s="50"/>
      <c r="S3218" s="47"/>
      <c r="T3218" s="98"/>
      <c r="U3218" s="98"/>
      <c r="AG3218" s="605"/>
      <c r="AH3218" s="605"/>
    </row>
    <row r="3219" spans="7:34" ht="19.5" customHeight="1">
      <c r="G3219" s="98"/>
      <c r="R3219" s="50"/>
      <c r="S3219" s="47"/>
      <c r="T3219" s="98"/>
      <c r="U3219" s="98"/>
      <c r="AG3219" s="605"/>
      <c r="AH3219" s="605"/>
    </row>
    <row r="3220" spans="7:34" ht="19.5" customHeight="1">
      <c r="G3220" s="98"/>
      <c r="R3220" s="50"/>
      <c r="S3220" s="47"/>
      <c r="T3220" s="98"/>
      <c r="U3220" s="98"/>
      <c r="AG3220" s="605"/>
      <c r="AH3220" s="605"/>
    </row>
    <row r="3221" spans="7:34" ht="19.5" customHeight="1">
      <c r="G3221" s="98"/>
      <c r="R3221" s="50"/>
      <c r="S3221" s="47"/>
      <c r="T3221" s="98"/>
      <c r="U3221" s="98"/>
      <c r="AG3221" s="605"/>
      <c r="AH3221" s="605"/>
    </row>
    <row r="3222" spans="7:34" ht="19.5" customHeight="1">
      <c r="G3222" s="98"/>
      <c r="R3222" s="50"/>
      <c r="S3222" s="47"/>
      <c r="T3222" s="98"/>
      <c r="U3222" s="98"/>
      <c r="AG3222" s="605"/>
      <c r="AH3222" s="605"/>
    </row>
    <row r="3223" spans="7:34" ht="19.5" customHeight="1">
      <c r="G3223" s="98"/>
      <c r="R3223" s="50"/>
      <c r="S3223" s="47"/>
      <c r="T3223" s="98"/>
      <c r="U3223" s="98"/>
      <c r="AG3223" s="605"/>
      <c r="AH3223" s="605"/>
    </row>
    <row r="3224" spans="7:34" ht="19.5" customHeight="1">
      <c r="G3224" s="98"/>
      <c r="R3224" s="50"/>
      <c r="S3224" s="47"/>
      <c r="T3224" s="98"/>
      <c r="U3224" s="98"/>
      <c r="AG3224" s="605"/>
      <c r="AH3224" s="605"/>
    </row>
    <row r="3225" spans="7:34" ht="19.5" customHeight="1">
      <c r="G3225" s="98"/>
      <c r="R3225" s="50"/>
      <c r="S3225" s="47"/>
      <c r="T3225" s="98"/>
      <c r="U3225" s="98"/>
      <c r="AG3225" s="605"/>
      <c r="AH3225" s="605"/>
    </row>
    <row r="3226" spans="7:34" ht="19.5" customHeight="1">
      <c r="G3226" s="98"/>
      <c r="R3226" s="50"/>
      <c r="S3226" s="47"/>
      <c r="T3226" s="98"/>
      <c r="U3226" s="98"/>
      <c r="AG3226" s="605"/>
      <c r="AH3226" s="605"/>
    </row>
    <row r="3227" spans="7:34" ht="19.5" customHeight="1">
      <c r="G3227" s="98"/>
      <c r="R3227" s="50"/>
      <c r="S3227" s="47"/>
      <c r="T3227" s="98"/>
      <c r="U3227" s="98"/>
      <c r="AG3227" s="605"/>
      <c r="AH3227" s="605"/>
    </row>
    <row r="3228" spans="7:34" ht="19.5" customHeight="1">
      <c r="G3228" s="98"/>
      <c r="R3228" s="50"/>
      <c r="S3228" s="47"/>
      <c r="T3228" s="98"/>
      <c r="U3228" s="98"/>
      <c r="AG3228" s="605"/>
      <c r="AH3228" s="605"/>
    </row>
    <row r="3229" spans="7:34" ht="19.5" customHeight="1">
      <c r="G3229" s="98"/>
      <c r="R3229" s="50"/>
      <c r="S3229" s="47"/>
      <c r="T3229" s="98"/>
      <c r="U3229" s="98"/>
      <c r="AG3229" s="605"/>
      <c r="AH3229" s="605"/>
    </row>
    <row r="3230" spans="7:34" ht="19.5" customHeight="1">
      <c r="G3230" s="98"/>
      <c r="R3230" s="50"/>
      <c r="S3230" s="47"/>
      <c r="T3230" s="98"/>
      <c r="U3230" s="98"/>
      <c r="AG3230" s="605"/>
      <c r="AH3230" s="605"/>
    </row>
    <row r="3231" spans="7:34" ht="19.5" customHeight="1">
      <c r="G3231" s="98"/>
      <c r="R3231" s="50"/>
      <c r="S3231" s="47"/>
      <c r="T3231" s="98"/>
      <c r="U3231" s="98"/>
      <c r="AG3231" s="605"/>
      <c r="AH3231" s="605"/>
    </row>
    <row r="3232" spans="7:34" ht="19.5" customHeight="1">
      <c r="G3232" s="98"/>
      <c r="R3232" s="50"/>
      <c r="S3232" s="47"/>
      <c r="T3232" s="98"/>
      <c r="U3232" s="98"/>
      <c r="AG3232" s="605"/>
      <c r="AH3232" s="605"/>
    </row>
    <row r="3233" spans="7:34" ht="19.5" customHeight="1">
      <c r="G3233" s="98"/>
      <c r="R3233" s="50"/>
      <c r="S3233" s="47"/>
      <c r="T3233" s="98"/>
      <c r="U3233" s="98"/>
      <c r="AG3233" s="605"/>
      <c r="AH3233" s="605"/>
    </row>
    <row r="3234" spans="7:34" ht="19.5" customHeight="1">
      <c r="G3234" s="98"/>
      <c r="R3234" s="50"/>
      <c r="S3234" s="47"/>
      <c r="T3234" s="98"/>
      <c r="U3234" s="98"/>
      <c r="AG3234" s="605"/>
      <c r="AH3234" s="605"/>
    </row>
    <row r="3235" spans="7:34" ht="19.5" customHeight="1">
      <c r="G3235" s="98"/>
      <c r="R3235" s="50"/>
      <c r="S3235" s="47"/>
      <c r="T3235" s="98"/>
      <c r="U3235" s="98"/>
      <c r="AG3235" s="605"/>
      <c r="AH3235" s="605"/>
    </row>
    <row r="3236" spans="7:34" ht="19.5" customHeight="1">
      <c r="G3236" s="98"/>
      <c r="R3236" s="50"/>
      <c r="S3236" s="47"/>
      <c r="T3236" s="98"/>
      <c r="U3236" s="98"/>
      <c r="AG3236" s="605"/>
      <c r="AH3236" s="605"/>
    </row>
    <row r="3237" spans="7:34" ht="19.5" customHeight="1">
      <c r="G3237" s="98"/>
      <c r="R3237" s="50"/>
      <c r="S3237" s="47"/>
      <c r="T3237" s="98"/>
      <c r="U3237" s="98"/>
      <c r="AG3237" s="605"/>
      <c r="AH3237" s="605"/>
    </row>
    <row r="3238" spans="7:34" ht="19.5" customHeight="1">
      <c r="G3238" s="98"/>
      <c r="R3238" s="50"/>
      <c r="S3238" s="47"/>
      <c r="T3238" s="98"/>
      <c r="U3238" s="98"/>
      <c r="AG3238" s="605"/>
      <c r="AH3238" s="605"/>
    </row>
    <row r="3239" spans="7:34" ht="19.5" customHeight="1">
      <c r="G3239" s="98"/>
      <c r="R3239" s="50"/>
      <c r="S3239" s="47"/>
      <c r="T3239" s="98"/>
      <c r="U3239" s="98"/>
      <c r="AG3239" s="605"/>
      <c r="AH3239" s="605"/>
    </row>
    <row r="3240" spans="7:34" ht="19.5" customHeight="1">
      <c r="G3240" s="98"/>
      <c r="R3240" s="50"/>
      <c r="S3240" s="47"/>
      <c r="T3240" s="98"/>
      <c r="U3240" s="98"/>
      <c r="AG3240" s="605"/>
      <c r="AH3240" s="605"/>
    </row>
    <row r="3241" spans="7:34" ht="19.5" customHeight="1">
      <c r="G3241" s="98"/>
      <c r="R3241" s="50"/>
      <c r="S3241" s="47"/>
      <c r="T3241" s="98"/>
      <c r="U3241" s="98"/>
      <c r="AG3241" s="605"/>
      <c r="AH3241" s="605"/>
    </row>
    <row r="3242" spans="7:34" ht="19.5" customHeight="1">
      <c r="G3242" s="98"/>
      <c r="R3242" s="50"/>
      <c r="S3242" s="47"/>
      <c r="T3242" s="98"/>
      <c r="U3242" s="98"/>
      <c r="AG3242" s="605"/>
      <c r="AH3242" s="605"/>
    </row>
    <row r="3243" spans="7:34" ht="19.5" customHeight="1">
      <c r="G3243" s="98"/>
      <c r="R3243" s="50"/>
      <c r="S3243" s="47"/>
      <c r="T3243" s="98"/>
      <c r="U3243" s="98"/>
      <c r="AG3243" s="605"/>
      <c r="AH3243" s="605"/>
    </row>
    <row r="3244" spans="7:34" ht="19.5" customHeight="1">
      <c r="G3244" s="98"/>
      <c r="R3244" s="50"/>
      <c r="S3244" s="47"/>
      <c r="T3244" s="98"/>
      <c r="U3244" s="98"/>
      <c r="AG3244" s="605"/>
      <c r="AH3244" s="605"/>
    </row>
    <row r="3245" spans="7:34" ht="19.5" customHeight="1">
      <c r="G3245" s="98"/>
      <c r="R3245" s="50"/>
      <c r="S3245" s="47"/>
      <c r="T3245" s="98"/>
      <c r="U3245" s="98"/>
      <c r="AG3245" s="605"/>
      <c r="AH3245" s="605"/>
    </row>
    <row r="3246" spans="7:34" ht="19.5" customHeight="1">
      <c r="G3246" s="98"/>
      <c r="R3246" s="50"/>
      <c r="S3246" s="47"/>
      <c r="T3246" s="98"/>
      <c r="U3246" s="98"/>
      <c r="AG3246" s="605"/>
      <c r="AH3246" s="605"/>
    </row>
    <row r="3247" spans="7:34" ht="19.5" customHeight="1">
      <c r="G3247" s="98"/>
      <c r="R3247" s="50"/>
      <c r="S3247" s="47"/>
      <c r="T3247" s="98"/>
      <c r="U3247" s="98"/>
      <c r="AG3247" s="605"/>
      <c r="AH3247" s="605"/>
    </row>
    <row r="3248" spans="7:34" ht="19.5" customHeight="1">
      <c r="G3248" s="98"/>
      <c r="R3248" s="50"/>
      <c r="S3248" s="47"/>
      <c r="T3248" s="98"/>
      <c r="U3248" s="98"/>
      <c r="AG3248" s="605"/>
      <c r="AH3248" s="605"/>
    </row>
    <row r="3249" spans="7:34" ht="19.5" customHeight="1">
      <c r="G3249" s="98"/>
      <c r="R3249" s="50"/>
      <c r="S3249" s="47"/>
      <c r="T3249" s="98"/>
      <c r="U3249" s="98"/>
      <c r="AG3249" s="605"/>
      <c r="AH3249" s="605"/>
    </row>
    <row r="3250" spans="7:34" ht="19.5" customHeight="1">
      <c r="G3250" s="98"/>
      <c r="R3250" s="50"/>
      <c r="S3250" s="47"/>
      <c r="T3250" s="98"/>
      <c r="U3250" s="98"/>
      <c r="AG3250" s="605"/>
      <c r="AH3250" s="605"/>
    </row>
    <row r="3251" spans="7:34" ht="19.5" customHeight="1">
      <c r="G3251" s="98"/>
      <c r="R3251" s="50"/>
      <c r="S3251" s="47"/>
      <c r="T3251" s="98"/>
      <c r="U3251" s="98"/>
      <c r="AG3251" s="605"/>
      <c r="AH3251" s="605"/>
    </row>
    <row r="3252" spans="7:34" ht="19.5" customHeight="1">
      <c r="G3252" s="98"/>
      <c r="R3252" s="50"/>
      <c r="S3252" s="47"/>
      <c r="T3252" s="98"/>
      <c r="U3252" s="98"/>
      <c r="AG3252" s="605"/>
      <c r="AH3252" s="605"/>
    </row>
    <row r="3253" spans="7:34" ht="19.5" customHeight="1">
      <c r="G3253" s="98"/>
      <c r="R3253" s="50"/>
      <c r="S3253" s="47"/>
      <c r="T3253" s="98"/>
      <c r="U3253" s="98"/>
      <c r="AG3253" s="605"/>
      <c r="AH3253" s="605"/>
    </row>
    <row r="3254" spans="7:34" ht="19.5" customHeight="1">
      <c r="G3254" s="98"/>
      <c r="R3254" s="50"/>
      <c r="S3254" s="47"/>
      <c r="T3254" s="98"/>
      <c r="U3254" s="98"/>
      <c r="AG3254" s="605"/>
      <c r="AH3254" s="605"/>
    </row>
    <row r="3255" spans="7:34" ht="19.5" customHeight="1">
      <c r="G3255" s="98"/>
      <c r="R3255" s="50"/>
      <c r="S3255" s="47"/>
      <c r="T3255" s="98"/>
      <c r="U3255" s="98"/>
      <c r="AG3255" s="605"/>
      <c r="AH3255" s="605"/>
    </row>
    <row r="3256" spans="7:34" ht="19.5" customHeight="1">
      <c r="G3256" s="98"/>
      <c r="R3256" s="50"/>
      <c r="S3256" s="47"/>
      <c r="T3256" s="98"/>
      <c r="U3256" s="98"/>
      <c r="AG3256" s="605"/>
      <c r="AH3256" s="605"/>
    </row>
    <row r="3257" spans="7:34" ht="19.5" customHeight="1">
      <c r="G3257" s="98"/>
      <c r="R3257" s="50"/>
      <c r="S3257" s="47"/>
      <c r="T3257" s="98"/>
      <c r="U3257" s="98"/>
      <c r="AG3257" s="605"/>
      <c r="AH3257" s="605"/>
    </row>
    <row r="3258" spans="7:34" ht="19.5" customHeight="1">
      <c r="G3258" s="98"/>
      <c r="R3258" s="50"/>
      <c r="S3258" s="47"/>
      <c r="T3258" s="98"/>
      <c r="U3258" s="98"/>
      <c r="AG3258" s="605"/>
      <c r="AH3258" s="605"/>
    </row>
    <row r="3259" spans="7:34" ht="19.5" customHeight="1">
      <c r="G3259" s="98"/>
      <c r="R3259" s="50"/>
      <c r="S3259" s="47"/>
      <c r="T3259" s="98"/>
      <c r="U3259" s="98"/>
      <c r="AG3259" s="605"/>
      <c r="AH3259" s="605"/>
    </row>
    <row r="3260" spans="7:34" ht="19.5" customHeight="1">
      <c r="G3260" s="98"/>
      <c r="R3260" s="50"/>
      <c r="S3260" s="47"/>
      <c r="T3260" s="98"/>
      <c r="U3260" s="98"/>
      <c r="AG3260" s="605"/>
      <c r="AH3260" s="605"/>
    </row>
    <row r="3261" spans="7:34" ht="19.5" customHeight="1">
      <c r="G3261" s="98"/>
      <c r="R3261" s="50"/>
      <c r="S3261" s="47"/>
      <c r="T3261" s="98"/>
      <c r="U3261" s="98"/>
      <c r="AG3261" s="605"/>
      <c r="AH3261" s="605"/>
    </row>
    <row r="3262" spans="7:34" ht="19.5" customHeight="1">
      <c r="G3262" s="98"/>
      <c r="R3262" s="50"/>
      <c r="S3262" s="47"/>
      <c r="T3262" s="98"/>
      <c r="U3262" s="98"/>
      <c r="AG3262" s="605"/>
      <c r="AH3262" s="605"/>
    </row>
    <row r="3263" spans="7:34" ht="19.5" customHeight="1">
      <c r="G3263" s="98"/>
      <c r="R3263" s="50"/>
      <c r="S3263" s="47"/>
      <c r="T3263" s="98"/>
      <c r="U3263" s="98"/>
      <c r="AG3263" s="605"/>
      <c r="AH3263" s="605"/>
    </row>
    <row r="3264" spans="7:34" ht="19.5" customHeight="1">
      <c r="G3264" s="98"/>
      <c r="R3264" s="50"/>
      <c r="S3264" s="47"/>
      <c r="T3264" s="98"/>
      <c r="U3264" s="98"/>
      <c r="AG3264" s="605"/>
      <c r="AH3264" s="605"/>
    </row>
    <row r="3265" spans="7:34" ht="19.5" customHeight="1">
      <c r="G3265" s="98"/>
      <c r="R3265" s="50"/>
      <c r="S3265" s="47"/>
      <c r="T3265" s="98"/>
      <c r="U3265" s="98"/>
      <c r="AG3265" s="605"/>
      <c r="AH3265" s="605"/>
    </row>
    <row r="3266" spans="7:34" ht="19.5" customHeight="1">
      <c r="G3266" s="98"/>
      <c r="R3266" s="50"/>
      <c r="S3266" s="47"/>
      <c r="T3266" s="98"/>
      <c r="U3266" s="98"/>
      <c r="AG3266" s="605"/>
      <c r="AH3266" s="605"/>
    </row>
    <row r="3267" spans="7:34" ht="19.5" customHeight="1">
      <c r="G3267" s="98"/>
      <c r="R3267" s="50"/>
      <c r="S3267" s="47"/>
      <c r="T3267" s="98"/>
      <c r="U3267" s="98"/>
      <c r="AG3267" s="605"/>
      <c r="AH3267" s="605"/>
    </row>
    <row r="3268" spans="7:34" ht="19.5" customHeight="1">
      <c r="G3268" s="98"/>
      <c r="R3268" s="50"/>
      <c r="S3268" s="47"/>
      <c r="T3268" s="98"/>
      <c r="U3268" s="98"/>
      <c r="AG3268" s="605"/>
      <c r="AH3268" s="605"/>
    </row>
    <row r="3269" spans="7:34" ht="19.5" customHeight="1">
      <c r="G3269" s="98"/>
      <c r="R3269" s="50"/>
      <c r="S3269" s="47"/>
      <c r="T3269" s="98"/>
      <c r="U3269" s="98"/>
      <c r="AG3269" s="605"/>
      <c r="AH3269" s="605"/>
    </row>
    <row r="3270" spans="7:34" ht="19.5" customHeight="1">
      <c r="G3270" s="98"/>
      <c r="R3270" s="50"/>
      <c r="S3270" s="47"/>
      <c r="T3270" s="98"/>
      <c r="U3270" s="98"/>
      <c r="AG3270" s="605"/>
      <c r="AH3270" s="605"/>
    </row>
    <row r="3271" spans="7:34" ht="19.5" customHeight="1">
      <c r="G3271" s="98"/>
      <c r="R3271" s="50"/>
      <c r="S3271" s="47"/>
      <c r="T3271" s="98"/>
      <c r="U3271" s="98"/>
      <c r="AG3271" s="605"/>
      <c r="AH3271" s="605"/>
    </row>
    <row r="3272" spans="7:34" ht="19.5" customHeight="1">
      <c r="G3272" s="98"/>
      <c r="R3272" s="50"/>
      <c r="S3272" s="47"/>
      <c r="T3272" s="98"/>
      <c r="U3272" s="98"/>
      <c r="AG3272" s="605"/>
      <c r="AH3272" s="605"/>
    </row>
    <row r="3273" spans="7:34" ht="19.5" customHeight="1">
      <c r="G3273" s="98"/>
      <c r="R3273" s="50"/>
      <c r="S3273" s="47"/>
      <c r="T3273" s="98"/>
      <c r="U3273" s="98"/>
      <c r="AG3273" s="605"/>
      <c r="AH3273" s="605"/>
    </row>
    <row r="3274" spans="7:34" ht="19.5" customHeight="1">
      <c r="G3274" s="98"/>
      <c r="R3274" s="50"/>
      <c r="S3274" s="47"/>
      <c r="T3274" s="98"/>
      <c r="U3274" s="98"/>
      <c r="AG3274" s="605"/>
      <c r="AH3274" s="605"/>
    </row>
    <row r="3275" spans="7:34" ht="19.5" customHeight="1">
      <c r="G3275" s="98"/>
      <c r="R3275" s="50"/>
      <c r="S3275" s="47"/>
      <c r="T3275" s="98"/>
      <c r="U3275" s="98"/>
      <c r="AG3275" s="605"/>
      <c r="AH3275" s="605"/>
    </row>
    <row r="3276" spans="7:34" ht="19.5" customHeight="1">
      <c r="G3276" s="98"/>
      <c r="R3276" s="50"/>
      <c r="S3276" s="47"/>
      <c r="T3276" s="98"/>
      <c r="U3276" s="98"/>
      <c r="AG3276" s="605"/>
      <c r="AH3276" s="605"/>
    </row>
    <row r="3277" spans="7:34" ht="19.5" customHeight="1">
      <c r="G3277" s="98"/>
      <c r="R3277" s="50"/>
      <c r="S3277" s="47"/>
      <c r="T3277" s="98"/>
      <c r="U3277" s="98"/>
      <c r="AG3277" s="605"/>
      <c r="AH3277" s="605"/>
    </row>
    <row r="3278" spans="7:34" ht="19.5" customHeight="1">
      <c r="G3278" s="98"/>
      <c r="R3278" s="50"/>
      <c r="S3278" s="47"/>
      <c r="T3278" s="98"/>
      <c r="U3278" s="98"/>
      <c r="AG3278" s="605"/>
      <c r="AH3278" s="605"/>
    </row>
    <row r="3279" spans="7:34" ht="19.5" customHeight="1">
      <c r="G3279" s="98"/>
      <c r="R3279" s="50"/>
      <c r="S3279" s="47"/>
      <c r="T3279" s="98"/>
      <c r="U3279" s="98"/>
      <c r="AG3279" s="605"/>
      <c r="AH3279" s="605"/>
    </row>
    <row r="3280" spans="7:34" ht="19.5" customHeight="1">
      <c r="G3280" s="98"/>
      <c r="R3280" s="50"/>
      <c r="S3280" s="47"/>
      <c r="T3280" s="98"/>
      <c r="U3280" s="98"/>
      <c r="AG3280" s="605"/>
      <c r="AH3280" s="605"/>
    </row>
    <row r="3281" spans="7:34" ht="19.5" customHeight="1">
      <c r="G3281" s="98"/>
      <c r="R3281" s="50"/>
      <c r="S3281" s="47"/>
      <c r="T3281" s="98"/>
      <c r="U3281" s="98"/>
      <c r="AG3281" s="605"/>
      <c r="AH3281" s="605"/>
    </row>
    <row r="3282" spans="7:34" ht="19.5" customHeight="1">
      <c r="G3282" s="98"/>
      <c r="R3282" s="50"/>
      <c r="S3282" s="47"/>
      <c r="T3282" s="98"/>
      <c r="U3282" s="98"/>
      <c r="AG3282" s="605"/>
      <c r="AH3282" s="605"/>
    </row>
    <row r="3283" spans="7:34" ht="19.5" customHeight="1">
      <c r="G3283" s="98"/>
      <c r="R3283" s="50"/>
      <c r="S3283" s="47"/>
      <c r="T3283" s="98"/>
      <c r="U3283" s="98"/>
      <c r="AG3283" s="605"/>
      <c r="AH3283" s="605"/>
    </row>
    <row r="3284" spans="7:34" ht="19.5" customHeight="1">
      <c r="G3284" s="98"/>
      <c r="R3284" s="50"/>
      <c r="S3284" s="47"/>
      <c r="T3284" s="98"/>
      <c r="U3284" s="98"/>
      <c r="AG3284" s="605"/>
      <c r="AH3284" s="605"/>
    </row>
    <row r="3285" spans="7:34" ht="19.5" customHeight="1">
      <c r="G3285" s="98"/>
      <c r="R3285" s="50"/>
      <c r="S3285" s="47"/>
      <c r="T3285" s="98"/>
      <c r="U3285" s="98"/>
      <c r="AG3285" s="605"/>
      <c r="AH3285" s="605"/>
    </row>
    <row r="3286" spans="7:34" ht="19.5" customHeight="1">
      <c r="G3286" s="98"/>
      <c r="R3286" s="50"/>
      <c r="S3286" s="47"/>
      <c r="T3286" s="98"/>
      <c r="U3286" s="98"/>
      <c r="AG3286" s="605"/>
      <c r="AH3286" s="605"/>
    </row>
    <row r="3287" spans="7:34" ht="19.5" customHeight="1">
      <c r="G3287" s="98"/>
      <c r="R3287" s="50"/>
      <c r="S3287" s="47"/>
      <c r="T3287" s="98"/>
      <c r="U3287" s="98"/>
      <c r="AG3287" s="605"/>
      <c r="AH3287" s="605"/>
    </row>
    <row r="3288" spans="7:34" ht="19.5" customHeight="1">
      <c r="G3288" s="98"/>
      <c r="R3288" s="50"/>
      <c r="S3288" s="47"/>
      <c r="T3288" s="98"/>
      <c r="U3288" s="98"/>
      <c r="AG3288" s="605"/>
      <c r="AH3288" s="605"/>
    </row>
    <row r="3289" spans="7:34" ht="19.5" customHeight="1">
      <c r="G3289" s="98"/>
      <c r="R3289" s="50"/>
      <c r="S3289" s="47"/>
      <c r="T3289" s="98"/>
      <c r="U3289" s="98"/>
      <c r="AG3289" s="605"/>
      <c r="AH3289" s="605"/>
    </row>
    <row r="3290" spans="7:34" ht="19.5" customHeight="1">
      <c r="G3290" s="98"/>
      <c r="R3290" s="50"/>
      <c r="S3290" s="47"/>
      <c r="T3290" s="98"/>
      <c r="U3290" s="98"/>
      <c r="AG3290" s="605"/>
      <c r="AH3290" s="605"/>
    </row>
    <row r="3291" spans="7:34" ht="19.5" customHeight="1">
      <c r="G3291" s="98"/>
      <c r="R3291" s="50"/>
      <c r="S3291" s="47"/>
      <c r="T3291" s="98"/>
      <c r="U3291" s="98"/>
      <c r="AG3291" s="605"/>
      <c r="AH3291" s="605"/>
    </row>
    <row r="3292" spans="7:34" ht="19.5" customHeight="1">
      <c r="G3292" s="98"/>
      <c r="R3292" s="50"/>
      <c r="S3292" s="47"/>
      <c r="T3292" s="98"/>
      <c r="U3292" s="98"/>
      <c r="AG3292" s="605"/>
      <c r="AH3292" s="605"/>
    </row>
    <row r="3293" spans="7:34" ht="19.5" customHeight="1">
      <c r="G3293" s="98"/>
      <c r="R3293" s="50"/>
      <c r="S3293" s="47"/>
      <c r="T3293" s="98"/>
      <c r="U3293" s="98"/>
      <c r="AG3293" s="605"/>
      <c r="AH3293" s="605"/>
    </row>
    <row r="3294" spans="7:34" ht="19.5" customHeight="1">
      <c r="G3294" s="98"/>
      <c r="R3294" s="50"/>
      <c r="S3294" s="47"/>
      <c r="T3294" s="98"/>
      <c r="U3294" s="98"/>
      <c r="AG3294" s="605"/>
      <c r="AH3294" s="605"/>
    </row>
    <row r="3295" spans="7:34" ht="19.5" customHeight="1">
      <c r="G3295" s="98"/>
      <c r="R3295" s="50"/>
      <c r="S3295" s="47"/>
      <c r="T3295" s="98"/>
      <c r="U3295" s="98"/>
      <c r="AG3295" s="605"/>
      <c r="AH3295" s="605"/>
    </row>
    <row r="3296" spans="7:34" ht="19.5" customHeight="1">
      <c r="G3296" s="98"/>
      <c r="R3296" s="50"/>
      <c r="S3296" s="47"/>
      <c r="T3296" s="98"/>
      <c r="U3296" s="98"/>
      <c r="AG3296" s="605"/>
      <c r="AH3296" s="605"/>
    </row>
    <row r="3297" spans="7:34" ht="19.5" customHeight="1">
      <c r="G3297" s="98"/>
      <c r="R3297" s="50"/>
      <c r="S3297" s="47"/>
      <c r="T3297" s="98"/>
      <c r="U3297" s="98"/>
      <c r="AG3297" s="605"/>
      <c r="AH3297" s="605"/>
    </row>
    <row r="3298" spans="7:34" ht="19.5" customHeight="1">
      <c r="G3298" s="98"/>
      <c r="R3298" s="50"/>
      <c r="S3298" s="47"/>
      <c r="T3298" s="98"/>
      <c r="U3298" s="98"/>
      <c r="AG3298" s="605"/>
      <c r="AH3298" s="605"/>
    </row>
    <row r="3299" spans="7:34" ht="19.5" customHeight="1">
      <c r="G3299" s="98"/>
      <c r="R3299" s="50"/>
      <c r="S3299" s="47"/>
      <c r="T3299" s="98"/>
      <c r="U3299" s="98"/>
      <c r="AG3299" s="605"/>
      <c r="AH3299" s="605"/>
    </row>
    <row r="3300" spans="7:34" ht="19.5" customHeight="1">
      <c r="G3300" s="98"/>
      <c r="R3300" s="50"/>
      <c r="S3300" s="47"/>
      <c r="T3300" s="98"/>
      <c r="U3300" s="98"/>
      <c r="AG3300" s="605"/>
      <c r="AH3300" s="605"/>
    </row>
    <row r="3301" spans="7:34" ht="19.5" customHeight="1">
      <c r="G3301" s="98"/>
      <c r="R3301" s="50"/>
      <c r="S3301" s="47"/>
      <c r="T3301" s="98"/>
      <c r="U3301" s="98"/>
      <c r="AG3301" s="605"/>
      <c r="AH3301" s="605"/>
    </row>
    <row r="3302" spans="7:34" ht="19.5" customHeight="1">
      <c r="G3302" s="98"/>
      <c r="R3302" s="50"/>
      <c r="S3302" s="47"/>
      <c r="T3302" s="98"/>
      <c r="U3302" s="98"/>
      <c r="AG3302" s="605"/>
      <c r="AH3302" s="605"/>
    </row>
    <row r="3303" spans="7:34" ht="19.5" customHeight="1">
      <c r="G3303" s="98"/>
      <c r="R3303" s="50"/>
      <c r="S3303" s="47"/>
      <c r="T3303" s="98"/>
      <c r="U3303" s="98"/>
      <c r="AG3303" s="605"/>
      <c r="AH3303" s="605"/>
    </row>
    <row r="3304" spans="7:34" ht="19.5" customHeight="1">
      <c r="G3304" s="98"/>
      <c r="R3304" s="50"/>
      <c r="S3304" s="47"/>
      <c r="T3304" s="98"/>
      <c r="U3304" s="98"/>
      <c r="AG3304" s="605"/>
      <c r="AH3304" s="605"/>
    </row>
    <row r="3305" spans="7:34" ht="19.5" customHeight="1">
      <c r="G3305" s="98"/>
      <c r="R3305" s="50"/>
      <c r="S3305" s="47"/>
      <c r="T3305" s="98"/>
      <c r="U3305" s="98"/>
      <c r="AG3305" s="605"/>
      <c r="AH3305" s="605"/>
    </row>
    <row r="3306" spans="7:34" ht="19.5" customHeight="1">
      <c r="G3306" s="98"/>
      <c r="R3306" s="50"/>
      <c r="S3306" s="47"/>
      <c r="T3306" s="98"/>
      <c r="U3306" s="98"/>
      <c r="AG3306" s="605"/>
      <c r="AH3306" s="605"/>
    </row>
    <row r="3307" spans="7:34" ht="19.5" customHeight="1">
      <c r="G3307" s="98"/>
      <c r="R3307" s="50"/>
      <c r="S3307" s="47"/>
      <c r="T3307" s="98"/>
      <c r="U3307" s="98"/>
      <c r="AG3307" s="605"/>
      <c r="AH3307" s="605"/>
    </row>
    <row r="3308" spans="7:34" ht="19.5" customHeight="1">
      <c r="G3308" s="98"/>
      <c r="R3308" s="50"/>
      <c r="S3308" s="47"/>
      <c r="T3308" s="98"/>
      <c r="U3308" s="98"/>
      <c r="AG3308" s="605"/>
      <c r="AH3308" s="605"/>
    </row>
    <row r="3309" spans="7:34" ht="19.5" customHeight="1">
      <c r="G3309" s="98"/>
      <c r="R3309" s="50"/>
      <c r="S3309" s="47"/>
      <c r="T3309" s="98"/>
      <c r="U3309" s="98"/>
      <c r="AG3309" s="605"/>
      <c r="AH3309" s="605"/>
    </row>
    <row r="3310" spans="7:34" ht="19.5" customHeight="1">
      <c r="G3310" s="98"/>
      <c r="R3310" s="50"/>
      <c r="S3310" s="47"/>
      <c r="T3310" s="98"/>
      <c r="U3310" s="98"/>
      <c r="AG3310" s="605"/>
      <c r="AH3310" s="605"/>
    </row>
    <row r="3311" spans="7:34" ht="19.5" customHeight="1">
      <c r="G3311" s="98"/>
      <c r="R3311" s="50"/>
      <c r="S3311" s="47"/>
      <c r="T3311" s="98"/>
      <c r="U3311" s="98"/>
      <c r="AG3311" s="605"/>
      <c r="AH3311" s="605"/>
    </row>
    <row r="3312" spans="7:34" ht="19.5" customHeight="1">
      <c r="G3312" s="98"/>
      <c r="R3312" s="50"/>
      <c r="S3312" s="47"/>
      <c r="T3312" s="98"/>
      <c r="U3312" s="98"/>
      <c r="AG3312" s="605"/>
      <c r="AH3312" s="605"/>
    </row>
    <row r="3313" spans="7:34" ht="19.5" customHeight="1">
      <c r="G3313" s="98"/>
      <c r="R3313" s="50"/>
      <c r="S3313" s="47"/>
      <c r="T3313" s="98"/>
      <c r="U3313" s="98"/>
      <c r="AG3313" s="605"/>
      <c r="AH3313" s="605"/>
    </row>
    <row r="3314" spans="7:34" ht="19.5" customHeight="1">
      <c r="G3314" s="98"/>
      <c r="R3314" s="50"/>
      <c r="S3314" s="47"/>
      <c r="T3314" s="98"/>
      <c r="U3314" s="98"/>
      <c r="AG3314" s="605"/>
      <c r="AH3314" s="605"/>
    </row>
    <row r="3315" spans="7:34" ht="19.5" customHeight="1">
      <c r="G3315" s="98"/>
      <c r="R3315" s="50"/>
      <c r="S3315" s="47"/>
      <c r="T3315" s="98"/>
      <c r="U3315" s="98"/>
      <c r="AG3315" s="605"/>
      <c r="AH3315" s="605"/>
    </row>
    <row r="3316" spans="7:34" ht="19.5" customHeight="1">
      <c r="G3316" s="98"/>
      <c r="R3316" s="50"/>
      <c r="S3316" s="47"/>
      <c r="T3316" s="98"/>
      <c r="U3316" s="98"/>
      <c r="AG3316" s="605"/>
      <c r="AH3316" s="605"/>
    </row>
    <row r="3317" spans="7:34" ht="19.5" customHeight="1">
      <c r="G3317" s="98"/>
      <c r="R3317" s="50"/>
      <c r="S3317" s="47"/>
      <c r="T3317" s="98"/>
      <c r="U3317" s="98"/>
      <c r="AG3317" s="605"/>
      <c r="AH3317" s="605"/>
    </row>
    <row r="3318" spans="7:34" ht="19.5" customHeight="1">
      <c r="G3318" s="98"/>
      <c r="R3318" s="50"/>
      <c r="S3318" s="47"/>
      <c r="T3318" s="98"/>
      <c r="U3318" s="98"/>
      <c r="AG3318" s="605"/>
      <c r="AH3318" s="605"/>
    </row>
    <row r="3319" spans="7:34" ht="19.5" customHeight="1">
      <c r="G3319" s="98"/>
      <c r="R3319" s="50"/>
      <c r="S3319" s="47"/>
      <c r="T3319" s="98"/>
      <c r="U3319" s="98"/>
      <c r="AG3319" s="605"/>
      <c r="AH3319" s="605"/>
    </row>
    <row r="3320" spans="7:34" ht="19.5" customHeight="1">
      <c r="G3320" s="98"/>
      <c r="R3320" s="50"/>
      <c r="S3320" s="47"/>
      <c r="T3320" s="98"/>
      <c r="U3320" s="98"/>
      <c r="AG3320" s="605"/>
      <c r="AH3320" s="605"/>
    </row>
    <row r="3321" spans="7:34" ht="19.5" customHeight="1">
      <c r="G3321" s="98"/>
      <c r="R3321" s="50"/>
      <c r="S3321" s="47"/>
      <c r="T3321" s="98"/>
      <c r="U3321" s="98"/>
      <c r="AG3321" s="605"/>
      <c r="AH3321" s="605"/>
    </row>
    <row r="3322" spans="7:34" ht="19.5" customHeight="1">
      <c r="G3322" s="98"/>
      <c r="R3322" s="50"/>
      <c r="S3322" s="47"/>
      <c r="T3322" s="98"/>
      <c r="U3322" s="98"/>
      <c r="AG3322" s="605"/>
      <c r="AH3322" s="605"/>
    </row>
    <row r="3323" spans="7:34" ht="19.5" customHeight="1">
      <c r="G3323" s="98"/>
      <c r="R3323" s="50"/>
      <c r="S3323" s="47"/>
      <c r="T3323" s="98"/>
      <c r="U3323" s="98"/>
      <c r="AG3323" s="605"/>
      <c r="AH3323" s="605"/>
    </row>
    <row r="3324" spans="7:34" ht="19.5" customHeight="1">
      <c r="G3324" s="98"/>
      <c r="R3324" s="50"/>
      <c r="S3324" s="47"/>
      <c r="T3324" s="98"/>
      <c r="U3324" s="98"/>
      <c r="AG3324" s="605"/>
      <c r="AH3324" s="605"/>
    </row>
    <row r="3325" spans="7:34" ht="19.5" customHeight="1">
      <c r="G3325" s="98"/>
      <c r="R3325" s="50"/>
      <c r="S3325" s="47"/>
      <c r="T3325" s="98"/>
      <c r="U3325" s="98"/>
      <c r="AG3325" s="605"/>
      <c r="AH3325" s="605"/>
    </row>
    <row r="3326" spans="7:34" ht="19.5" customHeight="1">
      <c r="G3326" s="98"/>
      <c r="R3326" s="50"/>
      <c r="S3326" s="47"/>
      <c r="T3326" s="98"/>
      <c r="U3326" s="98"/>
      <c r="AG3326" s="605"/>
      <c r="AH3326" s="605"/>
    </row>
    <row r="3327" spans="7:34" ht="19.5" customHeight="1">
      <c r="G3327" s="98"/>
      <c r="R3327" s="50"/>
      <c r="S3327" s="47"/>
      <c r="T3327" s="98"/>
      <c r="U3327" s="98"/>
      <c r="AG3327" s="605"/>
      <c r="AH3327" s="605"/>
    </row>
    <row r="3328" spans="7:34" ht="19.5" customHeight="1">
      <c r="G3328" s="98"/>
      <c r="R3328" s="50"/>
      <c r="S3328" s="47"/>
      <c r="T3328" s="98"/>
      <c r="U3328" s="98"/>
      <c r="AG3328" s="605"/>
      <c r="AH3328" s="605"/>
    </row>
    <row r="3329" spans="7:34" ht="19.5" customHeight="1">
      <c r="G3329" s="98"/>
      <c r="R3329" s="50"/>
      <c r="S3329" s="47"/>
      <c r="T3329" s="98"/>
      <c r="U3329" s="98"/>
      <c r="AG3329" s="605"/>
      <c r="AH3329" s="605"/>
    </row>
    <row r="3330" spans="7:34" ht="19.5" customHeight="1">
      <c r="G3330" s="98"/>
      <c r="R3330" s="50"/>
      <c r="S3330" s="47"/>
      <c r="T3330" s="98"/>
      <c r="U3330" s="98"/>
      <c r="AG3330" s="605"/>
      <c r="AH3330" s="605"/>
    </row>
    <row r="3331" spans="7:34" ht="19.5" customHeight="1">
      <c r="G3331" s="98"/>
      <c r="R3331" s="50"/>
      <c r="S3331" s="47"/>
      <c r="T3331" s="98"/>
      <c r="U3331" s="98"/>
      <c r="AG3331" s="605"/>
      <c r="AH3331" s="605"/>
    </row>
    <row r="3332" spans="7:34" ht="19.5" customHeight="1">
      <c r="G3332" s="98"/>
      <c r="R3332" s="50"/>
      <c r="S3332" s="47"/>
      <c r="T3332" s="98"/>
      <c r="U3332" s="98"/>
      <c r="AG3332" s="605"/>
      <c r="AH3332" s="605"/>
    </row>
    <row r="3333" spans="7:34" ht="19.5" customHeight="1">
      <c r="G3333" s="98"/>
      <c r="R3333" s="50"/>
      <c r="S3333" s="47"/>
      <c r="T3333" s="98"/>
      <c r="U3333" s="98"/>
      <c r="AG3333" s="605"/>
      <c r="AH3333" s="605"/>
    </row>
    <row r="3334" spans="7:34" ht="19.5" customHeight="1">
      <c r="G3334" s="98"/>
      <c r="R3334" s="50"/>
      <c r="S3334" s="47"/>
      <c r="T3334" s="98"/>
      <c r="U3334" s="98"/>
      <c r="AG3334" s="605"/>
      <c r="AH3334" s="605"/>
    </row>
    <row r="3335" spans="7:34" ht="19.5" customHeight="1">
      <c r="G3335" s="98"/>
      <c r="R3335" s="50"/>
      <c r="S3335" s="47"/>
      <c r="T3335" s="98"/>
      <c r="U3335" s="98"/>
      <c r="AG3335" s="605"/>
      <c r="AH3335" s="605"/>
    </row>
    <row r="3336" spans="7:34" ht="19.5" customHeight="1">
      <c r="G3336" s="98"/>
      <c r="R3336" s="50"/>
      <c r="S3336" s="47"/>
      <c r="T3336" s="98"/>
      <c r="U3336" s="98"/>
      <c r="AG3336" s="605"/>
      <c r="AH3336" s="605"/>
    </row>
    <row r="3337" spans="7:34" ht="19.5" customHeight="1">
      <c r="G3337" s="98"/>
      <c r="R3337" s="50"/>
      <c r="S3337" s="47"/>
      <c r="T3337" s="98"/>
      <c r="U3337" s="98"/>
      <c r="AG3337" s="605"/>
      <c r="AH3337" s="605"/>
    </row>
    <row r="3338" spans="7:34" ht="19.5" customHeight="1">
      <c r="G3338" s="98"/>
      <c r="R3338" s="50"/>
      <c r="S3338" s="47"/>
      <c r="T3338" s="98"/>
      <c r="U3338" s="98"/>
      <c r="AG3338" s="605"/>
      <c r="AH3338" s="605"/>
    </row>
    <row r="3339" spans="7:34" ht="19.5" customHeight="1">
      <c r="G3339" s="98"/>
      <c r="R3339" s="50"/>
      <c r="S3339" s="47"/>
      <c r="T3339" s="98"/>
      <c r="U3339" s="98"/>
      <c r="AG3339" s="605"/>
      <c r="AH3339" s="605"/>
    </row>
    <row r="3340" spans="7:34" ht="19.5" customHeight="1">
      <c r="G3340" s="98"/>
      <c r="R3340" s="50"/>
      <c r="S3340" s="47"/>
      <c r="T3340" s="98"/>
      <c r="U3340" s="98"/>
      <c r="AG3340" s="605"/>
      <c r="AH3340" s="605"/>
    </row>
    <row r="3341" spans="7:34" ht="19.5" customHeight="1">
      <c r="G3341" s="98"/>
      <c r="R3341" s="50"/>
      <c r="S3341" s="47"/>
      <c r="T3341" s="98"/>
      <c r="U3341" s="98"/>
      <c r="AG3341" s="605"/>
      <c r="AH3341" s="605"/>
    </row>
    <row r="3342" spans="7:34" ht="19.5" customHeight="1">
      <c r="G3342" s="98"/>
      <c r="R3342" s="50"/>
      <c r="S3342" s="47"/>
      <c r="T3342" s="98"/>
      <c r="U3342" s="98"/>
      <c r="AG3342" s="605"/>
      <c r="AH3342" s="605"/>
    </row>
    <row r="3343" spans="7:34" ht="19.5" customHeight="1">
      <c r="G3343" s="98"/>
      <c r="R3343" s="50"/>
      <c r="S3343" s="47"/>
      <c r="T3343" s="98"/>
      <c r="U3343" s="98"/>
      <c r="AG3343" s="605"/>
      <c r="AH3343" s="605"/>
    </row>
    <row r="3344" spans="7:34" ht="19.5" customHeight="1">
      <c r="G3344" s="98"/>
      <c r="R3344" s="50"/>
      <c r="S3344" s="47"/>
      <c r="T3344" s="98"/>
      <c r="U3344" s="98"/>
      <c r="AG3344" s="605"/>
      <c r="AH3344" s="605"/>
    </row>
    <row r="3345" spans="7:34" ht="19.5" customHeight="1">
      <c r="G3345" s="98"/>
      <c r="R3345" s="50"/>
      <c r="S3345" s="47"/>
      <c r="T3345" s="98"/>
      <c r="U3345" s="98"/>
      <c r="AG3345" s="605"/>
      <c r="AH3345" s="605"/>
    </row>
    <row r="3346" spans="7:34" ht="19.5" customHeight="1">
      <c r="G3346" s="98"/>
      <c r="R3346" s="50"/>
      <c r="S3346" s="47"/>
      <c r="T3346" s="98"/>
      <c r="U3346" s="98"/>
      <c r="AG3346" s="605"/>
      <c r="AH3346" s="605"/>
    </row>
    <row r="3347" spans="7:34" ht="19.5" customHeight="1">
      <c r="G3347" s="98"/>
      <c r="R3347" s="50"/>
      <c r="S3347" s="47"/>
      <c r="T3347" s="98"/>
      <c r="U3347" s="98"/>
      <c r="AG3347" s="605"/>
      <c r="AH3347" s="605"/>
    </row>
    <row r="3348" spans="7:34" ht="19.5" customHeight="1">
      <c r="G3348" s="98"/>
      <c r="R3348" s="50"/>
      <c r="S3348" s="47"/>
      <c r="T3348" s="98"/>
      <c r="U3348" s="98"/>
      <c r="AG3348" s="605"/>
      <c r="AH3348" s="605"/>
    </row>
    <row r="3349" spans="7:34" ht="19.5" customHeight="1">
      <c r="G3349" s="98"/>
      <c r="R3349" s="50"/>
      <c r="S3349" s="47"/>
      <c r="T3349" s="98"/>
      <c r="U3349" s="98"/>
      <c r="AG3349" s="605"/>
      <c r="AH3349" s="605"/>
    </row>
    <row r="3350" spans="7:34" ht="19.5" customHeight="1">
      <c r="G3350" s="98"/>
      <c r="R3350" s="50"/>
      <c r="S3350" s="47"/>
      <c r="T3350" s="98"/>
      <c r="U3350" s="98"/>
      <c r="AG3350" s="605"/>
      <c r="AH3350" s="605"/>
    </row>
    <row r="3351" spans="7:34" ht="19.5" customHeight="1">
      <c r="G3351" s="98"/>
      <c r="R3351" s="50"/>
      <c r="S3351" s="47"/>
      <c r="T3351" s="98"/>
      <c r="U3351" s="98"/>
      <c r="AG3351" s="605"/>
      <c r="AH3351" s="605"/>
    </row>
    <row r="3352" spans="7:34" ht="19.5" customHeight="1">
      <c r="G3352" s="98"/>
      <c r="R3352" s="50"/>
      <c r="S3352" s="47"/>
      <c r="T3352" s="98"/>
      <c r="U3352" s="98"/>
      <c r="AG3352" s="605"/>
      <c r="AH3352" s="605"/>
    </row>
    <row r="3353" spans="7:34" ht="19.5" customHeight="1">
      <c r="G3353" s="98"/>
      <c r="R3353" s="50"/>
      <c r="S3353" s="47"/>
      <c r="T3353" s="98"/>
      <c r="U3353" s="98"/>
      <c r="AG3353" s="605"/>
      <c r="AH3353" s="605"/>
    </row>
    <row r="3354" spans="7:34" ht="19.5" customHeight="1">
      <c r="G3354" s="98"/>
      <c r="R3354" s="50"/>
      <c r="S3354" s="47"/>
      <c r="T3354" s="98"/>
      <c r="U3354" s="98"/>
      <c r="AG3354" s="605"/>
      <c r="AH3354" s="605"/>
    </row>
    <row r="3355" spans="7:34" ht="19.5" customHeight="1">
      <c r="G3355" s="98"/>
      <c r="R3355" s="50"/>
      <c r="S3355" s="47"/>
      <c r="T3355" s="98"/>
      <c r="U3355" s="98"/>
      <c r="AG3355" s="605"/>
      <c r="AH3355" s="605"/>
    </row>
    <row r="3356" spans="7:34" ht="19.5" customHeight="1">
      <c r="G3356" s="98"/>
      <c r="R3356" s="50"/>
      <c r="S3356" s="47"/>
      <c r="T3356" s="98"/>
      <c r="U3356" s="98"/>
      <c r="AG3356" s="605"/>
      <c r="AH3356" s="605"/>
    </row>
    <row r="3357" spans="7:34" ht="19.5" customHeight="1">
      <c r="G3357" s="98"/>
      <c r="R3357" s="50"/>
      <c r="S3357" s="47"/>
      <c r="T3357" s="98"/>
      <c r="U3357" s="98"/>
      <c r="AG3357" s="605"/>
      <c r="AH3357" s="605"/>
    </row>
    <row r="3358" spans="7:34" ht="19.5" customHeight="1">
      <c r="G3358" s="98"/>
      <c r="R3358" s="50"/>
      <c r="S3358" s="47"/>
      <c r="T3358" s="98"/>
      <c r="U3358" s="98"/>
      <c r="AG3358" s="605"/>
      <c r="AH3358" s="605"/>
    </row>
    <row r="3359" spans="7:34" ht="19.5" customHeight="1">
      <c r="G3359" s="98"/>
      <c r="R3359" s="50"/>
      <c r="S3359" s="47"/>
      <c r="T3359" s="98"/>
      <c r="U3359" s="98"/>
      <c r="AG3359" s="605"/>
      <c r="AH3359" s="605"/>
    </row>
    <row r="3360" spans="7:34" ht="19.5" customHeight="1">
      <c r="G3360" s="98"/>
      <c r="R3360" s="50"/>
      <c r="S3360" s="47"/>
      <c r="T3360" s="98"/>
      <c r="U3360" s="98"/>
      <c r="AG3360" s="605"/>
      <c r="AH3360" s="605"/>
    </row>
    <row r="3361" spans="7:34" ht="19.5" customHeight="1">
      <c r="G3361" s="98"/>
      <c r="R3361" s="50"/>
      <c r="S3361" s="47"/>
      <c r="T3361" s="98"/>
      <c r="U3361" s="98"/>
      <c r="AG3361" s="605"/>
      <c r="AH3361" s="605"/>
    </row>
    <row r="3362" spans="7:34" ht="19.5" customHeight="1">
      <c r="G3362" s="98"/>
      <c r="R3362" s="50"/>
      <c r="S3362" s="47"/>
      <c r="T3362" s="98"/>
      <c r="U3362" s="98"/>
      <c r="AG3362" s="605"/>
      <c r="AH3362" s="605"/>
    </row>
    <row r="3363" spans="7:34" ht="19.5" customHeight="1">
      <c r="G3363" s="98"/>
      <c r="R3363" s="50"/>
      <c r="S3363" s="47"/>
      <c r="T3363" s="98"/>
      <c r="U3363" s="98"/>
      <c r="AG3363" s="605"/>
      <c r="AH3363" s="605"/>
    </row>
    <row r="3364" spans="7:34" ht="19.5" customHeight="1">
      <c r="G3364" s="98"/>
      <c r="R3364" s="50"/>
      <c r="S3364" s="47"/>
      <c r="T3364" s="98"/>
      <c r="U3364" s="98"/>
      <c r="AG3364" s="605"/>
      <c r="AH3364" s="605"/>
    </row>
    <row r="3365" spans="7:34" ht="19.5" customHeight="1">
      <c r="G3365" s="98"/>
      <c r="R3365" s="50"/>
      <c r="S3365" s="47"/>
      <c r="T3365" s="98"/>
      <c r="U3365" s="98"/>
      <c r="AG3365" s="605"/>
      <c r="AH3365" s="605"/>
    </row>
    <row r="3366" spans="7:34" ht="19.5" customHeight="1">
      <c r="G3366" s="98"/>
      <c r="R3366" s="50"/>
      <c r="S3366" s="47"/>
      <c r="T3366" s="98"/>
      <c r="U3366" s="98"/>
      <c r="AG3366" s="605"/>
      <c r="AH3366" s="605"/>
    </row>
    <row r="3367" spans="7:34" ht="19.5" customHeight="1">
      <c r="G3367" s="98"/>
      <c r="R3367" s="50"/>
      <c r="S3367" s="47"/>
      <c r="T3367" s="98"/>
      <c r="U3367" s="98"/>
      <c r="AG3367" s="605"/>
      <c r="AH3367" s="605"/>
    </row>
    <row r="3368" spans="7:34" ht="19.5" customHeight="1">
      <c r="G3368" s="98"/>
      <c r="R3368" s="50"/>
      <c r="S3368" s="47"/>
      <c r="T3368" s="98"/>
      <c r="U3368" s="98"/>
      <c r="AG3368" s="605"/>
      <c r="AH3368" s="605"/>
    </row>
    <row r="3369" spans="7:34" ht="19.5" customHeight="1">
      <c r="G3369" s="98"/>
      <c r="R3369" s="50"/>
      <c r="S3369" s="47"/>
      <c r="T3369" s="98"/>
      <c r="U3369" s="98"/>
      <c r="AG3369" s="605"/>
      <c r="AH3369" s="605"/>
    </row>
    <row r="3370" spans="7:34" ht="19.5" customHeight="1">
      <c r="G3370" s="98"/>
      <c r="R3370" s="50"/>
      <c r="S3370" s="47"/>
      <c r="T3370" s="98"/>
      <c r="U3370" s="98"/>
      <c r="AG3370" s="605"/>
      <c r="AH3370" s="605"/>
    </row>
    <row r="3371" spans="7:34" ht="19.5" customHeight="1">
      <c r="G3371" s="98"/>
      <c r="R3371" s="50"/>
      <c r="S3371" s="47"/>
      <c r="T3371" s="98"/>
      <c r="U3371" s="98"/>
      <c r="AG3371" s="605"/>
      <c r="AH3371" s="605"/>
    </row>
    <row r="3372" spans="7:34" ht="19.5" customHeight="1">
      <c r="G3372" s="98"/>
      <c r="R3372" s="50"/>
      <c r="S3372" s="47"/>
      <c r="T3372" s="98"/>
      <c r="U3372" s="98"/>
      <c r="AG3372" s="605"/>
      <c r="AH3372" s="605"/>
    </row>
    <row r="3373" spans="7:34" ht="19.5" customHeight="1">
      <c r="G3373" s="98"/>
      <c r="R3373" s="50"/>
      <c r="S3373" s="47"/>
      <c r="T3373" s="98"/>
      <c r="U3373" s="98"/>
      <c r="AG3373" s="605"/>
      <c r="AH3373" s="605"/>
    </row>
    <row r="3374" spans="7:34" ht="19.5" customHeight="1">
      <c r="G3374" s="98"/>
      <c r="R3374" s="50"/>
      <c r="S3374" s="47"/>
      <c r="T3374" s="98"/>
      <c r="U3374" s="98"/>
      <c r="AG3374" s="605"/>
      <c r="AH3374" s="605"/>
    </row>
    <row r="3375" spans="7:34" ht="19.5" customHeight="1">
      <c r="G3375" s="98"/>
      <c r="R3375" s="50"/>
      <c r="S3375" s="47"/>
      <c r="T3375" s="98"/>
      <c r="U3375" s="98"/>
      <c r="AG3375" s="605"/>
      <c r="AH3375" s="605"/>
    </row>
    <row r="3376" spans="7:34" ht="19.5" customHeight="1">
      <c r="G3376" s="98"/>
      <c r="R3376" s="50"/>
      <c r="S3376" s="47"/>
      <c r="T3376" s="98"/>
      <c r="U3376" s="98"/>
      <c r="AG3376" s="605"/>
      <c r="AH3376" s="605"/>
    </row>
    <row r="3377" spans="7:34" ht="19.5" customHeight="1">
      <c r="G3377" s="98"/>
      <c r="R3377" s="50"/>
      <c r="S3377" s="47"/>
      <c r="T3377" s="98"/>
      <c r="U3377" s="98"/>
      <c r="AG3377" s="605"/>
      <c r="AH3377" s="605"/>
    </row>
    <row r="3378" spans="7:34" ht="19.5" customHeight="1">
      <c r="G3378" s="98"/>
      <c r="R3378" s="50"/>
      <c r="S3378" s="47"/>
      <c r="T3378" s="98"/>
      <c r="U3378" s="98"/>
      <c r="AG3378" s="605"/>
      <c r="AH3378" s="605"/>
    </row>
    <row r="3379" spans="7:34" ht="19.5" customHeight="1">
      <c r="G3379" s="98"/>
      <c r="R3379" s="50"/>
      <c r="S3379" s="47"/>
      <c r="T3379" s="98"/>
      <c r="U3379" s="98"/>
      <c r="AG3379" s="605"/>
      <c r="AH3379" s="605"/>
    </row>
    <row r="3380" spans="7:34" ht="19.5" customHeight="1">
      <c r="G3380" s="98"/>
      <c r="R3380" s="50"/>
      <c r="S3380" s="47"/>
      <c r="T3380" s="98"/>
      <c r="U3380" s="98"/>
      <c r="AG3380" s="605"/>
      <c r="AH3380" s="605"/>
    </row>
    <row r="3381" spans="7:34" ht="19.5" customHeight="1">
      <c r="G3381" s="98"/>
      <c r="R3381" s="50"/>
      <c r="S3381" s="47"/>
      <c r="T3381" s="98"/>
      <c r="U3381" s="98"/>
      <c r="AG3381" s="605"/>
      <c r="AH3381" s="605"/>
    </row>
    <row r="3382" spans="7:34" ht="19.5" customHeight="1">
      <c r="G3382" s="98"/>
      <c r="R3382" s="50"/>
      <c r="S3382" s="47"/>
      <c r="T3382" s="98"/>
      <c r="U3382" s="98"/>
      <c r="AG3382" s="605"/>
      <c r="AH3382" s="605"/>
    </row>
    <row r="3383" spans="7:34" ht="19.5" customHeight="1">
      <c r="G3383" s="98"/>
      <c r="R3383" s="50"/>
      <c r="S3383" s="47"/>
      <c r="T3383" s="98"/>
      <c r="U3383" s="98"/>
      <c r="AG3383" s="605"/>
      <c r="AH3383" s="605"/>
    </row>
    <row r="3384" spans="7:34" ht="19.5" customHeight="1">
      <c r="G3384" s="98"/>
      <c r="R3384" s="50"/>
      <c r="S3384" s="47"/>
      <c r="T3384" s="98"/>
      <c r="U3384" s="98"/>
      <c r="AG3384" s="605"/>
      <c r="AH3384" s="605"/>
    </row>
    <row r="3385" spans="7:34" ht="19.5" customHeight="1">
      <c r="G3385" s="98"/>
      <c r="R3385" s="50"/>
      <c r="S3385" s="47"/>
      <c r="T3385" s="98"/>
      <c r="U3385" s="98"/>
      <c r="AG3385" s="605"/>
      <c r="AH3385" s="605"/>
    </row>
    <row r="3386" spans="7:34" ht="19.5" customHeight="1">
      <c r="G3386" s="98"/>
      <c r="R3386" s="50"/>
      <c r="S3386" s="47"/>
      <c r="T3386" s="98"/>
      <c r="U3386" s="98"/>
      <c r="AG3386" s="605"/>
      <c r="AH3386" s="605"/>
    </row>
    <row r="3387" spans="7:34" ht="19.5" customHeight="1">
      <c r="G3387" s="98"/>
      <c r="R3387" s="50"/>
      <c r="S3387" s="47"/>
      <c r="T3387" s="98"/>
      <c r="U3387" s="98"/>
      <c r="AG3387" s="605"/>
      <c r="AH3387" s="605"/>
    </row>
    <row r="3388" spans="7:34" ht="19.5" customHeight="1">
      <c r="G3388" s="98"/>
      <c r="R3388" s="50"/>
      <c r="S3388" s="47"/>
      <c r="T3388" s="98"/>
      <c r="U3388" s="98"/>
      <c r="AG3388" s="605"/>
      <c r="AH3388" s="605"/>
    </row>
    <row r="3389" spans="7:34" ht="19.5" customHeight="1">
      <c r="G3389" s="98"/>
      <c r="R3389" s="50"/>
      <c r="S3389" s="47"/>
      <c r="T3389" s="98"/>
      <c r="U3389" s="98"/>
      <c r="AG3389" s="605"/>
      <c r="AH3389" s="605"/>
    </row>
    <row r="3390" spans="7:34" ht="19.5" customHeight="1">
      <c r="G3390" s="98"/>
      <c r="R3390" s="50"/>
      <c r="S3390" s="47"/>
      <c r="T3390" s="98"/>
      <c r="U3390" s="98"/>
      <c r="AG3390" s="605"/>
      <c r="AH3390" s="605"/>
    </row>
    <row r="3391" spans="7:34" ht="19.5" customHeight="1">
      <c r="G3391" s="98"/>
      <c r="R3391" s="50"/>
      <c r="S3391" s="47"/>
      <c r="T3391" s="98"/>
      <c r="U3391" s="98"/>
      <c r="AG3391" s="605"/>
      <c r="AH3391" s="605"/>
    </row>
    <row r="3392" spans="7:34" ht="19.5" customHeight="1">
      <c r="G3392" s="98"/>
      <c r="R3392" s="50"/>
      <c r="S3392" s="47"/>
      <c r="T3392" s="98"/>
      <c r="U3392" s="98"/>
      <c r="AG3392" s="605"/>
      <c r="AH3392" s="605"/>
    </row>
    <row r="3393" spans="7:34" ht="19.5" customHeight="1">
      <c r="G3393" s="98"/>
      <c r="R3393" s="50"/>
      <c r="S3393" s="47"/>
      <c r="T3393" s="98"/>
      <c r="U3393" s="98"/>
      <c r="AG3393" s="605"/>
      <c r="AH3393" s="605"/>
    </row>
    <row r="3394" spans="7:34" ht="19.5" customHeight="1">
      <c r="G3394" s="98"/>
      <c r="R3394" s="50"/>
      <c r="S3394" s="47"/>
      <c r="T3394" s="98"/>
      <c r="U3394" s="98"/>
      <c r="AG3394" s="605"/>
      <c r="AH3394" s="605"/>
    </row>
    <row r="3395" spans="7:34" ht="19.5" customHeight="1">
      <c r="G3395" s="98"/>
      <c r="R3395" s="50"/>
      <c r="S3395" s="47"/>
      <c r="T3395" s="98"/>
      <c r="U3395" s="98"/>
      <c r="AG3395" s="605"/>
      <c r="AH3395" s="605"/>
    </row>
    <row r="3396" spans="7:34" ht="19.5" customHeight="1">
      <c r="G3396" s="98"/>
      <c r="R3396" s="50"/>
      <c r="S3396" s="47"/>
      <c r="T3396" s="98"/>
      <c r="U3396" s="98"/>
      <c r="AG3396" s="605"/>
      <c r="AH3396" s="605"/>
    </row>
    <row r="3397" spans="7:34" ht="19.5" customHeight="1">
      <c r="G3397" s="98"/>
      <c r="R3397" s="50"/>
      <c r="S3397" s="47"/>
      <c r="T3397" s="98"/>
      <c r="U3397" s="98"/>
      <c r="AG3397" s="605"/>
      <c r="AH3397" s="605"/>
    </row>
    <row r="3398" spans="7:34" ht="19.5" customHeight="1">
      <c r="G3398" s="98"/>
      <c r="R3398" s="50"/>
      <c r="S3398" s="47"/>
      <c r="T3398" s="98"/>
      <c r="U3398" s="98"/>
      <c r="AG3398" s="605"/>
      <c r="AH3398" s="605"/>
    </row>
    <row r="3399" spans="7:34" ht="19.5" customHeight="1">
      <c r="G3399" s="98"/>
      <c r="R3399" s="50"/>
      <c r="S3399" s="47"/>
      <c r="T3399" s="98"/>
      <c r="U3399" s="98"/>
      <c r="AG3399" s="605"/>
      <c r="AH3399" s="605"/>
    </row>
    <row r="3400" spans="7:34" ht="19.5" customHeight="1">
      <c r="G3400" s="98"/>
      <c r="R3400" s="50"/>
      <c r="S3400" s="47"/>
      <c r="T3400" s="98"/>
      <c r="U3400" s="98"/>
      <c r="AG3400" s="605"/>
      <c r="AH3400" s="605"/>
    </row>
    <row r="3401" spans="7:34" ht="19.5" customHeight="1">
      <c r="G3401" s="98"/>
      <c r="R3401" s="50"/>
      <c r="S3401" s="47"/>
      <c r="T3401" s="98"/>
      <c r="U3401" s="98"/>
      <c r="AG3401" s="605"/>
      <c r="AH3401" s="605"/>
    </row>
    <row r="3402" spans="7:34" ht="19.5" customHeight="1">
      <c r="G3402" s="98"/>
      <c r="R3402" s="50"/>
      <c r="S3402" s="47"/>
      <c r="T3402" s="98"/>
      <c r="U3402" s="98"/>
      <c r="AG3402" s="605"/>
      <c r="AH3402" s="605"/>
    </row>
    <row r="3403" spans="7:34" ht="19.5" customHeight="1">
      <c r="G3403" s="98"/>
      <c r="R3403" s="50"/>
      <c r="S3403" s="47"/>
      <c r="T3403" s="98"/>
      <c r="U3403" s="98"/>
      <c r="AG3403" s="605"/>
      <c r="AH3403" s="605"/>
    </row>
    <row r="3404" spans="7:34" ht="19.5" customHeight="1">
      <c r="G3404" s="98"/>
      <c r="R3404" s="50"/>
      <c r="S3404" s="47"/>
      <c r="T3404" s="98"/>
      <c r="U3404" s="98"/>
      <c r="AG3404" s="605"/>
      <c r="AH3404" s="605"/>
    </row>
    <row r="3405" spans="7:34" ht="19.5" customHeight="1">
      <c r="G3405" s="98"/>
      <c r="R3405" s="50"/>
      <c r="S3405" s="47"/>
      <c r="T3405" s="98"/>
      <c r="U3405" s="98"/>
      <c r="AG3405" s="605"/>
      <c r="AH3405" s="605"/>
    </row>
    <row r="3406" spans="7:34" ht="19.5" customHeight="1">
      <c r="G3406" s="98"/>
      <c r="R3406" s="50"/>
      <c r="S3406" s="47"/>
      <c r="T3406" s="98"/>
      <c r="U3406" s="98"/>
      <c r="AG3406" s="605"/>
      <c r="AH3406" s="605"/>
    </row>
    <row r="3407" spans="7:34" ht="19.5" customHeight="1">
      <c r="G3407" s="98"/>
      <c r="R3407" s="50"/>
      <c r="S3407" s="47"/>
      <c r="T3407" s="98"/>
      <c r="U3407" s="98"/>
      <c r="AG3407" s="605"/>
      <c r="AH3407" s="605"/>
    </row>
    <row r="3408" spans="7:34" ht="19.5" customHeight="1">
      <c r="G3408" s="98"/>
      <c r="R3408" s="50"/>
      <c r="S3408" s="47"/>
      <c r="T3408" s="98"/>
      <c r="U3408" s="98"/>
      <c r="AG3408" s="605"/>
      <c r="AH3408" s="605"/>
    </row>
    <row r="3409" spans="7:34" ht="19.5" customHeight="1">
      <c r="G3409" s="98"/>
      <c r="R3409" s="50"/>
      <c r="S3409" s="47"/>
      <c r="T3409" s="98"/>
      <c r="U3409" s="98"/>
      <c r="AG3409" s="605"/>
      <c r="AH3409" s="605"/>
    </row>
    <row r="3410" spans="7:34" ht="19.5" customHeight="1">
      <c r="G3410" s="98"/>
      <c r="R3410" s="50"/>
      <c r="S3410" s="47"/>
      <c r="T3410" s="98"/>
      <c r="U3410" s="98"/>
      <c r="AG3410" s="605"/>
      <c r="AH3410" s="605"/>
    </row>
    <row r="3411" spans="7:34" ht="19.5" customHeight="1">
      <c r="G3411" s="98"/>
      <c r="R3411" s="50"/>
      <c r="S3411" s="47"/>
      <c r="T3411" s="98"/>
      <c r="U3411" s="98"/>
      <c r="AG3411" s="605"/>
      <c r="AH3411" s="605"/>
    </row>
    <row r="3412" spans="7:34" ht="19.5" customHeight="1">
      <c r="G3412" s="98"/>
      <c r="R3412" s="50"/>
      <c r="S3412" s="47"/>
      <c r="T3412" s="98"/>
      <c r="U3412" s="98"/>
      <c r="AG3412" s="605"/>
      <c r="AH3412" s="605"/>
    </row>
    <row r="3413" spans="7:34" ht="19.5" customHeight="1">
      <c r="G3413" s="98"/>
      <c r="R3413" s="50"/>
      <c r="S3413" s="47"/>
      <c r="T3413" s="98"/>
      <c r="U3413" s="98"/>
      <c r="AG3413" s="605"/>
      <c r="AH3413" s="605"/>
    </row>
    <row r="3414" spans="7:34" ht="19.5" customHeight="1">
      <c r="G3414" s="98"/>
      <c r="R3414" s="50"/>
      <c r="S3414" s="47"/>
      <c r="T3414" s="98"/>
      <c r="U3414" s="98"/>
      <c r="AG3414" s="605"/>
      <c r="AH3414" s="605"/>
    </row>
    <row r="3415" spans="7:34" ht="19.5" customHeight="1">
      <c r="G3415" s="98"/>
      <c r="R3415" s="50"/>
      <c r="S3415" s="47"/>
      <c r="T3415" s="98"/>
      <c r="U3415" s="98"/>
      <c r="AG3415" s="605"/>
      <c r="AH3415" s="605"/>
    </row>
    <row r="3416" spans="7:34" ht="19.5" customHeight="1">
      <c r="G3416" s="98"/>
      <c r="R3416" s="50"/>
      <c r="S3416" s="47"/>
      <c r="T3416" s="98"/>
      <c r="U3416" s="98"/>
      <c r="AG3416" s="605"/>
      <c r="AH3416" s="605"/>
    </row>
    <row r="3417" spans="7:34" ht="19.5" customHeight="1">
      <c r="G3417" s="98"/>
      <c r="R3417" s="50"/>
      <c r="S3417" s="47"/>
      <c r="T3417" s="98"/>
      <c r="U3417" s="98"/>
      <c r="AG3417" s="605"/>
      <c r="AH3417" s="605"/>
    </row>
    <row r="3418" spans="7:34" ht="19.5" customHeight="1">
      <c r="G3418" s="98"/>
      <c r="R3418" s="50"/>
      <c r="S3418" s="47"/>
      <c r="T3418" s="98"/>
      <c r="U3418" s="98"/>
      <c r="AG3418" s="605"/>
      <c r="AH3418" s="605"/>
    </row>
    <row r="3419" spans="7:34" ht="19.5" customHeight="1">
      <c r="G3419" s="98"/>
      <c r="R3419" s="50"/>
      <c r="S3419" s="47"/>
      <c r="T3419" s="98"/>
      <c r="U3419" s="98"/>
      <c r="AG3419" s="605"/>
      <c r="AH3419" s="605"/>
    </row>
    <row r="3420" spans="7:34" ht="19.5" customHeight="1">
      <c r="G3420" s="98"/>
      <c r="R3420" s="50"/>
      <c r="S3420" s="47"/>
      <c r="T3420" s="98"/>
      <c r="U3420" s="98"/>
      <c r="AG3420" s="605"/>
      <c r="AH3420" s="605"/>
    </row>
    <row r="3421" spans="7:34" ht="19.5" customHeight="1">
      <c r="G3421" s="98"/>
      <c r="R3421" s="50"/>
      <c r="S3421" s="47"/>
      <c r="T3421" s="98"/>
      <c r="U3421" s="98"/>
      <c r="AG3421" s="605"/>
      <c r="AH3421" s="605"/>
    </row>
    <row r="3422" spans="7:34" ht="19.5" customHeight="1">
      <c r="G3422" s="98"/>
      <c r="R3422" s="50"/>
      <c r="S3422" s="47"/>
      <c r="T3422" s="98"/>
      <c r="U3422" s="98"/>
      <c r="AG3422" s="605"/>
      <c r="AH3422" s="605"/>
    </row>
    <row r="3423" spans="7:34" ht="19.5" customHeight="1">
      <c r="G3423" s="98"/>
      <c r="R3423" s="50"/>
      <c r="S3423" s="47"/>
      <c r="T3423" s="98"/>
      <c r="U3423" s="98"/>
      <c r="AG3423" s="605"/>
      <c r="AH3423" s="605"/>
    </row>
    <row r="3424" spans="7:34" ht="19.5" customHeight="1">
      <c r="G3424" s="98"/>
      <c r="R3424" s="50"/>
      <c r="S3424" s="47"/>
      <c r="T3424" s="98"/>
      <c r="U3424" s="98"/>
      <c r="AG3424" s="605"/>
      <c r="AH3424" s="605"/>
    </row>
    <row r="3425" spans="7:34" ht="19.5" customHeight="1">
      <c r="G3425" s="98"/>
      <c r="R3425" s="50"/>
      <c r="S3425" s="47"/>
      <c r="T3425" s="98"/>
      <c r="U3425" s="98"/>
      <c r="AG3425" s="605"/>
      <c r="AH3425" s="605"/>
    </row>
    <row r="3426" spans="7:34" ht="19.5" customHeight="1">
      <c r="G3426" s="98"/>
      <c r="R3426" s="50"/>
      <c r="S3426" s="47"/>
      <c r="T3426" s="98"/>
      <c r="U3426" s="98"/>
      <c r="AG3426" s="605"/>
      <c r="AH3426" s="605"/>
    </row>
    <row r="3427" spans="7:34" ht="19.5" customHeight="1">
      <c r="G3427" s="98"/>
      <c r="R3427" s="50"/>
      <c r="S3427" s="47"/>
      <c r="T3427" s="98"/>
      <c r="U3427" s="98"/>
      <c r="AG3427" s="605"/>
      <c r="AH3427" s="605"/>
    </row>
    <row r="3428" spans="7:34" ht="19.5" customHeight="1">
      <c r="G3428" s="98"/>
      <c r="R3428" s="50"/>
      <c r="S3428" s="47"/>
      <c r="T3428" s="98"/>
      <c r="U3428" s="98"/>
      <c r="AG3428" s="605"/>
      <c r="AH3428" s="605"/>
    </row>
    <row r="3429" spans="7:34" ht="19.5" customHeight="1">
      <c r="G3429" s="98"/>
      <c r="R3429" s="50"/>
      <c r="S3429" s="47"/>
      <c r="T3429" s="98"/>
      <c r="U3429" s="98"/>
      <c r="AG3429" s="605"/>
      <c r="AH3429" s="605"/>
    </row>
    <row r="3430" spans="7:34" ht="19.5" customHeight="1">
      <c r="G3430" s="98"/>
      <c r="R3430" s="50"/>
      <c r="S3430" s="47"/>
      <c r="T3430" s="98"/>
      <c r="U3430" s="98"/>
      <c r="AG3430" s="605"/>
      <c r="AH3430" s="605"/>
    </row>
    <row r="3431" spans="7:34" ht="19.5" customHeight="1">
      <c r="G3431" s="98"/>
      <c r="R3431" s="50"/>
      <c r="S3431" s="47"/>
      <c r="T3431" s="98"/>
      <c r="U3431" s="98"/>
      <c r="AG3431" s="605"/>
      <c r="AH3431" s="605"/>
    </row>
    <row r="3432" spans="7:34" ht="19.5" customHeight="1">
      <c r="G3432" s="98"/>
      <c r="R3432" s="50"/>
      <c r="S3432" s="47"/>
      <c r="T3432" s="98"/>
      <c r="U3432" s="98"/>
      <c r="AG3432" s="605"/>
      <c r="AH3432" s="605"/>
    </row>
    <row r="3433" spans="7:34" ht="19.5" customHeight="1">
      <c r="G3433" s="98"/>
      <c r="R3433" s="50"/>
      <c r="S3433" s="47"/>
      <c r="T3433" s="98"/>
      <c r="U3433" s="98"/>
      <c r="AG3433" s="605"/>
      <c r="AH3433" s="605"/>
    </row>
    <row r="3434" spans="7:34" ht="19.5" customHeight="1">
      <c r="G3434" s="98"/>
      <c r="R3434" s="50"/>
      <c r="S3434" s="47"/>
      <c r="T3434" s="98"/>
      <c r="U3434" s="98"/>
      <c r="AG3434" s="605"/>
      <c r="AH3434" s="605"/>
    </row>
    <row r="3435" spans="7:34" ht="19.5" customHeight="1">
      <c r="G3435" s="98"/>
      <c r="R3435" s="50"/>
      <c r="S3435" s="47"/>
      <c r="T3435" s="98"/>
      <c r="U3435" s="98"/>
      <c r="AG3435" s="605"/>
      <c r="AH3435" s="605"/>
    </row>
    <row r="3436" spans="7:34" ht="19.5" customHeight="1">
      <c r="G3436" s="98"/>
      <c r="R3436" s="50"/>
      <c r="S3436" s="47"/>
      <c r="T3436" s="98"/>
      <c r="U3436" s="98"/>
      <c r="AG3436" s="605"/>
      <c r="AH3436" s="605"/>
    </row>
    <row r="3437" spans="7:34" ht="19.5" customHeight="1">
      <c r="G3437" s="98"/>
      <c r="R3437" s="50"/>
      <c r="S3437" s="47"/>
      <c r="T3437" s="98"/>
      <c r="U3437" s="98"/>
      <c r="AG3437" s="605"/>
      <c r="AH3437" s="605"/>
    </row>
    <row r="3438" spans="7:34" ht="19.5" customHeight="1">
      <c r="G3438" s="98"/>
      <c r="R3438" s="50"/>
      <c r="S3438" s="47"/>
      <c r="T3438" s="98"/>
      <c r="U3438" s="98"/>
      <c r="AG3438" s="605"/>
      <c r="AH3438" s="605"/>
    </row>
    <row r="3439" spans="7:34" ht="19.5" customHeight="1">
      <c r="G3439" s="98"/>
      <c r="R3439" s="50"/>
      <c r="S3439" s="47"/>
      <c r="T3439" s="98"/>
      <c r="U3439" s="98"/>
      <c r="AG3439" s="605"/>
      <c r="AH3439" s="605"/>
    </row>
    <row r="3440" spans="7:34" ht="19.5" customHeight="1">
      <c r="G3440" s="98"/>
      <c r="R3440" s="50"/>
      <c r="S3440" s="47"/>
      <c r="T3440" s="98"/>
      <c r="U3440" s="98"/>
      <c r="AG3440" s="605"/>
      <c r="AH3440" s="605"/>
    </row>
    <row r="3441" spans="7:34" ht="19.5" customHeight="1">
      <c r="G3441" s="98"/>
      <c r="R3441" s="50"/>
      <c r="S3441" s="47"/>
      <c r="T3441" s="98"/>
      <c r="U3441" s="98"/>
      <c r="AG3441" s="605"/>
      <c r="AH3441" s="605"/>
    </row>
    <row r="3442" spans="7:34" ht="19.5" customHeight="1">
      <c r="G3442" s="98"/>
      <c r="R3442" s="50"/>
      <c r="S3442" s="47"/>
      <c r="T3442" s="98"/>
      <c r="U3442" s="98"/>
      <c r="AG3442" s="605"/>
      <c r="AH3442" s="605"/>
    </row>
    <row r="3443" spans="7:34" ht="19.5" customHeight="1">
      <c r="G3443" s="98"/>
      <c r="R3443" s="50"/>
      <c r="S3443" s="47"/>
      <c r="T3443" s="98"/>
      <c r="U3443" s="98"/>
      <c r="AG3443" s="605"/>
      <c r="AH3443" s="605"/>
    </row>
    <row r="3444" spans="7:34" ht="19.5" customHeight="1">
      <c r="G3444" s="98"/>
      <c r="R3444" s="50"/>
      <c r="S3444" s="47"/>
      <c r="T3444" s="98"/>
      <c r="U3444" s="98"/>
      <c r="AG3444" s="605"/>
      <c r="AH3444" s="605"/>
    </row>
    <row r="3445" spans="7:34" ht="19.5" customHeight="1">
      <c r="G3445" s="98"/>
      <c r="R3445" s="50"/>
      <c r="S3445" s="47"/>
      <c r="T3445" s="98"/>
      <c r="U3445" s="98"/>
      <c r="AG3445" s="605"/>
      <c r="AH3445" s="605"/>
    </row>
    <row r="3446" spans="7:34" ht="19.5" customHeight="1">
      <c r="G3446" s="98"/>
      <c r="R3446" s="50"/>
      <c r="S3446" s="47"/>
      <c r="T3446" s="98"/>
      <c r="U3446" s="98"/>
      <c r="AG3446" s="605"/>
      <c r="AH3446" s="605"/>
    </row>
    <row r="3447" spans="7:34" ht="19.5" customHeight="1">
      <c r="G3447" s="98"/>
      <c r="R3447" s="50"/>
      <c r="S3447" s="47"/>
      <c r="T3447" s="98"/>
      <c r="U3447" s="98"/>
      <c r="AG3447" s="605"/>
      <c r="AH3447" s="605"/>
    </row>
    <row r="3448" spans="7:34" ht="19.5" customHeight="1">
      <c r="G3448" s="98"/>
      <c r="R3448" s="50"/>
      <c r="S3448" s="47"/>
      <c r="T3448" s="98"/>
      <c r="U3448" s="98"/>
      <c r="AG3448" s="605"/>
      <c r="AH3448" s="605"/>
    </row>
    <row r="3449" spans="7:34" ht="19.5" customHeight="1">
      <c r="G3449" s="98"/>
      <c r="R3449" s="50"/>
      <c r="S3449" s="47"/>
      <c r="T3449" s="98"/>
      <c r="U3449" s="98"/>
      <c r="AG3449" s="605"/>
      <c r="AH3449" s="605"/>
    </row>
    <row r="4642" spans="32:32" ht="19.5" customHeight="1">
      <c r="AF4642" s="606"/>
    </row>
    <row r="4643" spans="32:32" ht="19.5" customHeight="1">
      <c r="AF4643" s="606"/>
    </row>
    <row r="4650" spans="32:32" ht="19.5" customHeight="1">
      <c r="AF4650" s="606"/>
    </row>
    <row r="4653" spans="32:32" ht="19.5" customHeight="1">
      <c r="AF4653" s="606"/>
    </row>
    <row r="4655" spans="32:32" ht="19.5" customHeight="1">
      <c r="AF4655" s="606"/>
    </row>
    <row r="4686" spans="32:32" ht="19.5" customHeight="1">
      <c r="AF4686" s="606"/>
    </row>
    <row r="4687" spans="32:32" ht="19.5" customHeight="1">
      <c r="AF4687" s="606"/>
    </row>
    <row r="4700" spans="32:32" ht="19.5" customHeight="1">
      <c r="AF4700" s="606"/>
    </row>
  </sheetData>
  <autoFilter ref="A1:AJ696" xr:uid="{00000000-0001-0000-0200-000000000000}">
    <filterColumn colId="17" showButton="0"/>
    <filterColumn colId="19" showButton="0"/>
  </autoFilter>
  <mergeCells count="5">
    <mergeCell ref="R1:S1"/>
    <mergeCell ref="T1:U1"/>
    <mergeCell ref="A534:A535"/>
    <mergeCell ref="K534:K535"/>
    <mergeCell ref="M534:M535"/>
  </mergeCells>
  <phoneticPr fontId="3" type="noConversion"/>
  <printOptions gridLines="1"/>
  <pageMargins left="0.31496062992126" right="0" top="1.2204724409448799" bottom="0.511811023622047" header="0.98425196850393704" footer="0.511811023622047"/>
  <pageSetup paperSize="9" scale="8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03708-C326-44EB-99C5-57FF5F10926E}">
  <dimension ref="A1:AJ4019"/>
  <sheetViews>
    <sheetView workbookViewId="0">
      <pane ySplit="1" topLeftCell="A35" activePane="bottomLeft" state="frozen"/>
      <selection activeCell="B1" sqref="B1"/>
      <selection pane="bottomLeft" activeCell="F49" sqref="F49"/>
    </sheetView>
  </sheetViews>
  <sheetFormatPr defaultRowHeight="13"/>
  <cols>
    <col min="1" max="1" width="3.54296875" customWidth="1"/>
    <col min="2" max="2" width="10.453125" style="26" bestFit="1" customWidth="1"/>
    <col min="3" max="3" width="10" customWidth="1"/>
    <col min="4" max="4" width="12.7265625" style="398" customWidth="1"/>
    <col min="5" max="5" width="12.7265625" style="25" customWidth="1"/>
    <col min="6" max="6" width="10.54296875" style="401" customWidth="1"/>
    <col min="7" max="7" width="10" customWidth="1"/>
    <col min="8" max="8" width="12.7265625" style="398" customWidth="1"/>
    <col min="9" max="9" width="12.7265625" customWidth="1"/>
    <col min="10" max="10" width="11.7265625" style="34" customWidth="1"/>
    <col min="11" max="11" width="17.1796875" style="450" customWidth="1"/>
    <col min="12" max="12" width="12.7265625" style="640" customWidth="1"/>
    <col min="13" max="13" width="52" customWidth="1"/>
    <col min="14" max="14" width="12.7265625" style="43" customWidth="1"/>
    <col min="15" max="15" width="14.54296875" customWidth="1"/>
    <col min="16" max="16" width="15.7265625" customWidth="1"/>
    <col min="17" max="17" width="15.7265625" style="25" customWidth="1"/>
    <col min="18" max="19" width="10.1796875" bestFit="1" customWidth="1"/>
    <col min="20" max="20" width="10.26953125" style="43" bestFit="1" customWidth="1"/>
    <col min="21" max="21" width="10.1796875" style="25" bestFit="1" customWidth="1"/>
    <col min="22" max="22" width="19.7265625" customWidth="1"/>
    <col min="23" max="23" width="12.7265625" customWidth="1"/>
    <col min="27" max="27" width="8.7265625" style="43"/>
    <col min="28" max="28" width="11.81640625" style="619" customWidth="1"/>
    <col min="29" max="29" width="11" bestFit="1" customWidth="1"/>
    <col min="30" max="30" width="10.453125" style="598" bestFit="1" customWidth="1"/>
    <col min="31" max="31" width="8.7265625" style="45"/>
    <col min="32" max="32" width="10.26953125" style="25" customWidth="1"/>
    <col min="33" max="33" width="13" bestFit="1" customWidth="1"/>
    <col min="34" max="34" width="16.26953125" bestFit="1" customWidth="1"/>
  </cols>
  <sheetData>
    <row r="1" spans="1:35" s="17" customFormat="1" ht="39.5" thickBot="1">
      <c r="A1" s="17" t="s">
        <v>0</v>
      </c>
      <c r="B1" s="2" t="s">
        <v>1</v>
      </c>
      <c r="C1" s="10" t="s">
        <v>2</v>
      </c>
      <c r="D1" s="4" t="s">
        <v>3</v>
      </c>
      <c r="E1" s="5" t="s">
        <v>4</v>
      </c>
      <c r="F1" s="6" t="s">
        <v>5</v>
      </c>
      <c r="G1" s="459" t="s">
        <v>6</v>
      </c>
      <c r="H1" s="607" t="s">
        <v>7</v>
      </c>
      <c r="I1" s="8" t="s">
        <v>8</v>
      </c>
      <c r="J1" s="9" t="s">
        <v>9</v>
      </c>
      <c r="K1" s="461" t="s">
        <v>10</v>
      </c>
      <c r="L1" s="11" t="s">
        <v>11</v>
      </c>
      <c r="M1" s="10" t="s">
        <v>12</v>
      </c>
      <c r="N1" s="13" t="s">
        <v>13</v>
      </c>
      <c r="O1" s="8" t="s">
        <v>14</v>
      </c>
      <c r="P1" s="8" t="s">
        <v>15</v>
      </c>
      <c r="Q1" s="608" t="s">
        <v>5239</v>
      </c>
      <c r="R1" s="14" t="s">
        <v>17</v>
      </c>
      <c r="S1" s="463"/>
      <c r="T1" s="14" t="s">
        <v>18</v>
      </c>
      <c r="U1" s="463"/>
      <c r="V1" s="15" t="s">
        <v>19</v>
      </c>
      <c r="W1" s="8" t="s">
        <v>20</v>
      </c>
      <c r="X1" s="16" t="s">
        <v>21</v>
      </c>
      <c r="Y1" s="16" t="s">
        <v>22</v>
      </c>
      <c r="Z1" s="17" t="s">
        <v>23</v>
      </c>
      <c r="AA1" s="18" t="s">
        <v>24</v>
      </c>
      <c r="AB1" s="609" t="s">
        <v>25</v>
      </c>
      <c r="AC1" s="16" t="s">
        <v>26</v>
      </c>
      <c r="AD1" s="610" t="s">
        <v>27</v>
      </c>
      <c r="AE1" s="611" t="s">
        <v>28</v>
      </c>
      <c r="AF1" s="22" t="s">
        <v>29</v>
      </c>
      <c r="AG1" s="8" t="s">
        <v>30</v>
      </c>
      <c r="AH1" s="8" t="s">
        <v>31</v>
      </c>
      <c r="AI1" s="17" t="s">
        <v>32</v>
      </c>
    </row>
    <row r="2" spans="1:35" ht="20.149999999999999" customHeight="1" thickBot="1">
      <c r="A2">
        <v>1</v>
      </c>
      <c r="B2" s="155"/>
      <c r="C2" s="581" t="s">
        <v>6064</v>
      </c>
      <c r="D2" s="68"/>
      <c r="E2" s="612"/>
      <c r="F2" s="613">
        <v>1281113</v>
      </c>
      <c r="G2" s="283"/>
      <c r="H2" s="68"/>
      <c r="I2" s="614"/>
      <c r="J2" s="615" t="s">
        <v>7734</v>
      </c>
      <c r="K2" s="616" t="s">
        <v>7735</v>
      </c>
      <c r="L2" s="249"/>
      <c r="M2" s="617" t="s">
        <v>7736</v>
      </c>
      <c r="P2" s="286"/>
      <c r="Q2" s="618"/>
      <c r="R2" s="466"/>
      <c r="S2" s="283"/>
      <c r="V2" s="40"/>
      <c r="W2" s="41" t="s">
        <v>4660</v>
      </c>
      <c r="AF2" s="174" t="s">
        <v>5941</v>
      </c>
      <c r="AG2" s="283" t="s">
        <v>141</v>
      </c>
      <c r="AH2" s="283" t="s">
        <v>141</v>
      </c>
    </row>
    <row r="3" spans="1:35" ht="20.149999999999999" customHeight="1">
      <c r="A3">
        <f>A2+1</f>
        <v>2</v>
      </c>
      <c r="B3" s="26">
        <v>5836620</v>
      </c>
      <c r="C3" s="466" t="s">
        <v>6396</v>
      </c>
      <c r="D3" s="68"/>
      <c r="E3" s="620">
        <v>1955457.71</v>
      </c>
      <c r="F3" s="401">
        <v>1344430</v>
      </c>
      <c r="G3" s="283" t="s">
        <v>6396</v>
      </c>
      <c r="H3" s="68"/>
      <c r="I3" s="621">
        <v>1955457.71</v>
      </c>
      <c r="J3" s="622" t="s">
        <v>7734</v>
      </c>
      <c r="K3" s="467" t="s">
        <v>107</v>
      </c>
      <c r="L3" s="249"/>
      <c r="M3" t="s">
        <v>7737</v>
      </c>
      <c r="P3" s="40" t="s">
        <v>7738</v>
      </c>
      <c r="Q3" s="451"/>
      <c r="R3" s="283" t="s">
        <v>7739</v>
      </c>
      <c r="S3" s="466" t="s">
        <v>7740</v>
      </c>
      <c r="T3" s="623"/>
      <c r="U3" s="471"/>
      <c r="V3" s="40"/>
      <c r="W3" s="41" t="s">
        <v>39</v>
      </c>
      <c r="AF3" s="47" t="s">
        <v>7741</v>
      </c>
      <c r="AG3" s="624"/>
      <c r="AH3" s="624"/>
    </row>
    <row r="4" spans="1:35" ht="20.149999999999999" customHeight="1">
      <c r="A4">
        <f t="shared" ref="A4:A64" si="0">A3+1</f>
        <v>3</v>
      </c>
      <c r="B4" s="26">
        <v>5836628</v>
      </c>
      <c r="C4" s="466" t="s">
        <v>6396</v>
      </c>
      <c r="D4" s="68"/>
      <c r="E4" s="620">
        <v>1810904.14</v>
      </c>
      <c r="F4" s="401">
        <v>1344463</v>
      </c>
      <c r="G4" s="283" t="s">
        <v>6782</v>
      </c>
      <c r="H4" s="68"/>
      <c r="I4" s="621">
        <v>1810904.14</v>
      </c>
      <c r="J4" s="622" t="s">
        <v>7734</v>
      </c>
      <c r="K4" s="467" t="s">
        <v>7742</v>
      </c>
      <c r="L4" s="249"/>
      <c r="M4" t="s">
        <v>7743</v>
      </c>
      <c r="P4" s="40" t="s">
        <v>7738</v>
      </c>
      <c r="Q4" s="451"/>
      <c r="R4" s="283" t="s">
        <v>7744</v>
      </c>
      <c r="S4" s="466" t="s">
        <v>7745</v>
      </c>
      <c r="T4" s="623"/>
      <c r="U4" s="468"/>
      <c r="V4" s="40"/>
      <c r="W4" s="41" t="s">
        <v>39</v>
      </c>
      <c r="AF4" s="47" t="s">
        <v>7741</v>
      </c>
      <c r="AG4" s="624"/>
      <c r="AH4" s="624"/>
    </row>
    <row r="5" spans="1:35" ht="19.5" customHeight="1">
      <c r="A5">
        <f t="shared" si="0"/>
        <v>4</v>
      </c>
      <c r="B5" s="26">
        <v>6028576</v>
      </c>
      <c r="C5" s="283" t="s">
        <v>7746</v>
      </c>
      <c r="D5" s="68"/>
      <c r="E5" s="72">
        <v>2227035.92</v>
      </c>
      <c r="F5" s="401">
        <v>1448111</v>
      </c>
      <c r="G5" s="449">
        <v>45289</v>
      </c>
      <c r="H5" s="68"/>
      <c r="I5" s="289">
        <v>2227035.92</v>
      </c>
      <c r="J5" s="34" t="s">
        <v>7747</v>
      </c>
      <c r="K5" s="450" t="s">
        <v>7748</v>
      </c>
      <c r="L5" s="249"/>
      <c r="M5" t="s">
        <v>7749</v>
      </c>
      <c r="O5" t="s">
        <v>7750</v>
      </c>
      <c r="P5" t="s">
        <v>7751</v>
      </c>
      <c r="R5" s="98" t="s">
        <v>7752</v>
      </c>
      <c r="S5" s="98" t="s">
        <v>7270</v>
      </c>
      <c r="T5" s="50" t="s">
        <v>7752</v>
      </c>
      <c r="U5" s="47" t="s">
        <v>7270</v>
      </c>
      <c r="V5" s="40" t="s">
        <v>150</v>
      </c>
      <c r="W5" s="41" t="s">
        <v>114</v>
      </c>
      <c r="AF5" s="47">
        <v>45364</v>
      </c>
      <c r="AG5" s="418">
        <v>2338387.7200000002</v>
      </c>
      <c r="AH5" s="418">
        <v>2227035.92</v>
      </c>
    </row>
    <row r="6" spans="1:35" ht="19.5" customHeight="1">
      <c r="A6">
        <f t="shared" si="0"/>
        <v>5</v>
      </c>
      <c r="B6" s="26">
        <v>6067075</v>
      </c>
      <c r="C6" s="449">
        <v>45412</v>
      </c>
      <c r="D6" s="68"/>
      <c r="E6" s="72">
        <v>430193.5</v>
      </c>
      <c r="F6" s="401">
        <v>1470002</v>
      </c>
      <c r="G6" s="98">
        <v>45412</v>
      </c>
      <c r="H6" s="68"/>
      <c r="I6" s="289">
        <v>430193.5</v>
      </c>
      <c r="J6" s="34" t="s">
        <v>7747</v>
      </c>
      <c r="K6" s="450" t="s">
        <v>7753</v>
      </c>
      <c r="L6" s="249"/>
      <c r="M6" t="s">
        <v>7754</v>
      </c>
      <c r="O6" t="s">
        <v>7755</v>
      </c>
      <c r="P6" t="s">
        <v>7756</v>
      </c>
      <c r="R6" s="449">
        <v>45443</v>
      </c>
      <c r="S6" s="449">
        <v>45807</v>
      </c>
      <c r="T6" s="38">
        <v>45443</v>
      </c>
      <c r="U6" s="39">
        <v>45807</v>
      </c>
      <c r="V6" s="40" t="s">
        <v>150</v>
      </c>
      <c r="W6" s="41" t="s">
        <v>39</v>
      </c>
      <c r="X6" s="625" t="s">
        <v>7757</v>
      </c>
      <c r="AF6" s="39">
        <v>45440</v>
      </c>
      <c r="AG6" s="418">
        <v>453337.5</v>
      </c>
      <c r="AH6" s="418">
        <v>431750</v>
      </c>
    </row>
    <row r="7" spans="1:35" ht="19.5" customHeight="1">
      <c r="A7">
        <f t="shared" si="0"/>
        <v>6</v>
      </c>
      <c r="B7" s="26">
        <v>6075681</v>
      </c>
      <c r="C7" s="449">
        <v>45440</v>
      </c>
      <c r="D7" s="68"/>
      <c r="E7" s="72">
        <v>669818</v>
      </c>
      <c r="F7" s="401">
        <v>1475555</v>
      </c>
      <c r="G7" s="98">
        <v>45443</v>
      </c>
      <c r="H7" s="68"/>
      <c r="I7" s="289">
        <v>669818</v>
      </c>
      <c r="J7" s="34" t="s">
        <v>7747</v>
      </c>
      <c r="K7" s="450" t="s">
        <v>7758</v>
      </c>
      <c r="L7" s="249"/>
      <c r="M7" t="s">
        <v>7759</v>
      </c>
      <c r="O7" t="s">
        <v>7760</v>
      </c>
      <c r="P7" t="s">
        <v>7761</v>
      </c>
      <c r="R7" s="449">
        <v>45459</v>
      </c>
      <c r="S7" s="449">
        <v>46553</v>
      </c>
      <c r="T7" s="38">
        <v>45459</v>
      </c>
      <c r="U7" s="39">
        <v>46553</v>
      </c>
      <c r="V7" s="40" t="s">
        <v>150</v>
      </c>
      <c r="W7" s="41" t="s">
        <v>39</v>
      </c>
      <c r="AF7" s="39">
        <v>45513</v>
      </c>
      <c r="AG7" s="418">
        <v>703308.9</v>
      </c>
      <c r="AH7" s="418">
        <v>669818</v>
      </c>
    </row>
    <row r="8" spans="1:35" ht="19.5" customHeight="1">
      <c r="A8">
        <f t="shared" si="0"/>
        <v>7</v>
      </c>
      <c r="B8" s="26">
        <v>6090580</v>
      </c>
      <c r="C8" s="449">
        <v>45489</v>
      </c>
      <c r="D8" s="68"/>
      <c r="E8" s="72">
        <v>5479668.25</v>
      </c>
      <c r="F8" s="30">
        <v>1485070</v>
      </c>
      <c r="G8" s="449">
        <v>45495</v>
      </c>
      <c r="H8" s="68"/>
      <c r="I8" s="289">
        <v>5479668.25</v>
      </c>
      <c r="J8" s="34" t="s">
        <v>7747</v>
      </c>
      <c r="K8" s="450" t="s">
        <v>34</v>
      </c>
      <c r="L8" s="626"/>
      <c r="M8" t="s">
        <v>7762</v>
      </c>
      <c r="N8" s="627"/>
      <c r="O8" t="s">
        <v>7763</v>
      </c>
      <c r="P8" t="s">
        <v>7764</v>
      </c>
      <c r="R8" s="449">
        <v>45500</v>
      </c>
      <c r="S8" s="449">
        <v>46594</v>
      </c>
      <c r="T8" s="38">
        <v>45500</v>
      </c>
      <c r="U8" s="39">
        <v>46594</v>
      </c>
      <c r="V8" s="40" t="s">
        <v>150</v>
      </c>
      <c r="W8" s="41" t="s">
        <v>39</v>
      </c>
      <c r="AF8" s="39">
        <v>46037</v>
      </c>
      <c r="AG8" s="418">
        <v>5785564.3700000001</v>
      </c>
      <c r="AH8" s="418">
        <v>5510061.3200000003</v>
      </c>
    </row>
    <row r="9" spans="1:35" ht="19.5" customHeight="1">
      <c r="A9">
        <f t="shared" si="0"/>
        <v>8</v>
      </c>
      <c r="B9" s="26">
        <v>6098476</v>
      </c>
      <c r="C9" s="449">
        <v>45512</v>
      </c>
      <c r="D9" s="68"/>
      <c r="E9" s="294">
        <v>7046446.5599999996</v>
      </c>
      <c r="F9" s="30">
        <v>1489314</v>
      </c>
      <c r="G9" s="98">
        <v>45518</v>
      </c>
      <c r="H9" s="68"/>
      <c r="I9" s="293">
        <v>7046446.5599999996</v>
      </c>
      <c r="J9" s="34" t="s">
        <v>7747</v>
      </c>
      <c r="K9" s="450" t="s">
        <v>107</v>
      </c>
      <c r="L9" s="249"/>
      <c r="M9" t="s">
        <v>7765</v>
      </c>
      <c r="O9" t="s">
        <v>7766</v>
      </c>
      <c r="P9" t="s">
        <v>7767</v>
      </c>
      <c r="R9" s="449">
        <v>45505</v>
      </c>
      <c r="S9" s="449">
        <v>46599</v>
      </c>
      <c r="T9" s="50">
        <v>45505</v>
      </c>
      <c r="U9" s="47">
        <v>45869</v>
      </c>
      <c r="V9" s="40" t="s">
        <v>150</v>
      </c>
      <c r="W9" s="41" t="s">
        <v>39</v>
      </c>
      <c r="AF9" s="47">
        <v>45554</v>
      </c>
      <c r="AG9" s="418">
        <v>7398768.8899999997</v>
      </c>
      <c r="AH9" s="418">
        <v>7046446.5599999996</v>
      </c>
    </row>
    <row r="10" spans="1:35" ht="19.5" customHeight="1">
      <c r="A10">
        <f t="shared" si="0"/>
        <v>9</v>
      </c>
      <c r="B10" s="26">
        <v>6097130</v>
      </c>
      <c r="C10" s="449">
        <v>45509</v>
      </c>
      <c r="D10" s="68"/>
      <c r="E10" s="72">
        <v>58668.72</v>
      </c>
      <c r="F10" s="30">
        <v>1489301</v>
      </c>
      <c r="G10" s="40"/>
      <c r="H10" s="68"/>
      <c r="I10" s="289">
        <v>58668.72</v>
      </c>
      <c r="J10" s="34" t="s">
        <v>7747</v>
      </c>
      <c r="K10" s="467" t="s">
        <v>206</v>
      </c>
      <c r="L10" s="626"/>
      <c r="M10" t="s">
        <v>7768</v>
      </c>
      <c r="N10" s="627"/>
      <c r="O10" s="40" t="s">
        <v>150</v>
      </c>
      <c r="P10" s="67" t="s">
        <v>7769</v>
      </c>
      <c r="Q10" s="493"/>
      <c r="R10" s="98">
        <v>45518</v>
      </c>
      <c r="S10" s="449">
        <v>45535</v>
      </c>
      <c r="T10" s="75">
        <v>58979.01</v>
      </c>
      <c r="U10" s="47">
        <v>45535</v>
      </c>
      <c r="V10" s="98">
        <v>45899</v>
      </c>
      <c r="W10" s="41" t="s">
        <v>39</v>
      </c>
      <c r="X10" t="s">
        <v>7770</v>
      </c>
      <c r="Y10" t="s">
        <v>40</v>
      </c>
      <c r="AF10" s="47">
        <v>45554</v>
      </c>
      <c r="AG10" s="449">
        <v>45899</v>
      </c>
      <c r="AH10" s="418">
        <v>61927.94</v>
      </c>
    </row>
    <row r="11" spans="1:35" ht="19.5" customHeight="1">
      <c r="A11">
        <f t="shared" si="0"/>
        <v>10</v>
      </c>
      <c r="B11" s="26">
        <v>6123407</v>
      </c>
      <c r="C11" s="449">
        <v>45588</v>
      </c>
      <c r="D11" s="68"/>
      <c r="E11" s="72">
        <v>744646.04</v>
      </c>
      <c r="F11" s="30">
        <v>1502265</v>
      </c>
      <c r="G11" s="449">
        <v>45594</v>
      </c>
      <c r="H11" s="68"/>
      <c r="I11" s="289">
        <v>744646.04</v>
      </c>
      <c r="J11" s="34" t="s">
        <v>1693</v>
      </c>
      <c r="K11" s="450" t="s">
        <v>107</v>
      </c>
      <c r="L11" s="626"/>
      <c r="M11" t="s">
        <v>7771</v>
      </c>
      <c r="N11" s="627"/>
      <c r="O11" t="s">
        <v>7772</v>
      </c>
      <c r="P11" t="s">
        <v>7773</v>
      </c>
      <c r="R11" s="449">
        <v>45646</v>
      </c>
      <c r="S11" s="449">
        <v>46022</v>
      </c>
      <c r="T11" s="38">
        <v>45646</v>
      </c>
      <c r="U11" s="39">
        <v>46022</v>
      </c>
      <c r="V11" s="40" t="s">
        <v>150</v>
      </c>
      <c r="W11" s="41" t="s">
        <v>39</v>
      </c>
      <c r="Y11" t="s">
        <v>40</v>
      </c>
      <c r="AA11" s="43" t="s">
        <v>7774</v>
      </c>
      <c r="AF11" s="39">
        <v>45631</v>
      </c>
      <c r="AG11" s="418">
        <v>478561.95</v>
      </c>
      <c r="AH11" s="418">
        <v>455773.28</v>
      </c>
    </row>
    <row r="12" spans="1:35" ht="19.5" customHeight="1">
      <c r="A12">
        <v>1</v>
      </c>
      <c r="B12" s="26">
        <v>6123407</v>
      </c>
      <c r="C12" s="449">
        <v>45588</v>
      </c>
      <c r="D12" s="68"/>
      <c r="E12" s="72">
        <v>508619.85</v>
      </c>
      <c r="F12" s="30">
        <v>1502265</v>
      </c>
      <c r="G12" s="449">
        <v>45594</v>
      </c>
      <c r="H12" s="68"/>
      <c r="I12" s="289">
        <v>508619.85</v>
      </c>
      <c r="J12" s="34" t="s">
        <v>1693</v>
      </c>
      <c r="K12" s="450" t="s">
        <v>107</v>
      </c>
      <c r="L12" s="626"/>
      <c r="M12" t="s">
        <v>7775</v>
      </c>
      <c r="N12" s="627"/>
      <c r="O12" t="s">
        <v>7772</v>
      </c>
      <c r="P12" t="s">
        <v>7773</v>
      </c>
      <c r="R12" s="449">
        <v>45646</v>
      </c>
      <c r="S12" s="449">
        <v>46022</v>
      </c>
      <c r="T12" s="38">
        <v>45646</v>
      </c>
      <c r="U12" s="39">
        <v>46022</v>
      </c>
      <c r="V12" s="40" t="s">
        <v>150</v>
      </c>
      <c r="W12" s="41" t="s">
        <v>39</v>
      </c>
      <c r="AA12" s="62"/>
      <c r="AF12" s="39">
        <v>46037</v>
      </c>
      <c r="AG12" s="418">
        <v>478561.95</v>
      </c>
      <c r="AH12" s="418">
        <v>455773.28</v>
      </c>
    </row>
    <row r="13" spans="1:35" ht="19.5" customHeight="1">
      <c r="A13">
        <f t="shared" si="0"/>
        <v>2</v>
      </c>
      <c r="B13" s="26">
        <v>6133716</v>
      </c>
      <c r="C13" s="449">
        <v>45622</v>
      </c>
      <c r="D13" s="68"/>
      <c r="E13" s="72">
        <v>982538</v>
      </c>
      <c r="F13" s="30">
        <v>1508944</v>
      </c>
      <c r="G13" s="449">
        <v>45629</v>
      </c>
      <c r="H13" s="68"/>
      <c r="I13" s="289">
        <v>982538</v>
      </c>
      <c r="J13" s="34" t="s">
        <v>103</v>
      </c>
      <c r="K13" s="450" t="s">
        <v>107</v>
      </c>
      <c r="L13" s="626"/>
      <c r="M13" t="s">
        <v>7776</v>
      </c>
      <c r="N13" s="627"/>
      <c r="O13" t="s">
        <v>7777</v>
      </c>
      <c r="P13" t="s">
        <v>7778</v>
      </c>
      <c r="R13" s="449">
        <v>45642</v>
      </c>
      <c r="S13" s="449">
        <v>46037</v>
      </c>
      <c r="T13" s="38">
        <v>45642</v>
      </c>
      <c r="U13" s="39">
        <v>46037</v>
      </c>
      <c r="V13" s="40" t="s">
        <v>150</v>
      </c>
      <c r="W13" s="41" t="s">
        <v>39</v>
      </c>
      <c r="Y13" t="s">
        <v>40</v>
      </c>
      <c r="AF13" s="39">
        <v>45671</v>
      </c>
      <c r="AG13" s="418">
        <v>1031665</v>
      </c>
      <c r="AH13" s="418">
        <v>982538</v>
      </c>
    </row>
    <row r="14" spans="1:35" ht="19.5" customHeight="1">
      <c r="A14">
        <f t="shared" si="0"/>
        <v>3</v>
      </c>
      <c r="B14" s="26">
        <v>6154944</v>
      </c>
      <c r="C14" s="449">
        <v>45698</v>
      </c>
      <c r="D14" s="68"/>
      <c r="E14" s="72">
        <v>2249332.15</v>
      </c>
      <c r="F14" s="30">
        <v>1521054</v>
      </c>
      <c r="G14" s="98">
        <v>45705</v>
      </c>
      <c r="H14" s="68"/>
      <c r="I14" s="289">
        <v>2249332.15</v>
      </c>
      <c r="J14" s="34" t="s">
        <v>7747</v>
      </c>
      <c r="K14" s="450" t="s">
        <v>7748</v>
      </c>
      <c r="L14" s="626"/>
      <c r="M14" t="s">
        <v>7779</v>
      </c>
      <c r="N14" s="627"/>
      <c r="O14" t="s">
        <v>7780</v>
      </c>
      <c r="P14" t="s">
        <v>7781</v>
      </c>
      <c r="R14" s="449">
        <v>45658</v>
      </c>
      <c r="S14" s="449">
        <v>46022</v>
      </c>
      <c r="T14" s="50">
        <v>45658</v>
      </c>
      <c r="U14" s="47">
        <v>46022</v>
      </c>
      <c r="V14" s="40" t="s">
        <v>150</v>
      </c>
      <c r="W14" s="41" t="s">
        <v>39</v>
      </c>
      <c r="Y14" t="s">
        <v>40</v>
      </c>
      <c r="Z14" t="s">
        <v>7782</v>
      </c>
      <c r="AF14" s="39">
        <v>45737</v>
      </c>
      <c r="AG14" s="418">
        <v>2361798.7599999998</v>
      </c>
      <c r="AH14" s="418">
        <v>2249332.15</v>
      </c>
    </row>
    <row r="15" spans="1:35" ht="19.5" customHeight="1">
      <c r="A15">
        <f t="shared" si="0"/>
        <v>4</v>
      </c>
      <c r="B15" s="26">
        <v>6159890</v>
      </c>
      <c r="C15" s="449">
        <v>45714</v>
      </c>
      <c r="D15" s="68"/>
      <c r="E15" s="294">
        <v>154000</v>
      </c>
      <c r="F15" s="30">
        <v>1522954</v>
      </c>
      <c r="G15" s="449">
        <v>45715</v>
      </c>
      <c r="H15" s="68"/>
      <c r="I15" s="293">
        <v>154000</v>
      </c>
      <c r="J15" s="34" t="s">
        <v>929</v>
      </c>
      <c r="K15" s="450" t="s">
        <v>7783</v>
      </c>
      <c r="L15" s="626"/>
      <c r="M15" t="s">
        <v>7784</v>
      </c>
      <c r="N15" s="627"/>
      <c r="O15" t="s">
        <v>7785</v>
      </c>
      <c r="P15" t="s">
        <v>7786</v>
      </c>
      <c r="R15" s="449">
        <v>45791</v>
      </c>
      <c r="S15" s="449">
        <v>46125</v>
      </c>
      <c r="T15" s="50">
        <v>45791</v>
      </c>
      <c r="U15" s="47">
        <v>46125</v>
      </c>
      <c r="V15" s="40" t="s">
        <v>7787</v>
      </c>
      <c r="W15" s="41" t="s">
        <v>39</v>
      </c>
      <c r="Y15" t="s">
        <v>40</v>
      </c>
      <c r="AC15" t="s">
        <v>7788</v>
      </c>
      <c r="AD15" s="598">
        <v>45525</v>
      </c>
      <c r="AF15" s="47">
        <v>45749</v>
      </c>
      <c r="AG15" s="418">
        <v>161700</v>
      </c>
      <c r="AH15" s="418">
        <v>154000</v>
      </c>
    </row>
    <row r="16" spans="1:35" ht="19.5" customHeight="1">
      <c r="A16">
        <f t="shared" si="0"/>
        <v>5</v>
      </c>
      <c r="B16" s="26">
        <v>6168359</v>
      </c>
      <c r="C16" s="449">
        <v>45741</v>
      </c>
      <c r="D16" s="68"/>
      <c r="E16" s="72">
        <v>261447.19</v>
      </c>
      <c r="F16" s="30">
        <v>1528176</v>
      </c>
      <c r="H16" s="68"/>
      <c r="I16" s="289">
        <v>261447.19</v>
      </c>
      <c r="J16" s="34" t="s">
        <v>103</v>
      </c>
      <c r="K16" s="450" t="s">
        <v>107</v>
      </c>
      <c r="L16" s="626"/>
      <c r="M16" t="s">
        <v>7789</v>
      </c>
      <c r="N16" s="627"/>
      <c r="O16" t="s">
        <v>7790</v>
      </c>
      <c r="P16" t="s">
        <v>7791</v>
      </c>
      <c r="R16" s="449">
        <v>45743</v>
      </c>
      <c r="S16" s="449">
        <v>45750</v>
      </c>
      <c r="T16" s="75"/>
      <c r="U16" s="47" t="s">
        <v>141</v>
      </c>
      <c r="V16" s="40" t="s">
        <v>7787</v>
      </c>
      <c r="W16" s="41" t="s">
        <v>39</v>
      </c>
      <c r="Z16" t="s">
        <v>81</v>
      </c>
      <c r="AF16" s="47">
        <v>45785</v>
      </c>
      <c r="AG16" s="449">
        <v>46138</v>
      </c>
      <c r="AH16" s="418">
        <v>1098078.27</v>
      </c>
    </row>
    <row r="17" spans="1:36" ht="19.5" customHeight="1">
      <c r="A17">
        <f t="shared" si="0"/>
        <v>6</v>
      </c>
      <c r="B17" s="26">
        <v>6168359</v>
      </c>
      <c r="C17" s="449">
        <v>45741</v>
      </c>
      <c r="D17" s="68"/>
      <c r="E17" s="72">
        <v>784341.63</v>
      </c>
      <c r="F17" s="30">
        <v>1528176</v>
      </c>
      <c r="H17" s="68"/>
      <c r="I17" s="289">
        <v>784341.63</v>
      </c>
      <c r="J17" s="34" t="s">
        <v>103</v>
      </c>
      <c r="K17" s="450" t="s">
        <v>107</v>
      </c>
      <c r="L17" s="626"/>
      <c r="M17" t="s">
        <v>7792</v>
      </c>
      <c r="N17" s="627"/>
      <c r="O17" t="s">
        <v>7790</v>
      </c>
      <c r="P17" t="s">
        <v>7791</v>
      </c>
      <c r="R17" s="449">
        <v>45743</v>
      </c>
      <c r="S17" s="449">
        <v>45750</v>
      </c>
      <c r="T17" s="75"/>
      <c r="U17" s="47" t="s">
        <v>141</v>
      </c>
      <c r="V17" s="40" t="s">
        <v>7787</v>
      </c>
      <c r="W17" s="41" t="s">
        <v>39</v>
      </c>
      <c r="Z17" t="s">
        <v>81</v>
      </c>
      <c r="AF17" s="39">
        <v>46037</v>
      </c>
      <c r="AG17" s="449">
        <v>46138</v>
      </c>
      <c r="AH17" s="418">
        <v>1098078.27</v>
      </c>
    </row>
    <row r="18" spans="1:36" ht="19.5" customHeight="1">
      <c r="A18">
        <f t="shared" si="0"/>
        <v>7</v>
      </c>
      <c r="B18" s="26">
        <v>6169789</v>
      </c>
      <c r="C18" s="449">
        <v>45747</v>
      </c>
      <c r="D18" s="68"/>
      <c r="E18" s="72">
        <v>448519.41</v>
      </c>
      <c r="F18" s="30">
        <v>1528800</v>
      </c>
      <c r="G18" s="449">
        <v>45748</v>
      </c>
      <c r="H18" s="68"/>
      <c r="I18" s="289">
        <v>448519.41</v>
      </c>
      <c r="J18" s="34" t="s">
        <v>5133</v>
      </c>
      <c r="K18" s="450" t="s">
        <v>7793</v>
      </c>
      <c r="L18" s="249" t="s">
        <v>7794</v>
      </c>
      <c r="M18" t="s">
        <v>7795</v>
      </c>
      <c r="N18" s="627"/>
      <c r="O18" t="s">
        <v>7796</v>
      </c>
      <c r="P18" t="s">
        <v>7797</v>
      </c>
      <c r="R18" s="449">
        <v>45808</v>
      </c>
      <c r="S18" s="449">
        <v>46172</v>
      </c>
      <c r="T18" s="50">
        <v>45808</v>
      </c>
      <c r="U18" s="47">
        <v>46172</v>
      </c>
      <c r="V18" s="40" t="s">
        <v>7787</v>
      </c>
      <c r="W18" s="41" t="s">
        <v>39</v>
      </c>
      <c r="Y18" t="s">
        <v>40</v>
      </c>
      <c r="AF18" s="39">
        <v>45769</v>
      </c>
      <c r="AG18" s="418">
        <v>475592.25</v>
      </c>
      <c r="AH18" s="418">
        <v>452945</v>
      </c>
    </row>
    <row r="19" spans="1:36" ht="19.5" customHeight="1">
      <c r="A19">
        <f t="shared" si="0"/>
        <v>8</v>
      </c>
      <c r="B19" s="26">
        <v>6176881</v>
      </c>
      <c r="C19" s="449">
        <v>45775</v>
      </c>
      <c r="D19" s="68"/>
      <c r="E19" s="72">
        <v>849423.57</v>
      </c>
      <c r="F19" s="30">
        <v>1532881</v>
      </c>
      <c r="G19" s="449">
        <v>45777</v>
      </c>
      <c r="H19" s="68"/>
      <c r="I19" s="289">
        <v>849423.57</v>
      </c>
      <c r="J19" s="34" t="s">
        <v>929</v>
      </c>
      <c r="K19" s="450" t="s">
        <v>7798</v>
      </c>
      <c r="L19" s="249" t="s">
        <v>7799</v>
      </c>
      <c r="M19" t="s">
        <v>7800</v>
      </c>
      <c r="N19" s="627"/>
      <c r="O19" t="s">
        <v>7801</v>
      </c>
      <c r="P19" t="s">
        <v>7802</v>
      </c>
      <c r="R19" s="449">
        <v>45801</v>
      </c>
      <c r="S19" s="449">
        <v>46166</v>
      </c>
      <c r="T19" s="38">
        <v>45801</v>
      </c>
      <c r="U19" s="39">
        <v>46166</v>
      </c>
      <c r="V19" s="40" t="s">
        <v>7803</v>
      </c>
      <c r="W19" s="41" t="s">
        <v>39</v>
      </c>
      <c r="Y19" t="s">
        <v>81</v>
      </c>
      <c r="AA19" s="62"/>
      <c r="AF19" s="39">
        <v>45811</v>
      </c>
      <c r="AG19" s="418">
        <v>900451.91</v>
      </c>
      <c r="AH19" s="418">
        <v>857573.25</v>
      </c>
    </row>
    <row r="20" spans="1:36" ht="19.5" customHeight="1">
      <c r="A20">
        <f t="shared" si="0"/>
        <v>9</v>
      </c>
      <c r="B20" s="26">
        <v>6178794</v>
      </c>
      <c r="C20" s="449">
        <v>45784</v>
      </c>
      <c r="D20" s="68"/>
      <c r="E20" s="72">
        <v>1665.58</v>
      </c>
      <c r="F20" s="30">
        <v>1533861</v>
      </c>
      <c r="H20" s="68"/>
      <c r="I20" s="289">
        <v>1665.58</v>
      </c>
      <c r="J20" s="34" t="s">
        <v>103</v>
      </c>
      <c r="K20" s="450" t="s">
        <v>107</v>
      </c>
      <c r="L20" s="628" t="s">
        <v>7804</v>
      </c>
      <c r="M20" t="s">
        <v>7805</v>
      </c>
      <c r="N20" s="627"/>
      <c r="O20" t="s">
        <v>7806</v>
      </c>
      <c r="P20" s="334"/>
      <c r="Q20" s="629"/>
      <c r="R20" s="449">
        <v>45848</v>
      </c>
      <c r="S20" s="449">
        <v>46212</v>
      </c>
      <c r="T20" s="38">
        <v>45848</v>
      </c>
      <c r="U20" s="39">
        <v>46212</v>
      </c>
      <c r="V20" s="40" t="s">
        <v>7803</v>
      </c>
      <c r="W20" s="41" t="s">
        <v>39</v>
      </c>
      <c r="Y20" t="s">
        <v>40</v>
      </c>
      <c r="AA20" s="62"/>
      <c r="AF20" s="39">
        <v>46037</v>
      </c>
      <c r="AG20" s="418">
        <v>1748.86</v>
      </c>
      <c r="AH20" s="418">
        <v>1665.58</v>
      </c>
    </row>
    <row r="21" spans="1:36" ht="19.5" customHeight="1">
      <c r="A21">
        <f t="shared" si="0"/>
        <v>10</v>
      </c>
      <c r="B21" s="26">
        <v>6180915</v>
      </c>
      <c r="C21" s="449">
        <v>45791</v>
      </c>
      <c r="D21" s="68"/>
      <c r="E21" s="72">
        <v>7500</v>
      </c>
      <c r="F21" s="30">
        <v>1535109</v>
      </c>
      <c r="G21" s="449">
        <v>45793</v>
      </c>
      <c r="H21" s="68"/>
      <c r="I21" s="289">
        <v>7500</v>
      </c>
      <c r="J21" s="34" t="s">
        <v>7807</v>
      </c>
      <c r="K21" s="450" t="s">
        <v>7808</v>
      </c>
      <c r="L21" s="630" t="s">
        <v>141</v>
      </c>
      <c r="M21" t="s">
        <v>7809</v>
      </c>
      <c r="N21" s="627"/>
      <c r="P21" s="67" t="s">
        <v>7810</v>
      </c>
      <c r="Q21" s="493"/>
      <c r="S21" s="449"/>
      <c r="T21" s="38"/>
      <c r="U21" s="39"/>
      <c r="V21" s="40" t="s">
        <v>7747</v>
      </c>
      <c r="W21" s="41" t="s">
        <v>39</v>
      </c>
      <c r="AA21" s="62"/>
      <c r="AF21" s="47">
        <v>45853</v>
      </c>
      <c r="AG21" s="418"/>
      <c r="AH21" s="418"/>
    </row>
    <row r="22" spans="1:36" s="95" customFormat="1" ht="19.5" customHeight="1">
      <c r="A22"/>
      <c r="B22" s="91">
        <v>6181811</v>
      </c>
      <c r="C22" s="520">
        <v>45793</v>
      </c>
      <c r="D22" s="521"/>
      <c r="E22" s="244"/>
      <c r="F22" s="93" t="s">
        <v>7811</v>
      </c>
      <c r="H22" s="521"/>
      <c r="I22" s="631"/>
      <c r="J22" s="94" t="s">
        <v>929</v>
      </c>
      <c r="K22" s="524" t="s">
        <v>930</v>
      </c>
      <c r="L22" s="632" t="s">
        <v>931</v>
      </c>
      <c r="M22" s="95" t="s">
        <v>932</v>
      </c>
      <c r="N22" s="633"/>
      <c r="O22" s="95" t="s">
        <v>933</v>
      </c>
      <c r="P22" s="95" t="s">
        <v>934</v>
      </c>
      <c r="Q22" s="193"/>
      <c r="R22" s="520">
        <v>45867</v>
      </c>
      <c r="S22" s="520">
        <v>46231</v>
      </c>
      <c r="T22" s="198">
        <v>45867</v>
      </c>
      <c r="U22" s="200">
        <v>46231</v>
      </c>
      <c r="V22" s="201" t="s">
        <v>935</v>
      </c>
      <c r="W22" s="202" t="s">
        <v>39</v>
      </c>
      <c r="Y22" s="95" t="s">
        <v>40</v>
      </c>
      <c r="AA22" s="204"/>
      <c r="AB22" s="634"/>
      <c r="AD22" s="635"/>
      <c r="AE22" s="636"/>
      <c r="AF22" s="199" t="s">
        <v>7812</v>
      </c>
      <c r="AG22" s="637">
        <v>672840</v>
      </c>
      <c r="AH22" s="637">
        <v>640800</v>
      </c>
    </row>
    <row r="23" spans="1:36" ht="19.5" customHeight="1">
      <c r="A23">
        <f>A21+1</f>
        <v>11</v>
      </c>
      <c r="B23" s="26">
        <v>6182607</v>
      </c>
      <c r="C23" s="449">
        <v>45797</v>
      </c>
      <c r="D23" s="68"/>
      <c r="E23" s="72">
        <v>99072.31</v>
      </c>
      <c r="F23" s="30">
        <v>1536015</v>
      </c>
      <c r="H23" s="68"/>
      <c r="I23" s="289">
        <v>99072.31</v>
      </c>
      <c r="J23" s="34" t="s">
        <v>929</v>
      </c>
      <c r="K23" s="450" t="s">
        <v>7813</v>
      </c>
      <c r="L23" s="249" t="s">
        <v>7814</v>
      </c>
      <c r="M23" t="s">
        <v>7815</v>
      </c>
      <c r="N23" s="627"/>
      <c r="O23" t="s">
        <v>7816</v>
      </c>
      <c r="P23" t="s">
        <v>7817</v>
      </c>
      <c r="R23" s="449">
        <v>45808</v>
      </c>
      <c r="S23" s="449">
        <v>46173</v>
      </c>
      <c r="T23" s="38">
        <v>45808</v>
      </c>
      <c r="U23" s="39">
        <v>46173</v>
      </c>
      <c r="V23" s="40" t="s">
        <v>7787</v>
      </c>
      <c r="W23" s="41" t="s">
        <v>39</v>
      </c>
      <c r="Y23" t="s">
        <v>81</v>
      </c>
      <c r="AA23" s="62"/>
      <c r="AF23" s="47">
        <v>45812</v>
      </c>
      <c r="AG23" s="418">
        <v>105268.5</v>
      </c>
      <c r="AH23" s="418">
        <v>100252.35</v>
      </c>
    </row>
    <row r="24" spans="1:36" ht="19.5" customHeight="1">
      <c r="A24">
        <f>A23+1</f>
        <v>12</v>
      </c>
      <c r="B24" s="26">
        <v>6183513</v>
      </c>
      <c r="C24" s="449">
        <v>45800</v>
      </c>
      <c r="D24" s="68"/>
      <c r="E24" s="72">
        <v>602200</v>
      </c>
      <c r="F24" s="30">
        <v>1536797</v>
      </c>
      <c r="H24" s="68"/>
      <c r="I24" s="289">
        <v>602200</v>
      </c>
      <c r="J24" s="34" t="s">
        <v>929</v>
      </c>
      <c r="K24" s="450" t="s">
        <v>930</v>
      </c>
      <c r="L24" s="249" t="s">
        <v>7818</v>
      </c>
      <c r="M24" t="s">
        <v>7819</v>
      </c>
      <c r="N24" s="627"/>
      <c r="O24" t="s">
        <v>7820</v>
      </c>
      <c r="P24" t="s">
        <v>934</v>
      </c>
      <c r="R24" s="449">
        <v>45867</v>
      </c>
      <c r="S24" s="449">
        <v>46231</v>
      </c>
      <c r="T24" s="38">
        <v>45867</v>
      </c>
      <c r="U24" s="39">
        <v>46231</v>
      </c>
      <c r="V24" s="40" t="s">
        <v>935</v>
      </c>
      <c r="W24" s="41" t="s">
        <v>39</v>
      </c>
      <c r="Y24" t="s">
        <v>40</v>
      </c>
      <c r="AA24" s="62"/>
      <c r="AF24" s="39">
        <v>46037</v>
      </c>
      <c r="AG24" s="418">
        <v>632310</v>
      </c>
      <c r="AH24" s="418">
        <v>602200</v>
      </c>
    </row>
    <row r="25" spans="1:36" ht="19.5" customHeight="1">
      <c r="A25">
        <f t="shared" si="0"/>
        <v>13</v>
      </c>
      <c r="B25" s="26">
        <v>6197284</v>
      </c>
      <c r="C25" s="449">
        <v>45849</v>
      </c>
      <c r="D25" s="68"/>
      <c r="E25" s="72">
        <v>1655538</v>
      </c>
      <c r="F25" s="30">
        <v>1545881</v>
      </c>
      <c r="G25" s="449">
        <v>45859</v>
      </c>
      <c r="H25" s="68"/>
      <c r="I25" s="289">
        <v>1655538</v>
      </c>
      <c r="J25" s="34" t="s">
        <v>929</v>
      </c>
      <c r="K25" s="450" t="s">
        <v>7821</v>
      </c>
      <c r="L25" s="35">
        <v>2025061801</v>
      </c>
      <c r="M25" t="s">
        <v>7822</v>
      </c>
      <c r="N25" s="627"/>
      <c r="O25" t="s">
        <v>7823</v>
      </c>
      <c r="P25" t="s">
        <v>7824</v>
      </c>
      <c r="R25" s="449">
        <v>45839</v>
      </c>
      <c r="S25" s="449">
        <v>46203</v>
      </c>
      <c r="T25" s="38">
        <v>45839</v>
      </c>
      <c r="U25" s="39">
        <v>46203</v>
      </c>
      <c r="V25" s="40" t="s">
        <v>7825</v>
      </c>
      <c r="W25" s="41" t="s">
        <v>39</v>
      </c>
      <c r="Y25" t="s">
        <v>81</v>
      </c>
      <c r="AA25" s="62"/>
      <c r="AB25" s="638"/>
      <c r="AF25" s="39">
        <v>46037</v>
      </c>
      <c r="AG25" s="418">
        <v>1738314.9</v>
      </c>
      <c r="AH25" s="418">
        <v>1655538</v>
      </c>
    </row>
    <row r="26" spans="1:36" ht="19.5" customHeight="1">
      <c r="A26">
        <f t="shared" si="0"/>
        <v>14</v>
      </c>
      <c r="B26" s="26">
        <v>6197684</v>
      </c>
      <c r="C26" s="449">
        <v>45852</v>
      </c>
      <c r="D26" s="330"/>
      <c r="E26" s="72">
        <v>2563842</v>
      </c>
      <c r="F26" s="30">
        <v>1546231</v>
      </c>
      <c r="H26" s="330"/>
      <c r="I26" s="289">
        <v>2563842</v>
      </c>
      <c r="J26" s="34" t="s">
        <v>929</v>
      </c>
      <c r="K26" s="450" t="s">
        <v>1190</v>
      </c>
      <c r="L26" s="35" t="s">
        <v>7826</v>
      </c>
      <c r="M26" t="s">
        <v>7827</v>
      </c>
      <c r="N26" s="627"/>
      <c r="O26" t="s">
        <v>7828</v>
      </c>
      <c r="P26" t="s">
        <v>7829</v>
      </c>
      <c r="R26" s="449">
        <v>45851</v>
      </c>
      <c r="S26" s="449">
        <v>46946</v>
      </c>
      <c r="T26" s="38">
        <v>45851</v>
      </c>
      <c r="U26" s="39">
        <v>46946</v>
      </c>
      <c r="V26" s="40" t="s">
        <v>7803</v>
      </c>
      <c r="W26" s="98" t="s">
        <v>39</v>
      </c>
      <c r="Y26" t="s">
        <v>81</v>
      </c>
      <c r="AA26" s="62"/>
      <c r="AB26" s="638"/>
      <c r="AF26" s="39">
        <v>46037</v>
      </c>
      <c r="AG26" s="418">
        <v>2692034.1</v>
      </c>
      <c r="AH26" s="418">
        <v>2563842</v>
      </c>
    </row>
    <row r="27" spans="1:36" ht="19.5" customHeight="1">
      <c r="A27">
        <f t="shared" si="0"/>
        <v>15</v>
      </c>
      <c r="B27" s="26">
        <v>6212600</v>
      </c>
      <c r="C27" s="449">
        <v>45901</v>
      </c>
      <c r="D27" s="71"/>
      <c r="E27" s="72"/>
      <c r="F27" s="30">
        <v>1552817</v>
      </c>
      <c r="G27" s="449">
        <v>45902</v>
      </c>
      <c r="H27" s="289"/>
      <c r="I27" s="289">
        <v>29560</v>
      </c>
      <c r="J27" s="34" t="s">
        <v>929</v>
      </c>
      <c r="K27" s="450" t="s">
        <v>7830</v>
      </c>
      <c r="L27" s="86" t="s">
        <v>141</v>
      </c>
      <c r="M27" t="s">
        <v>7831</v>
      </c>
      <c r="N27" s="627" t="s">
        <v>7832</v>
      </c>
      <c r="O27" t="s">
        <v>7833</v>
      </c>
      <c r="P27" t="s">
        <v>7834</v>
      </c>
      <c r="R27" s="449">
        <v>45915</v>
      </c>
      <c r="S27" s="449">
        <v>46360</v>
      </c>
      <c r="T27" s="38">
        <v>45915</v>
      </c>
      <c r="U27" s="39">
        <v>46360</v>
      </c>
      <c r="V27" s="40" t="s">
        <v>7835</v>
      </c>
      <c r="W27" s="41" t="s">
        <v>39</v>
      </c>
      <c r="X27" t="s">
        <v>7836</v>
      </c>
      <c r="Y27" s="42" t="s">
        <v>185</v>
      </c>
      <c r="Z27" t="s">
        <v>81</v>
      </c>
      <c r="AA27" s="62" t="s">
        <v>7837</v>
      </c>
      <c r="AB27" s="619">
        <v>45940</v>
      </c>
      <c r="AC27" s="40" t="s">
        <v>7838</v>
      </c>
      <c r="AE27" s="45">
        <v>3173396</v>
      </c>
      <c r="AF27" s="47">
        <v>45915</v>
      </c>
      <c r="AG27" s="418">
        <v>31038</v>
      </c>
      <c r="AH27" s="418">
        <v>29560</v>
      </c>
      <c r="AJ27" s="78"/>
    </row>
    <row r="28" spans="1:36" ht="19.5" customHeight="1">
      <c r="A28">
        <f t="shared" si="0"/>
        <v>16</v>
      </c>
      <c r="B28" s="26">
        <v>6214925</v>
      </c>
      <c r="C28" s="449">
        <v>45909</v>
      </c>
      <c r="D28" s="68"/>
      <c r="E28" s="72">
        <v>1465040.96</v>
      </c>
      <c r="F28" s="30" t="s">
        <v>7839</v>
      </c>
      <c r="G28" s="449">
        <v>45915</v>
      </c>
      <c r="H28" s="68"/>
      <c r="I28" s="289">
        <v>1465040.96</v>
      </c>
      <c r="J28" s="34" t="s">
        <v>929</v>
      </c>
      <c r="K28" s="450" t="s">
        <v>107</v>
      </c>
      <c r="L28" s="35" t="s">
        <v>7840</v>
      </c>
      <c r="M28" t="s">
        <v>7841</v>
      </c>
      <c r="N28" s="627" t="s">
        <v>1458</v>
      </c>
      <c r="O28" t="s">
        <v>7842</v>
      </c>
      <c r="P28" t="s">
        <v>7843</v>
      </c>
      <c r="R28" s="449">
        <v>46023</v>
      </c>
      <c r="S28" s="449">
        <v>46185</v>
      </c>
      <c r="T28" s="38">
        <v>46023</v>
      </c>
      <c r="U28" s="39">
        <v>46185</v>
      </c>
      <c r="V28" s="40" t="s">
        <v>7787</v>
      </c>
      <c r="W28" s="41" t="s">
        <v>39</v>
      </c>
      <c r="X28" t="s">
        <v>7844</v>
      </c>
      <c r="Y28" t="s">
        <v>40</v>
      </c>
      <c r="AA28" s="62" t="s">
        <v>7845</v>
      </c>
      <c r="AC28" t="s">
        <v>7846</v>
      </c>
      <c r="AD28" s="598">
        <v>45918</v>
      </c>
      <c r="AF28" s="39">
        <v>46037</v>
      </c>
      <c r="AG28" s="418">
        <v>1538293.01</v>
      </c>
      <c r="AH28" s="418">
        <v>1465040.96</v>
      </c>
      <c r="AI28" s="40"/>
    </row>
    <row r="29" spans="1:36" ht="19.5" customHeight="1">
      <c r="A29">
        <f t="shared" si="0"/>
        <v>17</v>
      </c>
      <c r="B29" s="26">
        <v>6227646</v>
      </c>
      <c r="C29" s="449">
        <v>45947</v>
      </c>
      <c r="D29" s="68">
        <v>7726.32</v>
      </c>
      <c r="E29" s="29">
        <v>60095.32</v>
      </c>
      <c r="F29" s="30" t="s">
        <v>7847</v>
      </c>
      <c r="G29" s="449">
        <v>45951</v>
      </c>
      <c r="H29" s="68">
        <v>7726.32</v>
      </c>
      <c r="I29" s="68">
        <v>60095.32</v>
      </c>
      <c r="J29" s="34" t="s">
        <v>929</v>
      </c>
      <c r="K29" s="450" t="s">
        <v>7848</v>
      </c>
      <c r="L29" s="35">
        <v>242280269</v>
      </c>
      <c r="M29" t="s">
        <v>7849</v>
      </c>
      <c r="N29" s="639" t="s">
        <v>1346</v>
      </c>
      <c r="O29" t="s">
        <v>7850</v>
      </c>
      <c r="P29" t="s">
        <v>7851</v>
      </c>
      <c r="R29" s="449">
        <v>45996</v>
      </c>
      <c r="S29" s="449">
        <v>46594</v>
      </c>
      <c r="T29" s="38">
        <v>45996</v>
      </c>
      <c r="U29" s="39">
        <v>46594</v>
      </c>
      <c r="V29" s="40" t="s">
        <v>7852</v>
      </c>
      <c r="W29" s="41" t="s">
        <v>114</v>
      </c>
      <c r="X29" t="s">
        <v>7853</v>
      </c>
      <c r="Y29" t="s">
        <v>185</v>
      </c>
      <c r="AA29" s="43" t="s">
        <v>7854</v>
      </c>
      <c r="AB29" s="619">
        <v>45952</v>
      </c>
      <c r="AC29" t="s">
        <v>7855</v>
      </c>
      <c r="AD29" s="598">
        <v>45952</v>
      </c>
      <c r="AF29" s="39">
        <v>46037</v>
      </c>
      <c r="AG29" s="398">
        <v>63684.22</v>
      </c>
      <c r="AH29" s="398">
        <v>60651.61</v>
      </c>
    </row>
    <row r="30" spans="1:36" ht="19.5" customHeight="1">
      <c r="A30">
        <f t="shared" si="0"/>
        <v>18</v>
      </c>
      <c r="B30" s="26">
        <v>6238121</v>
      </c>
      <c r="C30" s="449">
        <v>45980</v>
      </c>
      <c r="E30" s="33">
        <v>2793159.03</v>
      </c>
      <c r="F30" s="30" t="s">
        <v>7856</v>
      </c>
      <c r="G30" s="449">
        <v>45994</v>
      </c>
      <c r="I30" s="68">
        <v>2778159.03</v>
      </c>
      <c r="J30" s="34" t="s">
        <v>929</v>
      </c>
      <c r="K30" s="450" t="s">
        <v>107</v>
      </c>
      <c r="L30" s="640" t="s">
        <v>7857</v>
      </c>
      <c r="M30" t="s">
        <v>7858</v>
      </c>
      <c r="N30" s="639" t="s">
        <v>1458</v>
      </c>
      <c r="O30" t="s">
        <v>7859</v>
      </c>
      <c r="P30" t="s">
        <v>7860</v>
      </c>
      <c r="R30" s="449">
        <v>46007</v>
      </c>
      <c r="S30" s="449">
        <v>47102</v>
      </c>
      <c r="T30" s="38">
        <v>46007</v>
      </c>
      <c r="U30" s="39">
        <v>47102</v>
      </c>
      <c r="V30" s="40" t="s">
        <v>7787</v>
      </c>
      <c r="W30" s="41" t="s">
        <v>39</v>
      </c>
      <c r="X30" t="s">
        <v>7861</v>
      </c>
      <c r="Y30" t="s">
        <v>56</v>
      </c>
      <c r="AF30" s="39">
        <v>46037</v>
      </c>
    </row>
    <row r="31" spans="1:36" ht="19.5" customHeight="1">
      <c r="A31">
        <f t="shared" si="0"/>
        <v>19</v>
      </c>
      <c r="B31" s="26">
        <v>6268390</v>
      </c>
      <c r="C31" s="449">
        <v>46079</v>
      </c>
      <c r="D31" s="398">
        <v>143663.18</v>
      </c>
      <c r="E31" s="33">
        <v>1120572.8799999999</v>
      </c>
      <c r="F31" s="30" t="s">
        <v>7862</v>
      </c>
      <c r="G31" s="449">
        <v>46080</v>
      </c>
      <c r="H31" s="398">
        <v>143663.18</v>
      </c>
      <c r="I31" s="68">
        <v>1120572.8799999999</v>
      </c>
      <c r="J31" s="34" t="s">
        <v>929</v>
      </c>
      <c r="K31" s="450" t="s">
        <v>107</v>
      </c>
      <c r="L31" s="641" t="s">
        <v>141</v>
      </c>
      <c r="M31" t="s">
        <v>7863</v>
      </c>
      <c r="N31" s="43" t="s">
        <v>1458</v>
      </c>
      <c r="O31" t="s">
        <v>7864</v>
      </c>
      <c r="P31" t="s">
        <v>7865</v>
      </c>
      <c r="R31" s="449">
        <v>46115</v>
      </c>
      <c r="S31" s="449">
        <v>46479</v>
      </c>
      <c r="T31" s="38">
        <v>46115</v>
      </c>
      <c r="U31" s="39">
        <v>46479</v>
      </c>
      <c r="V31" s="40" t="s">
        <v>7787</v>
      </c>
      <c r="W31" s="41" t="s">
        <v>39</v>
      </c>
      <c r="X31" t="s">
        <v>7866</v>
      </c>
      <c r="Y31" t="s">
        <v>56</v>
      </c>
      <c r="AA31" s="43" t="s">
        <v>211</v>
      </c>
      <c r="AB31" s="619">
        <v>46142</v>
      </c>
    </row>
    <row r="32" spans="1:36" ht="19.5" customHeight="1">
      <c r="A32">
        <f t="shared" si="0"/>
        <v>20</v>
      </c>
      <c r="B32" s="26">
        <v>6268424</v>
      </c>
      <c r="C32" s="449">
        <v>46079</v>
      </c>
      <c r="D32" s="330" t="s">
        <v>141</v>
      </c>
      <c r="E32" s="33">
        <v>170800</v>
      </c>
      <c r="F32" s="30" t="s">
        <v>7867</v>
      </c>
      <c r="G32" s="449">
        <v>46079</v>
      </c>
      <c r="H32" s="330" t="s">
        <v>141</v>
      </c>
      <c r="I32" s="33">
        <v>170800</v>
      </c>
      <c r="J32" s="34" t="s">
        <v>929</v>
      </c>
      <c r="K32" s="450" t="s">
        <v>7783</v>
      </c>
      <c r="M32" t="s">
        <v>7868</v>
      </c>
      <c r="N32" s="43" t="s">
        <v>7869</v>
      </c>
      <c r="O32" t="s">
        <v>7870</v>
      </c>
      <c r="P32" t="s">
        <v>7871</v>
      </c>
      <c r="R32" s="449">
        <v>46126</v>
      </c>
      <c r="S32" s="449">
        <v>46490</v>
      </c>
      <c r="T32" s="38">
        <v>46126</v>
      </c>
      <c r="U32" s="39">
        <v>46490</v>
      </c>
      <c r="V32" s="40" t="s">
        <v>7787</v>
      </c>
      <c r="W32" s="41" t="s">
        <v>39</v>
      </c>
      <c r="X32" t="s">
        <v>7872</v>
      </c>
      <c r="Y32" t="s">
        <v>56</v>
      </c>
    </row>
    <row r="33" spans="1:33" ht="19.5" customHeight="1">
      <c r="A33">
        <f t="shared" si="0"/>
        <v>21</v>
      </c>
      <c r="B33" s="26">
        <v>6273371</v>
      </c>
      <c r="C33" s="449">
        <v>46093</v>
      </c>
      <c r="D33" s="398">
        <v>492178</v>
      </c>
      <c r="E33" s="33">
        <v>3848438.22</v>
      </c>
      <c r="F33" s="30" t="s">
        <v>7873</v>
      </c>
      <c r="G33" s="449">
        <v>46107</v>
      </c>
      <c r="H33" s="398">
        <v>492178</v>
      </c>
      <c r="I33" s="33">
        <v>3848438.22</v>
      </c>
      <c r="J33" s="34" t="s">
        <v>929</v>
      </c>
      <c r="K33" s="450" t="s">
        <v>176</v>
      </c>
      <c r="L33" s="640" t="s">
        <v>7874</v>
      </c>
      <c r="M33" s="640" t="s">
        <v>7874</v>
      </c>
      <c r="N33" s="43" t="s">
        <v>1409</v>
      </c>
      <c r="O33" t="s">
        <v>7875</v>
      </c>
      <c r="P33" t="s">
        <v>7876</v>
      </c>
      <c r="R33" s="449">
        <v>46204</v>
      </c>
      <c r="S33" s="449">
        <v>46573</v>
      </c>
      <c r="T33" s="454" t="s">
        <v>141</v>
      </c>
      <c r="U33" s="47" t="s">
        <v>141</v>
      </c>
      <c r="V33" s="40" t="s">
        <v>7877</v>
      </c>
      <c r="W33" s="41" t="s">
        <v>39</v>
      </c>
      <c r="X33" t="s">
        <v>7878</v>
      </c>
      <c r="Y33" t="s">
        <v>56</v>
      </c>
    </row>
    <row r="34" spans="1:33" ht="19.5" customHeight="1">
      <c r="A34">
        <f t="shared" si="0"/>
        <v>22</v>
      </c>
      <c r="B34" s="26">
        <v>6276385</v>
      </c>
      <c r="C34" s="449">
        <v>46104</v>
      </c>
      <c r="D34" s="330" t="s">
        <v>141</v>
      </c>
      <c r="E34" s="33">
        <v>620250</v>
      </c>
      <c r="F34" s="30" t="s">
        <v>7879</v>
      </c>
      <c r="G34" s="449">
        <v>46104</v>
      </c>
      <c r="H34" s="330" t="s">
        <v>141</v>
      </c>
      <c r="I34" s="68">
        <v>620250</v>
      </c>
      <c r="J34" s="34" t="s">
        <v>929</v>
      </c>
      <c r="K34" s="450" t="s">
        <v>930</v>
      </c>
      <c r="L34" s="640" t="s">
        <v>7880</v>
      </c>
      <c r="M34" t="s">
        <v>7881</v>
      </c>
      <c r="N34" s="43" t="s">
        <v>7882</v>
      </c>
      <c r="O34" t="s">
        <v>7883</v>
      </c>
      <c r="P34" t="s">
        <v>7884</v>
      </c>
      <c r="R34" s="449">
        <v>46232</v>
      </c>
      <c r="S34" s="449">
        <v>46596</v>
      </c>
      <c r="T34" s="38">
        <v>46232</v>
      </c>
      <c r="U34" s="39">
        <v>46596</v>
      </c>
      <c r="V34" s="40" t="s">
        <v>7803</v>
      </c>
      <c r="W34" s="41" t="s">
        <v>39</v>
      </c>
      <c r="X34" t="s">
        <v>7885</v>
      </c>
      <c r="Y34" t="s">
        <v>56</v>
      </c>
    </row>
    <row r="35" spans="1:33" ht="19.5" customHeight="1" thickBot="1">
      <c r="A35">
        <f t="shared" si="0"/>
        <v>23</v>
      </c>
      <c r="B35" s="26">
        <v>6279928</v>
      </c>
      <c r="C35" s="449">
        <v>46113</v>
      </c>
      <c r="D35" s="642" t="s">
        <v>141</v>
      </c>
      <c r="E35" s="33">
        <v>16500</v>
      </c>
      <c r="F35" s="30" t="s">
        <v>7886</v>
      </c>
      <c r="G35" s="449">
        <v>46114</v>
      </c>
      <c r="H35" s="642" t="s">
        <v>141</v>
      </c>
      <c r="I35" s="33">
        <v>16500</v>
      </c>
      <c r="J35" s="34" t="s">
        <v>929</v>
      </c>
      <c r="K35" s="450" t="s">
        <v>7887</v>
      </c>
      <c r="L35" s="640" t="s">
        <v>7888</v>
      </c>
      <c r="M35" t="s">
        <v>7889</v>
      </c>
      <c r="N35" s="43" t="s">
        <v>7890</v>
      </c>
      <c r="O35" t="s">
        <v>7891</v>
      </c>
      <c r="P35" s="41" t="s">
        <v>7892</v>
      </c>
      <c r="R35" s="449">
        <v>46113</v>
      </c>
      <c r="S35" s="449">
        <v>46477</v>
      </c>
      <c r="T35" s="454" t="s">
        <v>141</v>
      </c>
      <c r="U35" s="468" t="s">
        <v>141</v>
      </c>
      <c r="V35" s="40" t="s">
        <v>7787</v>
      </c>
      <c r="W35" s="41" t="s">
        <v>39</v>
      </c>
      <c r="X35" t="s">
        <v>7893</v>
      </c>
      <c r="Y35" t="s">
        <v>56</v>
      </c>
    </row>
    <row r="36" spans="1:33" ht="19.5" customHeight="1">
      <c r="A36">
        <f t="shared" si="0"/>
        <v>24</v>
      </c>
      <c r="B36" s="135">
        <v>6283572</v>
      </c>
      <c r="C36" s="512">
        <v>46128</v>
      </c>
      <c r="D36" s="178">
        <v>210288</v>
      </c>
      <c r="E36" s="531">
        <v>1646008.29</v>
      </c>
      <c r="F36" s="139" t="s">
        <v>7894</v>
      </c>
      <c r="G36" s="512">
        <v>46132</v>
      </c>
      <c r="H36" s="178">
        <f>223179-12891</f>
        <v>210288</v>
      </c>
      <c r="I36" s="643">
        <v>1646008.29</v>
      </c>
      <c r="J36" s="140" t="s">
        <v>929</v>
      </c>
      <c r="K36" s="560" t="s">
        <v>7798</v>
      </c>
      <c r="L36" s="644" t="s">
        <v>7895</v>
      </c>
      <c r="M36" s="141" t="s">
        <v>7896</v>
      </c>
      <c r="N36" s="422" t="s">
        <v>7897</v>
      </c>
      <c r="O36" s="141" t="s">
        <v>7898</v>
      </c>
      <c r="P36" s="148" t="s">
        <v>7899</v>
      </c>
      <c r="Q36" s="531"/>
      <c r="R36" s="512">
        <v>46172</v>
      </c>
      <c r="S36" s="512">
        <v>46537</v>
      </c>
      <c r="T36" s="145">
        <v>46172</v>
      </c>
      <c r="U36" s="146">
        <v>46537</v>
      </c>
      <c r="V36" s="147" t="s">
        <v>7803</v>
      </c>
      <c r="W36" s="148" t="s">
        <v>39</v>
      </c>
      <c r="X36" s="141" t="s">
        <v>7900</v>
      </c>
      <c r="Y36" s="141" t="s">
        <v>56</v>
      </c>
      <c r="Z36" s="141"/>
      <c r="AA36" s="422"/>
      <c r="AB36" s="645"/>
      <c r="AC36" s="141"/>
      <c r="AD36" s="646"/>
      <c r="AE36" s="647"/>
      <c r="AF36" s="531"/>
    </row>
    <row r="37" spans="1:33" ht="19.5" customHeight="1" thickBot="1">
      <c r="A37">
        <f t="shared" si="0"/>
        <v>25</v>
      </c>
      <c r="B37" s="155">
        <v>6283587</v>
      </c>
      <c r="C37" s="516">
        <v>46128</v>
      </c>
      <c r="D37" s="184">
        <v>12891</v>
      </c>
      <c r="E37" s="537">
        <v>100903.01</v>
      </c>
      <c r="F37" s="159" t="s">
        <v>7894</v>
      </c>
      <c r="G37" s="516">
        <v>46132</v>
      </c>
      <c r="H37" s="184">
        <f>223179-210288</f>
        <v>12891</v>
      </c>
      <c r="I37" s="648">
        <v>100903.01</v>
      </c>
      <c r="J37" s="160" t="s">
        <v>929</v>
      </c>
      <c r="K37" s="561" t="s">
        <v>7798</v>
      </c>
      <c r="L37" s="649" t="s">
        <v>7901</v>
      </c>
      <c r="M37" s="161" t="s">
        <v>7902</v>
      </c>
      <c r="N37" s="427" t="s">
        <v>7903</v>
      </c>
      <c r="O37" s="161" t="s">
        <v>7898</v>
      </c>
      <c r="P37" s="168" t="s">
        <v>7899</v>
      </c>
      <c r="Q37" s="537"/>
      <c r="R37" s="516">
        <v>46172</v>
      </c>
      <c r="S37" s="516">
        <v>46537</v>
      </c>
      <c r="T37" s="165">
        <v>46172</v>
      </c>
      <c r="U37" s="166">
        <v>46537</v>
      </c>
      <c r="V37" s="167" t="s">
        <v>7803</v>
      </c>
      <c r="W37" s="168" t="s">
        <v>39</v>
      </c>
      <c r="X37" s="161" t="s">
        <v>7900</v>
      </c>
      <c r="Y37" s="161" t="s">
        <v>56</v>
      </c>
      <c r="Z37" s="161"/>
      <c r="AA37" s="427"/>
      <c r="AB37" s="650"/>
      <c r="AC37" s="161"/>
      <c r="AD37" s="651"/>
      <c r="AE37" s="652"/>
      <c r="AF37" s="537"/>
    </row>
    <row r="38" spans="1:33" ht="19.5" customHeight="1">
      <c r="A38">
        <f t="shared" si="0"/>
        <v>26</v>
      </c>
      <c r="B38" s="26">
        <v>6284959</v>
      </c>
      <c r="C38" s="449">
        <v>46133</v>
      </c>
      <c r="D38" s="398">
        <v>3136.8</v>
      </c>
      <c r="E38" s="33">
        <v>24552.99</v>
      </c>
      <c r="F38" s="30" t="s">
        <v>7904</v>
      </c>
      <c r="G38" s="449">
        <v>46134</v>
      </c>
      <c r="H38" s="398">
        <v>3136.8</v>
      </c>
      <c r="I38" s="74">
        <v>24552.99</v>
      </c>
      <c r="J38" s="34" t="s">
        <v>929</v>
      </c>
      <c r="K38" s="450" t="s">
        <v>7905</v>
      </c>
      <c r="L38" s="640" t="s">
        <v>7906</v>
      </c>
      <c r="M38" t="s">
        <v>7907</v>
      </c>
      <c r="N38" s="43" t="s">
        <v>7908</v>
      </c>
      <c r="O38" t="s">
        <v>7909</v>
      </c>
      <c r="P38" s="41" t="s">
        <v>7910</v>
      </c>
      <c r="R38" s="449">
        <v>46152</v>
      </c>
      <c r="S38" s="449">
        <v>46517</v>
      </c>
      <c r="T38" s="38">
        <v>46152</v>
      </c>
      <c r="U38" s="39">
        <v>46517</v>
      </c>
      <c r="V38" s="40" t="s">
        <v>7787</v>
      </c>
      <c r="W38" s="41" t="s">
        <v>39</v>
      </c>
      <c r="X38" t="s">
        <v>7911</v>
      </c>
      <c r="Y38" t="s">
        <v>56</v>
      </c>
    </row>
    <row r="39" spans="1:33" ht="19.5" customHeight="1" thickBot="1">
      <c r="A39">
        <f t="shared" si="0"/>
        <v>27</v>
      </c>
      <c r="B39" s="26">
        <v>6285959</v>
      </c>
      <c r="C39" s="449">
        <v>46136</v>
      </c>
      <c r="D39" s="330" t="s">
        <v>141</v>
      </c>
      <c r="E39" s="33">
        <v>162290.71</v>
      </c>
      <c r="F39" s="30" t="s">
        <v>7912</v>
      </c>
      <c r="G39" s="449">
        <v>46139</v>
      </c>
      <c r="H39" s="330" t="s">
        <v>141</v>
      </c>
      <c r="I39" s="74">
        <v>162290.54999999999</v>
      </c>
      <c r="J39" s="34" t="s">
        <v>929</v>
      </c>
      <c r="K39" s="450" t="s">
        <v>107</v>
      </c>
      <c r="L39" s="641" t="s">
        <v>141</v>
      </c>
      <c r="M39" t="s">
        <v>7913</v>
      </c>
      <c r="N39" s="43" t="s">
        <v>7914</v>
      </c>
      <c r="O39" t="s">
        <v>7915</v>
      </c>
      <c r="P39" s="41" t="s">
        <v>7916</v>
      </c>
      <c r="R39" s="449">
        <v>46168</v>
      </c>
      <c r="S39" s="449">
        <v>46532</v>
      </c>
      <c r="T39" s="38">
        <v>46168</v>
      </c>
      <c r="U39" s="39">
        <v>46532</v>
      </c>
      <c r="V39" s="40" t="s">
        <v>7803</v>
      </c>
      <c r="W39" s="41" t="s">
        <v>39</v>
      </c>
      <c r="X39" t="s">
        <v>7917</v>
      </c>
      <c r="Y39" t="s">
        <v>56</v>
      </c>
      <c r="AC39" t="s">
        <v>7918</v>
      </c>
      <c r="AD39" s="598">
        <v>46191</v>
      </c>
    </row>
    <row r="40" spans="1:33" ht="19.5" customHeight="1">
      <c r="A40">
        <f t="shared" si="0"/>
        <v>28</v>
      </c>
      <c r="B40" s="135">
        <v>6289856</v>
      </c>
      <c r="C40" s="512">
        <v>46149</v>
      </c>
      <c r="D40" s="362" t="s">
        <v>141</v>
      </c>
      <c r="E40" s="179">
        <v>590036</v>
      </c>
      <c r="F40" s="139" t="s">
        <v>7919</v>
      </c>
      <c r="G40" s="512">
        <v>46150</v>
      </c>
      <c r="H40" s="362" t="s">
        <v>141</v>
      </c>
      <c r="I40" s="643">
        <f>590036/2</f>
        <v>295018</v>
      </c>
      <c r="J40" s="140" t="s">
        <v>929</v>
      </c>
      <c r="K40" s="560" t="s">
        <v>7920</v>
      </c>
      <c r="L40" s="644" t="s">
        <v>7921</v>
      </c>
      <c r="M40" s="141" t="s">
        <v>7922</v>
      </c>
      <c r="N40" s="422" t="s">
        <v>7923</v>
      </c>
      <c r="O40" s="141" t="s">
        <v>7924</v>
      </c>
      <c r="P40" s="148" t="s">
        <v>7925</v>
      </c>
      <c r="Q40" s="531"/>
      <c r="R40" s="512">
        <v>46194</v>
      </c>
      <c r="S40" s="512">
        <v>46924</v>
      </c>
      <c r="T40" s="653" t="s">
        <v>141</v>
      </c>
      <c r="U40" s="654" t="s">
        <v>141</v>
      </c>
      <c r="V40" s="147" t="s">
        <v>7787</v>
      </c>
      <c r="W40" s="148" t="s">
        <v>39</v>
      </c>
      <c r="X40" s="141" t="s">
        <v>7926</v>
      </c>
      <c r="Y40" s="141" t="s">
        <v>56</v>
      </c>
      <c r="Z40" s="141"/>
      <c r="AA40" s="422"/>
      <c r="AB40" s="645"/>
      <c r="AC40" s="141" t="s">
        <v>7927</v>
      </c>
      <c r="AD40" s="646">
        <v>46194</v>
      </c>
      <c r="AE40" s="647"/>
      <c r="AF40" s="531"/>
      <c r="AG40" t="s">
        <v>7928</v>
      </c>
    </row>
    <row r="41" spans="1:33" ht="19.5" customHeight="1" thickBot="1">
      <c r="A41">
        <f>A40+1</f>
        <v>29</v>
      </c>
      <c r="B41" s="155">
        <v>6289856</v>
      </c>
      <c r="C41" s="516">
        <v>46149</v>
      </c>
      <c r="D41" s="365" t="s">
        <v>141</v>
      </c>
      <c r="E41" s="185">
        <v>590036</v>
      </c>
      <c r="F41" s="159" t="s">
        <v>7919</v>
      </c>
      <c r="G41" s="516">
        <v>46150</v>
      </c>
      <c r="H41" s="365" t="s">
        <v>141</v>
      </c>
      <c r="I41" s="185">
        <f>590036/2</f>
        <v>295018</v>
      </c>
      <c r="J41" s="160" t="s">
        <v>929</v>
      </c>
      <c r="K41" s="561" t="s">
        <v>7920</v>
      </c>
      <c r="L41" s="649" t="s">
        <v>7921</v>
      </c>
      <c r="M41" s="161" t="s">
        <v>7922</v>
      </c>
      <c r="N41" s="427" t="s">
        <v>7923</v>
      </c>
      <c r="O41" s="161" t="s">
        <v>7924</v>
      </c>
      <c r="P41" s="168" t="s">
        <v>7925</v>
      </c>
      <c r="Q41" s="537"/>
      <c r="R41" s="516">
        <v>46194</v>
      </c>
      <c r="S41" s="516">
        <v>46924</v>
      </c>
      <c r="T41" s="655" t="s">
        <v>141</v>
      </c>
      <c r="U41" s="656" t="s">
        <v>141</v>
      </c>
      <c r="V41" s="167" t="s">
        <v>7787</v>
      </c>
      <c r="W41" s="168" t="s">
        <v>39</v>
      </c>
      <c r="X41" s="161" t="s">
        <v>7926</v>
      </c>
      <c r="Y41" s="161" t="s">
        <v>56</v>
      </c>
      <c r="Z41" s="161"/>
      <c r="AA41" s="427"/>
      <c r="AB41" s="650"/>
      <c r="AC41" s="161"/>
      <c r="AD41" s="651"/>
      <c r="AE41" s="652"/>
      <c r="AF41" s="537"/>
    </row>
    <row r="42" spans="1:33" ht="19.5" customHeight="1">
      <c r="A42">
        <f>A40+1</f>
        <v>29</v>
      </c>
      <c r="B42" s="135">
        <v>6289864</v>
      </c>
      <c r="C42" s="512">
        <v>46149</v>
      </c>
      <c r="D42" s="362" t="s">
        <v>141</v>
      </c>
      <c r="E42" s="179">
        <v>1770110</v>
      </c>
      <c r="F42" s="139" t="s">
        <v>7929</v>
      </c>
      <c r="G42" s="512">
        <v>46150</v>
      </c>
      <c r="H42" s="362" t="s">
        <v>141</v>
      </c>
      <c r="I42" s="643">
        <f>1770110/2</f>
        <v>885055</v>
      </c>
      <c r="J42" s="140" t="s">
        <v>929</v>
      </c>
      <c r="K42" s="560" t="s">
        <v>7920</v>
      </c>
      <c r="L42" s="644" t="s">
        <v>7930</v>
      </c>
      <c r="M42" s="141" t="s">
        <v>7931</v>
      </c>
      <c r="N42" s="422" t="s">
        <v>7923</v>
      </c>
      <c r="O42" s="141" t="s">
        <v>7924</v>
      </c>
      <c r="P42" s="148" t="s">
        <v>7925</v>
      </c>
      <c r="Q42" s="531"/>
      <c r="R42" s="512">
        <v>46194</v>
      </c>
      <c r="S42" s="512">
        <v>46924</v>
      </c>
      <c r="T42" s="653" t="s">
        <v>141</v>
      </c>
      <c r="U42" s="654" t="s">
        <v>141</v>
      </c>
      <c r="V42" s="147" t="s">
        <v>7787</v>
      </c>
      <c r="W42" s="148" t="s">
        <v>39</v>
      </c>
      <c r="X42" s="141" t="s">
        <v>7926</v>
      </c>
      <c r="Y42" s="141" t="s">
        <v>56</v>
      </c>
      <c r="Z42" s="141"/>
      <c r="AA42" s="422"/>
      <c r="AB42" s="645"/>
      <c r="AC42" s="141" t="s">
        <v>7932</v>
      </c>
      <c r="AD42" s="646">
        <v>46194</v>
      </c>
      <c r="AE42" s="647"/>
      <c r="AF42" s="531"/>
      <c r="AG42" t="s">
        <v>7928</v>
      </c>
    </row>
    <row r="43" spans="1:33" ht="19.5" customHeight="1" thickBot="1">
      <c r="A43">
        <f>A42+1</f>
        <v>30</v>
      </c>
      <c r="B43" s="155">
        <v>6289864</v>
      </c>
      <c r="C43" s="516">
        <v>46149</v>
      </c>
      <c r="D43" s="365" t="s">
        <v>141</v>
      </c>
      <c r="E43" s="185"/>
      <c r="F43" s="159" t="s">
        <v>7929</v>
      </c>
      <c r="G43" s="516">
        <v>46150</v>
      </c>
      <c r="H43" s="365" t="s">
        <v>141</v>
      </c>
      <c r="I43" s="185">
        <f>1770110/2</f>
        <v>885055</v>
      </c>
      <c r="J43" s="160" t="s">
        <v>929</v>
      </c>
      <c r="K43" s="561" t="s">
        <v>7920</v>
      </c>
      <c r="L43" s="649" t="s">
        <v>7930</v>
      </c>
      <c r="M43" s="161" t="s">
        <v>7931</v>
      </c>
      <c r="N43" s="427" t="s">
        <v>7923</v>
      </c>
      <c r="O43" s="161" t="s">
        <v>7924</v>
      </c>
      <c r="P43" s="168" t="s">
        <v>7925</v>
      </c>
      <c r="Q43" s="537"/>
      <c r="R43" s="516">
        <v>46194</v>
      </c>
      <c r="S43" s="516">
        <v>46924</v>
      </c>
      <c r="T43" s="655" t="s">
        <v>141</v>
      </c>
      <c r="U43" s="656" t="s">
        <v>141</v>
      </c>
      <c r="V43" s="167" t="s">
        <v>7787</v>
      </c>
      <c r="W43" s="168" t="s">
        <v>39</v>
      </c>
      <c r="X43" s="161" t="s">
        <v>7926</v>
      </c>
      <c r="Y43" s="161" t="s">
        <v>56</v>
      </c>
      <c r="Z43" s="161"/>
      <c r="AA43" s="427"/>
      <c r="AB43" s="650"/>
      <c r="AC43" s="161"/>
      <c r="AD43" s="651"/>
      <c r="AE43" s="652"/>
      <c r="AF43" s="537"/>
    </row>
    <row r="44" spans="1:33" ht="19.5" customHeight="1">
      <c r="A44">
        <f>A42+1</f>
        <v>30</v>
      </c>
      <c r="B44" s="26">
        <v>6292806</v>
      </c>
      <c r="C44" s="449">
        <v>46157</v>
      </c>
      <c r="D44" s="398">
        <v>122170</v>
      </c>
      <c r="E44" s="33">
        <v>957275.25</v>
      </c>
      <c r="F44" s="30" t="s">
        <v>7933</v>
      </c>
      <c r="G44" s="449">
        <v>46162</v>
      </c>
      <c r="H44" s="398">
        <v>122170</v>
      </c>
      <c r="I44" s="74">
        <v>957275.25</v>
      </c>
      <c r="J44" s="34" t="s">
        <v>929</v>
      </c>
      <c r="K44" s="450" t="s">
        <v>7753</v>
      </c>
      <c r="L44" s="640" t="s">
        <v>7934</v>
      </c>
      <c r="M44" t="s">
        <v>7935</v>
      </c>
      <c r="N44" s="43" t="s">
        <v>7936</v>
      </c>
      <c r="O44" t="s">
        <v>7937</v>
      </c>
      <c r="P44" s="41" t="s">
        <v>7938</v>
      </c>
      <c r="R44" s="449">
        <v>46173</v>
      </c>
      <c r="S44" s="449">
        <v>46537</v>
      </c>
      <c r="T44" s="38">
        <v>46173</v>
      </c>
      <c r="U44" s="39">
        <v>46537</v>
      </c>
      <c r="V44" s="40" t="s">
        <v>7803</v>
      </c>
      <c r="W44" s="41" t="s">
        <v>39</v>
      </c>
      <c r="X44" t="s">
        <v>7939</v>
      </c>
      <c r="Y44" t="s">
        <v>56</v>
      </c>
    </row>
    <row r="45" spans="1:33" ht="19.5" customHeight="1">
      <c r="A45">
        <f t="shared" si="0"/>
        <v>31</v>
      </c>
      <c r="B45" s="26">
        <v>6294206</v>
      </c>
      <c r="C45" s="449">
        <v>46163</v>
      </c>
      <c r="D45" s="398">
        <v>956363.48</v>
      </c>
      <c r="E45" s="33">
        <v>7493681.6900000004</v>
      </c>
      <c r="F45" s="30" t="s">
        <v>7940</v>
      </c>
      <c r="G45" s="449">
        <v>46169</v>
      </c>
      <c r="H45" s="398">
        <v>956363.48</v>
      </c>
      <c r="I45" s="33">
        <v>7493681.6900000004</v>
      </c>
      <c r="J45" s="34" t="s">
        <v>929</v>
      </c>
      <c r="K45" s="450" t="s">
        <v>104</v>
      </c>
      <c r="L45" s="640" t="s">
        <v>7941</v>
      </c>
      <c r="M45" t="s">
        <v>7942</v>
      </c>
      <c r="N45" s="43" t="s">
        <v>5018</v>
      </c>
      <c r="O45" t="s">
        <v>7943</v>
      </c>
      <c r="P45" s="41" t="s">
        <v>7944</v>
      </c>
      <c r="R45" s="449">
        <v>46174</v>
      </c>
      <c r="S45" s="449">
        <v>46538</v>
      </c>
      <c r="T45" s="38">
        <v>46174</v>
      </c>
      <c r="U45" s="39">
        <v>46538</v>
      </c>
      <c r="V45" s="40" t="s">
        <v>7803</v>
      </c>
      <c r="W45" s="41" t="s">
        <v>39</v>
      </c>
      <c r="X45" t="s">
        <v>7945</v>
      </c>
      <c r="Y45" t="s">
        <v>56</v>
      </c>
    </row>
    <row r="46" spans="1:33" ht="19.5" customHeight="1">
      <c r="A46">
        <f t="shared" si="0"/>
        <v>32</v>
      </c>
      <c r="B46" s="26">
        <v>6300879</v>
      </c>
      <c r="C46" s="449">
        <v>46183</v>
      </c>
      <c r="D46" s="330" t="s">
        <v>141</v>
      </c>
      <c r="E46" s="33">
        <v>3836524.45</v>
      </c>
      <c r="F46" s="30" t="s">
        <v>7946</v>
      </c>
      <c r="G46" s="449">
        <v>46189</v>
      </c>
      <c r="H46" s="330" t="s">
        <v>141</v>
      </c>
      <c r="I46" s="74">
        <v>3836524.45</v>
      </c>
      <c r="J46" s="34" t="s">
        <v>929</v>
      </c>
      <c r="K46" s="450" t="s">
        <v>107</v>
      </c>
      <c r="L46" s="640" t="s">
        <v>7947</v>
      </c>
      <c r="M46" t="s">
        <v>7948</v>
      </c>
      <c r="N46" s="43" t="s">
        <v>1458</v>
      </c>
      <c r="O46" t="s">
        <v>7949</v>
      </c>
      <c r="P46" s="41" t="s">
        <v>7950</v>
      </c>
      <c r="R46" s="449">
        <v>46186</v>
      </c>
      <c r="S46" s="449">
        <v>46550</v>
      </c>
      <c r="T46" s="38">
        <v>46186</v>
      </c>
      <c r="U46" s="39">
        <v>46550</v>
      </c>
      <c r="V46" s="40" t="s">
        <v>7951</v>
      </c>
      <c r="W46" s="41" t="s">
        <v>39</v>
      </c>
      <c r="X46" t="s">
        <v>7844</v>
      </c>
      <c r="Y46" t="s">
        <v>56</v>
      </c>
    </row>
    <row r="47" spans="1:33" ht="19.5" customHeight="1">
      <c r="A47">
        <f t="shared" si="0"/>
        <v>33</v>
      </c>
      <c r="B47" s="26">
        <v>6303268</v>
      </c>
      <c r="C47" s="449">
        <v>46190</v>
      </c>
      <c r="D47" s="330" t="s">
        <v>141</v>
      </c>
      <c r="E47" s="33">
        <v>1698.89</v>
      </c>
      <c r="F47" s="30" t="s">
        <v>7952</v>
      </c>
      <c r="G47" s="449">
        <v>46190</v>
      </c>
      <c r="H47" s="330" t="s">
        <v>141</v>
      </c>
      <c r="I47" s="74">
        <v>1698.89</v>
      </c>
      <c r="J47" s="34" t="s">
        <v>929</v>
      </c>
      <c r="K47" s="450" t="s">
        <v>107</v>
      </c>
      <c r="L47" s="640" t="s">
        <v>7953</v>
      </c>
      <c r="M47" t="s">
        <v>7954</v>
      </c>
      <c r="N47" s="43" t="s">
        <v>1458</v>
      </c>
      <c r="O47" t="s">
        <v>7955</v>
      </c>
      <c r="P47" s="41" t="s">
        <v>7956</v>
      </c>
      <c r="R47" s="449">
        <v>46213</v>
      </c>
      <c r="S47" s="449">
        <v>46577</v>
      </c>
      <c r="T47" s="38">
        <v>46213</v>
      </c>
      <c r="U47" s="39">
        <v>46577</v>
      </c>
      <c r="V47" s="40" t="s">
        <v>7787</v>
      </c>
      <c r="W47" s="41" t="s">
        <v>39</v>
      </c>
      <c r="X47" t="s">
        <v>7957</v>
      </c>
      <c r="Y47" t="s">
        <v>56</v>
      </c>
    </row>
    <row r="48" spans="1:33" ht="19.5" customHeight="1">
      <c r="A48">
        <f t="shared" si="0"/>
        <v>34</v>
      </c>
      <c r="B48" s="26">
        <v>6321076</v>
      </c>
      <c r="C48" s="449">
        <v>46245</v>
      </c>
      <c r="D48" s="398">
        <v>223700</v>
      </c>
      <c r="E48" s="33">
        <v>1754300.14</v>
      </c>
      <c r="F48" s="30" t="s">
        <v>7958</v>
      </c>
      <c r="G48" s="449">
        <v>46247</v>
      </c>
      <c r="H48" s="398">
        <v>223700</v>
      </c>
      <c r="I48" s="74">
        <v>1754300.14</v>
      </c>
      <c r="J48" s="34" t="s">
        <v>929</v>
      </c>
      <c r="K48" s="450" t="s">
        <v>1190</v>
      </c>
      <c r="L48" s="640" t="s">
        <v>7959</v>
      </c>
      <c r="M48" t="s">
        <v>7960</v>
      </c>
      <c r="N48" s="43" t="s">
        <v>2037</v>
      </c>
      <c r="O48" t="s">
        <v>7961</v>
      </c>
      <c r="P48" s="41" t="s">
        <v>7962</v>
      </c>
      <c r="R48" s="449">
        <v>46238</v>
      </c>
      <c r="S48" s="449">
        <v>46752</v>
      </c>
      <c r="T48" s="38">
        <v>46238</v>
      </c>
      <c r="U48" s="39">
        <v>46752</v>
      </c>
      <c r="V48" s="40" t="s">
        <v>7803</v>
      </c>
      <c r="W48" s="41" t="s">
        <v>39</v>
      </c>
      <c r="X48" t="s">
        <v>7963</v>
      </c>
      <c r="Y48" t="s">
        <v>56</v>
      </c>
    </row>
    <row r="49" spans="1:25" ht="19.5" customHeight="1">
      <c r="A49">
        <f t="shared" si="0"/>
        <v>35</v>
      </c>
      <c r="B49" s="26">
        <v>6321107</v>
      </c>
      <c r="C49" s="449">
        <v>46245</v>
      </c>
      <c r="D49" s="398">
        <v>353844</v>
      </c>
      <c r="E49" s="33">
        <v>2774915.42</v>
      </c>
      <c r="F49" s="401" t="s">
        <v>7964</v>
      </c>
      <c r="G49" s="449">
        <v>46252</v>
      </c>
      <c r="H49" s="398">
        <v>353844</v>
      </c>
      <c r="I49" s="74">
        <v>2774915.42</v>
      </c>
      <c r="J49" s="34" t="s">
        <v>7965</v>
      </c>
      <c r="K49" s="450" t="s">
        <v>176</v>
      </c>
      <c r="L49" s="640" t="s">
        <v>7966</v>
      </c>
      <c r="M49" t="s">
        <v>7960</v>
      </c>
      <c r="N49" s="43" t="s">
        <v>1409</v>
      </c>
      <c r="O49" t="s">
        <v>7961</v>
      </c>
      <c r="P49" s="41" t="s">
        <v>7962</v>
      </c>
      <c r="R49" s="449">
        <v>46238</v>
      </c>
      <c r="S49" s="449">
        <v>46752</v>
      </c>
      <c r="T49" s="38">
        <v>46238</v>
      </c>
      <c r="U49" s="39">
        <v>46752</v>
      </c>
      <c r="V49" s="40" t="s">
        <v>7803</v>
      </c>
      <c r="W49" s="41" t="s">
        <v>39</v>
      </c>
      <c r="X49" t="s">
        <v>7963</v>
      </c>
      <c r="Y49" t="s">
        <v>56</v>
      </c>
    </row>
    <row r="50" spans="1:25" ht="19.5" customHeight="1">
      <c r="A50">
        <f t="shared" si="0"/>
        <v>36</v>
      </c>
    </row>
    <row r="51" spans="1:25" ht="19.5" customHeight="1">
      <c r="A51">
        <f t="shared" si="0"/>
        <v>37</v>
      </c>
    </row>
    <row r="52" spans="1:25" ht="19.5" customHeight="1">
      <c r="A52">
        <f t="shared" si="0"/>
        <v>38</v>
      </c>
    </row>
    <row r="53" spans="1:25" ht="19.5" customHeight="1">
      <c r="A53">
        <f t="shared" si="0"/>
        <v>39</v>
      </c>
    </row>
    <row r="54" spans="1:25" ht="19.5" customHeight="1">
      <c r="A54">
        <f t="shared" si="0"/>
        <v>40</v>
      </c>
    </row>
    <row r="55" spans="1:25" ht="19.5" customHeight="1">
      <c r="A55">
        <f t="shared" si="0"/>
        <v>41</v>
      </c>
    </row>
    <row r="56" spans="1:25" ht="19.5" customHeight="1">
      <c r="A56">
        <f t="shared" si="0"/>
        <v>42</v>
      </c>
    </row>
    <row r="57" spans="1:25" ht="19.5" customHeight="1">
      <c r="A57">
        <f t="shared" si="0"/>
        <v>43</v>
      </c>
    </row>
    <row r="58" spans="1:25" ht="19.5" customHeight="1">
      <c r="A58">
        <f t="shared" si="0"/>
        <v>44</v>
      </c>
    </row>
    <row r="59" spans="1:25" ht="19.5" customHeight="1">
      <c r="A59">
        <f t="shared" si="0"/>
        <v>45</v>
      </c>
    </row>
    <row r="60" spans="1:25" ht="19.5" customHeight="1">
      <c r="A60">
        <f t="shared" si="0"/>
        <v>46</v>
      </c>
    </row>
    <row r="61" spans="1:25" ht="19.5" customHeight="1">
      <c r="A61">
        <f t="shared" si="0"/>
        <v>47</v>
      </c>
    </row>
    <row r="62" spans="1:25" ht="19.5" customHeight="1">
      <c r="A62">
        <f t="shared" si="0"/>
        <v>48</v>
      </c>
    </row>
    <row r="63" spans="1:25" ht="19.5" customHeight="1">
      <c r="A63">
        <f t="shared" si="0"/>
        <v>49</v>
      </c>
    </row>
    <row r="64" spans="1:25" ht="19.5" customHeight="1">
      <c r="A64">
        <f t="shared" si="0"/>
        <v>50</v>
      </c>
    </row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618" spans="2:6" ht="20.149999999999999" customHeight="1">
      <c r="B618" s="657"/>
      <c r="F618" s="658"/>
    </row>
    <row r="871" spans="2:6" ht="20.149999999999999" customHeight="1">
      <c r="B871" s="657"/>
      <c r="F871" s="658"/>
    </row>
    <row r="1459" spans="2:6" ht="20.149999999999999" customHeight="1">
      <c r="B1459" s="657"/>
      <c r="F1459" s="658"/>
    </row>
    <row r="2811" spans="2:6" ht="20.149999999999999" customHeight="1">
      <c r="B2811" s="657"/>
      <c r="F2811" s="658"/>
    </row>
    <row r="3035" spans="2:6" ht="20.149999999999999" customHeight="1">
      <c r="B3035" s="657"/>
      <c r="F3035" s="658"/>
    </row>
    <row r="3241" spans="2:6" ht="20.149999999999999" customHeight="1">
      <c r="B3241" s="657"/>
      <c r="F3241" s="658"/>
    </row>
    <row r="3708" spans="2:32" ht="20.149999999999999" customHeight="1">
      <c r="B3708" s="91"/>
      <c r="C3708" s="95"/>
      <c r="F3708" s="519"/>
      <c r="K3708" s="659"/>
      <c r="M3708" s="95"/>
      <c r="W3708" s="78"/>
      <c r="AF3708" s="193"/>
    </row>
    <row r="3709" spans="2:32" ht="20.149999999999999" customHeight="1">
      <c r="D3709" s="330"/>
      <c r="E3709" s="606"/>
      <c r="H3709" s="330"/>
      <c r="I3709" s="475"/>
      <c r="K3709" s="467"/>
      <c r="W3709" s="466"/>
    </row>
    <row r="3710" spans="2:32" ht="20.149999999999999" customHeight="1">
      <c r="D3710" s="330"/>
      <c r="E3710" s="471"/>
      <c r="H3710" s="330"/>
      <c r="I3710" s="466"/>
      <c r="K3710" s="467"/>
      <c r="W3710" s="466"/>
    </row>
    <row r="3711" spans="2:32" ht="20.149999999999999" customHeight="1">
      <c r="D3711" s="330"/>
      <c r="E3711" s="606"/>
      <c r="H3711" s="330"/>
      <c r="I3711" s="475"/>
      <c r="K3711" s="467"/>
      <c r="W3711" s="466"/>
    </row>
    <row r="3712" spans="2:32" ht="20.149999999999999" customHeight="1">
      <c r="B3712" s="657"/>
      <c r="D3712" s="330"/>
      <c r="E3712" s="606"/>
      <c r="F3712" s="658"/>
      <c r="H3712" s="330"/>
      <c r="I3712" s="475"/>
      <c r="K3712" s="467"/>
      <c r="W3712" s="466"/>
    </row>
    <row r="3759" spans="2:6" ht="20.149999999999999" customHeight="1">
      <c r="B3759" s="657"/>
      <c r="F3759" s="658"/>
    </row>
    <row r="3997" spans="2:6" ht="20.149999999999999" customHeight="1">
      <c r="B3997" s="657"/>
      <c r="F3997" s="658"/>
    </row>
    <row r="4017" spans="6:6" ht="13.5" thickBot="1"/>
    <row r="4018" spans="6:6" ht="20.149999999999999" customHeight="1">
      <c r="F4018" s="660"/>
    </row>
    <row r="4019" spans="6:6" ht="20.149999999999999" customHeight="1">
      <c r="F4019" s="661"/>
    </row>
  </sheetData>
  <autoFilter ref="A1:AJ64" xr:uid="{00000000-0001-0000-0500-000000000000}">
    <filterColumn colId="17" showButton="0"/>
    <filterColumn colId="19" showButton="0"/>
  </autoFilter>
  <mergeCells count="2">
    <mergeCell ref="R1:S1"/>
    <mergeCell ref="T1:U1"/>
  </mergeCells>
  <phoneticPr fontId="3" type="noConversion"/>
  <pageMargins left="0.31496062992125984" right="0" top="1.0236220472440944" bottom="0.51181102362204722" header="0.98425196850393704" footer="0.5118110236220472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C556 2025-2026</vt:lpstr>
      <vt:lpstr>C665 2019-2026</vt:lpstr>
      <vt:lpstr>EMPFA</vt:lpstr>
      <vt:lpstr>'C556 2025-2026'!_Hlk190794762</vt:lpstr>
      <vt:lpstr>'C556 2025-2026'!Print_Area</vt:lpstr>
      <vt:lpstr>'C665 2019-2026'!Print_Area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Chow, Alice SW</dc:creator>
  <cp:lastModifiedBy>Chow, Alice SW</cp:lastModifiedBy>
  <dcterms:created xsi:type="dcterms:W3CDTF">2026-09-14T11:25:10Z</dcterms:created>
  <dcterms:modified xsi:type="dcterms:W3CDTF">2026-09-14T11:27:26Z</dcterms:modified>
</cp:coreProperties>
</file>