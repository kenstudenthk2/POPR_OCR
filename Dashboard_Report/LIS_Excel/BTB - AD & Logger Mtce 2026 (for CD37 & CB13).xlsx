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105" windowWidth="28755" windowHeight="12555"/>
  </bookViews>
  <sheets>
    <sheet name="2026" sheetId="1" r:id="rId1"/>
  </sheets>
  <calcPr calcId="125725"/>
</workbook>
</file>

<file path=xl/calcChain.xml><?xml version="1.0" encoding="utf-8"?>
<calcChain xmlns="http://schemas.openxmlformats.org/spreadsheetml/2006/main">
  <c r="W1" i="1"/>
  <c r="N1"/>
</calcChain>
</file>

<file path=xl/sharedStrings.xml><?xml version="1.0" encoding="utf-8"?>
<sst xmlns="http://schemas.openxmlformats.org/spreadsheetml/2006/main" count="792" uniqueCount="398">
  <si>
    <t>No.</t>
  </si>
  <si>
    <t xml:space="preserve">Rec'd Date </t>
  </si>
  <si>
    <t>Issue By</t>
  </si>
  <si>
    <t>PR Reference</t>
  </si>
  <si>
    <t>Charge CCC</t>
  </si>
  <si>
    <t>Works Order Code</t>
  </si>
  <si>
    <t>Account Code</t>
  </si>
  <si>
    <t>PR Issued On</t>
  </si>
  <si>
    <t>PR No.</t>
  </si>
  <si>
    <t>Customer Name</t>
  </si>
  <si>
    <t xml:space="preserve">Customer Signed Contract </t>
  </si>
  <si>
    <t>PR Amount</t>
  </si>
  <si>
    <t>BTB Contract Purchase</t>
  </si>
  <si>
    <t>Vendor</t>
  </si>
  <si>
    <t>B2B Product</t>
  </si>
  <si>
    <t>PO Date</t>
  </si>
  <si>
    <t>PO No.</t>
  </si>
  <si>
    <t>Receipt Date</t>
  </si>
  <si>
    <t>PO Amount HK$</t>
  </si>
  <si>
    <t xml:space="preserve">Case Handled By </t>
  </si>
  <si>
    <t>IPT Unit Mgr</t>
  </si>
  <si>
    <t>Start Date</t>
  </si>
  <si>
    <t xml:space="preserve"> End Date</t>
  </si>
  <si>
    <t>Contract No.</t>
  </si>
  <si>
    <t>HKD</t>
  </si>
  <si>
    <t>USD / Others</t>
  </si>
  <si>
    <t>type (e.g. Winsuite……)</t>
  </si>
  <si>
    <t>Date to UM/Mgr</t>
  </si>
  <si>
    <t>PR Issued Month</t>
  </si>
  <si>
    <t>UID#</t>
  </si>
  <si>
    <t>Candy Chan</t>
  </si>
  <si>
    <t>BTB/001/2026</t>
  </si>
  <si>
    <t>CB13</t>
  </si>
  <si>
    <t>00246457</t>
  </si>
  <si>
    <t>Shenwan Hongyuan Securities (HK) Limited (Shenyin Wanguo Enterprise (HK) Ltd)</t>
  </si>
  <si>
    <t>H260200786KW</t>
  </si>
  <si>
    <t>Nice Systems (Singapore) Pte. Ltd</t>
  </si>
  <si>
    <t>SERVICE CHARGE FOR DETAILS REFER TO NICE QUOTE: 79091; SYSTEM NO. MASS12515, DT1640, DT1642</t>
  </si>
  <si>
    <t>ZM1574749</t>
  </si>
  <si>
    <t>Wong, Kiwi LF</t>
  </si>
  <si>
    <t>Chu, Patrick WK</t>
  </si>
  <si>
    <t>UID-26-01-0096</t>
  </si>
  <si>
    <t>BTB/002/2026</t>
  </si>
  <si>
    <t>CD37</t>
  </si>
  <si>
    <t>AIA International Limited</t>
  </si>
  <si>
    <t>U GE/7653/MA/JI25 (AIA PO#1020153455)</t>
  </si>
  <si>
    <t>Genesys Cloud Services B.V.</t>
  </si>
  <si>
    <t>Details refer Genesys Quote # 2025-61338163 (Prime No.AGRVG008)
(Product: PEP-D-BASEPACKAGE-NR) Genesys Engage On Premise Base Package NR (Qty:1); (Business Optimization - Integration: 3GP20442ACAA-SUB) v8.5 - IVR Connector (universal) - SUB (Qty:341); (Business Optimization - Platform: 3GP94841ACAA-SUB) v9.0 - Genesys CIM Platform - SUB (Qty:294)</t>
  </si>
  <si>
    <t>ZM1575303</t>
  </si>
  <si>
    <t>Hsui, Janet WJ</t>
  </si>
  <si>
    <t>Chui, Kenneth TK2</t>
  </si>
  <si>
    <t>UID-25-10-0266</t>
  </si>
  <si>
    <t>BTB/003/2026</t>
  </si>
  <si>
    <t>CLP Power HK Ltd</t>
  </si>
  <si>
    <t>D/7831/MAMA/ND25</t>
  </si>
  <si>
    <t>SERVICE CHARGE FOR NICE QUOTE NO.: 79083 ; SYSTEM NO.: DT1547</t>
  </si>
  <si>
    <t>ZM1575725</t>
  </si>
  <si>
    <t>Lam, Jessica WS</t>
  </si>
  <si>
    <t>UID-26-01-0142</t>
  </si>
  <si>
    <t>BTB/004/2026</t>
  </si>
  <si>
    <t>Man Fung Technology Ltd</t>
  </si>
  <si>
    <t>1 Year Onsite Hardware Maintenance Service, including parts and labour, excluding software update, subscription and configuration; Period: From 9-Jan-2026 To 8-Jan-2027; SLA: 7x24x4 - Equipment: HP ML30 Gen9 Server, S/N: SGH746TX5X, quote no.: 80005306 (DT1547)</t>
  </si>
  <si>
    <t>ZM1576157</t>
  </si>
  <si>
    <t>BTB/005/2026</t>
  </si>
  <si>
    <t>Hong Kong Monetary Authority</t>
  </si>
  <si>
    <t>P/7753/MAMA/MZ25</t>
  </si>
  <si>
    <t>Verint Systems (Asia Pacific) Ltd</t>
  </si>
  <si>
    <r>
      <t xml:space="preserve">Maintenance Renewal Quote - I360 V15.2 pricing proposal; Period: 11-Jul-2026 to 10-Jul-2029 </t>
    </r>
    <r>
      <rPr>
        <sz val="10"/>
        <color rgb="FFFF0000"/>
        <rFont val="Tahoma"/>
        <family val="2"/>
      </rPr>
      <t>** Yearly Payment</t>
    </r>
    <r>
      <rPr>
        <sz val="10"/>
        <rFont val="Tahoma"/>
        <family val="2"/>
      </rPr>
      <t xml:space="preserve"> (DT1596)
(93-530-7242) Verint Interaction Data Platform - Term (Qty:250)
(93-530-7243) Verint Voice Interaction Recording - Term (Qty:250)
(93-530-7243) Verint Voice Interaction Recording - Term (Qty:250)
(93-531-1361) Verint Encryption Key Management Server (CT) - Term (Qty:1)
(93-530-7359) Verint Encryption Management - Term (Qty:250)</t>
    </r>
  </si>
  <si>
    <t>ZM1576410</t>
  </si>
  <si>
    <t>Cheung, Marcus TH</t>
  </si>
  <si>
    <t>UID-26-01-0166</t>
  </si>
  <si>
    <t>BTB/006/2026</t>
  </si>
  <si>
    <t>HKT Teleservices International Limited</t>
  </si>
  <si>
    <t>D/7992/WAWA/YR25</t>
  </si>
  <si>
    <t>Chinacomm International Ltd</t>
  </si>
  <si>
    <r>
      <rPr>
        <sz val="10"/>
        <color rgb="FFFF0000"/>
        <rFont val="Tahoma"/>
        <family val="2"/>
      </rPr>
      <t>Avaya</t>
    </r>
    <r>
      <rPr>
        <sz val="10"/>
        <rFont val="Tahoma"/>
        <family val="2"/>
      </rPr>
      <t xml:space="preserve"> SA Renewal, refer to the Quotation # CIL25/Q/0240 (DT1693 &amp; DT1694 add-on) </t>
    </r>
    <r>
      <rPr>
        <sz val="10"/>
        <color rgb="FFFF0000"/>
        <rFont val="Tahoma"/>
        <family val="2"/>
      </rPr>
      <t>** Yearly Payment</t>
    </r>
    <r>
      <rPr>
        <sz val="10"/>
        <rFont val="Tahoma"/>
        <family val="2"/>
      </rPr>
      <t xml:space="preserve"> </t>
    </r>
    <r>
      <rPr>
        <b/>
        <sz val="10"/>
        <rFont val="Tahoma"/>
        <family val="2"/>
      </rPr>
      <t>(Vendor quotation involves both the logger and the PABX)</t>
    </r>
    <r>
      <rPr>
        <sz val="10"/>
        <rFont val="Tahoma"/>
        <family val="2"/>
      </rPr>
      <t xml:space="preserve">
Contract# 41338664 (Logger)
295994 UPG ADV AWE R15/20 CR QM ENCRYPTN 3YAN (Qty:5)
345040 UPG ADV AWE R15/20 ACRA PKG 3YAN (Qty:5)
295988 SA PREF AWE R15/20 CR QM ENCRYPTN 3YAN (Qty:5)
345034 SA PREF AWE R15/20 ACRA PKG 3YAN (Qty:5)
Contract# 41338665 (PABX)
238125 UPG ADV ONE-X AGT R2 AGENT 3YAN (Qty:5)
351990 SA PREF CC R10 ELITE AGENT 3YAN (Qty:5)
352284 SA PREF AURA R10 CORE 3YAN (Qty:5)
352050 SA PREF AES R10 DMCC FULL 3YAN (Qty:10)
238124 SA PREF ONE-X AGT R2 AGENT 3YAN (Qty:5)
351996 SA PREF AES R10 BSC TSAPI 3YAN (Qty:10)
348097 SA PREF CMS R19 1-250 3YAN (Qty:5)</t>
    </r>
  </si>
  <si>
    <t>ZM1577004</t>
  </si>
  <si>
    <t>Yau, Ricky CH</t>
  </si>
  <si>
    <t>UID-26-01-0209</t>
  </si>
  <si>
    <t>BTB/007/2026</t>
  </si>
  <si>
    <t>HKT Teleservices International Ltd</t>
  </si>
  <si>
    <t>D/7839/MAMA/YR25</t>
  </si>
  <si>
    <t>Avaya Hong Kong Compnay Limited</t>
  </si>
  <si>
    <t>Avaya Service Charge for Avaya Quotation # SHK704G2LP (DT1661, DT1656 &amp; DT1651)
S_WORKFORCE OPTIMIZATION SWR15 Preferred Support 
SA PREF AWE R15/20 CR QM ENCRYPTN 1YPP (Qty:130) AWE R15.2 20.1 CR QM (Qty:130)
SA PREF AWE R15/20 ACRA PKG 1YPP (Qty:150) AWE R15.2 20.1 ACRA PKG (Qty:150) 
SA PREF AIXWE15 CR QM ENCRPN SRV 1YPP (Qty:3) AWE R15.2 20.1 CR QM ENCRPN SRVR (Qty:3)
S_WORKFORCE OPTIMIZATION SWR15 Upgrade Advantage
UPG ADV AWE R15/20 CR QM ENCRYPTN 1YPP (Qty:130) AWE R15.2 20.1 CR QM ENCRPN (Qty:130) 
UPG ADV AWE R15/20 ACRA PKG 1YPP (Qty:150) AWE R15.2 20.1 ACRA PKG (Qty:150)
UPG ADV AIXWE15 CR QM ENCRPN SRV 1YPP (Qty:3) AWE R15.2 20.1 CR QM ENCRPN SRVR (Qty:3)</t>
  </si>
  <si>
    <t>ZM1577713</t>
  </si>
  <si>
    <t>UID-26-01-0333</t>
  </si>
  <si>
    <t>BTB/008/2026</t>
  </si>
  <si>
    <t>Hong Kong Police Force</t>
  </si>
  <si>
    <t>P/7849/WAWA/CO25 (Tender ref.: QR 006/2020/TED, QL3015329)</t>
  </si>
  <si>
    <r>
      <t xml:space="preserve">SERVICE CHARGE FOR DETAILS REFER TO NICE QUOTE: 80135; SYSTEM NO. DT1619 (Prime No.28602000) </t>
    </r>
    <r>
      <rPr>
        <sz val="10"/>
        <color rgb="FFFF0000"/>
        <rFont val="Tahoma"/>
        <family val="2"/>
      </rPr>
      <t>** Yearly Payment</t>
    </r>
  </si>
  <si>
    <t>ZM1579827</t>
  </si>
  <si>
    <t>Chan, Connie WC</t>
  </si>
  <si>
    <t>UID-26-01-0207</t>
  </si>
  <si>
    <t>BTB/009/2026</t>
  </si>
  <si>
    <t>The Hong Kong Jockey Club</t>
  </si>
  <si>
    <t>D/8068/WAWA/LS26 (PO.41435278)</t>
  </si>
  <si>
    <t>Details refer to Verint Quote no. HKT20260206 (MASSP0025, refer to I41707 - Under PABX DT1451)
Extend Re-state for 5 months services 01/01 to 31/05 2027
(89-555-0201) Re-instate Services Fee
System: Verint Call Recording (Channel-based) (Qty:320); Verint N+N / N+1 Voice Recording Redundancy (Channel-based) (Qty:295); Verint Quality Management (Channel Based) (Qty:7)</t>
  </si>
  <si>
    <t>ZM1581464</t>
  </si>
  <si>
    <t>Leung, Sammi SM</t>
  </si>
  <si>
    <t>UID-26-02-0201</t>
  </si>
  <si>
    <t>BTB/010/2026</t>
  </si>
  <si>
    <t>D/7842/MAMA/LS26 (PO.41430306, ref to PO.41435316 &amp; 41385350)</t>
  </si>
  <si>
    <t>Details refer Verint Quote # V662947-11 - DT1451 (J56938 &amp; J56955) (Under PABX 26955111)
(93-530-6752) Verint Quality Management (Qty: 583)
(93-530-6743) Verint N+N Voice Recording Redundancy (Qty: 1303)
(93-530-6714) Verint Voice Interaction Recording (Qty: 1278)
(93-530-6771) Verint Screen Capture (Qty: 583)
(93-530-6804) Verint SDK (Qty:2)</t>
  </si>
  <si>
    <t>ZM1581463</t>
  </si>
  <si>
    <t>UID-26-02-0204</t>
  </si>
  <si>
    <t>BTB/011/2026</t>
  </si>
  <si>
    <t>P/7876/MAMA/LS26 (PO 41435316)</t>
  </si>
  <si>
    <t>Details refer Genesys Quote Number: 2025-61338179 (26955111)</t>
  </si>
  <si>
    <t>ZM1581406</t>
  </si>
  <si>
    <t>BTB/012/2026</t>
  </si>
  <si>
    <t>Details refer Genesys Quote Number: 2025-61338181 (26955111)</t>
  </si>
  <si>
    <t>ZM1581418</t>
  </si>
  <si>
    <t>BTB/013/2026</t>
  </si>
  <si>
    <t>P/7849/WAWA/CO25 (Tender ref.: QR 006/2020/TED, QL3015329) - 1st yr (Annual purchase)</t>
  </si>
  <si>
    <t>Fano Labs Limited</t>
  </si>
  <si>
    <t>Details refer quotation # 20260114-1 - WO. I12543 (prime no.28602000)
Maintenance for HK Police Force PHQ Voice Recording and Playback Sub-System (WO#I12543)
Feature Telephone Sub-system - FANO Labs STT 
Scope: As per deliverables in “Fano Offline ASR Features - HKPF QR0062020TED - FANO Response v1.2” 
Coverage Period: 1 January 2026 - 31 December 2026 
(1st year of total 9-year billable Maintenance Services)</t>
  </si>
  <si>
    <t>ZM1582395</t>
  </si>
  <si>
    <t>BTB/014/2026</t>
  </si>
  <si>
    <t>09-Feb-26
12-Apr-26</t>
  </si>
  <si>
    <t>08-Feb-27
11-Apr-27</t>
  </si>
  <si>
    <t xml:space="preserve">Tech Data Distribution (Hong Kong) Limited </t>
  </si>
  <si>
    <r>
      <t xml:space="preserve">Details refer quotation # TD-HKT-LV150126B1 - WO. I04249 &amp; I51806 (prime no.28602000)
</t>
    </r>
    <r>
      <rPr>
        <sz val="10"/>
        <color rgb="FF0070C0"/>
        <rFont val="Tahoma"/>
        <family val="2"/>
      </rPr>
      <t>** PO is handled by Hyuga (Lai, Siu-Chun)</t>
    </r>
    <r>
      <rPr>
        <sz val="10"/>
        <rFont val="Tahoma"/>
        <family val="2"/>
      </rPr>
      <t xml:space="preserve">
(5PS7A17852) 7X06CTO1WWAnnual 7x24x4 MA (Qty: 6)
(5WS7A17819) 7X06CTO1WWAnnual 7x24x4 MA (Qty: 2)
(5PS7A01563) 7X06CTO1WWAnnual 7x24x4 MA (Qty: 9)
SN#J304C4BW, J304C4BY, J304C4BZ, J304C4C3, J304C4C4, J304C4BV, J304C4BX, J304C4C0, J304C4C1, J304C4C2, J304C64T, J304C64V, J304C64W, J304C64X, J304C64F, J304C64G, J304C64Y; New SLA : 09-02-26 to 08-02-27
(5PS7A01563) 7Y77CTO1WW Annual 7x24x4 MA; SN#J304CKWC; New SLA : 12-04-26 to 11-04-27 </t>
    </r>
  </si>
  <si>
    <t>ZM1582287</t>
  </si>
  <si>
    <t>BTB/015/2026</t>
  </si>
  <si>
    <t>Metalor Precious Metals (HK) Ltd</t>
  </si>
  <si>
    <t>D/7869/MAMA/CF25</t>
  </si>
  <si>
    <t>Hewlett-Packard (HPE)</t>
  </si>
  <si>
    <r>
      <t xml:space="preserve">Tech care Essential; S/N: SGH302FX84; Period: 25-Feb-2026 to 24-Dec-2026 (DT1658)
</t>
    </r>
    <r>
      <rPr>
        <sz val="10"/>
        <color rgb="FF0070C0"/>
        <rFont val="Tahoma"/>
        <family val="2"/>
      </rPr>
      <t>** PO is handled by Hyuga (Lai, Siu-Chun)</t>
    </r>
  </si>
  <si>
    <t>ZM1582286</t>
  </si>
  <si>
    <t>Mak, Connie OM</t>
  </si>
  <si>
    <t>UID-26-02-0226</t>
  </si>
  <si>
    <t>BTB/016/2026</t>
  </si>
  <si>
    <t>Fubon Bank (HK) Limited</t>
  </si>
  <si>
    <t>P/7904/MAMA/LS26</t>
  </si>
  <si>
    <t>VeServe Company Limited</t>
  </si>
  <si>
    <t xml:space="preserve">Chatbot Maintenance Service, details refer to Quotation ID: QO#2026022701 (D92185)
Chatbot Annual Maintenance: License to use  - From 16 March, 2026 to 15 March, 2027 
Maintenance Service: Apache and Redis - From 16 March, 2026 to 15 March, 2027 </t>
  </si>
  <si>
    <t>ZM1583379</t>
  </si>
  <si>
    <t>UID-26-03-0001</t>
  </si>
  <si>
    <t>BTB/017/2026</t>
  </si>
  <si>
    <t>Hong Kong Baptist Hospital</t>
  </si>
  <si>
    <t>P/8032/WAWA/YT25</t>
  </si>
  <si>
    <t xml:space="preserve">Alcatel-Lucent Enterprise </t>
  </si>
  <si>
    <t>Professional Services Offer, details reference: 1-260111094097 (Option 4); Period untill to 23/02/2028 (WO:23398888 &amp; 23385791) **Previous PO# ZM1524763 &amp; 1521746</t>
  </si>
  <si>
    <t>ZM1584171</t>
  </si>
  <si>
    <t>Yim, Theo TP</t>
  </si>
  <si>
    <t>UID-26-02-0267</t>
  </si>
  <si>
    <t>BTB/018/2026</t>
  </si>
  <si>
    <t>Alcatel-Lucent Enterprise</t>
  </si>
  <si>
    <t>Professional Services Offer, details reference: 1-260111094819 (Option 4); Period untill to 23/02/2028 (WO:23398888 &amp; 23385791) **Previous PO# ZM1524763 &amp; 1521746</t>
  </si>
  <si>
    <t>ZM1584173</t>
  </si>
  <si>
    <t>BTB/019/2026</t>
  </si>
  <si>
    <t>CEB International Investment Corp Ltd</t>
  </si>
  <si>
    <t>D/7871A/MAMA/JI25</t>
  </si>
  <si>
    <t>Transcom Solution Ltd</t>
  </si>
  <si>
    <t>Redbox system#5801 1-year warranty 24x7x4 on-site maintenance service including hardware warranty 3 Feb-2026 to 2-Feb-2027 (RBRMAINT-02), details refer to Quotation: TSL20250115CEBI5801 (DT1474)</t>
  </si>
  <si>
    <t>ZM1583650</t>
  </si>
  <si>
    <t>UID-26-03-0064</t>
  </si>
  <si>
    <t>BTB/020/2026</t>
  </si>
  <si>
    <t>D/7871B/MA/JI25</t>
  </si>
  <si>
    <t>CEBI Redbox system#6866 24x7x2 on-site maintenance service including hardware warranty (3 Feb 2026- 2 Feb 2027) (RBRMAINT-02), refer Quotation: TSL20250115CEBI6866 (DT1548)</t>
  </si>
  <si>
    <t>ZM1584873</t>
  </si>
  <si>
    <t>UID-26-03-0110</t>
  </si>
  <si>
    <t>BTB/021/2026</t>
  </si>
  <si>
    <t>The HK &amp; China Gas Co  Ltd</t>
  </si>
  <si>
    <t>P AV/7905/MA/KW25</t>
  </si>
  <si>
    <r>
      <t xml:space="preserve">SERVICE CHARGE FOR DETAILS REFER TO NICE QUOTE: 80331; SYSTEM NO.: DT1285 &amp; DT1286 </t>
    </r>
    <r>
      <rPr>
        <sz val="10"/>
        <color rgb="FFFF0000"/>
        <rFont val="Tahoma"/>
        <family val="2"/>
      </rPr>
      <t>(Annual Payment)</t>
    </r>
  </si>
  <si>
    <t>ZM1585972</t>
  </si>
  <si>
    <t>UID-26-03-0188</t>
  </si>
  <si>
    <t>BTB/022/2026</t>
  </si>
  <si>
    <r>
      <t xml:space="preserve">Details refer Genesys Quote # 2026-61341617 (28806988, 39286588)
</t>
    </r>
    <r>
      <rPr>
        <sz val="10"/>
        <color rgb="FFFF0000"/>
        <rFont val="Tahoma"/>
        <family val="2"/>
      </rPr>
      <t>(Annual purchase -  Buy the 1st year first)</t>
    </r>
  </si>
  <si>
    <t>ZM1586122</t>
  </si>
  <si>
    <t>BTB/023/2026</t>
  </si>
  <si>
    <r>
      <t xml:space="preserve">Details refer Genesys Quote # 2025-61338173 (28806988, 39286588)
</t>
    </r>
    <r>
      <rPr>
        <sz val="10"/>
        <color rgb="FFFF0000"/>
        <rFont val="Tahoma"/>
        <family val="2"/>
      </rPr>
      <t>(Annual purchase -  Buy the 1st year first)</t>
    </r>
  </si>
  <si>
    <t>ZM1586017</t>
  </si>
  <si>
    <t>BTB/024/2026</t>
  </si>
  <si>
    <t>DBS Bank (HK) Ltd</t>
  </si>
  <si>
    <t>D/7908/MAMA/J325 &amp; D/7911/MAMA/J325 (Multi)</t>
  </si>
  <si>
    <t>Maintenance Service for Verint Recording System, refer to Quotation V650300-11 (DT1532, DT1533 &amp; DT1709)</t>
  </si>
  <si>
    <t>ZM1586784</t>
  </si>
  <si>
    <t>UID-26-03-0350</t>
  </si>
  <si>
    <t>BTB/025/2026</t>
  </si>
  <si>
    <t>H260390198YR (2026WB151YR)</t>
  </si>
  <si>
    <t>PCCW Digital Solutions Limited</t>
  </si>
  <si>
    <t>Details refer Quotation No. SOWC260039 (MASS14295)
(Qty: 7) Digital Policy Office - DPO 1823 Contact Center integrated Windows servers security patching and system health check with following highly integrated servers: 1. IVR Servers 2. ASR InfoTalk Servers 3. Siebel CRM Servers (7 environments) 4. Ocean FAX Server 5. WCIS Servers 6. PMS Web Services 7. Wallboard Server 8. TTS Server 9. WFM WorkForce Management Servers 10. Deep Security Servers 11. NICE Voice Recording Systems 12. CTI Servers 13. QMM Multimedia non-voice dialer servers
Scope of services 1. Prepare the patches to DPO 2. Apply the patches in UAT environment 3. Reboot the UAT servers 4. Apply the patches in PRD environment 5. Reboot the PRD servers</t>
  </si>
  <si>
    <t>ZM1587299</t>
  </si>
  <si>
    <t>UID-26-03-0200</t>
  </si>
  <si>
    <t>BTB/026/2026</t>
  </si>
  <si>
    <t>CEL Management Services Ltd (EU: China Everbright International Limited)</t>
  </si>
  <si>
    <t>D/7981/MAMA/TH26</t>
  </si>
  <si>
    <t>SERVICE CHARGE FOR DETAILS REFER TO NICE QUOTE: 79478 ; SYSTEM NO: DT1448</t>
  </si>
  <si>
    <t>ZM1587713</t>
  </si>
  <si>
    <t>Tsui, Ivan PH</t>
  </si>
  <si>
    <t>UID-26-04-0033</t>
  </si>
  <si>
    <t>BTB/027/2026</t>
  </si>
  <si>
    <t>Motorola Solutions Asia Pac Ltd C/O HKPF</t>
  </si>
  <si>
    <t>P/7588/MAMA/CO25 (P AV/1530/MA/CO25) PO: NP29005348</t>
  </si>
  <si>
    <r>
      <t xml:space="preserve">RBR </t>
    </r>
    <r>
      <rPr>
        <sz val="10"/>
        <color rgb="FFFF0000"/>
        <rFont val="Tahoma"/>
        <family val="2"/>
      </rPr>
      <t>Avaya</t>
    </r>
    <r>
      <rPr>
        <sz val="10"/>
        <rFont val="Tahoma"/>
        <family val="2"/>
      </rPr>
      <t xml:space="preserve"> active reording of HK Police 999 Call Center, HKPF NT Site 1-year 3 rd line support , 9am-6pm Mon-Fri (excluding Public Holiday) on site, (24-hour helpdesk, software maintenance with HW repair); Period: 21 Nov 2025 to 20 May 2026; details refer quote# TSHKPFS20260326NT (DT1442 NT)</t>
    </r>
  </si>
  <si>
    <t>ZM1588551</t>
  </si>
  <si>
    <t>UID-25-12-0083</t>
  </si>
  <si>
    <t>BTB/028/2026</t>
  </si>
  <si>
    <r>
      <t xml:space="preserve">RBR </t>
    </r>
    <r>
      <rPr>
        <sz val="10"/>
        <color rgb="FFFF0000"/>
        <rFont val="Tahoma"/>
        <family val="2"/>
      </rPr>
      <t>Avaya</t>
    </r>
    <r>
      <rPr>
        <sz val="10"/>
        <rFont val="Tahoma"/>
        <family val="2"/>
      </rPr>
      <t xml:space="preserve"> active reording of HK Police 999 Call Center, HKPF HKI site 1-year 3 rd line support , 9am-6pm Mon-Fri (excluding Public Holiday) on site, (24-hour helpdesk, software maintenance with HW repair); Period: 21 Nov 2025 to 20 May 2026; details refer quote# TSHKPFS20260326HKI (DT1443 HKI)</t>
    </r>
  </si>
  <si>
    <t>ZM1588550</t>
  </si>
  <si>
    <t>BTB/029/2026</t>
  </si>
  <si>
    <r>
      <t xml:space="preserve">RBR </t>
    </r>
    <r>
      <rPr>
        <sz val="10"/>
        <color rgb="FFFF0000"/>
        <rFont val="Tahoma"/>
        <family val="2"/>
      </rPr>
      <t>Avaya</t>
    </r>
    <r>
      <rPr>
        <sz val="10"/>
        <rFont val="Tahoma"/>
        <family val="2"/>
      </rPr>
      <t xml:space="preserve"> active reording of HK Police 999 Call Center, HKPF KLN site1-year 3 rd line support , 9am-6pm Mon-Fri (excluding Public Holiday) on site, (24-hour helpdesk, software maintenance with HW repair); Period: 21 Nov 2025 to 20 May 2026; details refer quote# TSHKPFS20260326KLN (DT1444 KLN)</t>
    </r>
  </si>
  <si>
    <t>ZM1588549</t>
  </si>
  <si>
    <t>BTB/030/2026</t>
  </si>
  <si>
    <t>GH Hotel Company Ltd</t>
  </si>
  <si>
    <t>P/7899/MAMA/MZ25</t>
  </si>
  <si>
    <r>
      <t xml:space="preserve">SERVICE CHARGE FOR DETAILS REFER TO NICE QUOTE: 80510; SYSTEM NO. 25881234 </t>
    </r>
    <r>
      <rPr>
        <sz val="10"/>
        <color rgb="FFFF0000"/>
        <rFont val="Tahoma"/>
        <family val="2"/>
      </rPr>
      <t>(Annual Payment)</t>
    </r>
  </si>
  <si>
    <t>ZM1590414</t>
  </si>
  <si>
    <t>UID-26-04-0050</t>
  </si>
  <si>
    <t>BTB/031/2026</t>
  </si>
  <si>
    <t>HKT Teleservices International Lmited - Octopus</t>
  </si>
  <si>
    <t>D/7976/MAMA/YR25</t>
  </si>
  <si>
    <t>Avaya ACRA Service Charge refer Quote: SHK704Q808 (DT1665)
1) CC WE ACRA REC PKG LIC FIXED SUBS 1YRAN (Qty:1)
2) SUB SA SUPT CC WE ACRA REC PKG TRK (Qty:2)
3) SA PREF AIXWE R15 LIC MOVE TRKG (Qty:1)</t>
  </si>
  <si>
    <t>ZM1590411</t>
  </si>
  <si>
    <t>UID-26-04-0147</t>
  </si>
  <si>
    <t>NONBTB/032/2026</t>
  </si>
  <si>
    <t>MTR Corporation Limited</t>
  </si>
  <si>
    <t>P/7943/MAMA/WW26 &amp; D/7943/MAMA/WW26 (PO.1192579-1)</t>
  </si>
  <si>
    <t>1-Apr-26
1-May-26</t>
  </si>
  <si>
    <t>Avaya Service Charge for Avaya Quotation # SHK704LC81 (DT1645 &amp; DT1646)</t>
  </si>
  <si>
    <t>ZM1590682</t>
  </si>
  <si>
    <t>Chow, Winnie WY</t>
  </si>
  <si>
    <t>UID-26-04-0132</t>
  </si>
  <si>
    <t>NONBTB/033/2026</t>
  </si>
  <si>
    <t>New Charm Management Ltd (c/o Rich Union Development Limited)</t>
  </si>
  <si>
    <t>P/7948/MAMA/CB26 (Ref.AIR/L0495/2026)</t>
  </si>
  <si>
    <t>SERVICE CHARGE FOR DETAILS REFER TO NICE QUOTE: 80205; SYSTEM NO.: DT1643</t>
  </si>
  <si>
    <t>ZM1590413</t>
  </si>
  <si>
    <t>Chan, Ina YK</t>
  </si>
  <si>
    <t>UID-26-04-0143</t>
  </si>
  <si>
    <t>BTB/034/2026</t>
  </si>
  <si>
    <t>Active E-Solution Limited</t>
  </si>
  <si>
    <r>
      <rPr>
        <strike/>
        <sz val="10"/>
        <color rgb="FF0070C0"/>
        <rFont val="Tahoma"/>
        <family val="2"/>
      </rPr>
      <t>** PO issued by Wu, Natalie CY</t>
    </r>
    <r>
      <rPr>
        <strike/>
        <sz val="10"/>
        <rFont val="Tahoma"/>
        <family val="2"/>
      </rPr>
      <t xml:space="preserve">
Active Local Annual Support Maintenance And OceanX Annual Software Maintenance; Maintenance Period: 01-May-2026 to 30-Apr-2027, details refer to quote # H018-260501-Z1S08M1W-NF (D75448)
1 OCEANFAX ENTERPRISE FAX SERVER (OFID: F10282800580)
3 OCEANFAX CHANNEL LICENSE
1 OCEANFAX FAX SERVER EMAIL CONNECTOR
4 OCEANFAX FOIP BOARDLESS LICENSE
4 OCEANFAX FOIP TLS 1.2 MODULE
1 OCEANX ANNUAL SOFTWARE MAINTENANCE PLAN FOR OCEANFAX</t>
    </r>
  </si>
  <si>
    <t>ZM1590751</t>
  </si>
  <si>
    <t>4-May-26 
SB Ina cancelled this PO (SLA 8x5)
She will re-submit the revised vendor quote for SLA 7x24</t>
  </si>
  <si>
    <t>BTB/035/2026</t>
  </si>
  <si>
    <t>Ocean Park Corporation</t>
  </si>
  <si>
    <t>P/7922/MAMA/TH25 (PO.3010068685)</t>
  </si>
  <si>
    <t>Ocean Park Corporation Annual Subscription Renewal; Period: 1 Apr 2026 to 31 Mar 2027; One Year On Premise Centre Solution (Web Chat, WhatsApp, WeChat, Voice Call and Live Agent); details refer to Quotation ID: QOP2026010201 (I51420)</t>
  </si>
  <si>
    <t>ZM1592042</t>
  </si>
  <si>
    <t>Ng, Stephen CW</t>
  </si>
  <si>
    <t>UID-26-04-0210</t>
  </si>
  <si>
    <t>BTB/036/2026</t>
  </si>
  <si>
    <t>New Charm Management Ltd</t>
  </si>
  <si>
    <r>
      <rPr>
        <b/>
        <sz val="10"/>
        <color rgb="FF0070C0"/>
        <rFont val="Tahoma"/>
        <family val="2"/>
      </rPr>
      <t>** PO issued by Wu, Natalie CY</t>
    </r>
    <r>
      <rPr>
        <sz val="10"/>
        <rFont val="Tahoma"/>
        <family val="2"/>
      </rPr>
      <t xml:space="preserve">
Active Local Annual Support Maintenance And OceanX Annual Software Maintenance; Maintenance Period: 01-May-2026 to 30-Apr-2027, details refer to quote # H018-260501-Z1S08M3W-NF (D75448)
1 OCEANFAX ENTERPRISE FAX SERVER (OFID: F10282800580)
3 OCEANFAX CHANNEL LICENSE
1 OCEANFAX FAX SERVER EMAIL CONNECTOR
4 OCEANFAX FOIP BOARDLESS LICENSE
4 OCEANFAX FOIP TLS 1.2 MODULE
1 OCEANX ANNUAL SOFTWARE MAINTENANCE PLAN FOR OCEANFAX
Service hours: 24 hours support from Monday to Sunday including public holidays.
Response Time: The response time is within 4 hours. The response time is defined as the lead time between receiving the service
call from the Client and the telephone/e-mail responses or on-site from Active's service engineer.</t>
    </r>
  </si>
  <si>
    <t>ZM1594560</t>
  </si>
  <si>
    <t>BTB/037/2026</t>
  </si>
  <si>
    <t>D/7996/WAWA/YR25</t>
  </si>
  <si>
    <t>Avaya Service Charge for Avaya Quotation # SHK704WHNR (MASSP0030, MASSP0031 - added on items by users under the same system no.: DT1693 &amp; DT1694)
SA PREF AWE R15/20 CR QM ENCRYPTN 1YPP (Qty:8)
SA PREF AWE R15/20 ACRA PKG 1YPP (Qty:8)
UPG ADV AWE R15/20 CR QM ENCRYPTN 1YPP (Qty:8)
UPG ADV AWE R15/20 ACRA PKG 1YPP (Qty:8)</t>
  </si>
  <si>
    <t>ZM1596195</t>
  </si>
  <si>
    <t>UID-26-06-0033</t>
  </si>
  <si>
    <t>BTB/038/2026</t>
  </si>
  <si>
    <t>AS Watson Group (HK) Ltd</t>
  </si>
  <si>
    <t>G260500019J3</t>
  </si>
  <si>
    <t>eSOON China Limited</t>
  </si>
  <si>
    <r>
      <t xml:space="preserve">Maintenance of </t>
    </r>
    <r>
      <rPr>
        <sz val="10"/>
        <color rgb="FFFF0000"/>
        <rFont val="Tahoma"/>
        <family val="2"/>
      </rPr>
      <t>Genesys</t>
    </r>
    <r>
      <rPr>
        <sz val="10"/>
        <rFont val="Tahoma"/>
        <family val="2"/>
      </rPr>
      <t xml:space="preserve"> System renewal, details refer to quote ID: ASWI20260528 (MASS11687)
1) Call Centre System Availability Support Service(Taipo site, Hardware and Software); Maintenance Service Period (01/06/2026 to 30/11/2026, 6 x 8 parts and labour); Coverage Period (09:00-18:00, Monday to Saturday, except Public Holiday); Covered all Genesys License and Servers purchased
2) Call Centre System Availability Support Service (Macau Site) Macau on site availability support (01/06/2026 to 30/11/2026, Mon to Sat, 6 x 8, parts and labour) Included Audiocodes MediaPack 118 Analog VOIP Gateway x 1; including 8 FXO analog lines,; single 10/100 BaseT,; AC power supply</t>
    </r>
  </si>
  <si>
    <t>ZM1597998</t>
  </si>
  <si>
    <t>UID-26-06-0116</t>
  </si>
  <si>
    <t>BTB/039/2026</t>
  </si>
  <si>
    <t>Hospital Authority (EU: Kwong Wah Hospital)</t>
  </si>
  <si>
    <t>P/8187/MAMA/YT26 (PO.3110964313, ref: KCC/T/S2/058/19/KWH)</t>
  </si>
  <si>
    <t>SERVICE CHARGE FOR DETAILS REFER TO NICE QUOTE: 79473; SYSTEM NO.: I42477 (35172686)</t>
  </si>
  <si>
    <t>ZM1599212</t>
  </si>
  <si>
    <t>UID-26-06-0121</t>
  </si>
  <si>
    <t>BTB/040/2026</t>
  </si>
  <si>
    <t>The Bank Of East Asia, Ltd</t>
  </si>
  <si>
    <t>L260190172JI (HKPO-2600011395)</t>
  </si>
  <si>
    <t>SERVICE CHARGE FOR NICE SYSTEMS, DETAILS REFER QUOTE # 77604 ; SYSTEM NO: DT1620 &amp; DT1621</t>
  </si>
  <si>
    <t>ZM1599360</t>
  </si>
  <si>
    <t>UID-26-06-0165</t>
  </si>
  <si>
    <t>NONBTB/041/2026</t>
  </si>
  <si>
    <t>Airport Authority Hong Kong</t>
  </si>
  <si>
    <t>P/7985/MAMA/J225 (Tender ref: PRO/T176/26/SC)</t>
  </si>
  <si>
    <r>
      <rPr>
        <sz val="10"/>
        <color rgb="FFFF0000"/>
        <rFont val="Tahoma"/>
        <family val="2"/>
      </rPr>
      <t>Avaya</t>
    </r>
    <r>
      <rPr>
        <sz val="10"/>
        <rFont val="Tahoma"/>
        <family val="2"/>
      </rPr>
      <t xml:space="preserve"> SA Renewal, details refer to the quotation ref: CIL26/Q/0064 (DT1676)
Customer: Airport Authority Hong Kong (FL#50429573)
Service Period: Co-Term to 31-May-2030
SHK704XR8W (Contract# 41455188)
345034 SA PREF AWE R15/20 ACRA PKG 3YAN (Qty:18) 
345034 SA PREF AWE R15/20 ACRA PKG 3YAN (Qty:214) 
345034 SA PREF AWE R15/20 ACRA PKG 3YAN (Qty:219) 
345040 UPG ADV AWE R15/20 ACRA PKG 3YAN (Qty:214)
345040 UPG ADV AWE R15/20 ACRA PKG 3YAN (Qty:18) 
345040 UPG ADV AWE R15/20 ACRA PKG 3YAN (Qty:219) 
345056 SA PREF AWE R15/20 ACT PRL CR RDN 3YAN (Qty:214) 
345056 SA PREF AWE R15/20 ACT PRL CR RDN 3YAN (Qty:219) 
345056 SA PREF AWE R15/20 ACT PRL CR RDN 3YAN (Qty:18) 
345062 UPG ADV AWE R15/20 ACT PRL CR RDN 3YAN (Qty:18) 
345062 UPG ADV AWE R15/20 ACT PRL CR RDN 3YAN (Qty:214) 
345062 UPG ADV AWE R15/20 ACT PRL CR RDN 3YAN (Qty:219) 
Notes:
</t>
    </r>
    <r>
      <rPr>
        <sz val="10"/>
        <color rgb="FFFF0000"/>
        <rFont val="Tahoma"/>
        <family val="2"/>
      </rPr>
      <t>- Annual Payment USD 34587.78</t>
    </r>
    <r>
      <rPr>
        <sz val="10"/>
        <rFont val="Tahoma"/>
        <family val="2"/>
      </rPr>
      <t xml:space="preserve">
- 1st Payment: Upon PO
- 2nd Payment: Invoice will be issued before 1 May2027
- 3rd Payment: Invoice will be issued before 1 May2028
- 4th Payment: Invoice will be issued before 1 May2029</t>
    </r>
  </si>
  <si>
    <t>ZM1599877</t>
  </si>
  <si>
    <t>Lam, Jeffrey CK</t>
  </si>
  <si>
    <t>UID-26-06-0197</t>
  </si>
  <si>
    <t>NONBTB/042/2026</t>
  </si>
  <si>
    <t>Hospital Authority (EU: United Christian Hospital)</t>
  </si>
  <si>
    <t>P/8231/WAWA/YT26 (PO.4110597428, tender ref.KEC/ADM/CONF/P&amp;C/12/002/2122)</t>
  </si>
  <si>
    <t>Ekoutone Communications Limited</t>
  </si>
  <si>
    <t>ASC Neo 1 year renewal for UCH - Single Recorder #1 for Block S (K75207, K75208_Prime No.:39494000)
Technical Support for EvoFlex (5x8) - tier 3 remote support (HKT handle tier 1 &amp; 2 support) and hardware R&amp;R; Period: 20 Nov 2026 to 19 Nov 2027</t>
  </si>
  <si>
    <t>ZM1601242</t>
  </si>
  <si>
    <t>UID-26-06-0250</t>
  </si>
  <si>
    <t>NONBTB/043/2026</t>
  </si>
  <si>
    <t>ASC Neo1 year renewal for UCH - Single Recorder #2 for Block P (K75207, K75208_Prime No.:39494000)
Technical Support for EvoFlex (5x8) - tier 3 remote support (HKT handle tier 1 &amp; 2 support) and hardware R&amp;R; Period: 20 Nov 2026 to 19 Nov 2027</t>
  </si>
  <si>
    <t>ZM1600309</t>
  </si>
  <si>
    <t>BTB/044/2026</t>
  </si>
  <si>
    <t>P AV/8024/MAMA/LS26
(PO.41453277)</t>
  </si>
  <si>
    <r>
      <rPr>
        <sz val="10"/>
        <color rgb="FFFF0000"/>
        <rFont val="Tahoma"/>
        <family val="2"/>
      </rPr>
      <t>Avaya</t>
    </r>
    <r>
      <rPr>
        <sz val="10"/>
        <rFont val="Tahoma"/>
        <family val="2"/>
      </rPr>
      <t xml:space="preserve"> Service Charge for Avaya Quotation # SHK704XF4V (29668111,29661333,29661981,29661111 &amp; 29660811 - Avaya ACRA 15.2: DT1648, DT1649, DT1650)
SUB SA SUPT CC WE ACRA REC PKG TRK (Qty:672)
CC WE ACRA REC PKG LIC FIXED SUBS 1YRAN (Qty:560)
SA PREF AIXWE R15 LIC MOVE TRKG (Qty:1)</t>
    </r>
  </si>
  <si>
    <t>ZM1600201</t>
  </si>
  <si>
    <t>UID-26-06-0292</t>
  </si>
  <si>
    <t>BTB/045/2026</t>
  </si>
  <si>
    <t>P/8149/MAMA/CO26 (P AV/1530/MA/CO25_b) PO: EB29032385</t>
  </si>
  <si>
    <r>
      <t xml:space="preserve">RBR </t>
    </r>
    <r>
      <rPr>
        <sz val="10"/>
        <color rgb="FFFF0000"/>
        <rFont val="Tahoma"/>
        <family val="2"/>
      </rPr>
      <t>Avaya</t>
    </r>
    <r>
      <rPr>
        <sz val="10"/>
        <rFont val="Tahoma"/>
        <family val="2"/>
      </rPr>
      <t xml:space="preserve"> active reording of HK Police 999 Call Center, HKPF NT Site 6 months 3 rd line support , 9am-6pm Mon-Fri (excluding Public Holiday) on site, (24-hour helpdesk, software maintenance with HW repair); Period: 21 May 2026 - 20 Nov 2026; details refer quote# TSHKPFS20260626NT (DT1442 NT)</t>
    </r>
  </si>
  <si>
    <t>ZM1601418</t>
  </si>
  <si>
    <t>UID-26-06-0289</t>
  </si>
  <si>
    <t>BTB/046/2026</t>
  </si>
  <si>
    <r>
      <t xml:space="preserve">RBR </t>
    </r>
    <r>
      <rPr>
        <sz val="10"/>
        <color rgb="FFFF0000"/>
        <rFont val="Tahoma"/>
        <family val="2"/>
      </rPr>
      <t>Avaya</t>
    </r>
    <r>
      <rPr>
        <sz val="10"/>
        <rFont val="Tahoma"/>
        <family val="2"/>
      </rPr>
      <t xml:space="preserve"> active reording of HK Police 999 Call Center, HKPF HKI site 6 months 3 rd line support , 9am-6pm Mon-Fri (excluding Public Holiday) on site, (24-hour helpdesk, software maintenance with HW repair); Period: 21 May 2026 - 20 Nov 2026; details refer quote# TSHKPFS20260626HKI (DT1443 HKI)</t>
    </r>
  </si>
  <si>
    <t>ZM1601419</t>
  </si>
  <si>
    <t>BTB/047/2026</t>
  </si>
  <si>
    <r>
      <t xml:space="preserve">RBR </t>
    </r>
    <r>
      <rPr>
        <sz val="10"/>
        <color rgb="FFFF0000"/>
        <rFont val="Tahoma"/>
        <family val="2"/>
      </rPr>
      <t>Avaya</t>
    </r>
    <r>
      <rPr>
        <sz val="10"/>
        <rFont val="Tahoma"/>
        <family val="2"/>
      </rPr>
      <t xml:space="preserve"> active reording of HK Police 999 Call Center, HKPF KLN site 6 months 3 rd line support , 9am-6pm Mon-Fri (excluding Public Holiday) on site, (24-hour helpdesk, software maintenance with HW repair); Period: 21 May 2026 - 20 Nov 2026; details refer quote# TSHKPFS20260626KLN (DT1444 KLN)</t>
    </r>
  </si>
  <si>
    <t>ZM1601420</t>
  </si>
  <si>
    <t>BTB/048/2026</t>
  </si>
  <si>
    <t>P/7986/MAMA/JI25 (PO.1020162872)</t>
  </si>
  <si>
    <t>SERVICE CHARGE FOR NICE SYSTEMS, DETAILS REFER QUOTE # 80408 ; SYSTEM NO: DT1593</t>
  </si>
  <si>
    <t>ZM1601701</t>
  </si>
  <si>
    <t>UID-26-07-0015</t>
  </si>
  <si>
    <t>BTB/049/2026</t>
  </si>
  <si>
    <t>Securities and Futures Commission</t>
  </si>
  <si>
    <t>P/8044/MAMA/TH26 (PO-2607-0645)</t>
  </si>
  <si>
    <t>Smart Business Centre Solution (IVR), details refer to quotation # SFC202606231 (I41700)</t>
  </si>
  <si>
    <t>ZM1602164</t>
  </si>
  <si>
    <t>UID-26-07-0071</t>
  </si>
  <si>
    <t>BTB/050/2026</t>
  </si>
  <si>
    <t>The Fullerton Ocean Park Hotel Hong Kong (Customer: SINO HOTEL GROUP)</t>
  </si>
  <si>
    <t>P/7963/MAMA/CF25 (PO.4500100504)</t>
  </si>
  <si>
    <t>VESERVE SMART BUSINESS CENTER (On Cloud - Annual Subscription 30/4/2026 - 30/4/2027); Details refer to quotation ID SINO2026060111 (D91559)
1.IVR PLATFORM FEATURES - CORE: (MOQ 7 Agents - $900 Per Concurrent Account Per Month)(Qty:7)
2.IVR PLATFORM FEATURES - Call Forward and Re-route for 1 Existing Hotlines; Handle 1 new SIP-Trunk enabled Hotlines; 3 Individual IVR Call Flows; Auto-call Distribution Logic Configuration with Skill Group</t>
  </si>
  <si>
    <t>ZM1603136</t>
  </si>
  <si>
    <t>UID-26-07-0090</t>
  </si>
  <si>
    <t>BTB/051/2026</t>
  </si>
  <si>
    <t>YF Life Insurance International Ltd</t>
  </si>
  <si>
    <t>P/7855/WB2P/NP25 (Ref#2025WB385NP-2nd Yr)</t>
  </si>
  <si>
    <t>Genesys Cloud renewal, details refer Genesys Quote # 2026-61368013 (AGRVG016)</t>
  </si>
  <si>
    <t>ZM1604396</t>
  </si>
  <si>
    <t>Po, Nicky MY</t>
  </si>
  <si>
    <t>UID-25-08-0050</t>
  </si>
  <si>
    <t>BTB/052/2026</t>
  </si>
  <si>
    <t>Genesys Cloud renewal, details refer Genesys Quote # 2026-61368014 (AGRVG016)</t>
  </si>
  <si>
    <t>ZM1604436</t>
  </si>
  <si>
    <t>BTB/053/2026</t>
  </si>
  <si>
    <t>China Minsheng Banking Corporation Ltd</t>
  </si>
  <si>
    <t>P/8130/MAMA/JI26</t>
  </si>
  <si>
    <t>Avaya Hong Kong Company Ltd</t>
  </si>
  <si>
    <t>Avaya Service Charge for Avaya Quotation # SHK70525TC (DT1599 - Avaya ACRA 15.2)
SA PREF AWE R15/20 CR PKG 1YPP (Qty:105)
UPG ADV AWE R15/20 CR PKG 1YPP (Qty:105)</t>
  </si>
  <si>
    <t>ZM1605122</t>
  </si>
  <si>
    <t>UID-26-07-0224</t>
  </si>
  <si>
    <t>BTB/054/2026</t>
  </si>
  <si>
    <t>Bupa (Asia) Ltd</t>
  </si>
  <si>
    <t>D/8062/WAWA/KW26</t>
  </si>
  <si>
    <r>
      <t xml:space="preserve">Maintenance Renewal Quote# V1118108-1; Period: 30-Jul-2026 to 29-Jul-2029 - DT1684 (V87652) </t>
    </r>
    <r>
      <rPr>
        <sz val="10"/>
        <color rgb="FFFF0000"/>
        <rFont val="Tahoma"/>
        <family val="2"/>
      </rPr>
      <t>Yearly Payment</t>
    </r>
  </si>
  <si>
    <t>ZM1604593</t>
  </si>
  <si>
    <t>UID-26-07-0204</t>
  </si>
  <si>
    <t>BTB/055/2026</t>
  </si>
  <si>
    <t>Chong Hing Bank Limited</t>
  </si>
  <si>
    <t>P/8288/WAWA/WW26</t>
  </si>
  <si>
    <t>Sen Spirit Technology Limited</t>
  </si>
  <si>
    <r>
      <rPr>
        <sz val="10"/>
        <color rgb="FFFF0000"/>
        <rFont val="Tahoma"/>
        <family val="2"/>
      </rPr>
      <t xml:space="preserve">Avaya </t>
    </r>
    <r>
      <rPr>
        <sz val="10"/>
        <rFont val="Tahoma"/>
        <family val="2"/>
      </rPr>
      <t>ACRA Renewal for Quotation # 2060730SSTRTQ2 (DT1704 &amp; DT1705)
Ref: AHK702L2T3, AHK7032979, AHK702J320, AHK702J338M, AHK703K4CN; Period: 1 Jun 2026 to 31 May 2027
(407013) CC WE ACRA REC PKG LIC FIXED SUBS 3YR AN PREPD (Qty:735)
(407079) CC WE N+N REDUND LIC FIXED SUBS 3YR AN PREPD (Qty:735)
(407085) CC WE ENCRYPT SVR LIC FIXED SUBS 3YR AN PREPD (Qty:1)
(296280) SA PREFER SUPT AWE R15/20 SW DVLPMNT KIT QM AND WFM 3YR AN PREPD (Qty:1)
(296286) UPGRADE ADVANTAGE AWE R15/20 SW DVLPMNT KIT QM AND WFM 3YR AN PREPD (Qty:1)</t>
    </r>
  </si>
  <si>
    <t>ZM1605430</t>
  </si>
  <si>
    <t>UID-26-07-0222</t>
  </si>
  <si>
    <t>BTB/056/2026</t>
  </si>
  <si>
    <t>Hong Kong Productivity Council</t>
  </si>
  <si>
    <t>D 8063 WA CP26 (PO.4500025392)</t>
  </si>
  <si>
    <t>ASC Neo On-Premise Recording 1-year Extended Technical Support Service for HKPC, details refer # Quote to HKT for HKPC ASC Extn Support 1-year only 13Jul2026; Service Period: 1-Aug-2026 to 31-Jul-2027 (I60841)
REMOTE Labour Support (5x8) - per year
Contract Renewal of Tier 2&amp;3 Technical support for:
- Recording Server Base license EVOflex
- PRI - passive (available in increments of 23 T1-ISDN or 15 E1 channels)
- Data compression license for G.729
- Interface for data import and export
- Storage Expansion Manager license
- Recording Control Access system license
- Search &amp; Replay Access system license
- PRI Interface for two E1/T1 trunks, passive incl. D-channel decoding (PCI Express)
- Trusted License
Remote Technical Support (5*8) - 6 tokens per year
Support service Token:
- 2 man-hours remote service support per token (office hours)
- The scope of work includes:
Onsite re-configuration
Change of settings
Patch installation
Basic testing
Consultancy
Technical knowledge transfer
Add on channels
- Update and provide the logsheet to keep track of token deduction</t>
  </si>
  <si>
    <t>ZM1606921</t>
  </si>
  <si>
    <t>Lau, Coco WY</t>
  </si>
  <si>
    <t>UID-26-08-0019</t>
  </si>
  <si>
    <t>BTB/057/2026</t>
  </si>
  <si>
    <t xml:space="preserve">PCCW Digital Solutions Ltd (End User: Water Supplies) </t>
  </si>
  <si>
    <t>D/8100/MAMA/YR26 (PO.1100153778)</t>
  </si>
  <si>
    <t>SERVICE CHARGE FOR NICE SYSTEMS, DETAILS REFER QUOTE # 80816; SYSTEM NO: DT1588</t>
  </si>
  <si>
    <t>ZM1606953</t>
  </si>
  <si>
    <t>UID-26-08-0038</t>
  </si>
  <si>
    <t>BTB/058/2026</t>
  </si>
  <si>
    <t>OnePort Ltd</t>
  </si>
  <si>
    <t>P/8107/MAMA/CB26</t>
  </si>
  <si>
    <t>Man Fung Technology Limited</t>
  </si>
  <si>
    <t>1 Year Onsite Hardware Maintenance Service, including parts and labour, excluding software update, subscription and configuration; Period: 1-Sep-2026 to 31-Aug-2027; SLA: 7x24x4,  HP ML30 G9 Server, S/N: SGH624VEF1; details refer quote# 80005583 (DT1501)</t>
  </si>
  <si>
    <t>ZM1607935</t>
  </si>
  <si>
    <t>Wong, Man-Chiu</t>
  </si>
  <si>
    <t>UID-26-08-0101</t>
  </si>
  <si>
    <t>BTB/059/2026</t>
  </si>
  <si>
    <t>H260900186YR</t>
  </si>
  <si>
    <t>Clienk China Co., Ltd</t>
  </si>
  <si>
    <t xml:space="preserve">(Qty:6) 2 Channels License Package (Webchat and APP) **MASS14061
(Qty:1) Admin &amp; Reporting License
(Qty:1) Partnership Discount 25% on license fees
(Qty:1) Private HK Cloud Pack A including SSL CERT
(Qty:1) UAT Environment (Includes 8 mandays of work/year)
(Qty:1) One time extra discount
Service time: 1 year / 12 months (September 09, 2026 / September 08, 2027) </t>
  </si>
  <si>
    <t>ZM1611002</t>
  </si>
  <si>
    <t>UID-26-09-0013</t>
  </si>
  <si>
    <t>BTB/060/2026</t>
  </si>
  <si>
    <t>Hospital Authority - HAITCC</t>
  </si>
  <si>
    <t>P/8131/MAMA/YT26 (Tender ref: HAHO(S)/T/18-IT001(G))-7th (PO.8110143835)</t>
  </si>
  <si>
    <t>Details refer Genesys Quote # 2026-61371452 (D29596 - Prime no.35426100)</t>
  </si>
  <si>
    <t>ZM1611633</t>
  </si>
  <si>
    <t>UID-26-09-0024</t>
  </si>
  <si>
    <t>BTB/061/2026</t>
  </si>
  <si>
    <t>SERVICE CHARGE FOR NICE SYSTEMS, DETAILS REFER QUOTE NO.113126 Y26 ; SYSTEM NO: DT1581 (Prime no.35426100)
(PS-MAINT-NICE-IND-ENH-PS) Public Safety Maintenance Agreement for NICE products for Business Partners Enhanced package SLA 1 year. Includes software hot fixes, update packs and minor version upgrades. Excludes major version upgrades</t>
  </si>
  <si>
    <t>ZM1610913</t>
  </si>
  <si>
    <t>BTB/062/2026</t>
  </si>
  <si>
    <t>Inchcape Hong Kong Ltd</t>
  </si>
  <si>
    <t>P/8146/MAMA/MZ26 (PO.HK00990808)</t>
  </si>
  <si>
    <t>Maintenance Support for Genesys Call Centre; Details refer to Genesys Quote # 2026-61401713 (AGRVG011, D62778)</t>
  </si>
  <si>
    <t>ZM1611657</t>
  </si>
  <si>
    <t>UID-26-08-0263</t>
  </si>
  <si>
    <t>BTB/063/2026</t>
  </si>
  <si>
    <t>P/7984/MAMA/MZ25 (PO.HK00990871)</t>
  </si>
  <si>
    <t>Maintenance Support for Genesys Call Centre; Details refer to Genesys Quote No.: 2026-61401711 (AGRVG009, D62109)</t>
  </si>
  <si>
    <t>ZM1611706</t>
  </si>
</sst>
</file>

<file path=xl/styles.xml><?xml version="1.0" encoding="utf-8"?>
<styleSheet xmlns="http://schemas.openxmlformats.org/spreadsheetml/2006/main">
  <numFmts count="5">
    <numFmt numFmtId="43" formatCode="_(* #,##0.00_);_(* \(#,##0.00\);_(* &quot;-&quot;??_);_(@_)"/>
    <numFmt numFmtId="176" formatCode="&quot;$&quot;#,##0.00"/>
    <numFmt numFmtId="177" formatCode="&quot;$&quot;#,##0.00;[Red]&quot;$&quot;#,##0.00"/>
    <numFmt numFmtId="178" formatCode="0.00_ "/>
    <numFmt numFmtId="179" formatCode="[$-409]dd\-mmm\-yy;@"/>
  </numFmts>
  <fonts count="22">
    <font>
      <sz val="11"/>
      <color theme="1"/>
      <name val="新細明體"/>
      <family val="2"/>
      <charset val="136"/>
      <scheme val="minor"/>
    </font>
    <font>
      <sz val="11"/>
      <color theme="1"/>
      <name val="新細明體"/>
      <family val="2"/>
      <scheme val="minor"/>
    </font>
    <font>
      <sz val="10"/>
      <name val="Arial"/>
      <family val="2"/>
    </font>
    <font>
      <sz val="11"/>
      <name val="Tahoma"/>
      <family val="2"/>
    </font>
    <font>
      <sz val="10"/>
      <name val="Tahoma"/>
      <family val="2"/>
    </font>
    <font>
      <b/>
      <sz val="10"/>
      <name val="Tahoma"/>
      <family val="2"/>
    </font>
    <font>
      <b/>
      <sz val="10"/>
      <color indexed="12"/>
      <name val="Tahoma"/>
      <family val="2"/>
    </font>
    <font>
      <b/>
      <sz val="10"/>
      <color indexed="10"/>
      <name val="Tahoma"/>
      <family val="2"/>
    </font>
    <font>
      <sz val="10"/>
      <color rgb="FFFF0000"/>
      <name val="Tahoma"/>
      <family val="2"/>
    </font>
    <font>
      <sz val="12"/>
      <name val="新細明體"/>
      <family val="1"/>
      <charset val="136"/>
    </font>
    <font>
      <sz val="10"/>
      <color indexed="10"/>
      <name val="Tahoma"/>
      <family val="2"/>
    </font>
    <font>
      <sz val="10"/>
      <color theme="1"/>
      <name val="Calibri"/>
      <family val="2"/>
    </font>
    <font>
      <sz val="10"/>
      <color indexed="12"/>
      <name val="Tahoma"/>
      <family val="2"/>
    </font>
    <font>
      <sz val="10"/>
      <color rgb="FF0070C0"/>
      <name val="Tahoma"/>
      <family val="2"/>
    </font>
    <font>
      <strike/>
      <sz val="10"/>
      <name val="Tahoma"/>
      <family val="2"/>
    </font>
    <font>
      <strike/>
      <sz val="10"/>
      <color rgb="FF0070C0"/>
      <name val="Tahoma"/>
      <family val="2"/>
    </font>
    <font>
      <strike/>
      <sz val="10"/>
      <color indexed="12"/>
      <name val="Tahoma"/>
      <family val="2"/>
    </font>
    <font>
      <strike/>
      <sz val="10"/>
      <color indexed="10"/>
      <name val="Tahoma"/>
      <family val="2"/>
    </font>
    <font>
      <strike/>
      <sz val="10"/>
      <color rgb="FFFF0000"/>
      <name val="Tahoma"/>
      <family val="2"/>
    </font>
    <font>
      <b/>
      <sz val="10"/>
      <color rgb="FFFF0000"/>
      <name val="Tahoma"/>
      <family val="2"/>
    </font>
    <font>
      <b/>
      <sz val="10"/>
      <color rgb="FF0070C0"/>
      <name val="Tahoma"/>
      <family val="2"/>
    </font>
    <font>
      <sz val="9"/>
      <name val="新細明體"/>
      <family val="2"/>
      <charset val="136"/>
      <scheme val="minor"/>
    </font>
  </fonts>
  <fills count="7">
    <fill>
      <patternFill patternType="none"/>
    </fill>
    <fill>
      <patternFill patternType="gray125"/>
    </fill>
    <fill>
      <patternFill patternType="solid">
        <fgColor indexed="43"/>
        <bgColor indexed="64"/>
      </patternFill>
    </fill>
    <fill>
      <patternFill patternType="solid">
        <fgColor indexed="41"/>
        <bgColor indexed="64"/>
      </patternFill>
    </fill>
    <fill>
      <patternFill patternType="solid">
        <fgColor rgb="FFFFFF00"/>
        <bgColor indexed="64"/>
      </patternFill>
    </fill>
    <fill>
      <patternFill patternType="solid">
        <fgColor rgb="FFFFC000"/>
        <bgColor indexed="64"/>
      </patternFill>
    </fill>
    <fill>
      <patternFill patternType="solid">
        <fgColor theme="2" tint="-0.249977111117893"/>
        <bgColor indexed="64"/>
      </patternFill>
    </fill>
  </fills>
  <borders count="17">
    <border>
      <left/>
      <right/>
      <top/>
      <bottom/>
      <diagonal/>
    </border>
    <border>
      <left/>
      <right/>
      <top/>
      <bottom style="thin">
        <color indexed="64"/>
      </bottom>
      <diagonal/>
    </border>
    <border>
      <left/>
      <right style="double">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double">
        <color indexed="64"/>
      </right>
      <top style="thin">
        <color indexed="64"/>
      </top>
      <bottom/>
      <diagonal/>
    </border>
    <border>
      <left style="medium">
        <color indexed="64"/>
      </left>
      <right style="double">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top/>
      <bottom/>
      <diagonal/>
    </border>
  </borders>
  <cellStyleXfs count="6">
    <xf numFmtId="0" fontId="0" fillId="0" borderId="0">
      <alignment vertical="center"/>
    </xf>
    <xf numFmtId="0" fontId="1" fillId="0" borderId="0"/>
    <xf numFmtId="0" fontId="2" fillId="0" borderId="0"/>
    <xf numFmtId="0" fontId="9" fillId="0" borderId="0"/>
    <xf numFmtId="0" fontId="11" fillId="0" borderId="0"/>
    <xf numFmtId="9" fontId="11" fillId="0" borderId="0" applyFont="0" applyFill="0" applyBorder="0" applyAlignment="0" applyProtection="0"/>
  </cellStyleXfs>
  <cellXfs count="75">
    <xf numFmtId="0" fontId="0" fillId="0" borderId="0" xfId="0">
      <alignment vertical="center"/>
    </xf>
    <xf numFmtId="0" fontId="1" fillId="0" borderId="0" xfId="1"/>
    <xf numFmtId="0" fontId="3" fillId="0" borderId="1" xfId="2" applyFont="1" applyBorder="1" applyAlignment="1">
      <alignment horizontal="center" vertical="center" wrapText="1"/>
    </xf>
    <xf numFmtId="43" fontId="3" fillId="0" borderId="2" xfId="2" applyNumberFormat="1" applyFont="1" applyBorder="1" applyAlignment="1">
      <alignment horizontal="right" vertical="center" wrapText="1"/>
    </xf>
    <xf numFmtId="15" fontId="5" fillId="2" borderId="3" xfId="2" applyNumberFormat="1" applyFont="1" applyFill="1" applyBorder="1" applyAlignment="1">
      <alignment horizontal="center" vertical="center" wrapText="1"/>
    </xf>
    <xf numFmtId="0" fontId="5" fillId="0" borderId="0" xfId="1" applyFont="1" applyAlignment="1">
      <alignment horizontal="center" vertical="center" wrapText="1"/>
    </xf>
    <xf numFmtId="0" fontId="8" fillId="0" borderId="0" xfId="1" applyFont="1" applyAlignment="1">
      <alignment horizontal="left" vertical="center" wrapText="1"/>
    </xf>
    <xf numFmtId="15" fontId="5" fillId="2" borderId="4" xfId="2" applyNumberFormat="1" applyFont="1" applyFill="1" applyBorder="1" applyAlignment="1">
      <alignment horizontal="center" vertical="center" wrapText="1"/>
    </xf>
    <xf numFmtId="0" fontId="5" fillId="2" borderId="6" xfId="2" applyFont="1" applyFill="1" applyBorder="1" applyAlignment="1">
      <alignment horizontal="center" vertical="center" wrapText="1"/>
    </xf>
    <xf numFmtId="40" fontId="5" fillId="2" borderId="3" xfId="2" applyNumberFormat="1" applyFont="1" applyFill="1" applyBorder="1" applyAlignment="1">
      <alignment horizontal="center" vertical="center" wrapText="1"/>
    </xf>
    <xf numFmtId="15" fontId="5" fillId="3" borderId="6" xfId="2" applyNumberFormat="1" applyFont="1" applyFill="1" applyBorder="1" applyAlignment="1">
      <alignment horizontal="center" vertical="center" wrapText="1"/>
    </xf>
    <xf numFmtId="15" fontId="5" fillId="3" borderId="7" xfId="2" applyNumberFormat="1" applyFont="1" applyFill="1" applyBorder="1" applyAlignment="1">
      <alignment horizontal="center" vertical="center" wrapText="1"/>
    </xf>
    <xf numFmtId="178" fontId="5" fillId="3" borderId="3" xfId="1" applyNumberFormat="1" applyFont="1" applyFill="1" applyBorder="1" applyAlignment="1">
      <alignment horizontal="center" vertical="center" wrapText="1"/>
    </xf>
    <xf numFmtId="0" fontId="4" fillId="0" borderId="0" xfId="1" applyFont="1" applyAlignment="1">
      <alignment horizontal="center" vertical="center" wrapText="1"/>
    </xf>
    <xf numFmtId="0" fontId="4" fillId="0" borderId="0" xfId="1" applyFont="1" applyAlignment="1">
      <alignment horizontal="center" vertical="center"/>
    </xf>
    <xf numFmtId="0" fontId="4" fillId="0" borderId="0" xfId="1" quotePrefix="1" applyFont="1" applyAlignment="1">
      <alignment horizontal="center" vertical="center" wrapText="1"/>
    </xf>
    <xf numFmtId="0" fontId="4" fillId="0" borderId="0" xfId="1" applyFont="1" applyAlignment="1">
      <alignment vertical="center" wrapText="1"/>
    </xf>
    <xf numFmtId="40" fontId="4" fillId="0" borderId="12" xfId="1" applyNumberFormat="1" applyFont="1" applyBorder="1" applyAlignment="1">
      <alignment horizontal="right" vertical="center"/>
    </xf>
    <xf numFmtId="40" fontId="4" fillId="0" borderId="13" xfId="1" applyNumberFormat="1" applyFont="1" applyBorder="1" applyAlignment="1">
      <alignment horizontal="right" vertical="center"/>
    </xf>
    <xf numFmtId="179" fontId="4" fillId="0" borderId="14" xfId="1" applyNumberFormat="1" applyFont="1" applyBorder="1" applyAlignment="1">
      <alignment horizontal="center" vertical="center"/>
    </xf>
    <xf numFmtId="0" fontId="4" fillId="0" borderId="0" xfId="1" applyFont="1" applyAlignment="1">
      <alignment horizontal="left" vertical="center" wrapText="1"/>
    </xf>
    <xf numFmtId="178" fontId="4" fillId="0" borderId="0" xfId="1" applyNumberFormat="1" applyFont="1" applyAlignment="1">
      <alignment horizontal="left" vertical="center" wrapText="1"/>
    </xf>
    <xf numFmtId="43" fontId="8" fillId="0" borderId="2" xfId="2" applyNumberFormat="1" applyFont="1" applyBorder="1" applyAlignment="1">
      <alignment horizontal="right" vertical="center" wrapText="1"/>
    </xf>
    <xf numFmtId="0" fontId="4" fillId="0" borderId="0" xfId="1" applyFont="1" applyAlignment="1">
      <alignment horizontal="left" vertical="center"/>
    </xf>
    <xf numFmtId="15" fontId="8" fillId="0" borderId="0" xfId="1" applyNumberFormat="1" applyFont="1" applyAlignment="1">
      <alignment horizontal="left" vertical="center" wrapText="1"/>
    </xf>
    <xf numFmtId="17" fontId="10" fillId="0" borderId="0" xfId="1" applyNumberFormat="1" applyFont="1" applyAlignment="1">
      <alignment horizontal="left" vertical="center" wrapText="1"/>
    </xf>
    <xf numFmtId="15" fontId="4" fillId="0" borderId="0" xfId="1" applyNumberFormat="1" applyFont="1" applyAlignment="1">
      <alignment horizontal="center" vertical="center" wrapText="1"/>
    </xf>
    <xf numFmtId="43" fontId="3" fillId="0" borderId="1" xfId="2" applyNumberFormat="1" applyFont="1" applyBorder="1" applyAlignment="1">
      <alignment horizontal="right" vertical="center" wrapText="1"/>
    </xf>
    <xf numFmtId="0" fontId="5" fillId="3" borderId="3" xfId="1" applyFont="1" applyFill="1" applyBorder="1" applyAlignment="1">
      <alignment horizontal="center" vertical="center" wrapText="1"/>
    </xf>
    <xf numFmtId="15" fontId="4" fillId="0" borderId="16" xfId="3" applyNumberFormat="1" applyFont="1" applyBorder="1" applyAlignment="1">
      <alignment horizontal="center" vertical="center" wrapText="1"/>
    </xf>
    <xf numFmtId="0" fontId="12" fillId="0" borderId="0" xfId="1" applyFont="1" applyAlignment="1">
      <alignment horizontal="center" vertical="center"/>
    </xf>
    <xf numFmtId="179" fontId="10" fillId="0" borderId="15" xfId="3" applyNumberFormat="1" applyFont="1" applyBorder="1" applyAlignment="1">
      <alignment horizontal="center" vertical="center"/>
    </xf>
    <xf numFmtId="43" fontId="10" fillId="0" borderId="2" xfId="2" applyNumberFormat="1" applyFont="1" applyBorder="1" applyAlignment="1">
      <alignment horizontal="right" vertical="center" wrapText="1"/>
    </xf>
    <xf numFmtId="17" fontId="4" fillId="0" borderId="0" xfId="1" applyNumberFormat="1" applyFont="1" applyAlignment="1">
      <alignment horizontal="right" vertical="center" wrapText="1"/>
    </xf>
    <xf numFmtId="0" fontId="4" fillId="5" borderId="0" xfId="1" applyFont="1" applyFill="1" applyAlignment="1">
      <alignment horizontal="center" vertical="center"/>
    </xf>
    <xf numFmtId="15" fontId="4" fillId="5" borderId="16" xfId="3" applyNumberFormat="1" applyFont="1" applyFill="1" applyBorder="1" applyAlignment="1">
      <alignment horizontal="center" vertical="center" wrapText="1"/>
    </xf>
    <xf numFmtId="0" fontId="12" fillId="5" borderId="0" xfId="1" applyFont="1" applyFill="1" applyAlignment="1">
      <alignment horizontal="center" vertical="center" wrapText="1"/>
    </xf>
    <xf numFmtId="179" fontId="10" fillId="4" borderId="15" xfId="3" applyNumberFormat="1" applyFont="1" applyFill="1" applyBorder="1" applyAlignment="1">
      <alignment horizontal="center" vertical="center"/>
    </xf>
    <xf numFmtId="0" fontId="12" fillId="5" borderId="0" xfId="1" applyFont="1" applyFill="1" applyAlignment="1">
      <alignment horizontal="center" vertical="center"/>
    </xf>
    <xf numFmtId="179" fontId="4" fillId="0" borderId="14" xfId="1" applyNumberFormat="1" applyFont="1" applyBorder="1" applyAlignment="1">
      <alignment horizontal="center" vertical="center" wrapText="1"/>
    </xf>
    <xf numFmtId="17" fontId="19" fillId="0" borderId="0" xfId="1" applyNumberFormat="1" applyFont="1" applyAlignment="1">
      <alignment horizontal="left" vertical="center" wrapText="1"/>
    </xf>
    <xf numFmtId="0" fontId="4" fillId="6" borderId="0" xfId="1" applyFont="1" applyFill="1" applyAlignment="1">
      <alignment horizontal="center" vertical="center" wrapText="1"/>
    </xf>
    <xf numFmtId="15" fontId="14" fillId="6" borderId="0" xfId="1" applyNumberFormat="1" applyFont="1" applyFill="1" applyAlignment="1">
      <alignment horizontal="center" vertical="center" wrapText="1"/>
    </xf>
    <xf numFmtId="0" fontId="14" fillId="6" borderId="0" xfId="1" applyFont="1" applyFill="1" applyAlignment="1">
      <alignment horizontal="center" vertical="center" wrapText="1"/>
    </xf>
    <xf numFmtId="0" fontId="14" fillId="6" borderId="0" xfId="1" applyFont="1" applyFill="1" applyAlignment="1">
      <alignment horizontal="center" vertical="center"/>
    </xf>
    <xf numFmtId="0" fontId="14" fillId="6" borderId="0" xfId="1" quotePrefix="1" applyFont="1" applyFill="1" applyAlignment="1">
      <alignment horizontal="center" vertical="center" wrapText="1"/>
    </xf>
    <xf numFmtId="0" fontId="14" fillId="6" borderId="0" xfId="1" applyFont="1" applyFill="1" applyAlignment="1">
      <alignment vertical="center" wrapText="1"/>
    </xf>
    <xf numFmtId="40" fontId="14" fillId="6" borderId="12" xfId="1" applyNumberFormat="1" applyFont="1" applyFill="1" applyBorder="1" applyAlignment="1">
      <alignment horizontal="right" vertical="center"/>
    </xf>
    <xf numFmtId="40" fontId="14" fillId="6" borderId="13" xfId="1" applyNumberFormat="1" applyFont="1" applyFill="1" applyBorder="1" applyAlignment="1">
      <alignment horizontal="right" vertical="center"/>
    </xf>
    <xf numFmtId="179" fontId="14" fillId="6" borderId="14" xfId="1" applyNumberFormat="1" applyFont="1" applyFill="1" applyBorder="1" applyAlignment="1">
      <alignment horizontal="center" vertical="center"/>
    </xf>
    <xf numFmtId="0" fontId="14" fillId="6" borderId="0" xfId="1" applyFont="1" applyFill="1" applyAlignment="1">
      <alignment horizontal="left" vertical="center" wrapText="1"/>
    </xf>
    <xf numFmtId="178" fontId="14" fillId="6" borderId="0" xfId="1" applyNumberFormat="1" applyFont="1" applyFill="1" applyAlignment="1">
      <alignment horizontal="left" vertical="center" wrapText="1"/>
    </xf>
    <xf numFmtId="15" fontId="14" fillId="6" borderId="16" xfId="3" applyNumberFormat="1" applyFont="1" applyFill="1" applyBorder="1" applyAlignment="1">
      <alignment horizontal="center" vertical="center" wrapText="1"/>
    </xf>
    <xf numFmtId="0" fontId="16" fillId="6" borderId="0" xfId="1" applyFont="1" applyFill="1" applyAlignment="1">
      <alignment horizontal="center" vertical="center"/>
    </xf>
    <xf numFmtId="179" fontId="17" fillId="6" borderId="15" xfId="3" applyNumberFormat="1" applyFont="1" applyFill="1" applyBorder="1" applyAlignment="1">
      <alignment horizontal="center" vertical="center"/>
    </xf>
    <xf numFmtId="43" fontId="17" fillId="6" borderId="2" xfId="2" applyNumberFormat="1" applyFont="1" applyFill="1" applyBorder="1" applyAlignment="1">
      <alignment horizontal="right" vertical="center" wrapText="1"/>
    </xf>
    <xf numFmtId="0" fontId="14" fillId="6" borderId="0" xfId="1" applyFont="1" applyFill="1" applyAlignment="1">
      <alignment horizontal="left" vertical="center"/>
    </xf>
    <xf numFmtId="15" fontId="18" fillId="6" borderId="0" xfId="1" applyNumberFormat="1" applyFont="1" applyFill="1" applyAlignment="1">
      <alignment horizontal="left" vertical="center" wrapText="1"/>
    </xf>
    <xf numFmtId="17" fontId="17" fillId="6" borderId="0" xfId="1" applyNumberFormat="1" applyFont="1" applyFill="1" applyAlignment="1">
      <alignment horizontal="left" vertical="center" wrapText="1"/>
    </xf>
    <xf numFmtId="17" fontId="14" fillId="6" borderId="0" xfId="1" applyNumberFormat="1" applyFont="1" applyFill="1" applyAlignment="1">
      <alignment horizontal="right" vertical="center" wrapText="1"/>
    </xf>
    <xf numFmtId="0" fontId="5" fillId="0" borderId="0" xfId="1" applyFont="1" applyAlignment="1">
      <alignment horizontal="center" vertical="center" wrapText="1"/>
    </xf>
    <xf numFmtId="0" fontId="5" fillId="0" borderId="1" xfId="1" applyFont="1" applyBorder="1" applyAlignment="1">
      <alignment horizontal="center" vertical="center" wrapText="1"/>
    </xf>
    <xf numFmtId="176" fontId="5" fillId="3" borderId="6" xfId="2" applyNumberFormat="1" applyFont="1" applyFill="1" applyBorder="1" applyAlignment="1">
      <alignment horizontal="center" vertical="center"/>
    </xf>
    <xf numFmtId="176" fontId="5" fillId="3" borderId="7" xfId="2" applyNumberFormat="1" applyFont="1" applyFill="1" applyBorder="1" applyAlignment="1">
      <alignment horizontal="center" vertical="center"/>
    </xf>
    <xf numFmtId="0" fontId="5" fillId="3" borderId="3" xfId="2" applyFont="1" applyFill="1" applyBorder="1" applyAlignment="1">
      <alignment horizontal="center" vertical="center" wrapText="1"/>
    </xf>
    <xf numFmtId="0" fontId="6" fillId="3" borderId="8" xfId="2" applyFont="1" applyFill="1" applyBorder="1" applyAlignment="1">
      <alignment horizontal="center" vertical="center" wrapText="1"/>
    </xf>
    <xf numFmtId="0" fontId="6" fillId="3" borderId="9" xfId="2" applyFont="1" applyFill="1" applyBorder="1" applyAlignment="1">
      <alignment horizontal="center" vertical="center" wrapText="1"/>
    </xf>
    <xf numFmtId="177" fontId="7" fillId="3" borderId="10" xfId="2" applyNumberFormat="1" applyFont="1" applyFill="1" applyBorder="1" applyAlignment="1">
      <alignment horizontal="center" vertical="center" wrapText="1"/>
    </xf>
    <xf numFmtId="177" fontId="7" fillId="3" borderId="11" xfId="2" applyNumberFormat="1" applyFont="1" applyFill="1" applyBorder="1" applyAlignment="1">
      <alignment horizontal="center" vertical="center" wrapText="1"/>
    </xf>
    <xf numFmtId="40" fontId="5" fillId="2" borderId="5" xfId="2" applyNumberFormat="1" applyFont="1" applyFill="1" applyBorder="1" applyAlignment="1">
      <alignment horizontal="center" vertical="center"/>
    </xf>
    <xf numFmtId="40" fontId="5" fillId="2" borderId="6" xfId="2" applyNumberFormat="1" applyFont="1" applyFill="1" applyBorder="1" applyAlignment="1">
      <alignment horizontal="center" vertical="center"/>
    </xf>
    <xf numFmtId="0" fontId="5" fillId="2" borderId="3" xfId="2" applyFont="1" applyFill="1" applyBorder="1" applyAlignment="1">
      <alignment horizontal="center" vertical="center" wrapText="1"/>
    </xf>
    <xf numFmtId="15" fontId="5" fillId="2" borderId="3" xfId="2" applyNumberFormat="1" applyFont="1" applyFill="1" applyBorder="1" applyAlignment="1">
      <alignment horizontal="center" vertical="center" wrapText="1"/>
    </xf>
    <xf numFmtId="0" fontId="5" fillId="2" borderId="4" xfId="2" applyFont="1" applyFill="1" applyBorder="1" applyAlignment="1">
      <alignment horizontal="center" vertical="center" wrapText="1"/>
    </xf>
    <xf numFmtId="0" fontId="5" fillId="2" borderId="6" xfId="2" applyFont="1" applyFill="1" applyBorder="1" applyAlignment="1">
      <alignment horizontal="center" vertical="center" wrapText="1"/>
    </xf>
  </cellXfs>
  <cellStyles count="6">
    <cellStyle name="Normal" xfId="0" builtinId="0"/>
    <cellStyle name="Normal 2" xfId="3"/>
    <cellStyle name="Normal 3" xfId="4"/>
    <cellStyle name="Normal 4" xfId="1"/>
    <cellStyle name="Percent 2" xfId="5"/>
    <cellStyle name="一般_Sheet1" xfId="2"/>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68"/>
  <sheetViews>
    <sheetView tabSelected="1" workbookViewId="0">
      <pane ySplit="3" topLeftCell="A61" activePane="bottomLeft" state="frozen"/>
      <selection activeCell="K1" sqref="K1"/>
      <selection pane="bottomLeft" activeCell="P59" sqref="P59"/>
    </sheetView>
  </sheetViews>
  <sheetFormatPr defaultRowHeight="15.75"/>
  <cols>
    <col min="2" max="2" width="17.85546875" customWidth="1"/>
    <col min="3" max="3" width="13.7109375" customWidth="1"/>
    <col min="4" max="4" width="22.42578125" customWidth="1"/>
    <col min="5" max="5" width="18.5703125" customWidth="1"/>
    <col min="10" max="10" width="31.7109375" customWidth="1"/>
    <col min="11" max="11" width="14" customWidth="1"/>
    <col min="12" max="12" width="14.5703125" customWidth="1"/>
    <col min="13" max="13" width="23.5703125" customWidth="1"/>
    <col min="14" max="14" width="23.7109375" customWidth="1"/>
    <col min="15" max="15" width="17.28515625" customWidth="1"/>
    <col min="16" max="16" width="15.85546875" customWidth="1"/>
    <col min="17" max="17" width="20.28515625" customWidth="1"/>
    <col min="18" max="18" width="18.28515625" customWidth="1"/>
    <col min="19" max="19" width="42.7109375" customWidth="1"/>
    <col min="20" max="20" width="22.42578125" customWidth="1"/>
    <col min="21" max="21" width="15.140625" customWidth="1"/>
    <col min="22" max="22" width="17.5703125" customWidth="1"/>
    <col min="23" max="23" width="20" customWidth="1"/>
  </cols>
  <sheetData>
    <row r="1" spans="1:28">
      <c r="A1" s="1"/>
      <c r="B1" s="1"/>
      <c r="C1" s="1"/>
      <c r="D1" s="1"/>
      <c r="E1" s="1"/>
      <c r="F1" s="1"/>
      <c r="G1" s="1"/>
      <c r="H1" s="1"/>
      <c r="I1" s="2">
        <v>63</v>
      </c>
      <c r="J1" s="1"/>
      <c r="K1" s="1"/>
      <c r="L1" s="1"/>
      <c r="M1" s="1"/>
      <c r="N1" s="27">
        <f>SUM(N4:N112)</f>
        <v>15167850.600000005</v>
      </c>
      <c r="O1" s="1"/>
      <c r="P1" s="1"/>
      <c r="Q1" s="1"/>
      <c r="R1" s="1"/>
      <c r="S1" s="1"/>
      <c r="T1" s="1"/>
      <c r="U1" s="1"/>
      <c r="V1" s="1"/>
      <c r="W1" s="3">
        <f>SUM(W4:W103)</f>
        <v>15167850.612000003</v>
      </c>
      <c r="X1" s="1"/>
      <c r="Y1" s="1"/>
      <c r="Z1" s="1"/>
      <c r="AA1" s="1"/>
      <c r="AB1" s="1"/>
    </row>
    <row r="2" spans="1:28" ht="25.5">
      <c r="A2" s="71" t="s">
        <v>0</v>
      </c>
      <c r="B2" s="72" t="s">
        <v>1</v>
      </c>
      <c r="C2" s="72" t="s">
        <v>2</v>
      </c>
      <c r="D2" s="71" t="s">
        <v>3</v>
      </c>
      <c r="E2" s="71" t="s">
        <v>4</v>
      </c>
      <c r="F2" s="71" t="s">
        <v>5</v>
      </c>
      <c r="G2" s="71" t="s">
        <v>6</v>
      </c>
      <c r="H2" s="71" t="s">
        <v>7</v>
      </c>
      <c r="I2" s="71" t="s">
        <v>8</v>
      </c>
      <c r="J2" s="71" t="s">
        <v>9</v>
      </c>
      <c r="K2" s="73" t="s">
        <v>10</v>
      </c>
      <c r="L2" s="73"/>
      <c r="M2" s="74"/>
      <c r="N2" s="69" t="s">
        <v>11</v>
      </c>
      <c r="O2" s="70"/>
      <c r="P2" s="62" t="s">
        <v>12</v>
      </c>
      <c r="Q2" s="63"/>
      <c r="R2" s="64" t="s">
        <v>13</v>
      </c>
      <c r="S2" s="28" t="s">
        <v>14</v>
      </c>
      <c r="T2" s="65" t="s">
        <v>15</v>
      </c>
      <c r="U2" s="66" t="s">
        <v>16</v>
      </c>
      <c r="V2" s="66" t="s">
        <v>17</v>
      </c>
      <c r="W2" s="67" t="s">
        <v>18</v>
      </c>
      <c r="X2" s="60" t="s">
        <v>19</v>
      </c>
      <c r="Y2" s="60" t="s">
        <v>20</v>
      </c>
      <c r="Z2" s="6"/>
      <c r="AA2" s="5"/>
      <c r="AB2" s="1"/>
    </row>
    <row r="3" spans="1:28" ht="51">
      <c r="A3" s="71"/>
      <c r="B3" s="72"/>
      <c r="C3" s="72"/>
      <c r="D3" s="71"/>
      <c r="E3" s="71"/>
      <c r="F3" s="71"/>
      <c r="G3" s="71"/>
      <c r="H3" s="71"/>
      <c r="I3" s="71"/>
      <c r="J3" s="71"/>
      <c r="K3" s="7" t="s">
        <v>21</v>
      </c>
      <c r="L3" s="4" t="s">
        <v>22</v>
      </c>
      <c r="M3" s="8" t="s">
        <v>23</v>
      </c>
      <c r="N3" s="9" t="s">
        <v>24</v>
      </c>
      <c r="O3" s="9" t="s">
        <v>25</v>
      </c>
      <c r="P3" s="10" t="s">
        <v>21</v>
      </c>
      <c r="Q3" s="11" t="s">
        <v>22</v>
      </c>
      <c r="R3" s="64"/>
      <c r="S3" s="12" t="s">
        <v>26</v>
      </c>
      <c r="T3" s="65"/>
      <c r="U3" s="66"/>
      <c r="V3" s="66"/>
      <c r="W3" s="68"/>
      <c r="X3" s="61"/>
      <c r="Y3" s="61"/>
      <c r="Z3" s="6" t="s">
        <v>27</v>
      </c>
      <c r="AA3" s="5" t="s">
        <v>28</v>
      </c>
      <c r="AB3" s="5" t="s">
        <v>29</v>
      </c>
    </row>
    <row r="4" spans="1:28" ht="38.25">
      <c r="A4" s="13">
        <v>1</v>
      </c>
      <c r="B4" s="26">
        <v>46035</v>
      </c>
      <c r="C4" s="13" t="s">
        <v>30</v>
      </c>
      <c r="D4" s="13" t="s">
        <v>31</v>
      </c>
      <c r="E4" s="34" t="s">
        <v>32</v>
      </c>
      <c r="F4" s="15" t="s">
        <v>33</v>
      </c>
      <c r="G4" s="15">
        <v>645606</v>
      </c>
      <c r="H4" s="26">
        <v>46035</v>
      </c>
      <c r="I4" s="14">
        <v>6255901</v>
      </c>
      <c r="J4" s="16" t="s">
        <v>34</v>
      </c>
      <c r="K4" s="26">
        <v>46081</v>
      </c>
      <c r="L4" s="26">
        <v>46445</v>
      </c>
      <c r="M4" s="16" t="s">
        <v>35</v>
      </c>
      <c r="N4" s="17">
        <v>146171.60999999999</v>
      </c>
      <c r="O4" s="18">
        <v>18801.900000000001</v>
      </c>
      <c r="P4" s="19">
        <v>46081</v>
      </c>
      <c r="Q4" s="19">
        <v>46445</v>
      </c>
      <c r="R4" s="20" t="s">
        <v>36</v>
      </c>
      <c r="S4" s="21" t="s">
        <v>37</v>
      </c>
      <c r="T4" s="35">
        <v>46038</v>
      </c>
      <c r="U4" s="36" t="s">
        <v>38</v>
      </c>
      <c r="V4" s="37"/>
      <c r="W4" s="22">
        <v>146171.60999999999</v>
      </c>
      <c r="X4" s="20" t="s">
        <v>39</v>
      </c>
      <c r="Y4" s="23" t="s">
        <v>40</v>
      </c>
      <c r="Z4" s="24">
        <v>46035</v>
      </c>
      <c r="AA4" s="25">
        <v>46023</v>
      </c>
      <c r="AB4" s="33" t="s">
        <v>41</v>
      </c>
    </row>
    <row r="5" spans="1:28" ht="114.75">
      <c r="A5" s="13">
        <v>2</v>
      </c>
      <c r="B5" s="26">
        <v>46037</v>
      </c>
      <c r="C5" s="13" t="s">
        <v>30</v>
      </c>
      <c r="D5" s="13" t="s">
        <v>42</v>
      </c>
      <c r="E5" s="34" t="s">
        <v>43</v>
      </c>
      <c r="F5" s="15" t="s">
        <v>33</v>
      </c>
      <c r="G5" s="15">
        <v>645606</v>
      </c>
      <c r="H5" s="26">
        <v>46037</v>
      </c>
      <c r="I5" s="14">
        <v>6256688</v>
      </c>
      <c r="J5" s="16" t="s">
        <v>44</v>
      </c>
      <c r="K5" s="26">
        <v>45931</v>
      </c>
      <c r="L5" s="26">
        <v>46295</v>
      </c>
      <c r="M5" s="16" t="s">
        <v>45</v>
      </c>
      <c r="N5" s="17">
        <v>209524.46</v>
      </c>
      <c r="O5" s="18">
        <v>26950.91</v>
      </c>
      <c r="P5" s="19">
        <v>46081</v>
      </c>
      <c r="Q5" s="19">
        <v>46445</v>
      </c>
      <c r="R5" s="20" t="s">
        <v>46</v>
      </c>
      <c r="S5" s="21" t="s">
        <v>47</v>
      </c>
      <c r="T5" s="35">
        <v>46041</v>
      </c>
      <c r="U5" s="36" t="s">
        <v>48</v>
      </c>
      <c r="V5" s="37"/>
      <c r="W5" s="22">
        <v>209524.46</v>
      </c>
      <c r="X5" s="20" t="s">
        <v>49</v>
      </c>
      <c r="Y5" s="23" t="s">
        <v>50</v>
      </c>
      <c r="Z5" s="24">
        <v>46037</v>
      </c>
      <c r="AA5" s="25">
        <v>46023</v>
      </c>
      <c r="AB5" s="33" t="s">
        <v>51</v>
      </c>
    </row>
    <row r="6" spans="1:28" ht="38.25">
      <c r="A6" s="13">
        <v>3</v>
      </c>
      <c r="B6" s="26">
        <v>46041</v>
      </c>
      <c r="C6" s="13" t="s">
        <v>30</v>
      </c>
      <c r="D6" s="13" t="s">
        <v>52</v>
      </c>
      <c r="E6" s="34" t="s">
        <v>32</v>
      </c>
      <c r="F6" s="15" t="s">
        <v>33</v>
      </c>
      <c r="G6" s="15">
        <v>645606</v>
      </c>
      <c r="H6" s="26">
        <v>46041</v>
      </c>
      <c r="I6" s="14">
        <v>6257761</v>
      </c>
      <c r="J6" s="16" t="s">
        <v>53</v>
      </c>
      <c r="K6" s="26">
        <v>46031</v>
      </c>
      <c r="L6" s="26">
        <v>46395</v>
      </c>
      <c r="M6" s="16" t="s">
        <v>54</v>
      </c>
      <c r="N6" s="17">
        <v>2588.2199999999998</v>
      </c>
      <c r="O6" s="18">
        <v>332.92</v>
      </c>
      <c r="P6" s="19">
        <v>46031</v>
      </c>
      <c r="Q6" s="19">
        <v>46395</v>
      </c>
      <c r="R6" s="20" t="s">
        <v>36</v>
      </c>
      <c r="S6" s="21" t="s">
        <v>55</v>
      </c>
      <c r="T6" s="35">
        <v>46043</v>
      </c>
      <c r="U6" s="36" t="s">
        <v>56</v>
      </c>
      <c r="V6" s="37"/>
      <c r="W6" s="22">
        <v>2588.2199999999998</v>
      </c>
      <c r="X6" s="20" t="s">
        <v>57</v>
      </c>
      <c r="Y6" s="23" t="s">
        <v>40</v>
      </c>
      <c r="Z6" s="24">
        <v>46041</v>
      </c>
      <c r="AA6" s="25">
        <v>46023</v>
      </c>
      <c r="AB6" s="33" t="s">
        <v>58</v>
      </c>
    </row>
    <row r="7" spans="1:28" ht="76.5">
      <c r="A7" s="13">
        <v>4</v>
      </c>
      <c r="B7" s="26">
        <v>46041</v>
      </c>
      <c r="C7" s="13" t="s">
        <v>30</v>
      </c>
      <c r="D7" s="13" t="s">
        <v>59</v>
      </c>
      <c r="E7" s="34" t="s">
        <v>32</v>
      </c>
      <c r="F7" s="15" t="s">
        <v>33</v>
      </c>
      <c r="G7" s="15">
        <v>645606</v>
      </c>
      <c r="H7" s="26">
        <v>46041</v>
      </c>
      <c r="I7" s="14">
        <v>6257762</v>
      </c>
      <c r="J7" s="16" t="s">
        <v>53</v>
      </c>
      <c r="K7" s="26">
        <v>46031</v>
      </c>
      <c r="L7" s="26">
        <v>46395</v>
      </c>
      <c r="M7" s="16" t="s">
        <v>54</v>
      </c>
      <c r="N7" s="17">
        <v>1570</v>
      </c>
      <c r="O7" s="18"/>
      <c r="P7" s="19">
        <v>46031</v>
      </c>
      <c r="Q7" s="19">
        <v>46395</v>
      </c>
      <c r="R7" s="20" t="s">
        <v>60</v>
      </c>
      <c r="S7" s="21" t="s">
        <v>61</v>
      </c>
      <c r="T7" s="35">
        <v>46045</v>
      </c>
      <c r="U7" s="36" t="s">
        <v>62</v>
      </c>
      <c r="V7" s="37"/>
      <c r="W7" s="22">
        <v>1570</v>
      </c>
      <c r="X7" s="20" t="s">
        <v>57</v>
      </c>
      <c r="Y7" s="23" t="s">
        <v>40</v>
      </c>
      <c r="Z7" s="24">
        <v>46041</v>
      </c>
      <c r="AA7" s="25">
        <v>46023</v>
      </c>
      <c r="AB7" s="33" t="s">
        <v>58</v>
      </c>
    </row>
    <row r="8" spans="1:28" ht="165.75">
      <c r="A8" s="13">
        <v>5</v>
      </c>
      <c r="B8" s="26">
        <v>46043</v>
      </c>
      <c r="C8" s="13" t="s">
        <v>30</v>
      </c>
      <c r="D8" s="13" t="s">
        <v>63</v>
      </c>
      <c r="E8" s="34" t="s">
        <v>32</v>
      </c>
      <c r="F8" s="15" t="s">
        <v>33</v>
      </c>
      <c r="G8" s="15">
        <v>645606</v>
      </c>
      <c r="H8" s="26">
        <v>46043</v>
      </c>
      <c r="I8" s="14">
        <v>6258357</v>
      </c>
      <c r="J8" s="16" t="s">
        <v>64</v>
      </c>
      <c r="K8" s="26">
        <v>46214</v>
      </c>
      <c r="L8" s="26">
        <v>47309</v>
      </c>
      <c r="M8" s="16" t="s">
        <v>65</v>
      </c>
      <c r="N8" s="17">
        <v>566326.65</v>
      </c>
      <c r="O8" s="18">
        <v>72846</v>
      </c>
      <c r="P8" s="19">
        <v>46214</v>
      </c>
      <c r="Q8" s="19">
        <v>47309</v>
      </c>
      <c r="R8" s="20" t="s">
        <v>66</v>
      </c>
      <c r="S8" s="21" t="s">
        <v>67</v>
      </c>
      <c r="T8" s="35">
        <v>46056</v>
      </c>
      <c r="U8" s="36" t="s">
        <v>68</v>
      </c>
      <c r="V8" s="37"/>
      <c r="W8" s="22">
        <v>566326.65</v>
      </c>
      <c r="X8" s="20" t="s">
        <v>69</v>
      </c>
      <c r="Y8" s="23" t="s">
        <v>40</v>
      </c>
      <c r="Z8" s="24">
        <v>46043</v>
      </c>
      <c r="AA8" s="25">
        <v>46023</v>
      </c>
      <c r="AB8" s="33" t="s">
        <v>70</v>
      </c>
    </row>
    <row r="9" spans="1:28" ht="331.5">
      <c r="A9" s="13">
        <v>6</v>
      </c>
      <c r="B9" s="26">
        <v>46048</v>
      </c>
      <c r="C9" s="13" t="s">
        <v>30</v>
      </c>
      <c r="D9" s="13" t="s">
        <v>71</v>
      </c>
      <c r="E9" s="34" t="s">
        <v>32</v>
      </c>
      <c r="F9" s="15" t="s">
        <v>33</v>
      </c>
      <c r="G9" s="15">
        <v>645606</v>
      </c>
      <c r="H9" s="26">
        <v>46048</v>
      </c>
      <c r="I9" s="14">
        <v>6259591</v>
      </c>
      <c r="J9" s="16" t="s">
        <v>72</v>
      </c>
      <c r="K9" s="26">
        <v>45413</v>
      </c>
      <c r="L9" s="26">
        <v>46142</v>
      </c>
      <c r="M9" s="16" t="s">
        <v>73</v>
      </c>
      <c r="N9" s="17">
        <v>21117.25</v>
      </c>
      <c r="O9" s="18">
        <v>2716.29</v>
      </c>
      <c r="P9" s="19">
        <v>45413</v>
      </c>
      <c r="Q9" s="19">
        <v>46142</v>
      </c>
      <c r="R9" s="20" t="s">
        <v>74</v>
      </c>
      <c r="S9" s="21" t="s">
        <v>75</v>
      </c>
      <c r="T9" s="35">
        <v>46050</v>
      </c>
      <c r="U9" s="38" t="s">
        <v>76</v>
      </c>
      <c r="V9" s="37"/>
      <c r="W9" s="22">
        <v>21117.25</v>
      </c>
      <c r="X9" s="20" t="s">
        <v>77</v>
      </c>
      <c r="Y9" s="23" t="s">
        <v>40</v>
      </c>
      <c r="Z9" s="24">
        <v>46048</v>
      </c>
      <c r="AA9" s="25">
        <v>46023</v>
      </c>
      <c r="AB9" s="33" t="s">
        <v>78</v>
      </c>
    </row>
    <row r="10" spans="1:28" ht="267.75">
      <c r="A10" s="13">
        <v>7</v>
      </c>
      <c r="B10" s="26">
        <v>46052</v>
      </c>
      <c r="C10" s="13" t="s">
        <v>30</v>
      </c>
      <c r="D10" s="13" t="s">
        <v>79</v>
      </c>
      <c r="E10" s="34" t="s">
        <v>32</v>
      </c>
      <c r="F10" s="15" t="s">
        <v>33</v>
      </c>
      <c r="G10" s="15">
        <v>645606</v>
      </c>
      <c r="H10" s="26">
        <v>46052</v>
      </c>
      <c r="I10" s="14">
        <v>6261076</v>
      </c>
      <c r="J10" s="16" t="s">
        <v>80</v>
      </c>
      <c r="K10" s="26">
        <v>46054</v>
      </c>
      <c r="L10" s="26">
        <v>46418</v>
      </c>
      <c r="M10" s="16" t="s">
        <v>81</v>
      </c>
      <c r="N10" s="17">
        <v>181097.65</v>
      </c>
      <c r="O10" s="18">
        <v>23294.400000000001</v>
      </c>
      <c r="P10" s="19">
        <v>46054</v>
      </c>
      <c r="Q10" s="19">
        <v>46418</v>
      </c>
      <c r="R10" s="20" t="s">
        <v>82</v>
      </c>
      <c r="S10" s="21" t="s">
        <v>83</v>
      </c>
      <c r="T10" s="35">
        <v>46055</v>
      </c>
      <c r="U10" s="38" t="s">
        <v>84</v>
      </c>
      <c r="V10" s="37"/>
      <c r="W10" s="32">
        <v>181097.65</v>
      </c>
      <c r="X10" s="20" t="s">
        <v>77</v>
      </c>
      <c r="Y10" s="23" t="s">
        <v>40</v>
      </c>
      <c r="Z10" s="24">
        <v>46052</v>
      </c>
      <c r="AA10" s="25">
        <v>46023</v>
      </c>
      <c r="AB10" s="33" t="s">
        <v>85</v>
      </c>
    </row>
    <row r="11" spans="1:28" ht="38.25">
      <c r="A11" s="13">
        <v>8</v>
      </c>
      <c r="B11" s="26">
        <v>46065</v>
      </c>
      <c r="C11" s="13" t="s">
        <v>30</v>
      </c>
      <c r="D11" s="13" t="s">
        <v>86</v>
      </c>
      <c r="E11" s="34" t="s">
        <v>32</v>
      </c>
      <c r="F11" s="15" t="s">
        <v>33</v>
      </c>
      <c r="G11" s="15">
        <v>645606</v>
      </c>
      <c r="H11" s="26">
        <v>46065</v>
      </c>
      <c r="I11" s="14">
        <v>6265601</v>
      </c>
      <c r="J11" s="16" t="s">
        <v>87</v>
      </c>
      <c r="K11" s="26">
        <v>46023</v>
      </c>
      <c r="L11" s="26">
        <v>47118</v>
      </c>
      <c r="M11" s="16" t="s">
        <v>88</v>
      </c>
      <c r="N11" s="17">
        <v>1290788.06</v>
      </c>
      <c r="O11" s="18">
        <v>165485.65</v>
      </c>
      <c r="P11" s="19">
        <v>46023</v>
      </c>
      <c r="Q11" s="19">
        <v>47118</v>
      </c>
      <c r="R11" s="20" t="s">
        <v>36</v>
      </c>
      <c r="S11" s="21" t="s">
        <v>89</v>
      </c>
      <c r="T11" s="35">
        <v>46066</v>
      </c>
      <c r="U11" s="36" t="s">
        <v>90</v>
      </c>
      <c r="V11" s="37"/>
      <c r="W11" s="22">
        <v>1290788.07</v>
      </c>
      <c r="X11" s="20" t="s">
        <v>91</v>
      </c>
      <c r="Y11" s="23" t="s">
        <v>40</v>
      </c>
      <c r="Z11" s="24">
        <v>46065</v>
      </c>
      <c r="AA11" s="25">
        <v>46054</v>
      </c>
      <c r="AB11" s="33" t="s">
        <v>92</v>
      </c>
    </row>
    <row r="12" spans="1:28" ht="127.5">
      <c r="A12" s="13">
        <v>9</v>
      </c>
      <c r="B12" s="26">
        <v>46077</v>
      </c>
      <c r="C12" s="13" t="s">
        <v>30</v>
      </c>
      <c r="D12" s="13" t="s">
        <v>93</v>
      </c>
      <c r="E12" s="34" t="s">
        <v>32</v>
      </c>
      <c r="F12" s="15" t="s">
        <v>33</v>
      </c>
      <c r="G12" s="15">
        <v>645606</v>
      </c>
      <c r="H12" s="26">
        <v>46077</v>
      </c>
      <c r="I12" s="14">
        <v>6267739</v>
      </c>
      <c r="J12" s="16" t="s">
        <v>94</v>
      </c>
      <c r="K12" s="26">
        <v>46388</v>
      </c>
      <c r="L12" s="26">
        <v>46538</v>
      </c>
      <c r="M12" s="16" t="s">
        <v>95</v>
      </c>
      <c r="N12" s="17">
        <v>31153.200000000001</v>
      </c>
      <c r="O12" s="18">
        <v>3994</v>
      </c>
      <c r="P12" s="39">
        <v>46388</v>
      </c>
      <c r="Q12" s="19">
        <v>46538</v>
      </c>
      <c r="R12" s="20" t="s">
        <v>66</v>
      </c>
      <c r="S12" s="21" t="s">
        <v>96</v>
      </c>
      <c r="T12" s="35">
        <v>46080</v>
      </c>
      <c r="U12" s="38" t="s">
        <v>97</v>
      </c>
      <c r="V12" s="37"/>
      <c r="W12" s="32">
        <v>31153.200000000001</v>
      </c>
      <c r="X12" s="20" t="s">
        <v>98</v>
      </c>
      <c r="Y12" s="23" t="s">
        <v>40</v>
      </c>
      <c r="Z12" s="24">
        <v>46077</v>
      </c>
      <c r="AA12" s="25">
        <v>46054</v>
      </c>
      <c r="AB12" s="33" t="s">
        <v>99</v>
      </c>
    </row>
    <row r="13" spans="1:28" ht="127.5">
      <c r="A13" s="13">
        <v>10</v>
      </c>
      <c r="B13" s="26">
        <v>46078</v>
      </c>
      <c r="C13" s="13" t="s">
        <v>30</v>
      </c>
      <c r="D13" s="13" t="s">
        <v>100</v>
      </c>
      <c r="E13" s="34" t="s">
        <v>32</v>
      </c>
      <c r="F13" s="15" t="s">
        <v>33</v>
      </c>
      <c r="G13" s="15">
        <v>645606</v>
      </c>
      <c r="H13" s="26">
        <v>46078</v>
      </c>
      <c r="I13" s="14">
        <v>6268039</v>
      </c>
      <c r="J13" s="16" t="s">
        <v>94</v>
      </c>
      <c r="K13" s="26">
        <v>46033</v>
      </c>
      <c r="L13" s="26">
        <v>46397</v>
      </c>
      <c r="M13" s="16" t="s">
        <v>101</v>
      </c>
      <c r="N13" s="17">
        <v>404032.2</v>
      </c>
      <c r="O13" s="18">
        <v>51799</v>
      </c>
      <c r="P13" s="39">
        <v>46068</v>
      </c>
      <c r="Q13" s="19">
        <v>46432</v>
      </c>
      <c r="R13" s="20" t="s">
        <v>66</v>
      </c>
      <c r="S13" s="21" t="s">
        <v>102</v>
      </c>
      <c r="T13" s="35">
        <v>46080</v>
      </c>
      <c r="U13" s="38" t="s">
        <v>103</v>
      </c>
      <c r="V13" s="37"/>
      <c r="W13" s="32">
        <v>404032.2</v>
      </c>
      <c r="X13" s="20" t="s">
        <v>98</v>
      </c>
      <c r="Y13" s="23" t="s">
        <v>40</v>
      </c>
      <c r="Z13" s="24">
        <v>46078</v>
      </c>
      <c r="AA13" s="25">
        <v>46054</v>
      </c>
      <c r="AB13" s="33" t="s">
        <v>104</v>
      </c>
    </row>
    <row r="14" spans="1:28" ht="38.25">
      <c r="A14" s="13">
        <v>11</v>
      </c>
      <c r="B14" s="26">
        <v>46078</v>
      </c>
      <c r="C14" s="13" t="s">
        <v>30</v>
      </c>
      <c r="D14" s="13" t="s">
        <v>105</v>
      </c>
      <c r="E14" s="34" t="s">
        <v>43</v>
      </c>
      <c r="F14" s="15" t="s">
        <v>33</v>
      </c>
      <c r="G14" s="15">
        <v>645606</v>
      </c>
      <c r="H14" s="26">
        <v>46078</v>
      </c>
      <c r="I14" s="14">
        <v>6268049</v>
      </c>
      <c r="J14" s="16" t="s">
        <v>94</v>
      </c>
      <c r="K14" s="26">
        <v>46068</v>
      </c>
      <c r="L14" s="26">
        <v>46432</v>
      </c>
      <c r="M14" s="16" t="s">
        <v>106</v>
      </c>
      <c r="N14" s="17">
        <v>527507.76</v>
      </c>
      <c r="O14" s="18">
        <v>67629.2</v>
      </c>
      <c r="P14" s="39">
        <v>46082</v>
      </c>
      <c r="Q14" s="19">
        <v>46446</v>
      </c>
      <c r="R14" s="20" t="s">
        <v>46</v>
      </c>
      <c r="S14" s="21" t="s">
        <v>107</v>
      </c>
      <c r="T14" s="35">
        <v>46080</v>
      </c>
      <c r="U14" s="38" t="s">
        <v>108</v>
      </c>
      <c r="V14" s="37"/>
      <c r="W14" s="32">
        <v>527507.76</v>
      </c>
      <c r="X14" s="20" t="s">
        <v>98</v>
      </c>
      <c r="Y14" s="23" t="s">
        <v>50</v>
      </c>
      <c r="Z14" s="24">
        <v>46078</v>
      </c>
      <c r="AA14" s="25">
        <v>46054</v>
      </c>
      <c r="AB14" s="33" t="s">
        <v>104</v>
      </c>
    </row>
    <row r="15" spans="1:28" ht="38.25">
      <c r="A15" s="13">
        <v>12</v>
      </c>
      <c r="B15" s="26">
        <v>46078</v>
      </c>
      <c r="C15" s="13" t="s">
        <v>30</v>
      </c>
      <c r="D15" s="13" t="s">
        <v>109</v>
      </c>
      <c r="E15" s="34" t="s">
        <v>43</v>
      </c>
      <c r="F15" s="15" t="s">
        <v>33</v>
      </c>
      <c r="G15" s="15">
        <v>645606</v>
      </c>
      <c r="H15" s="26">
        <v>46078</v>
      </c>
      <c r="I15" s="14">
        <v>6268053</v>
      </c>
      <c r="J15" s="16" t="s">
        <v>94</v>
      </c>
      <c r="K15" s="26">
        <v>46068</v>
      </c>
      <c r="L15" s="26">
        <v>46432</v>
      </c>
      <c r="M15" s="16" t="s">
        <v>106</v>
      </c>
      <c r="N15" s="17">
        <v>1935601.9</v>
      </c>
      <c r="O15" s="18">
        <v>248154.09</v>
      </c>
      <c r="P15" s="39">
        <v>46082</v>
      </c>
      <c r="Q15" s="19">
        <v>46446</v>
      </c>
      <c r="R15" s="20" t="s">
        <v>46</v>
      </c>
      <c r="S15" s="21" t="s">
        <v>110</v>
      </c>
      <c r="T15" s="35">
        <v>46080</v>
      </c>
      <c r="U15" s="38" t="s">
        <v>111</v>
      </c>
      <c r="V15" s="37"/>
      <c r="W15" s="32">
        <v>1935601.902</v>
      </c>
      <c r="X15" s="20" t="s">
        <v>98</v>
      </c>
      <c r="Y15" s="23" t="s">
        <v>50</v>
      </c>
      <c r="Z15" s="24">
        <v>46078</v>
      </c>
      <c r="AA15" s="25">
        <v>46054</v>
      </c>
      <c r="AB15" s="33" t="s">
        <v>104</v>
      </c>
    </row>
    <row r="16" spans="1:28" ht="153">
      <c r="A16" s="13">
        <v>13</v>
      </c>
      <c r="B16" s="26">
        <v>46079</v>
      </c>
      <c r="C16" s="13" t="s">
        <v>30</v>
      </c>
      <c r="D16" s="13" t="s">
        <v>112</v>
      </c>
      <c r="E16" s="34" t="s">
        <v>32</v>
      </c>
      <c r="F16" s="15" t="s">
        <v>33</v>
      </c>
      <c r="G16" s="15">
        <v>645606</v>
      </c>
      <c r="H16" s="26">
        <v>46079</v>
      </c>
      <c r="I16" s="14">
        <v>6268559</v>
      </c>
      <c r="J16" s="16" t="s">
        <v>87</v>
      </c>
      <c r="K16" s="26">
        <v>46023</v>
      </c>
      <c r="L16" s="26">
        <v>46387</v>
      </c>
      <c r="M16" s="16" t="s">
        <v>113</v>
      </c>
      <c r="N16" s="17">
        <v>46800</v>
      </c>
      <c r="O16" s="18"/>
      <c r="P16" s="19">
        <v>46023</v>
      </c>
      <c r="Q16" s="19">
        <v>46387</v>
      </c>
      <c r="R16" s="20" t="s">
        <v>114</v>
      </c>
      <c r="S16" s="21" t="s">
        <v>115</v>
      </c>
      <c r="T16" s="35">
        <v>46086</v>
      </c>
      <c r="U16" s="36" t="s">
        <v>116</v>
      </c>
      <c r="V16" s="37"/>
      <c r="W16" s="22">
        <v>46800</v>
      </c>
      <c r="X16" s="20" t="s">
        <v>91</v>
      </c>
      <c r="Y16" s="23" t="s">
        <v>40</v>
      </c>
      <c r="Z16" s="24">
        <v>46079</v>
      </c>
      <c r="AA16" s="25">
        <v>46054</v>
      </c>
      <c r="AB16" s="33" t="s">
        <v>92</v>
      </c>
    </row>
    <row r="17" spans="1:28" ht="204">
      <c r="A17" s="13">
        <v>14</v>
      </c>
      <c r="B17" s="26">
        <v>46079</v>
      </c>
      <c r="C17" s="13" t="s">
        <v>30</v>
      </c>
      <c r="D17" s="13" t="s">
        <v>117</v>
      </c>
      <c r="E17" s="34" t="s">
        <v>32</v>
      </c>
      <c r="F17" s="15" t="s">
        <v>33</v>
      </c>
      <c r="G17" s="15">
        <v>645606</v>
      </c>
      <c r="H17" s="26">
        <v>46079</v>
      </c>
      <c r="I17" s="14">
        <v>6268628</v>
      </c>
      <c r="J17" s="16" t="s">
        <v>87</v>
      </c>
      <c r="K17" s="26">
        <v>46023</v>
      </c>
      <c r="L17" s="26">
        <v>46387</v>
      </c>
      <c r="M17" s="16" t="s">
        <v>113</v>
      </c>
      <c r="N17" s="17">
        <v>172400</v>
      </c>
      <c r="O17" s="18"/>
      <c r="P17" s="39" t="s">
        <v>118</v>
      </c>
      <c r="Q17" s="39" t="s">
        <v>119</v>
      </c>
      <c r="R17" s="20" t="s">
        <v>120</v>
      </c>
      <c r="S17" s="21" t="s">
        <v>121</v>
      </c>
      <c r="T17" s="35">
        <v>46085</v>
      </c>
      <c r="U17" s="36" t="s">
        <v>122</v>
      </c>
      <c r="V17" s="37"/>
      <c r="W17" s="22">
        <v>172400</v>
      </c>
      <c r="X17" s="20" t="s">
        <v>91</v>
      </c>
      <c r="Y17" s="23" t="s">
        <v>40</v>
      </c>
      <c r="Z17" s="24">
        <v>46079</v>
      </c>
      <c r="AA17" s="25">
        <v>46054</v>
      </c>
      <c r="AB17" s="33" t="s">
        <v>92</v>
      </c>
    </row>
    <row r="18" spans="1:28" ht="38.25">
      <c r="A18" s="13">
        <v>15</v>
      </c>
      <c r="B18" s="26">
        <v>46080</v>
      </c>
      <c r="C18" s="13" t="s">
        <v>30</v>
      </c>
      <c r="D18" s="13" t="s">
        <v>123</v>
      </c>
      <c r="E18" s="34" t="s">
        <v>32</v>
      </c>
      <c r="F18" s="15" t="s">
        <v>33</v>
      </c>
      <c r="G18" s="15">
        <v>645606</v>
      </c>
      <c r="H18" s="26">
        <v>46080</v>
      </c>
      <c r="I18" s="14">
        <v>6268816</v>
      </c>
      <c r="J18" s="16" t="s">
        <v>124</v>
      </c>
      <c r="K18" s="26">
        <v>46078</v>
      </c>
      <c r="L18" s="26">
        <v>46380</v>
      </c>
      <c r="M18" s="16" t="s">
        <v>125</v>
      </c>
      <c r="N18" s="17">
        <v>4720</v>
      </c>
      <c r="O18" s="18"/>
      <c r="P18" s="39">
        <v>46078</v>
      </c>
      <c r="Q18" s="19">
        <v>46380</v>
      </c>
      <c r="R18" s="20" t="s">
        <v>126</v>
      </c>
      <c r="S18" s="21" t="s">
        <v>127</v>
      </c>
      <c r="T18" s="35">
        <v>46085</v>
      </c>
      <c r="U18" s="38" t="s">
        <v>128</v>
      </c>
      <c r="V18" s="37"/>
      <c r="W18" s="32">
        <v>4720</v>
      </c>
      <c r="X18" s="20" t="s">
        <v>129</v>
      </c>
      <c r="Y18" s="23" t="s">
        <v>40</v>
      </c>
      <c r="Z18" s="24">
        <v>46080</v>
      </c>
      <c r="AA18" s="25">
        <v>46054</v>
      </c>
      <c r="AB18" s="33" t="s">
        <v>130</v>
      </c>
    </row>
    <row r="19" spans="1:28" ht="76.5">
      <c r="A19" s="13">
        <v>16</v>
      </c>
      <c r="B19" s="26">
        <v>46084</v>
      </c>
      <c r="C19" s="13" t="s">
        <v>30</v>
      </c>
      <c r="D19" s="13" t="s">
        <v>131</v>
      </c>
      <c r="E19" s="34" t="s">
        <v>43</v>
      </c>
      <c r="F19" s="15" t="s">
        <v>33</v>
      </c>
      <c r="G19" s="15">
        <v>645606</v>
      </c>
      <c r="H19" s="26">
        <v>46084</v>
      </c>
      <c r="I19" s="14">
        <v>6269622</v>
      </c>
      <c r="J19" s="16" t="s">
        <v>132</v>
      </c>
      <c r="K19" s="26">
        <v>46097</v>
      </c>
      <c r="L19" s="26">
        <v>46461</v>
      </c>
      <c r="M19" s="16" t="s">
        <v>133</v>
      </c>
      <c r="N19" s="17">
        <v>80000</v>
      </c>
      <c r="O19" s="18"/>
      <c r="P19" s="19">
        <v>46097</v>
      </c>
      <c r="Q19" s="19">
        <v>46461</v>
      </c>
      <c r="R19" s="20" t="s">
        <v>134</v>
      </c>
      <c r="S19" s="21" t="s">
        <v>135</v>
      </c>
      <c r="T19" s="35">
        <v>46092</v>
      </c>
      <c r="U19" s="38" t="s">
        <v>136</v>
      </c>
      <c r="V19" s="37"/>
      <c r="W19" s="32">
        <v>80000</v>
      </c>
      <c r="X19" s="20" t="s">
        <v>98</v>
      </c>
      <c r="Y19" s="23" t="s">
        <v>50</v>
      </c>
      <c r="Z19" s="24">
        <v>46084</v>
      </c>
      <c r="AA19" s="25">
        <v>46082</v>
      </c>
      <c r="AB19" s="33" t="s">
        <v>137</v>
      </c>
    </row>
    <row r="20" spans="1:28" ht="51">
      <c r="A20" s="13">
        <v>17</v>
      </c>
      <c r="B20" s="26">
        <v>46090</v>
      </c>
      <c r="C20" s="13" t="s">
        <v>30</v>
      </c>
      <c r="D20" s="13" t="s">
        <v>138</v>
      </c>
      <c r="E20" s="34" t="s">
        <v>32</v>
      </c>
      <c r="F20" s="15" t="s">
        <v>33</v>
      </c>
      <c r="G20" s="15">
        <v>645606</v>
      </c>
      <c r="H20" s="26">
        <v>46090</v>
      </c>
      <c r="I20" s="14">
        <v>6272119</v>
      </c>
      <c r="J20" s="16" t="s">
        <v>139</v>
      </c>
      <c r="K20" s="26">
        <v>46077</v>
      </c>
      <c r="L20" s="26">
        <v>46806</v>
      </c>
      <c r="M20" s="16" t="s">
        <v>140</v>
      </c>
      <c r="N20" s="17">
        <v>314941.82</v>
      </c>
      <c r="O20" s="18">
        <v>40278.01</v>
      </c>
      <c r="P20" s="19">
        <v>46010</v>
      </c>
      <c r="Q20" s="19">
        <v>46806</v>
      </c>
      <c r="R20" s="20" t="s">
        <v>141</v>
      </c>
      <c r="S20" s="21" t="s">
        <v>142</v>
      </c>
      <c r="T20" s="35">
        <v>46098</v>
      </c>
      <c r="U20" s="36" t="s">
        <v>143</v>
      </c>
      <c r="V20" s="37"/>
      <c r="W20" s="22">
        <v>314941.82</v>
      </c>
      <c r="X20" s="20" t="s">
        <v>144</v>
      </c>
      <c r="Y20" s="23" t="s">
        <v>40</v>
      </c>
      <c r="Z20" s="24">
        <v>46090</v>
      </c>
      <c r="AA20" s="25">
        <v>46082</v>
      </c>
      <c r="AB20" s="33" t="s">
        <v>145</v>
      </c>
    </row>
    <row r="21" spans="1:28" ht="51">
      <c r="A21" s="13">
        <v>18</v>
      </c>
      <c r="B21" s="26">
        <v>46090</v>
      </c>
      <c r="C21" s="13" t="s">
        <v>30</v>
      </c>
      <c r="D21" s="13" t="s">
        <v>146</v>
      </c>
      <c r="E21" s="34" t="s">
        <v>32</v>
      </c>
      <c r="F21" s="15" t="s">
        <v>33</v>
      </c>
      <c r="G21" s="15">
        <v>645606</v>
      </c>
      <c r="H21" s="26">
        <v>46090</v>
      </c>
      <c r="I21" s="14">
        <v>6272127</v>
      </c>
      <c r="J21" s="16" t="s">
        <v>139</v>
      </c>
      <c r="K21" s="26">
        <v>46077</v>
      </c>
      <c r="L21" s="26">
        <v>46806</v>
      </c>
      <c r="M21" s="16" t="s">
        <v>140</v>
      </c>
      <c r="N21" s="17">
        <v>41122.11</v>
      </c>
      <c r="O21" s="18">
        <v>5259.12</v>
      </c>
      <c r="P21" s="19">
        <v>46186</v>
      </c>
      <c r="Q21" s="19">
        <v>46806</v>
      </c>
      <c r="R21" s="20" t="s">
        <v>147</v>
      </c>
      <c r="S21" s="21" t="s">
        <v>148</v>
      </c>
      <c r="T21" s="35">
        <v>46098</v>
      </c>
      <c r="U21" s="36" t="s">
        <v>149</v>
      </c>
      <c r="V21" s="37"/>
      <c r="W21" s="22">
        <v>41122.11</v>
      </c>
      <c r="X21" s="20" t="s">
        <v>144</v>
      </c>
      <c r="Y21" s="23" t="s">
        <v>40</v>
      </c>
      <c r="Z21" s="24">
        <v>46090</v>
      </c>
      <c r="AA21" s="25">
        <v>46082</v>
      </c>
      <c r="AB21" s="33" t="s">
        <v>145</v>
      </c>
    </row>
    <row r="22" spans="1:28" ht="63.75">
      <c r="A22" s="13">
        <v>19</v>
      </c>
      <c r="B22" s="26">
        <v>46091</v>
      </c>
      <c r="C22" s="13" t="s">
        <v>30</v>
      </c>
      <c r="D22" s="13" t="s">
        <v>150</v>
      </c>
      <c r="E22" s="34" t="s">
        <v>32</v>
      </c>
      <c r="F22" s="15" t="s">
        <v>33</v>
      </c>
      <c r="G22" s="15">
        <v>645606</v>
      </c>
      <c r="H22" s="26">
        <v>46091</v>
      </c>
      <c r="I22" s="14">
        <v>6272297</v>
      </c>
      <c r="J22" s="16" t="s">
        <v>151</v>
      </c>
      <c r="K22" s="26">
        <v>46056</v>
      </c>
      <c r="L22" s="26">
        <v>46420</v>
      </c>
      <c r="M22" s="16" t="s">
        <v>152</v>
      </c>
      <c r="N22" s="17">
        <v>55417.8</v>
      </c>
      <c r="O22" s="18">
        <v>7087.4</v>
      </c>
      <c r="P22" s="19">
        <v>46056</v>
      </c>
      <c r="Q22" s="19">
        <v>46420</v>
      </c>
      <c r="R22" s="20" t="s">
        <v>153</v>
      </c>
      <c r="S22" s="21" t="s">
        <v>154</v>
      </c>
      <c r="T22" s="35">
        <v>46093</v>
      </c>
      <c r="U22" s="36" t="s">
        <v>155</v>
      </c>
      <c r="V22" s="37"/>
      <c r="W22" s="22">
        <v>55417.8</v>
      </c>
      <c r="X22" s="20" t="s">
        <v>49</v>
      </c>
      <c r="Y22" s="23" t="s">
        <v>40</v>
      </c>
      <c r="Z22" s="24">
        <v>46091</v>
      </c>
      <c r="AA22" s="25">
        <v>46082</v>
      </c>
      <c r="AB22" s="33" t="s">
        <v>156</v>
      </c>
    </row>
    <row r="23" spans="1:28" ht="51">
      <c r="A23" s="13">
        <v>20</v>
      </c>
      <c r="B23" s="26">
        <v>46098</v>
      </c>
      <c r="C23" s="13" t="s">
        <v>30</v>
      </c>
      <c r="D23" s="13" t="s">
        <v>157</v>
      </c>
      <c r="E23" s="34" t="s">
        <v>32</v>
      </c>
      <c r="F23" s="15" t="s">
        <v>33</v>
      </c>
      <c r="G23" s="15">
        <v>645606</v>
      </c>
      <c r="H23" s="26">
        <v>46098</v>
      </c>
      <c r="I23" s="14">
        <v>6274641</v>
      </c>
      <c r="J23" s="16" t="s">
        <v>151</v>
      </c>
      <c r="K23" s="26">
        <v>46056</v>
      </c>
      <c r="L23" s="26">
        <v>46420</v>
      </c>
      <c r="M23" s="16" t="s">
        <v>158</v>
      </c>
      <c r="N23" s="17">
        <v>47582.33</v>
      </c>
      <c r="O23" s="18">
        <v>6085.32</v>
      </c>
      <c r="P23" s="19">
        <v>46056</v>
      </c>
      <c r="Q23" s="19">
        <v>46420</v>
      </c>
      <c r="R23" s="20" t="s">
        <v>153</v>
      </c>
      <c r="S23" s="21" t="s">
        <v>159</v>
      </c>
      <c r="T23" s="35">
        <v>46101</v>
      </c>
      <c r="U23" s="36" t="s">
        <v>160</v>
      </c>
      <c r="V23" s="37"/>
      <c r="W23" s="22">
        <v>47582.33</v>
      </c>
      <c r="X23" s="20" t="s">
        <v>49</v>
      </c>
      <c r="Y23" s="23" t="s">
        <v>40</v>
      </c>
      <c r="Z23" s="24">
        <v>46098</v>
      </c>
      <c r="AA23" s="25">
        <v>46082</v>
      </c>
      <c r="AB23" s="33" t="s">
        <v>161</v>
      </c>
    </row>
    <row r="24" spans="1:28" ht="38.25">
      <c r="A24" s="13">
        <v>21</v>
      </c>
      <c r="B24" s="26">
        <v>46105</v>
      </c>
      <c r="C24" s="13" t="s">
        <v>30</v>
      </c>
      <c r="D24" s="13" t="s">
        <v>162</v>
      </c>
      <c r="E24" s="34" t="s">
        <v>32</v>
      </c>
      <c r="F24" s="15" t="s">
        <v>33</v>
      </c>
      <c r="G24" s="15">
        <v>645606</v>
      </c>
      <c r="H24" s="26">
        <v>46105</v>
      </c>
      <c r="I24" s="14">
        <v>6277214</v>
      </c>
      <c r="J24" s="16" t="s">
        <v>163</v>
      </c>
      <c r="K24" s="26">
        <v>46110</v>
      </c>
      <c r="L24" s="26">
        <v>46840</v>
      </c>
      <c r="M24" s="16" t="s">
        <v>164</v>
      </c>
      <c r="N24" s="17">
        <v>581272.43999999994</v>
      </c>
      <c r="O24" s="18">
        <v>74339.12</v>
      </c>
      <c r="P24" s="19">
        <v>46113</v>
      </c>
      <c r="Q24" s="19">
        <v>46843</v>
      </c>
      <c r="R24" s="20" t="s">
        <v>36</v>
      </c>
      <c r="S24" s="21" t="s">
        <v>165</v>
      </c>
      <c r="T24" s="35">
        <v>46108</v>
      </c>
      <c r="U24" s="38" t="s">
        <v>166</v>
      </c>
      <c r="V24" s="37"/>
      <c r="W24" s="32">
        <v>581272.43999999994</v>
      </c>
      <c r="X24" s="20" t="s">
        <v>39</v>
      </c>
      <c r="Y24" s="23" t="s">
        <v>40</v>
      </c>
      <c r="Z24" s="24">
        <v>46105</v>
      </c>
      <c r="AA24" s="25">
        <v>46082</v>
      </c>
      <c r="AB24" s="33" t="s">
        <v>167</v>
      </c>
    </row>
    <row r="25" spans="1:28" ht="38.25">
      <c r="A25" s="13">
        <v>22</v>
      </c>
      <c r="B25" s="26">
        <v>46106</v>
      </c>
      <c r="C25" s="13" t="s">
        <v>30</v>
      </c>
      <c r="D25" s="13" t="s">
        <v>168</v>
      </c>
      <c r="E25" s="34" t="s">
        <v>43</v>
      </c>
      <c r="F25" s="15" t="s">
        <v>33</v>
      </c>
      <c r="G25" s="15">
        <v>645606</v>
      </c>
      <c r="H25" s="26">
        <v>46106</v>
      </c>
      <c r="I25" s="14">
        <v>6277327</v>
      </c>
      <c r="J25" s="16" t="s">
        <v>163</v>
      </c>
      <c r="K25" s="26">
        <v>46110</v>
      </c>
      <c r="L25" s="26">
        <v>46840</v>
      </c>
      <c r="M25" s="16" t="s">
        <v>164</v>
      </c>
      <c r="N25" s="17">
        <v>478728.17</v>
      </c>
      <c r="O25" s="18">
        <v>61224.7</v>
      </c>
      <c r="P25" s="19">
        <v>46143</v>
      </c>
      <c r="Q25" s="19">
        <v>46507</v>
      </c>
      <c r="R25" s="20" t="s">
        <v>46</v>
      </c>
      <c r="S25" s="21" t="s">
        <v>169</v>
      </c>
      <c r="T25" s="35">
        <v>46111</v>
      </c>
      <c r="U25" s="38" t="s">
        <v>170</v>
      </c>
      <c r="V25" s="37"/>
      <c r="W25" s="32">
        <v>478728.17</v>
      </c>
      <c r="X25" s="20" t="s">
        <v>39</v>
      </c>
      <c r="Y25" s="23" t="s">
        <v>50</v>
      </c>
      <c r="Z25" s="24">
        <v>46106</v>
      </c>
      <c r="AA25" s="25">
        <v>46082</v>
      </c>
      <c r="AB25" s="33" t="s">
        <v>167</v>
      </c>
    </row>
    <row r="26" spans="1:28" ht="38.25">
      <c r="A26" s="13">
        <v>23</v>
      </c>
      <c r="B26" s="26">
        <v>46106</v>
      </c>
      <c r="C26" s="13" t="s">
        <v>30</v>
      </c>
      <c r="D26" s="13" t="s">
        <v>171</v>
      </c>
      <c r="E26" s="34" t="s">
        <v>43</v>
      </c>
      <c r="F26" s="15" t="s">
        <v>33</v>
      </c>
      <c r="G26" s="15">
        <v>645606</v>
      </c>
      <c r="H26" s="26">
        <v>46106</v>
      </c>
      <c r="I26" s="14">
        <v>6277349</v>
      </c>
      <c r="J26" s="16" t="s">
        <v>163</v>
      </c>
      <c r="K26" s="26">
        <v>46110</v>
      </c>
      <c r="L26" s="26">
        <v>46840</v>
      </c>
      <c r="M26" s="16" t="s">
        <v>164</v>
      </c>
      <c r="N26" s="17">
        <v>4528.49</v>
      </c>
      <c r="O26" s="18">
        <v>579.15</v>
      </c>
      <c r="P26" s="19">
        <v>46080</v>
      </c>
      <c r="Q26" s="19">
        <v>46444</v>
      </c>
      <c r="R26" s="20" t="s">
        <v>46</v>
      </c>
      <c r="S26" s="21" t="s">
        <v>172</v>
      </c>
      <c r="T26" s="35">
        <v>46108</v>
      </c>
      <c r="U26" s="38" t="s">
        <v>173</v>
      </c>
      <c r="V26" s="37"/>
      <c r="W26" s="32">
        <v>4528.49</v>
      </c>
      <c r="X26" s="20" t="s">
        <v>39</v>
      </c>
      <c r="Y26" s="23" t="s">
        <v>50</v>
      </c>
      <c r="Z26" s="24">
        <v>46106</v>
      </c>
      <c r="AA26" s="25">
        <v>46082</v>
      </c>
      <c r="AB26" s="33" t="s">
        <v>167</v>
      </c>
    </row>
    <row r="27" spans="1:28" ht="38.25">
      <c r="A27" s="13">
        <v>24</v>
      </c>
      <c r="B27" s="26">
        <v>46113</v>
      </c>
      <c r="C27" s="13" t="s">
        <v>30</v>
      </c>
      <c r="D27" s="13" t="s">
        <v>174</v>
      </c>
      <c r="E27" s="34" t="s">
        <v>32</v>
      </c>
      <c r="F27" s="15" t="s">
        <v>33</v>
      </c>
      <c r="G27" s="15">
        <v>645606</v>
      </c>
      <c r="H27" s="26">
        <v>46113</v>
      </c>
      <c r="I27" s="14">
        <v>6279636</v>
      </c>
      <c r="J27" s="16" t="s">
        <v>175</v>
      </c>
      <c r="K27" s="26">
        <v>46113</v>
      </c>
      <c r="L27" s="26">
        <v>46843</v>
      </c>
      <c r="M27" s="16" t="s">
        <v>176</v>
      </c>
      <c r="N27" s="17">
        <v>1852095.91</v>
      </c>
      <c r="O27" s="18">
        <v>236617</v>
      </c>
      <c r="P27" s="39">
        <v>46113</v>
      </c>
      <c r="Q27" s="19">
        <v>46843</v>
      </c>
      <c r="R27" s="20" t="s">
        <v>66</v>
      </c>
      <c r="S27" s="21" t="s">
        <v>177</v>
      </c>
      <c r="T27" s="35">
        <v>46114</v>
      </c>
      <c r="U27" s="38" t="s">
        <v>178</v>
      </c>
      <c r="V27" s="37"/>
      <c r="W27" s="32">
        <v>1852095.91</v>
      </c>
      <c r="X27" s="20" t="s">
        <v>57</v>
      </c>
      <c r="Y27" s="23" t="s">
        <v>40</v>
      </c>
      <c r="Z27" s="24">
        <v>46114</v>
      </c>
      <c r="AA27" s="25">
        <v>46113</v>
      </c>
      <c r="AB27" s="33" t="s">
        <v>179</v>
      </c>
    </row>
    <row r="28" spans="1:28" ht="216.75">
      <c r="A28" s="13">
        <v>25</v>
      </c>
      <c r="B28" s="26">
        <v>46120</v>
      </c>
      <c r="C28" s="13" t="s">
        <v>30</v>
      </c>
      <c r="D28" s="13" t="s">
        <v>180</v>
      </c>
      <c r="E28" s="34" t="s">
        <v>43</v>
      </c>
      <c r="F28" s="15" t="s">
        <v>33</v>
      </c>
      <c r="G28" s="15">
        <v>645606</v>
      </c>
      <c r="H28" s="26">
        <v>46120</v>
      </c>
      <c r="I28" s="14">
        <v>6280920</v>
      </c>
      <c r="J28" s="16" t="s">
        <v>80</v>
      </c>
      <c r="K28" s="26">
        <v>46082</v>
      </c>
      <c r="L28" s="26">
        <v>46112</v>
      </c>
      <c r="M28" s="16" t="s">
        <v>181</v>
      </c>
      <c r="N28" s="17">
        <v>25200</v>
      </c>
      <c r="O28" s="18"/>
      <c r="P28" s="19">
        <v>46082</v>
      </c>
      <c r="Q28" s="19">
        <v>46112</v>
      </c>
      <c r="R28" s="20" t="s">
        <v>182</v>
      </c>
      <c r="S28" s="21" t="s">
        <v>183</v>
      </c>
      <c r="T28" s="35">
        <v>46122</v>
      </c>
      <c r="U28" s="36" t="s">
        <v>184</v>
      </c>
      <c r="V28" s="37"/>
      <c r="W28" s="22">
        <v>25200</v>
      </c>
      <c r="X28" s="20" t="s">
        <v>77</v>
      </c>
      <c r="Y28" s="23" t="s">
        <v>50</v>
      </c>
      <c r="Z28" s="24">
        <v>46120</v>
      </c>
      <c r="AA28" s="25">
        <v>46113</v>
      </c>
      <c r="AB28" s="33" t="s">
        <v>185</v>
      </c>
    </row>
    <row r="29" spans="1:28" ht="38.25">
      <c r="A29" s="13">
        <v>26</v>
      </c>
      <c r="B29" s="26">
        <v>46125</v>
      </c>
      <c r="C29" s="13" t="s">
        <v>30</v>
      </c>
      <c r="D29" s="13" t="s">
        <v>186</v>
      </c>
      <c r="E29" s="34" t="s">
        <v>32</v>
      </c>
      <c r="F29" s="15" t="s">
        <v>33</v>
      </c>
      <c r="G29" s="15">
        <v>645606</v>
      </c>
      <c r="H29" s="26">
        <v>46125</v>
      </c>
      <c r="I29" s="14">
        <v>6281975</v>
      </c>
      <c r="J29" s="16" t="s">
        <v>187</v>
      </c>
      <c r="K29" s="26">
        <v>46158</v>
      </c>
      <c r="L29" s="26">
        <v>46522</v>
      </c>
      <c r="M29" s="16" t="s">
        <v>188</v>
      </c>
      <c r="N29" s="17">
        <v>15208.72</v>
      </c>
      <c r="O29" s="18">
        <v>1943.01</v>
      </c>
      <c r="P29" s="39">
        <v>46158</v>
      </c>
      <c r="Q29" s="19">
        <v>46522</v>
      </c>
      <c r="R29" s="20" t="s">
        <v>36</v>
      </c>
      <c r="S29" s="21" t="s">
        <v>189</v>
      </c>
      <c r="T29" s="35">
        <v>46126</v>
      </c>
      <c r="U29" s="38" t="s">
        <v>190</v>
      </c>
      <c r="V29" s="37"/>
      <c r="W29" s="32">
        <v>15208.72</v>
      </c>
      <c r="X29" s="20" t="s">
        <v>191</v>
      </c>
      <c r="Y29" s="23" t="s">
        <v>40</v>
      </c>
      <c r="Z29" s="24">
        <v>46125</v>
      </c>
      <c r="AA29" s="25">
        <v>46113</v>
      </c>
      <c r="AB29" s="33" t="s">
        <v>192</v>
      </c>
    </row>
    <row r="30" spans="1:28" ht="89.25">
      <c r="A30" s="13">
        <v>27</v>
      </c>
      <c r="B30" s="26">
        <v>46126</v>
      </c>
      <c r="C30" s="13" t="s">
        <v>30</v>
      </c>
      <c r="D30" s="13" t="s">
        <v>193</v>
      </c>
      <c r="E30" s="34" t="s">
        <v>32</v>
      </c>
      <c r="F30" s="15" t="s">
        <v>33</v>
      </c>
      <c r="G30" s="15">
        <v>645606</v>
      </c>
      <c r="H30" s="26">
        <v>46126</v>
      </c>
      <c r="I30" s="14">
        <v>6282532</v>
      </c>
      <c r="J30" s="16" t="s">
        <v>194</v>
      </c>
      <c r="K30" s="26">
        <v>45982</v>
      </c>
      <c r="L30" s="26">
        <v>46162</v>
      </c>
      <c r="M30" s="16" t="s">
        <v>195</v>
      </c>
      <c r="N30" s="17">
        <v>15400.41</v>
      </c>
      <c r="O30" s="18">
        <v>1967.5</v>
      </c>
      <c r="P30" s="19">
        <v>45982</v>
      </c>
      <c r="Q30" s="19">
        <v>46162</v>
      </c>
      <c r="R30" s="20" t="s">
        <v>153</v>
      </c>
      <c r="S30" s="21" t="s">
        <v>196</v>
      </c>
      <c r="T30" s="35">
        <v>46129</v>
      </c>
      <c r="U30" s="38" t="s">
        <v>197</v>
      </c>
      <c r="V30" s="37"/>
      <c r="W30" s="32">
        <v>15400.41</v>
      </c>
      <c r="X30" s="20" t="s">
        <v>91</v>
      </c>
      <c r="Y30" s="23" t="s">
        <v>40</v>
      </c>
      <c r="Z30" s="24">
        <v>46126</v>
      </c>
      <c r="AA30" s="25">
        <v>46113</v>
      </c>
      <c r="AB30" s="33" t="s">
        <v>198</v>
      </c>
    </row>
    <row r="31" spans="1:28" ht="89.25">
      <c r="A31" s="13">
        <v>28</v>
      </c>
      <c r="B31" s="26">
        <v>46126</v>
      </c>
      <c r="C31" s="13" t="s">
        <v>30</v>
      </c>
      <c r="D31" s="13" t="s">
        <v>199</v>
      </c>
      <c r="E31" s="34" t="s">
        <v>32</v>
      </c>
      <c r="F31" s="15" t="s">
        <v>33</v>
      </c>
      <c r="G31" s="15">
        <v>645606</v>
      </c>
      <c r="H31" s="26">
        <v>46126</v>
      </c>
      <c r="I31" s="14">
        <v>6282643</v>
      </c>
      <c r="J31" s="16" t="s">
        <v>194</v>
      </c>
      <c r="K31" s="26">
        <v>45982</v>
      </c>
      <c r="L31" s="26">
        <v>46162</v>
      </c>
      <c r="M31" s="16" t="s">
        <v>195</v>
      </c>
      <c r="N31" s="17">
        <v>15400.41</v>
      </c>
      <c r="O31" s="18">
        <v>1967.5</v>
      </c>
      <c r="P31" s="19">
        <v>45982</v>
      </c>
      <c r="Q31" s="19">
        <v>46162</v>
      </c>
      <c r="R31" s="20" t="s">
        <v>153</v>
      </c>
      <c r="S31" s="21" t="s">
        <v>200</v>
      </c>
      <c r="T31" s="35">
        <v>46129</v>
      </c>
      <c r="U31" s="38" t="s">
        <v>201</v>
      </c>
      <c r="V31" s="37"/>
      <c r="W31" s="32">
        <v>15400.41</v>
      </c>
      <c r="X31" s="20" t="s">
        <v>91</v>
      </c>
      <c r="Y31" s="23" t="s">
        <v>40</v>
      </c>
      <c r="Z31" s="24">
        <v>46126</v>
      </c>
      <c r="AA31" s="25">
        <v>46113</v>
      </c>
      <c r="AB31" s="33" t="s">
        <v>198</v>
      </c>
    </row>
    <row r="32" spans="1:28" ht="89.25">
      <c r="A32" s="13">
        <v>29</v>
      </c>
      <c r="B32" s="26">
        <v>46126</v>
      </c>
      <c r="C32" s="13" t="s">
        <v>30</v>
      </c>
      <c r="D32" s="13" t="s">
        <v>202</v>
      </c>
      <c r="E32" s="34" t="s">
        <v>32</v>
      </c>
      <c r="F32" s="15" t="s">
        <v>33</v>
      </c>
      <c r="G32" s="15">
        <v>645606</v>
      </c>
      <c r="H32" s="26">
        <v>46126</v>
      </c>
      <c r="I32" s="14">
        <v>6282646</v>
      </c>
      <c r="J32" s="16" t="s">
        <v>194</v>
      </c>
      <c r="K32" s="26">
        <v>45982</v>
      </c>
      <c r="L32" s="26">
        <v>46162</v>
      </c>
      <c r="M32" s="16" t="s">
        <v>195</v>
      </c>
      <c r="N32" s="17">
        <v>30800.82</v>
      </c>
      <c r="O32" s="18">
        <v>3935</v>
      </c>
      <c r="P32" s="19">
        <v>45982</v>
      </c>
      <c r="Q32" s="19">
        <v>46162</v>
      </c>
      <c r="R32" s="20" t="s">
        <v>153</v>
      </c>
      <c r="S32" s="21" t="s">
        <v>203</v>
      </c>
      <c r="T32" s="35">
        <v>46129</v>
      </c>
      <c r="U32" s="38" t="s">
        <v>204</v>
      </c>
      <c r="V32" s="37"/>
      <c r="W32" s="32">
        <v>30800.82</v>
      </c>
      <c r="X32" s="20" t="s">
        <v>91</v>
      </c>
      <c r="Y32" s="23" t="s">
        <v>40</v>
      </c>
      <c r="Z32" s="24">
        <v>46126</v>
      </c>
      <c r="AA32" s="25">
        <v>46113</v>
      </c>
      <c r="AB32" s="33" t="s">
        <v>198</v>
      </c>
    </row>
    <row r="33" spans="1:29" ht="38.25">
      <c r="A33" s="13">
        <v>30</v>
      </c>
      <c r="B33" s="26">
        <v>46135</v>
      </c>
      <c r="C33" s="13" t="s">
        <v>30</v>
      </c>
      <c r="D33" s="13" t="s">
        <v>205</v>
      </c>
      <c r="E33" s="34" t="s">
        <v>32</v>
      </c>
      <c r="F33" s="15" t="s">
        <v>33</v>
      </c>
      <c r="G33" s="15">
        <v>645606</v>
      </c>
      <c r="H33" s="26">
        <v>46135</v>
      </c>
      <c r="I33" s="14">
        <v>6285826</v>
      </c>
      <c r="J33" s="16" t="s">
        <v>206</v>
      </c>
      <c r="K33" s="26">
        <v>46101</v>
      </c>
      <c r="L33" s="26">
        <v>46831</v>
      </c>
      <c r="M33" s="16" t="s">
        <v>207</v>
      </c>
      <c r="N33" s="17">
        <v>28008.48</v>
      </c>
      <c r="O33" s="18">
        <v>3578.26</v>
      </c>
      <c r="P33" s="19">
        <v>46101</v>
      </c>
      <c r="Q33" s="19">
        <v>46831</v>
      </c>
      <c r="R33" s="20" t="s">
        <v>36</v>
      </c>
      <c r="S33" s="21" t="s">
        <v>208</v>
      </c>
      <c r="T33" s="35">
        <v>46141</v>
      </c>
      <c r="U33" s="38" t="s">
        <v>209</v>
      </c>
      <c r="V33" s="37"/>
      <c r="W33" s="32">
        <v>28008.48</v>
      </c>
      <c r="X33" s="20" t="s">
        <v>69</v>
      </c>
      <c r="Y33" s="23" t="s">
        <v>40</v>
      </c>
      <c r="Z33" s="24">
        <v>46135</v>
      </c>
      <c r="AA33" s="25">
        <v>46113</v>
      </c>
      <c r="AB33" s="33" t="s">
        <v>210</v>
      </c>
      <c r="AC33" s="1"/>
    </row>
    <row r="34" spans="1:29" ht="89.25">
      <c r="A34" s="13">
        <v>31</v>
      </c>
      <c r="B34" s="26">
        <v>46135</v>
      </c>
      <c r="C34" s="13" t="s">
        <v>30</v>
      </c>
      <c r="D34" s="13" t="s">
        <v>211</v>
      </c>
      <c r="E34" s="34" t="s">
        <v>32</v>
      </c>
      <c r="F34" s="15" t="s">
        <v>33</v>
      </c>
      <c r="G34" s="15">
        <v>645606</v>
      </c>
      <c r="H34" s="26">
        <v>46135</v>
      </c>
      <c r="I34" s="14">
        <v>6285832</v>
      </c>
      <c r="J34" s="16" t="s">
        <v>212</v>
      </c>
      <c r="K34" s="26">
        <v>46174</v>
      </c>
      <c r="L34" s="26">
        <v>46538</v>
      </c>
      <c r="M34" s="16" t="s">
        <v>213</v>
      </c>
      <c r="N34" s="17">
        <v>2417.73</v>
      </c>
      <c r="O34" s="18">
        <v>308.88</v>
      </c>
      <c r="P34" s="19">
        <v>46174</v>
      </c>
      <c r="Q34" s="19">
        <v>46538</v>
      </c>
      <c r="R34" s="20" t="s">
        <v>82</v>
      </c>
      <c r="S34" s="21" t="s">
        <v>214</v>
      </c>
      <c r="T34" s="35">
        <v>46141</v>
      </c>
      <c r="U34" s="38" t="s">
        <v>215</v>
      </c>
      <c r="V34" s="37"/>
      <c r="W34" s="32">
        <v>2417.73</v>
      </c>
      <c r="X34" s="20" t="s">
        <v>77</v>
      </c>
      <c r="Y34" s="23" t="s">
        <v>40</v>
      </c>
      <c r="Z34" s="24">
        <v>46135</v>
      </c>
      <c r="AA34" s="25">
        <v>46113</v>
      </c>
      <c r="AB34" s="33" t="s">
        <v>216</v>
      </c>
      <c r="AC34" s="1"/>
    </row>
    <row r="35" spans="1:29" ht="38.25">
      <c r="A35" s="13">
        <v>32</v>
      </c>
      <c r="B35" s="26">
        <v>46136</v>
      </c>
      <c r="C35" s="13" t="s">
        <v>30</v>
      </c>
      <c r="D35" s="13" t="s">
        <v>217</v>
      </c>
      <c r="E35" s="34" t="s">
        <v>32</v>
      </c>
      <c r="F35" s="15" t="s">
        <v>33</v>
      </c>
      <c r="G35" s="15">
        <v>645606</v>
      </c>
      <c r="H35" s="26">
        <v>46136</v>
      </c>
      <c r="I35" s="14">
        <v>6286238</v>
      </c>
      <c r="J35" s="16" t="s">
        <v>218</v>
      </c>
      <c r="K35" s="26">
        <v>46123</v>
      </c>
      <c r="L35" s="26">
        <v>46487</v>
      </c>
      <c r="M35" s="16" t="s">
        <v>219</v>
      </c>
      <c r="N35" s="17">
        <v>123938.27</v>
      </c>
      <c r="O35" s="18">
        <v>15833.9</v>
      </c>
      <c r="P35" s="39" t="s">
        <v>220</v>
      </c>
      <c r="Q35" s="19">
        <v>46752</v>
      </c>
      <c r="R35" s="20" t="s">
        <v>82</v>
      </c>
      <c r="S35" s="21" t="s">
        <v>221</v>
      </c>
      <c r="T35" s="35">
        <v>46142</v>
      </c>
      <c r="U35" s="36" t="s">
        <v>222</v>
      </c>
      <c r="V35" s="37"/>
      <c r="W35" s="22">
        <v>123938.27</v>
      </c>
      <c r="X35" s="20" t="s">
        <v>223</v>
      </c>
      <c r="Y35" s="23" t="s">
        <v>40</v>
      </c>
      <c r="Z35" s="24">
        <v>46136</v>
      </c>
      <c r="AA35" s="25">
        <v>46113</v>
      </c>
      <c r="AB35" s="33" t="s">
        <v>224</v>
      </c>
      <c r="AC35" s="1"/>
    </row>
    <row r="36" spans="1:29" ht="25.5">
      <c r="A36" s="13">
        <v>33</v>
      </c>
      <c r="B36" s="26">
        <v>46140</v>
      </c>
      <c r="C36" s="13" t="s">
        <v>30</v>
      </c>
      <c r="D36" s="13" t="s">
        <v>225</v>
      </c>
      <c r="E36" s="34" t="s">
        <v>32</v>
      </c>
      <c r="F36" s="15" t="s">
        <v>33</v>
      </c>
      <c r="G36" s="15">
        <v>645606</v>
      </c>
      <c r="H36" s="26">
        <v>46140</v>
      </c>
      <c r="I36" s="14">
        <v>6287042</v>
      </c>
      <c r="J36" s="16" t="s">
        <v>226</v>
      </c>
      <c r="K36" s="26">
        <v>46143</v>
      </c>
      <c r="L36" s="26">
        <v>46507</v>
      </c>
      <c r="M36" s="16" t="s">
        <v>227</v>
      </c>
      <c r="N36" s="17">
        <v>10102.040000000001</v>
      </c>
      <c r="O36" s="18">
        <v>1290.5999999999999</v>
      </c>
      <c r="P36" s="19">
        <v>46077</v>
      </c>
      <c r="Q36" s="19">
        <v>46507</v>
      </c>
      <c r="R36" s="20" t="s">
        <v>36</v>
      </c>
      <c r="S36" s="21" t="s">
        <v>228</v>
      </c>
      <c r="T36" s="35">
        <v>46141</v>
      </c>
      <c r="U36" s="38" t="s">
        <v>229</v>
      </c>
      <c r="V36" s="37"/>
      <c r="W36" s="32">
        <v>10102.040000000001</v>
      </c>
      <c r="X36" s="20" t="s">
        <v>230</v>
      </c>
      <c r="Y36" s="23" t="s">
        <v>40</v>
      </c>
      <c r="Z36" s="24">
        <v>46140</v>
      </c>
      <c r="AA36" s="25">
        <v>46113</v>
      </c>
      <c r="AB36" s="33" t="s">
        <v>231</v>
      </c>
      <c r="AC36" s="1"/>
    </row>
    <row r="37" spans="1:29" ht="204">
      <c r="A37" s="41">
        <v>34</v>
      </c>
      <c r="B37" s="42">
        <v>46140</v>
      </c>
      <c r="C37" s="43" t="s">
        <v>30</v>
      </c>
      <c r="D37" s="43" t="s">
        <v>232</v>
      </c>
      <c r="E37" s="44" t="s">
        <v>43</v>
      </c>
      <c r="F37" s="45" t="s">
        <v>33</v>
      </c>
      <c r="G37" s="45">
        <v>645606</v>
      </c>
      <c r="H37" s="42">
        <v>46140</v>
      </c>
      <c r="I37" s="44">
        <v>6287055</v>
      </c>
      <c r="J37" s="46" t="s">
        <v>226</v>
      </c>
      <c r="K37" s="42">
        <v>46143</v>
      </c>
      <c r="L37" s="42">
        <v>46507</v>
      </c>
      <c r="M37" s="46" t="s">
        <v>227</v>
      </c>
      <c r="N37" s="47"/>
      <c r="O37" s="48"/>
      <c r="P37" s="49">
        <v>46143</v>
      </c>
      <c r="Q37" s="49">
        <v>46507</v>
      </c>
      <c r="R37" s="50" t="s">
        <v>233</v>
      </c>
      <c r="S37" s="51" t="s">
        <v>234</v>
      </c>
      <c r="T37" s="52">
        <v>46142</v>
      </c>
      <c r="U37" s="53" t="s">
        <v>235</v>
      </c>
      <c r="V37" s="54"/>
      <c r="W37" s="55"/>
      <c r="X37" s="50" t="s">
        <v>230</v>
      </c>
      <c r="Y37" s="56" t="s">
        <v>50</v>
      </c>
      <c r="Z37" s="57">
        <v>46140</v>
      </c>
      <c r="AA37" s="58">
        <v>46113</v>
      </c>
      <c r="AB37" s="59" t="s">
        <v>231</v>
      </c>
      <c r="AC37" s="40" t="s">
        <v>236</v>
      </c>
    </row>
    <row r="38" spans="1:29" ht="76.5">
      <c r="A38" s="13">
        <v>35</v>
      </c>
      <c r="B38" s="26">
        <v>46141</v>
      </c>
      <c r="C38" s="13" t="s">
        <v>30</v>
      </c>
      <c r="D38" s="13" t="s">
        <v>237</v>
      </c>
      <c r="E38" s="34" t="s">
        <v>43</v>
      </c>
      <c r="F38" s="15" t="s">
        <v>33</v>
      </c>
      <c r="G38" s="15">
        <v>645606</v>
      </c>
      <c r="H38" s="26">
        <v>46141</v>
      </c>
      <c r="I38" s="14">
        <v>6287767</v>
      </c>
      <c r="J38" s="16" t="s">
        <v>238</v>
      </c>
      <c r="K38" s="26">
        <v>46113</v>
      </c>
      <c r="L38" s="26">
        <v>46477</v>
      </c>
      <c r="M38" s="16" t="s">
        <v>239</v>
      </c>
      <c r="N38" s="17">
        <v>694000</v>
      </c>
      <c r="O38" s="18"/>
      <c r="P38" s="19">
        <v>46113</v>
      </c>
      <c r="Q38" s="19">
        <v>46477</v>
      </c>
      <c r="R38" s="20" t="s">
        <v>134</v>
      </c>
      <c r="S38" s="21" t="s">
        <v>240</v>
      </c>
      <c r="T38" s="35">
        <v>46153</v>
      </c>
      <c r="U38" s="38" t="s">
        <v>241</v>
      </c>
      <c r="V38" s="37"/>
      <c r="W38" s="32">
        <v>694000</v>
      </c>
      <c r="X38" s="20" t="s">
        <v>191</v>
      </c>
      <c r="Y38" s="23" t="s">
        <v>242</v>
      </c>
      <c r="Z38" s="24">
        <v>46141</v>
      </c>
      <c r="AA38" s="25">
        <v>46113</v>
      </c>
      <c r="AB38" s="33" t="s">
        <v>243</v>
      </c>
      <c r="AC38" s="1"/>
    </row>
    <row r="39" spans="1:29" ht="280.5">
      <c r="A39" s="13">
        <v>36</v>
      </c>
      <c r="B39" s="26">
        <v>46162</v>
      </c>
      <c r="C39" s="13" t="s">
        <v>30</v>
      </c>
      <c r="D39" s="13" t="s">
        <v>244</v>
      </c>
      <c r="E39" s="34" t="s">
        <v>43</v>
      </c>
      <c r="F39" s="15" t="s">
        <v>33</v>
      </c>
      <c r="G39" s="15">
        <v>645606</v>
      </c>
      <c r="H39" s="26">
        <v>46162</v>
      </c>
      <c r="I39" s="14">
        <v>6293958</v>
      </c>
      <c r="J39" s="16" t="s">
        <v>245</v>
      </c>
      <c r="K39" s="26">
        <v>46143</v>
      </c>
      <c r="L39" s="26">
        <v>46507</v>
      </c>
      <c r="M39" s="16" t="s">
        <v>227</v>
      </c>
      <c r="N39" s="17">
        <v>31536</v>
      </c>
      <c r="O39" s="18"/>
      <c r="P39" s="19">
        <v>46143</v>
      </c>
      <c r="Q39" s="19">
        <v>46507</v>
      </c>
      <c r="R39" s="20" t="s">
        <v>233</v>
      </c>
      <c r="S39" s="21" t="s">
        <v>246</v>
      </c>
      <c r="T39" s="35">
        <v>46168</v>
      </c>
      <c r="U39" s="38" t="s">
        <v>247</v>
      </c>
      <c r="V39" s="37"/>
      <c r="W39" s="32">
        <v>31536</v>
      </c>
      <c r="X39" s="20" t="s">
        <v>230</v>
      </c>
      <c r="Y39" s="23" t="s">
        <v>50</v>
      </c>
      <c r="Z39" s="24">
        <v>46162</v>
      </c>
      <c r="AA39" s="25">
        <v>46143</v>
      </c>
      <c r="AB39" s="33" t="s">
        <v>231</v>
      </c>
      <c r="AC39" s="1"/>
    </row>
    <row r="40" spans="1:29" ht="127.5">
      <c r="A40" s="13">
        <v>37</v>
      </c>
      <c r="B40" s="26">
        <v>46177</v>
      </c>
      <c r="C40" s="13" t="s">
        <v>30</v>
      </c>
      <c r="D40" s="13" t="s">
        <v>248</v>
      </c>
      <c r="E40" s="34" t="s">
        <v>32</v>
      </c>
      <c r="F40" s="15" t="s">
        <v>33</v>
      </c>
      <c r="G40" s="15">
        <v>645606</v>
      </c>
      <c r="H40" s="26">
        <v>46177</v>
      </c>
      <c r="I40" s="14">
        <v>6298591</v>
      </c>
      <c r="J40" s="16" t="s">
        <v>72</v>
      </c>
      <c r="K40" s="26">
        <v>45992</v>
      </c>
      <c r="L40" s="26">
        <v>46568</v>
      </c>
      <c r="M40" s="16" t="s">
        <v>249</v>
      </c>
      <c r="N40" s="17">
        <v>13861.42</v>
      </c>
      <c r="O40" s="18">
        <v>1769.28</v>
      </c>
      <c r="P40" s="19">
        <v>45992</v>
      </c>
      <c r="Q40" s="19">
        <v>46568</v>
      </c>
      <c r="R40" s="20" t="s">
        <v>82</v>
      </c>
      <c r="S40" s="21" t="s">
        <v>250</v>
      </c>
      <c r="T40" s="35">
        <v>46178</v>
      </c>
      <c r="U40" s="36" t="s">
        <v>251</v>
      </c>
      <c r="V40" s="37"/>
      <c r="W40" s="22">
        <v>13861.42</v>
      </c>
      <c r="X40" s="20" t="s">
        <v>77</v>
      </c>
      <c r="Y40" s="23" t="s">
        <v>40</v>
      </c>
      <c r="Z40" s="24">
        <v>46177</v>
      </c>
      <c r="AA40" s="25">
        <v>46174</v>
      </c>
      <c r="AB40" s="33" t="s">
        <v>252</v>
      </c>
      <c r="AC40" s="1"/>
    </row>
    <row r="41" spans="1:29" ht="204">
      <c r="A41" s="13">
        <v>38</v>
      </c>
      <c r="B41" s="26">
        <v>46185</v>
      </c>
      <c r="C41" s="13" t="s">
        <v>30</v>
      </c>
      <c r="D41" s="13" t="s">
        <v>253</v>
      </c>
      <c r="E41" s="34" t="s">
        <v>43</v>
      </c>
      <c r="F41" s="15" t="s">
        <v>33</v>
      </c>
      <c r="G41" s="15">
        <v>645606</v>
      </c>
      <c r="H41" s="26">
        <v>46185</v>
      </c>
      <c r="I41" s="14">
        <v>6302002</v>
      </c>
      <c r="J41" s="16" t="s">
        <v>254</v>
      </c>
      <c r="K41" s="26">
        <v>46174</v>
      </c>
      <c r="L41" s="26">
        <v>46356</v>
      </c>
      <c r="M41" s="16" t="s">
        <v>255</v>
      </c>
      <c r="N41" s="17">
        <v>188500</v>
      </c>
      <c r="O41" s="18"/>
      <c r="P41" s="39">
        <v>46174</v>
      </c>
      <c r="Q41" s="19">
        <v>46356</v>
      </c>
      <c r="R41" s="20" t="s">
        <v>256</v>
      </c>
      <c r="S41" s="21" t="s">
        <v>257</v>
      </c>
      <c r="T41" s="35">
        <v>46189</v>
      </c>
      <c r="U41" s="38" t="s">
        <v>258</v>
      </c>
      <c r="V41" s="37"/>
      <c r="W41" s="32">
        <v>188500</v>
      </c>
      <c r="X41" s="20" t="s">
        <v>57</v>
      </c>
      <c r="Y41" s="23" t="s">
        <v>50</v>
      </c>
      <c r="Z41" s="24">
        <v>46185</v>
      </c>
      <c r="AA41" s="25">
        <v>46174</v>
      </c>
      <c r="AB41" s="33" t="s">
        <v>259</v>
      </c>
      <c r="AC41" s="1"/>
    </row>
    <row r="42" spans="1:29" ht="38.25">
      <c r="A42" s="13">
        <v>39</v>
      </c>
      <c r="B42" s="26">
        <v>46188</v>
      </c>
      <c r="C42" s="13" t="s">
        <v>30</v>
      </c>
      <c r="D42" s="13" t="s">
        <v>260</v>
      </c>
      <c r="E42" s="34" t="s">
        <v>32</v>
      </c>
      <c r="F42" s="15" t="s">
        <v>33</v>
      </c>
      <c r="G42" s="15">
        <v>645606</v>
      </c>
      <c r="H42" s="26">
        <v>46188</v>
      </c>
      <c r="I42" s="14">
        <v>6302651</v>
      </c>
      <c r="J42" s="16" t="s">
        <v>261</v>
      </c>
      <c r="K42" s="26">
        <v>46113</v>
      </c>
      <c r="L42" s="26">
        <v>46477</v>
      </c>
      <c r="M42" s="16" t="s">
        <v>262</v>
      </c>
      <c r="N42" s="17">
        <v>7765.09</v>
      </c>
      <c r="O42" s="18">
        <v>991.14</v>
      </c>
      <c r="P42" s="19">
        <v>46172</v>
      </c>
      <c r="Q42" s="19">
        <v>46536</v>
      </c>
      <c r="R42" s="20" t="s">
        <v>36</v>
      </c>
      <c r="S42" s="21" t="s">
        <v>263</v>
      </c>
      <c r="T42" s="35">
        <v>46197</v>
      </c>
      <c r="U42" s="38" t="s">
        <v>264</v>
      </c>
      <c r="V42" s="37"/>
      <c r="W42" s="32">
        <v>7765.09</v>
      </c>
      <c r="X42" s="20" t="s">
        <v>144</v>
      </c>
      <c r="Y42" s="23" t="s">
        <v>40</v>
      </c>
      <c r="Z42" s="24">
        <v>46174</v>
      </c>
      <c r="AA42" s="25">
        <v>46188</v>
      </c>
      <c r="AB42" s="33" t="s">
        <v>265</v>
      </c>
      <c r="AC42" s="1"/>
    </row>
    <row r="43" spans="1:29" ht="38.25">
      <c r="A43" s="13">
        <v>40</v>
      </c>
      <c r="B43" s="26">
        <v>46196</v>
      </c>
      <c r="C43" s="13" t="s">
        <v>30</v>
      </c>
      <c r="D43" s="13" t="s">
        <v>266</v>
      </c>
      <c r="E43" s="34" t="s">
        <v>32</v>
      </c>
      <c r="F43" s="15" t="s">
        <v>33</v>
      </c>
      <c r="G43" s="15">
        <v>645606</v>
      </c>
      <c r="H43" s="26">
        <v>46196</v>
      </c>
      <c r="I43" s="14">
        <v>6304730</v>
      </c>
      <c r="J43" s="16" t="s">
        <v>267</v>
      </c>
      <c r="K43" s="26">
        <v>46040</v>
      </c>
      <c r="L43" s="26">
        <v>46404</v>
      </c>
      <c r="M43" s="16" t="s">
        <v>268</v>
      </c>
      <c r="N43" s="17">
        <v>14810.18</v>
      </c>
      <c r="O43" s="18">
        <v>1890.38</v>
      </c>
      <c r="P43" s="19">
        <v>46040</v>
      </c>
      <c r="Q43" s="19">
        <v>46404</v>
      </c>
      <c r="R43" s="20" t="s">
        <v>36</v>
      </c>
      <c r="S43" s="21" t="s">
        <v>269</v>
      </c>
      <c r="T43" s="35">
        <v>46198</v>
      </c>
      <c r="U43" s="38" t="s">
        <v>270</v>
      </c>
      <c r="V43" s="37"/>
      <c r="W43" s="32">
        <v>14810.18</v>
      </c>
      <c r="X43" s="20" t="s">
        <v>49</v>
      </c>
      <c r="Y43" s="23" t="s">
        <v>40</v>
      </c>
      <c r="Z43" s="24">
        <v>46196</v>
      </c>
      <c r="AA43" s="25">
        <v>46174</v>
      </c>
      <c r="AB43" s="33" t="s">
        <v>271</v>
      </c>
      <c r="AC43" s="1"/>
    </row>
    <row r="44" spans="1:29" ht="409.5">
      <c r="A44" s="13">
        <v>41</v>
      </c>
      <c r="B44" s="26">
        <v>46198</v>
      </c>
      <c r="C44" s="13" t="s">
        <v>30</v>
      </c>
      <c r="D44" s="13" t="s">
        <v>272</v>
      </c>
      <c r="E44" s="34" t="s">
        <v>32</v>
      </c>
      <c r="F44" s="15" t="s">
        <v>33</v>
      </c>
      <c r="G44" s="15">
        <v>645606</v>
      </c>
      <c r="H44" s="26">
        <v>46198</v>
      </c>
      <c r="I44" s="14">
        <v>6305636</v>
      </c>
      <c r="J44" s="16" t="s">
        <v>273</v>
      </c>
      <c r="K44" s="26">
        <v>46174</v>
      </c>
      <c r="L44" s="26">
        <v>11109</v>
      </c>
      <c r="M44" s="16" t="s">
        <v>274</v>
      </c>
      <c r="N44" s="17">
        <v>1083911.8500000001</v>
      </c>
      <c r="O44" s="18">
        <v>138351.12</v>
      </c>
      <c r="P44" s="19">
        <v>46174</v>
      </c>
      <c r="Q44" s="19">
        <v>11109</v>
      </c>
      <c r="R44" s="20" t="s">
        <v>74</v>
      </c>
      <c r="S44" s="21" t="s">
        <v>275</v>
      </c>
      <c r="T44" s="35">
        <v>46202</v>
      </c>
      <c r="U44" s="36" t="s">
        <v>276</v>
      </c>
      <c r="V44" s="37"/>
      <c r="W44" s="22">
        <v>1083911.8500000001</v>
      </c>
      <c r="X44" s="20" t="s">
        <v>277</v>
      </c>
      <c r="Y44" s="23" t="s">
        <v>40</v>
      </c>
      <c r="Z44" s="24">
        <v>46198</v>
      </c>
      <c r="AA44" s="25">
        <v>46174</v>
      </c>
      <c r="AB44" s="33" t="s">
        <v>278</v>
      </c>
      <c r="AC44" s="1"/>
    </row>
    <row r="45" spans="1:29" ht="89.25">
      <c r="A45" s="13">
        <v>42</v>
      </c>
      <c r="B45" s="26">
        <v>46202</v>
      </c>
      <c r="C45" s="13" t="s">
        <v>30</v>
      </c>
      <c r="D45" s="13" t="s">
        <v>279</v>
      </c>
      <c r="E45" s="34" t="s">
        <v>32</v>
      </c>
      <c r="F45" s="15" t="s">
        <v>33</v>
      </c>
      <c r="G45" s="15">
        <v>645606</v>
      </c>
      <c r="H45" s="26">
        <v>46202</v>
      </c>
      <c r="I45" s="14">
        <v>6306664</v>
      </c>
      <c r="J45" s="16" t="s">
        <v>280</v>
      </c>
      <c r="K45" s="26">
        <v>46203</v>
      </c>
      <c r="L45" s="26">
        <v>46567</v>
      </c>
      <c r="M45" s="16" t="s">
        <v>281</v>
      </c>
      <c r="N45" s="17">
        <v>19391</v>
      </c>
      <c r="O45" s="18"/>
      <c r="P45" s="19">
        <v>46346</v>
      </c>
      <c r="Q45" s="19">
        <v>46710</v>
      </c>
      <c r="R45" s="20" t="s">
        <v>282</v>
      </c>
      <c r="S45" s="21" t="s">
        <v>283</v>
      </c>
      <c r="T45" s="35">
        <v>46210</v>
      </c>
      <c r="U45" s="36" t="s">
        <v>284</v>
      </c>
      <c r="V45" s="37"/>
      <c r="W45" s="22">
        <v>19391</v>
      </c>
      <c r="X45" s="20" t="s">
        <v>144</v>
      </c>
      <c r="Y45" s="23" t="s">
        <v>40</v>
      </c>
      <c r="Z45" s="24">
        <v>46202</v>
      </c>
      <c r="AA45" s="25">
        <v>46174</v>
      </c>
      <c r="AB45" s="33" t="s">
        <v>285</v>
      </c>
      <c r="AC45" s="1"/>
    </row>
    <row r="46" spans="1:29" ht="89.25">
      <c r="A46" s="13">
        <v>43</v>
      </c>
      <c r="B46" s="26">
        <v>46202</v>
      </c>
      <c r="C46" s="13" t="s">
        <v>30</v>
      </c>
      <c r="D46" s="13" t="s">
        <v>286</v>
      </c>
      <c r="E46" s="34" t="s">
        <v>32</v>
      </c>
      <c r="F46" s="15" t="s">
        <v>33</v>
      </c>
      <c r="G46" s="15">
        <v>645606</v>
      </c>
      <c r="H46" s="26">
        <v>46202</v>
      </c>
      <c r="I46" s="14">
        <v>6306670</v>
      </c>
      <c r="J46" s="16" t="s">
        <v>280</v>
      </c>
      <c r="K46" s="26">
        <v>46203</v>
      </c>
      <c r="L46" s="26">
        <v>46567</v>
      </c>
      <c r="M46" s="16" t="s">
        <v>281</v>
      </c>
      <c r="N46" s="17">
        <v>19391</v>
      </c>
      <c r="O46" s="18"/>
      <c r="P46" s="19">
        <v>46346</v>
      </c>
      <c r="Q46" s="19">
        <v>46710</v>
      </c>
      <c r="R46" s="20" t="s">
        <v>282</v>
      </c>
      <c r="S46" s="21" t="s">
        <v>287</v>
      </c>
      <c r="T46" s="35">
        <v>46205</v>
      </c>
      <c r="U46" s="36" t="s">
        <v>288</v>
      </c>
      <c r="V46" s="37"/>
      <c r="W46" s="22">
        <v>19391</v>
      </c>
      <c r="X46" s="20" t="s">
        <v>144</v>
      </c>
      <c r="Y46" s="23" t="s">
        <v>40</v>
      </c>
      <c r="Z46" s="24">
        <v>46202</v>
      </c>
      <c r="AA46" s="25">
        <v>46174</v>
      </c>
      <c r="AB46" s="33" t="s">
        <v>285</v>
      </c>
      <c r="AC46" s="1"/>
    </row>
    <row r="47" spans="1:29" ht="127.5">
      <c r="A47" s="13">
        <v>44</v>
      </c>
      <c r="B47" s="26">
        <v>46203</v>
      </c>
      <c r="C47" s="13" t="s">
        <v>30</v>
      </c>
      <c r="D47" s="13" t="s">
        <v>289</v>
      </c>
      <c r="E47" s="34" t="s">
        <v>32</v>
      </c>
      <c r="F47" s="15" t="s">
        <v>33</v>
      </c>
      <c r="G47" s="15">
        <v>645606</v>
      </c>
      <c r="H47" s="26">
        <v>46203</v>
      </c>
      <c r="I47" s="14">
        <v>6306881</v>
      </c>
      <c r="J47" s="16" t="s">
        <v>94</v>
      </c>
      <c r="K47" s="26">
        <v>46204</v>
      </c>
      <c r="L47" s="26">
        <v>46568</v>
      </c>
      <c r="M47" s="16" t="s">
        <v>290</v>
      </c>
      <c r="N47" s="17">
        <v>714957.67</v>
      </c>
      <c r="O47" s="18">
        <v>91257.600000000006</v>
      </c>
      <c r="P47" s="19">
        <v>46388</v>
      </c>
      <c r="Q47" s="19">
        <v>46752</v>
      </c>
      <c r="R47" s="20" t="s">
        <v>82</v>
      </c>
      <c r="S47" s="21" t="s">
        <v>291</v>
      </c>
      <c r="T47" s="35">
        <v>46203</v>
      </c>
      <c r="U47" s="38" t="s">
        <v>292</v>
      </c>
      <c r="V47" s="37"/>
      <c r="W47" s="32">
        <v>714957.67</v>
      </c>
      <c r="X47" s="20" t="s">
        <v>98</v>
      </c>
      <c r="Y47" s="23" t="s">
        <v>40</v>
      </c>
      <c r="Z47" s="24">
        <v>46203</v>
      </c>
      <c r="AA47" s="25">
        <v>46174</v>
      </c>
      <c r="AB47" s="33" t="s">
        <v>293</v>
      </c>
      <c r="AC47" s="1"/>
    </row>
    <row r="48" spans="1:29" ht="89.25">
      <c r="A48" s="13">
        <v>45</v>
      </c>
      <c r="B48" s="26">
        <v>46205</v>
      </c>
      <c r="C48" s="13" t="s">
        <v>30</v>
      </c>
      <c r="D48" s="13" t="s">
        <v>294</v>
      </c>
      <c r="E48" s="34" t="s">
        <v>32</v>
      </c>
      <c r="F48" s="15" t="s">
        <v>33</v>
      </c>
      <c r="G48" s="15">
        <v>645606</v>
      </c>
      <c r="H48" s="26">
        <v>46205</v>
      </c>
      <c r="I48" s="14">
        <v>6307348</v>
      </c>
      <c r="J48" s="16" t="s">
        <v>194</v>
      </c>
      <c r="K48" s="26">
        <v>46163</v>
      </c>
      <c r="L48" s="26">
        <v>46346</v>
      </c>
      <c r="M48" s="16" t="s">
        <v>295</v>
      </c>
      <c r="N48" s="17">
        <v>15427.95</v>
      </c>
      <c r="O48" s="18">
        <v>1967.5</v>
      </c>
      <c r="P48" s="19">
        <v>46163</v>
      </c>
      <c r="Q48" s="19">
        <v>46346</v>
      </c>
      <c r="R48" s="20" t="s">
        <v>153</v>
      </c>
      <c r="S48" s="21" t="s">
        <v>296</v>
      </c>
      <c r="T48" s="35">
        <v>46211</v>
      </c>
      <c r="U48" s="38" t="s">
        <v>297</v>
      </c>
      <c r="V48" s="37"/>
      <c r="W48" s="32">
        <v>15427.95</v>
      </c>
      <c r="X48" s="20" t="s">
        <v>91</v>
      </c>
      <c r="Y48" s="23" t="s">
        <v>40</v>
      </c>
      <c r="Z48" s="24">
        <v>46205</v>
      </c>
      <c r="AA48" s="25">
        <v>46204</v>
      </c>
      <c r="AB48" s="33" t="s">
        <v>298</v>
      </c>
      <c r="AC48" s="1"/>
    </row>
    <row r="49" spans="1:28" ht="89.25">
      <c r="A49" s="13">
        <v>46</v>
      </c>
      <c r="B49" s="26">
        <v>46205</v>
      </c>
      <c r="C49" s="13" t="s">
        <v>30</v>
      </c>
      <c r="D49" s="13" t="s">
        <v>299</v>
      </c>
      <c r="E49" s="34" t="s">
        <v>32</v>
      </c>
      <c r="F49" s="15" t="s">
        <v>33</v>
      </c>
      <c r="G49" s="15">
        <v>645606</v>
      </c>
      <c r="H49" s="26">
        <v>46205</v>
      </c>
      <c r="I49" s="14">
        <v>6307370</v>
      </c>
      <c r="J49" s="16" t="s">
        <v>194</v>
      </c>
      <c r="K49" s="26">
        <v>46163</v>
      </c>
      <c r="L49" s="26">
        <v>46346</v>
      </c>
      <c r="M49" s="16" t="s">
        <v>295</v>
      </c>
      <c r="N49" s="17">
        <v>15427.95</v>
      </c>
      <c r="O49" s="18">
        <v>1967.5</v>
      </c>
      <c r="P49" s="19">
        <v>46163</v>
      </c>
      <c r="Q49" s="19">
        <v>46346</v>
      </c>
      <c r="R49" s="20" t="s">
        <v>153</v>
      </c>
      <c r="S49" s="21" t="s">
        <v>300</v>
      </c>
      <c r="T49" s="35">
        <v>46211</v>
      </c>
      <c r="U49" s="38" t="s">
        <v>301</v>
      </c>
      <c r="V49" s="37"/>
      <c r="W49" s="32">
        <v>15427.95</v>
      </c>
      <c r="X49" s="20" t="s">
        <v>91</v>
      </c>
      <c r="Y49" s="23" t="s">
        <v>40</v>
      </c>
      <c r="Z49" s="24">
        <v>46205</v>
      </c>
      <c r="AA49" s="25">
        <v>46204</v>
      </c>
      <c r="AB49" s="33" t="s">
        <v>298</v>
      </c>
    </row>
    <row r="50" spans="1:28" ht="89.25">
      <c r="A50" s="13">
        <v>47</v>
      </c>
      <c r="B50" s="26">
        <v>46205</v>
      </c>
      <c r="C50" s="13" t="s">
        <v>30</v>
      </c>
      <c r="D50" s="13" t="s">
        <v>302</v>
      </c>
      <c r="E50" s="34" t="s">
        <v>32</v>
      </c>
      <c r="F50" s="15" t="s">
        <v>33</v>
      </c>
      <c r="G50" s="15">
        <v>645606</v>
      </c>
      <c r="H50" s="26">
        <v>46205</v>
      </c>
      <c r="I50" s="14">
        <v>6307375</v>
      </c>
      <c r="J50" s="16" t="s">
        <v>194</v>
      </c>
      <c r="K50" s="26">
        <v>46163</v>
      </c>
      <c r="L50" s="26">
        <v>46346</v>
      </c>
      <c r="M50" s="16" t="s">
        <v>295</v>
      </c>
      <c r="N50" s="17">
        <v>15427.95</v>
      </c>
      <c r="O50" s="18">
        <v>1967.5</v>
      </c>
      <c r="P50" s="19">
        <v>46163</v>
      </c>
      <c r="Q50" s="19">
        <v>46346</v>
      </c>
      <c r="R50" s="20" t="s">
        <v>153</v>
      </c>
      <c r="S50" s="21" t="s">
        <v>303</v>
      </c>
      <c r="T50" s="35">
        <v>46211</v>
      </c>
      <c r="U50" s="38" t="s">
        <v>304</v>
      </c>
      <c r="V50" s="37"/>
      <c r="W50" s="32">
        <v>15427.95</v>
      </c>
      <c r="X50" s="20" t="s">
        <v>91</v>
      </c>
      <c r="Y50" s="23" t="s">
        <v>40</v>
      </c>
      <c r="Z50" s="24">
        <v>46205</v>
      </c>
      <c r="AA50" s="25">
        <v>46204</v>
      </c>
      <c r="AB50" s="33" t="s">
        <v>298</v>
      </c>
    </row>
    <row r="51" spans="1:28" ht="25.5">
      <c r="A51" s="13">
        <v>48</v>
      </c>
      <c r="B51" s="26">
        <v>46209</v>
      </c>
      <c r="C51" s="13" t="s">
        <v>30</v>
      </c>
      <c r="D51" s="13" t="s">
        <v>305</v>
      </c>
      <c r="E51" s="34" t="s">
        <v>32</v>
      </c>
      <c r="F51" s="15" t="s">
        <v>33</v>
      </c>
      <c r="G51" s="15">
        <v>645606</v>
      </c>
      <c r="H51" s="26">
        <v>46209</v>
      </c>
      <c r="I51" s="14">
        <v>6308735</v>
      </c>
      <c r="J51" s="16" t="s">
        <v>44</v>
      </c>
      <c r="K51" s="26">
        <v>46174</v>
      </c>
      <c r="L51" s="26">
        <v>46660</v>
      </c>
      <c r="M51" s="16" t="s">
        <v>306</v>
      </c>
      <c r="N51" s="17">
        <v>157393.13</v>
      </c>
      <c r="O51" s="18">
        <v>20072.07</v>
      </c>
      <c r="P51" s="19">
        <v>46174</v>
      </c>
      <c r="Q51" s="19">
        <v>46660</v>
      </c>
      <c r="R51" s="20" t="s">
        <v>36</v>
      </c>
      <c r="S51" s="21" t="s">
        <v>307</v>
      </c>
      <c r="T51" s="35">
        <v>46212</v>
      </c>
      <c r="U51" s="38" t="s">
        <v>308</v>
      </c>
      <c r="V51" s="37"/>
      <c r="W51" s="32">
        <v>157393.13</v>
      </c>
      <c r="X51" s="20" t="s">
        <v>49</v>
      </c>
      <c r="Y51" s="23" t="s">
        <v>40</v>
      </c>
      <c r="Z51" s="24">
        <v>46209</v>
      </c>
      <c r="AA51" s="25">
        <v>46204</v>
      </c>
      <c r="AB51" s="33" t="s">
        <v>309</v>
      </c>
    </row>
    <row r="52" spans="1:28" ht="25.5">
      <c r="A52" s="13">
        <v>49</v>
      </c>
      <c r="B52" s="26">
        <v>46213</v>
      </c>
      <c r="C52" s="13" t="s">
        <v>30</v>
      </c>
      <c r="D52" s="13" t="s">
        <v>310</v>
      </c>
      <c r="E52" s="34" t="s">
        <v>43</v>
      </c>
      <c r="F52" s="15" t="s">
        <v>33</v>
      </c>
      <c r="G52" s="15">
        <v>645606</v>
      </c>
      <c r="H52" s="26">
        <v>46213</v>
      </c>
      <c r="I52" s="14">
        <v>6310395</v>
      </c>
      <c r="J52" s="16" t="s">
        <v>311</v>
      </c>
      <c r="K52" s="26">
        <v>46215</v>
      </c>
      <c r="L52" s="26">
        <v>46579</v>
      </c>
      <c r="M52" s="16" t="s">
        <v>312</v>
      </c>
      <c r="N52" s="17">
        <v>150000</v>
      </c>
      <c r="O52" s="18"/>
      <c r="P52" s="19">
        <v>46185</v>
      </c>
      <c r="Q52" s="19">
        <v>46579</v>
      </c>
      <c r="R52" s="20" t="s">
        <v>134</v>
      </c>
      <c r="S52" s="21" t="s">
        <v>313</v>
      </c>
      <c r="T52" s="35">
        <v>46216</v>
      </c>
      <c r="U52" s="38" t="s">
        <v>314</v>
      </c>
      <c r="V52" s="37"/>
      <c r="W52" s="32">
        <v>150000</v>
      </c>
      <c r="X52" s="20" t="s">
        <v>191</v>
      </c>
      <c r="Y52" s="23" t="s">
        <v>242</v>
      </c>
      <c r="Z52" s="24">
        <v>46213</v>
      </c>
      <c r="AA52" s="25">
        <v>46204</v>
      </c>
      <c r="AB52" s="33" t="s">
        <v>315</v>
      </c>
    </row>
    <row r="53" spans="1:28" ht="153">
      <c r="A53" s="13">
        <v>50</v>
      </c>
      <c r="B53" s="26">
        <v>46217</v>
      </c>
      <c r="C53" s="13" t="s">
        <v>30</v>
      </c>
      <c r="D53" s="13" t="s">
        <v>316</v>
      </c>
      <c r="E53" s="34" t="s">
        <v>43</v>
      </c>
      <c r="F53" s="15" t="s">
        <v>33</v>
      </c>
      <c r="G53" s="15">
        <v>645606</v>
      </c>
      <c r="H53" s="26">
        <v>46217</v>
      </c>
      <c r="I53" s="14">
        <v>6311538</v>
      </c>
      <c r="J53" s="16" t="s">
        <v>317</v>
      </c>
      <c r="K53" s="26">
        <v>46142</v>
      </c>
      <c r="L53" s="26">
        <v>46507</v>
      </c>
      <c r="M53" s="16" t="s">
        <v>318</v>
      </c>
      <c r="N53" s="17">
        <v>102432</v>
      </c>
      <c r="O53" s="18"/>
      <c r="P53" s="19">
        <v>46142</v>
      </c>
      <c r="Q53" s="19">
        <v>46507</v>
      </c>
      <c r="R53" s="20" t="s">
        <v>134</v>
      </c>
      <c r="S53" s="21" t="s">
        <v>319</v>
      </c>
      <c r="T53" s="35">
        <v>46223</v>
      </c>
      <c r="U53" s="38" t="s">
        <v>320</v>
      </c>
      <c r="V53" s="37"/>
      <c r="W53" s="32">
        <v>102432</v>
      </c>
      <c r="X53" s="20" t="s">
        <v>129</v>
      </c>
      <c r="Y53" s="23" t="s">
        <v>242</v>
      </c>
      <c r="Z53" s="24">
        <v>46217</v>
      </c>
      <c r="AA53" s="25">
        <v>46204</v>
      </c>
      <c r="AB53" s="33" t="s">
        <v>321</v>
      </c>
    </row>
    <row r="54" spans="1:28" ht="38.25">
      <c r="A54" s="13">
        <v>51</v>
      </c>
      <c r="B54" s="26">
        <v>46224</v>
      </c>
      <c r="C54" s="13" t="s">
        <v>30</v>
      </c>
      <c r="D54" s="13" t="s">
        <v>322</v>
      </c>
      <c r="E54" s="34" t="s">
        <v>43</v>
      </c>
      <c r="F54" s="15" t="s">
        <v>33</v>
      </c>
      <c r="G54" s="15">
        <v>645606</v>
      </c>
      <c r="H54" s="26">
        <v>46224</v>
      </c>
      <c r="I54" s="14">
        <v>6314116</v>
      </c>
      <c r="J54" s="16" t="s">
        <v>323</v>
      </c>
      <c r="K54" s="26">
        <v>46254</v>
      </c>
      <c r="L54" s="26">
        <v>46618</v>
      </c>
      <c r="M54" s="16" t="s">
        <v>324</v>
      </c>
      <c r="N54" s="17">
        <v>882464.88</v>
      </c>
      <c r="O54" s="18">
        <v>112539.2</v>
      </c>
      <c r="P54" s="19">
        <v>46254</v>
      </c>
      <c r="Q54" s="19">
        <v>46618</v>
      </c>
      <c r="R54" s="20" t="s">
        <v>46</v>
      </c>
      <c r="S54" s="21" t="s">
        <v>325</v>
      </c>
      <c r="T54" s="35">
        <v>46230</v>
      </c>
      <c r="U54" s="38" t="s">
        <v>326</v>
      </c>
      <c r="V54" s="37"/>
      <c r="W54" s="32">
        <v>882464.88</v>
      </c>
      <c r="X54" s="20" t="s">
        <v>327</v>
      </c>
      <c r="Y54" s="23" t="s">
        <v>50</v>
      </c>
      <c r="Z54" s="24">
        <v>46224</v>
      </c>
      <c r="AA54" s="25">
        <v>46204</v>
      </c>
      <c r="AB54" s="33" t="s">
        <v>328</v>
      </c>
    </row>
    <row r="55" spans="1:28" ht="38.25">
      <c r="A55" s="13">
        <v>52</v>
      </c>
      <c r="B55" s="26">
        <v>46224</v>
      </c>
      <c r="C55" s="13" t="s">
        <v>30</v>
      </c>
      <c r="D55" s="13" t="s">
        <v>329</v>
      </c>
      <c r="E55" s="34" t="s">
        <v>43</v>
      </c>
      <c r="F55" s="15" t="s">
        <v>33</v>
      </c>
      <c r="G55" s="15">
        <v>645606</v>
      </c>
      <c r="H55" s="26">
        <v>46224</v>
      </c>
      <c r="I55" s="14">
        <v>6314119</v>
      </c>
      <c r="J55" s="16" t="s">
        <v>323</v>
      </c>
      <c r="K55" s="26">
        <v>46254</v>
      </c>
      <c r="L55" s="26">
        <v>46618</v>
      </c>
      <c r="M55" s="16" t="s">
        <v>324</v>
      </c>
      <c r="N55" s="17">
        <v>21585.81</v>
      </c>
      <c r="O55" s="18">
        <v>2752.8</v>
      </c>
      <c r="P55" s="19">
        <v>46254</v>
      </c>
      <c r="Q55" s="19">
        <v>46618</v>
      </c>
      <c r="R55" s="20" t="s">
        <v>46</v>
      </c>
      <c r="S55" s="21" t="s">
        <v>330</v>
      </c>
      <c r="T55" s="35">
        <v>46230</v>
      </c>
      <c r="U55" s="38" t="s">
        <v>331</v>
      </c>
      <c r="V55" s="37"/>
      <c r="W55" s="32">
        <v>21585.81</v>
      </c>
      <c r="X55" s="20" t="s">
        <v>327</v>
      </c>
      <c r="Y55" s="23" t="s">
        <v>50</v>
      </c>
      <c r="Z55" s="24">
        <v>46224</v>
      </c>
      <c r="AA55" s="25">
        <v>46204</v>
      </c>
      <c r="AB55" s="33" t="s">
        <v>328</v>
      </c>
    </row>
    <row r="56" spans="1:28" ht="51">
      <c r="A56" s="13">
        <v>53</v>
      </c>
      <c r="B56" s="26">
        <v>46227</v>
      </c>
      <c r="C56" s="13" t="s">
        <v>30</v>
      </c>
      <c r="D56" s="13" t="s">
        <v>332</v>
      </c>
      <c r="E56" s="34" t="s">
        <v>32</v>
      </c>
      <c r="F56" s="15" t="s">
        <v>33</v>
      </c>
      <c r="G56" s="15">
        <v>645606</v>
      </c>
      <c r="H56" s="26">
        <v>46227</v>
      </c>
      <c r="I56" s="14">
        <v>6315240</v>
      </c>
      <c r="J56" s="16" t="s">
        <v>333</v>
      </c>
      <c r="K56" s="26">
        <v>46293</v>
      </c>
      <c r="L56" s="26">
        <v>46657</v>
      </c>
      <c r="M56" s="16" t="s">
        <v>334</v>
      </c>
      <c r="N56" s="17">
        <v>73508.42</v>
      </c>
      <c r="O56" s="18">
        <v>9374.4</v>
      </c>
      <c r="P56" s="19">
        <v>46357</v>
      </c>
      <c r="Q56" s="19">
        <v>46721</v>
      </c>
      <c r="R56" s="20" t="s">
        <v>335</v>
      </c>
      <c r="S56" s="21" t="s">
        <v>336</v>
      </c>
      <c r="T56" s="35">
        <v>46233</v>
      </c>
      <c r="U56" s="38" t="s">
        <v>337</v>
      </c>
      <c r="V56" s="37"/>
      <c r="W56" s="32">
        <v>73508.42</v>
      </c>
      <c r="X56" s="20" t="s">
        <v>49</v>
      </c>
      <c r="Y56" s="23" t="s">
        <v>40</v>
      </c>
      <c r="Z56" s="24">
        <v>46227</v>
      </c>
      <c r="AA56" s="25">
        <v>46204</v>
      </c>
      <c r="AB56" s="33" t="s">
        <v>338</v>
      </c>
    </row>
    <row r="57" spans="1:28" ht="38.25">
      <c r="A57" s="13">
        <v>54</v>
      </c>
      <c r="B57" s="26">
        <v>46230</v>
      </c>
      <c r="C57" s="13" t="s">
        <v>30</v>
      </c>
      <c r="D57" s="13" t="s">
        <v>339</v>
      </c>
      <c r="E57" s="34" t="s">
        <v>32</v>
      </c>
      <c r="F57" s="15" t="s">
        <v>33</v>
      </c>
      <c r="G57" s="15">
        <v>645606</v>
      </c>
      <c r="H57" s="26">
        <v>46230</v>
      </c>
      <c r="I57" s="14">
        <v>6315769</v>
      </c>
      <c r="J57" s="16" t="s">
        <v>340</v>
      </c>
      <c r="K57" s="26">
        <v>46233</v>
      </c>
      <c r="L57" s="26">
        <v>47328</v>
      </c>
      <c r="M57" s="16" t="s">
        <v>341</v>
      </c>
      <c r="N57" s="17">
        <v>82381.740000000005</v>
      </c>
      <c r="O57" s="18">
        <v>10506</v>
      </c>
      <c r="P57" s="19">
        <v>46233</v>
      </c>
      <c r="Q57" s="19">
        <v>47328</v>
      </c>
      <c r="R57" s="20" t="s">
        <v>66</v>
      </c>
      <c r="S57" s="21" t="s">
        <v>342</v>
      </c>
      <c r="T57" s="35">
        <v>46231</v>
      </c>
      <c r="U57" s="36" t="s">
        <v>343</v>
      </c>
      <c r="V57" s="37"/>
      <c r="W57" s="22">
        <v>82381.740000000005</v>
      </c>
      <c r="X57" s="20" t="s">
        <v>39</v>
      </c>
      <c r="Y57" s="23" t="s">
        <v>40</v>
      </c>
      <c r="Z57" s="24">
        <v>46231</v>
      </c>
      <c r="AA57" s="25">
        <v>46204</v>
      </c>
      <c r="AB57" s="33" t="s">
        <v>344</v>
      </c>
    </row>
    <row r="58" spans="1:28" ht="191.25">
      <c r="A58" s="13">
        <v>55</v>
      </c>
      <c r="B58" s="26">
        <v>46231</v>
      </c>
      <c r="C58" s="13" t="s">
        <v>30</v>
      </c>
      <c r="D58" s="13" t="s">
        <v>345</v>
      </c>
      <c r="E58" s="34" t="s">
        <v>32</v>
      </c>
      <c r="F58" s="15" t="s">
        <v>33</v>
      </c>
      <c r="G58" s="15">
        <v>645606</v>
      </c>
      <c r="H58" s="26">
        <v>46234</v>
      </c>
      <c r="I58" s="14">
        <v>6317555</v>
      </c>
      <c r="J58" s="16" t="s">
        <v>346</v>
      </c>
      <c r="K58" s="26">
        <v>46174</v>
      </c>
      <c r="L58" s="26">
        <v>46538</v>
      </c>
      <c r="M58" s="16" t="s">
        <v>347</v>
      </c>
      <c r="N58" s="17">
        <v>928795.04</v>
      </c>
      <c r="O58" s="18"/>
      <c r="P58" s="19">
        <v>46174</v>
      </c>
      <c r="Q58" s="19">
        <v>46538</v>
      </c>
      <c r="R58" s="20" t="s">
        <v>348</v>
      </c>
      <c r="S58" s="21" t="s">
        <v>349</v>
      </c>
      <c r="T58" s="35">
        <v>46234</v>
      </c>
      <c r="U58" s="36" t="s">
        <v>350</v>
      </c>
      <c r="V58" s="37"/>
      <c r="W58" s="32">
        <v>928795.04</v>
      </c>
      <c r="X58" s="20" t="s">
        <v>223</v>
      </c>
      <c r="Y58" s="23" t="s">
        <v>40</v>
      </c>
      <c r="Z58" s="24">
        <v>46234</v>
      </c>
      <c r="AA58" s="25">
        <v>46204</v>
      </c>
      <c r="AB58" s="33" t="s">
        <v>351</v>
      </c>
    </row>
    <row r="59" spans="1:28" ht="409.5">
      <c r="A59" s="13">
        <v>56</v>
      </c>
      <c r="B59" s="26">
        <v>46238</v>
      </c>
      <c r="C59" s="13" t="s">
        <v>30</v>
      </c>
      <c r="D59" s="13" t="s">
        <v>352</v>
      </c>
      <c r="E59" s="34" t="s">
        <v>32</v>
      </c>
      <c r="F59" s="15" t="s">
        <v>33</v>
      </c>
      <c r="G59" s="15">
        <v>645606</v>
      </c>
      <c r="H59" s="26">
        <v>46238</v>
      </c>
      <c r="I59" s="14">
        <v>6318763</v>
      </c>
      <c r="J59" s="16" t="s">
        <v>353</v>
      </c>
      <c r="K59" s="26">
        <v>46235</v>
      </c>
      <c r="L59" s="26">
        <v>46599</v>
      </c>
      <c r="M59" s="16" t="s">
        <v>354</v>
      </c>
      <c r="N59" s="17">
        <v>218000</v>
      </c>
      <c r="O59" s="18"/>
      <c r="P59" s="19">
        <v>46235</v>
      </c>
      <c r="Q59" s="19">
        <v>46599</v>
      </c>
      <c r="R59" s="20" t="s">
        <v>282</v>
      </c>
      <c r="S59" s="21" t="s">
        <v>355</v>
      </c>
      <c r="T59" s="35">
        <v>46246</v>
      </c>
      <c r="U59" s="36" t="s">
        <v>356</v>
      </c>
      <c r="V59" s="37"/>
      <c r="W59" s="22">
        <v>218000</v>
      </c>
      <c r="X59" s="20" t="s">
        <v>357</v>
      </c>
      <c r="Y59" s="23" t="s">
        <v>40</v>
      </c>
      <c r="Z59" s="24">
        <v>46238</v>
      </c>
      <c r="AA59" s="25">
        <v>46235</v>
      </c>
      <c r="AB59" s="33" t="s">
        <v>358</v>
      </c>
    </row>
    <row r="60" spans="1:28" ht="25.5">
      <c r="A60" s="13">
        <v>57</v>
      </c>
      <c r="B60" s="26">
        <v>46244</v>
      </c>
      <c r="C60" s="13" t="s">
        <v>30</v>
      </c>
      <c r="D60" s="13" t="s">
        <v>359</v>
      </c>
      <c r="E60" s="34" t="s">
        <v>32</v>
      </c>
      <c r="F60" s="15" t="s">
        <v>33</v>
      </c>
      <c r="G60" s="15">
        <v>645606</v>
      </c>
      <c r="H60" s="26">
        <v>46244</v>
      </c>
      <c r="I60" s="14">
        <v>6320400</v>
      </c>
      <c r="J60" s="16" t="s">
        <v>360</v>
      </c>
      <c r="K60" s="26">
        <v>46260</v>
      </c>
      <c r="L60" s="26">
        <v>46624</v>
      </c>
      <c r="M60" s="16" t="s">
        <v>361</v>
      </c>
      <c r="N60" s="17">
        <v>23954.47</v>
      </c>
      <c r="O60" s="18">
        <v>3054.56</v>
      </c>
      <c r="P60" s="19">
        <v>46260</v>
      </c>
      <c r="Q60" s="19">
        <v>46624</v>
      </c>
      <c r="R60" s="20" t="s">
        <v>36</v>
      </c>
      <c r="S60" s="21" t="s">
        <v>362</v>
      </c>
      <c r="T60" s="35">
        <v>46247</v>
      </c>
      <c r="U60" s="36" t="s">
        <v>363</v>
      </c>
      <c r="V60" s="37"/>
      <c r="W60" s="22">
        <v>23954.47</v>
      </c>
      <c r="X60" s="20" t="s">
        <v>77</v>
      </c>
      <c r="Y60" s="23" t="s">
        <v>40</v>
      </c>
      <c r="Z60" s="24">
        <v>46244</v>
      </c>
      <c r="AA60" s="25">
        <v>46235</v>
      </c>
      <c r="AB60" s="33" t="s">
        <v>364</v>
      </c>
    </row>
    <row r="61" spans="1:28" ht="76.5">
      <c r="A61" s="13">
        <v>58</v>
      </c>
      <c r="B61" s="26">
        <v>46248</v>
      </c>
      <c r="C61" s="13" t="s">
        <v>30</v>
      </c>
      <c r="D61" s="13" t="s">
        <v>365</v>
      </c>
      <c r="E61" s="34" t="s">
        <v>32</v>
      </c>
      <c r="F61" s="15" t="s">
        <v>33</v>
      </c>
      <c r="G61" s="15">
        <v>645606</v>
      </c>
      <c r="H61" s="26">
        <v>46248</v>
      </c>
      <c r="I61" s="14">
        <v>6322060</v>
      </c>
      <c r="J61" s="16" t="s">
        <v>366</v>
      </c>
      <c r="K61" s="26">
        <v>46263</v>
      </c>
      <c r="L61" s="26">
        <v>46627</v>
      </c>
      <c r="M61" s="16" t="s">
        <v>367</v>
      </c>
      <c r="N61" s="17">
        <v>1120</v>
      </c>
      <c r="O61" s="18"/>
      <c r="P61" s="19">
        <v>46266</v>
      </c>
      <c r="Q61" s="19">
        <v>46630</v>
      </c>
      <c r="R61" s="20" t="s">
        <v>368</v>
      </c>
      <c r="S61" s="21" t="s">
        <v>369</v>
      </c>
      <c r="T61" s="35">
        <v>46252</v>
      </c>
      <c r="U61" s="38" t="s">
        <v>370</v>
      </c>
      <c r="V61" s="37"/>
      <c r="W61" s="32">
        <v>1120</v>
      </c>
      <c r="X61" s="20" t="s">
        <v>230</v>
      </c>
      <c r="Y61" s="20" t="s">
        <v>371</v>
      </c>
      <c r="Z61" s="24">
        <v>46248</v>
      </c>
      <c r="AA61" s="25">
        <v>46235</v>
      </c>
      <c r="AB61" s="33" t="s">
        <v>372</v>
      </c>
    </row>
    <row r="62" spans="1:28" ht="140.25">
      <c r="A62" s="13">
        <v>59</v>
      </c>
      <c r="B62" s="26">
        <v>46266</v>
      </c>
      <c r="C62" s="13" t="s">
        <v>30</v>
      </c>
      <c r="D62" s="13" t="s">
        <v>373</v>
      </c>
      <c r="E62" s="34" t="s">
        <v>43</v>
      </c>
      <c r="F62" s="15" t="s">
        <v>33</v>
      </c>
      <c r="G62" s="15">
        <v>645606</v>
      </c>
      <c r="H62" s="26">
        <v>46266</v>
      </c>
      <c r="I62" s="14">
        <v>6327927</v>
      </c>
      <c r="J62" s="16" t="s">
        <v>72</v>
      </c>
      <c r="K62" s="26">
        <v>46274</v>
      </c>
      <c r="L62" s="26">
        <v>46638</v>
      </c>
      <c r="M62" s="16" t="s">
        <v>374</v>
      </c>
      <c r="N62" s="17">
        <v>149000</v>
      </c>
      <c r="O62" s="18"/>
      <c r="P62" s="19">
        <v>46274</v>
      </c>
      <c r="Q62" s="19">
        <v>46638</v>
      </c>
      <c r="R62" s="20" t="s">
        <v>375</v>
      </c>
      <c r="S62" s="21" t="s">
        <v>376</v>
      </c>
      <c r="T62" s="35">
        <v>46273</v>
      </c>
      <c r="U62" s="36" t="s">
        <v>377</v>
      </c>
      <c r="V62" s="37"/>
      <c r="W62" s="22">
        <v>149000</v>
      </c>
      <c r="X62" s="20" t="s">
        <v>77</v>
      </c>
      <c r="Y62" s="23" t="s">
        <v>242</v>
      </c>
      <c r="Z62" s="24">
        <v>46266</v>
      </c>
      <c r="AA62" s="25">
        <v>46266</v>
      </c>
      <c r="AB62" s="33" t="s">
        <v>378</v>
      </c>
    </row>
    <row r="63" spans="1:28" ht="51">
      <c r="A63" s="13">
        <v>60</v>
      </c>
      <c r="B63" s="26">
        <v>46267</v>
      </c>
      <c r="C63" s="13" t="s">
        <v>30</v>
      </c>
      <c r="D63" s="13" t="s">
        <v>379</v>
      </c>
      <c r="E63" s="34" t="s">
        <v>43</v>
      </c>
      <c r="F63" s="15" t="s">
        <v>33</v>
      </c>
      <c r="G63" s="15">
        <v>645606</v>
      </c>
      <c r="H63" s="26">
        <v>46267</v>
      </c>
      <c r="I63" s="14">
        <v>6328209</v>
      </c>
      <c r="J63" s="16" t="s">
        <v>380</v>
      </c>
      <c r="K63" s="26">
        <v>46271</v>
      </c>
      <c r="L63" s="26">
        <v>46635</v>
      </c>
      <c r="M63" s="16" t="s">
        <v>381</v>
      </c>
      <c r="N63" s="17">
        <v>19606.47</v>
      </c>
      <c r="O63" s="18">
        <v>2501.4</v>
      </c>
      <c r="P63" s="19">
        <v>46271</v>
      </c>
      <c r="Q63" s="19">
        <v>46635</v>
      </c>
      <c r="R63" s="20" t="s">
        <v>46</v>
      </c>
      <c r="S63" s="21" t="s">
        <v>382</v>
      </c>
      <c r="T63" s="35">
        <v>46275</v>
      </c>
      <c r="U63" s="38" t="s">
        <v>383</v>
      </c>
      <c r="V63" s="37"/>
      <c r="W63" s="32">
        <v>19606.47</v>
      </c>
      <c r="X63" s="20" t="s">
        <v>144</v>
      </c>
      <c r="Y63" s="23" t="s">
        <v>50</v>
      </c>
      <c r="Z63" s="24">
        <v>46267</v>
      </c>
      <c r="AA63" s="25">
        <v>46266</v>
      </c>
      <c r="AB63" s="33" t="s">
        <v>384</v>
      </c>
    </row>
    <row r="64" spans="1:28" ht="114.75">
      <c r="A64" s="13">
        <v>61</v>
      </c>
      <c r="B64" s="26">
        <v>46267</v>
      </c>
      <c r="C64" s="13" t="s">
        <v>30</v>
      </c>
      <c r="D64" s="13" t="s">
        <v>385</v>
      </c>
      <c r="E64" s="34" t="s">
        <v>32</v>
      </c>
      <c r="F64" s="15" t="s">
        <v>33</v>
      </c>
      <c r="G64" s="15">
        <v>645606</v>
      </c>
      <c r="H64" s="26">
        <v>46267</v>
      </c>
      <c r="I64" s="14">
        <v>6328214</v>
      </c>
      <c r="J64" s="16" t="s">
        <v>380</v>
      </c>
      <c r="K64" s="26">
        <v>46271</v>
      </c>
      <c r="L64" s="26">
        <v>46635</v>
      </c>
      <c r="M64" s="16" t="s">
        <v>381</v>
      </c>
      <c r="N64" s="17">
        <v>60338.46</v>
      </c>
      <c r="O64" s="18">
        <v>7698</v>
      </c>
      <c r="P64" s="19">
        <v>46271</v>
      </c>
      <c r="Q64" s="19">
        <v>46635</v>
      </c>
      <c r="R64" s="20" t="s">
        <v>36</v>
      </c>
      <c r="S64" s="21" t="s">
        <v>386</v>
      </c>
      <c r="T64" s="35">
        <v>46273</v>
      </c>
      <c r="U64" s="38" t="s">
        <v>387</v>
      </c>
      <c r="V64" s="37"/>
      <c r="W64" s="32">
        <v>60338.46</v>
      </c>
      <c r="X64" s="20" t="s">
        <v>144</v>
      </c>
      <c r="Y64" s="20" t="s">
        <v>371</v>
      </c>
      <c r="Z64" s="24">
        <v>46267</v>
      </c>
      <c r="AA64" s="25">
        <v>46266</v>
      </c>
      <c r="AB64" s="33" t="s">
        <v>384</v>
      </c>
    </row>
    <row r="65" spans="1:28" ht="38.25">
      <c r="A65" s="13">
        <v>62</v>
      </c>
      <c r="B65" s="26">
        <v>46269</v>
      </c>
      <c r="C65" s="13" t="s">
        <v>30</v>
      </c>
      <c r="D65" s="13" t="s">
        <v>388</v>
      </c>
      <c r="E65" s="34" t="s">
        <v>43</v>
      </c>
      <c r="F65" s="15" t="s">
        <v>33</v>
      </c>
      <c r="G65" s="15">
        <v>645606</v>
      </c>
      <c r="H65" s="26">
        <v>46269</v>
      </c>
      <c r="I65" s="14">
        <v>6329273</v>
      </c>
      <c r="J65" s="16" t="s">
        <v>389</v>
      </c>
      <c r="K65" s="26">
        <v>46162</v>
      </c>
      <c r="L65" s="26">
        <v>46526</v>
      </c>
      <c r="M65" s="16" t="s">
        <v>390</v>
      </c>
      <c r="N65" s="17">
        <v>23201.07</v>
      </c>
      <c r="O65" s="18">
        <v>2960</v>
      </c>
      <c r="P65" s="39">
        <v>46285</v>
      </c>
      <c r="Q65" s="19">
        <v>46526</v>
      </c>
      <c r="R65" s="20" t="s">
        <v>46</v>
      </c>
      <c r="S65" s="21" t="s">
        <v>391</v>
      </c>
      <c r="T65" s="35">
        <v>46275</v>
      </c>
      <c r="U65" s="38" t="s">
        <v>392</v>
      </c>
      <c r="V65" s="37"/>
      <c r="W65" s="32">
        <v>23201.07</v>
      </c>
      <c r="X65" s="20" t="s">
        <v>69</v>
      </c>
      <c r="Y65" s="23" t="s">
        <v>50</v>
      </c>
      <c r="Z65" s="24">
        <v>46269</v>
      </c>
      <c r="AA65" s="25">
        <v>46266</v>
      </c>
      <c r="AB65" s="33" t="s">
        <v>393</v>
      </c>
    </row>
    <row r="66" spans="1:28" ht="38.25">
      <c r="A66" s="13">
        <v>63</v>
      </c>
      <c r="B66" s="26">
        <v>46269</v>
      </c>
      <c r="C66" s="13" t="s">
        <v>30</v>
      </c>
      <c r="D66" s="13" t="s">
        <v>394</v>
      </c>
      <c r="E66" s="34" t="s">
        <v>43</v>
      </c>
      <c r="F66" s="15" t="s">
        <v>33</v>
      </c>
      <c r="G66" s="15">
        <v>645606</v>
      </c>
      <c r="H66" s="26">
        <v>46269</v>
      </c>
      <c r="I66" s="14">
        <v>6329288</v>
      </c>
      <c r="J66" s="16" t="s">
        <v>389</v>
      </c>
      <c r="K66" s="26">
        <v>46165</v>
      </c>
      <c r="L66" s="26">
        <v>46529</v>
      </c>
      <c r="M66" s="16" t="s">
        <v>395</v>
      </c>
      <c r="N66" s="17">
        <v>176096.14</v>
      </c>
      <c r="O66" s="18">
        <v>22466.400000000001</v>
      </c>
      <c r="P66" s="39">
        <v>46287</v>
      </c>
      <c r="Q66" s="19">
        <v>46528</v>
      </c>
      <c r="R66" s="20" t="s">
        <v>46</v>
      </c>
      <c r="S66" s="21" t="s">
        <v>396</v>
      </c>
      <c r="T66" s="35">
        <v>46276</v>
      </c>
      <c r="U66" s="38" t="s">
        <v>397</v>
      </c>
      <c r="V66" s="37"/>
      <c r="W66" s="32">
        <v>176096.14</v>
      </c>
      <c r="X66" s="20" t="s">
        <v>69</v>
      </c>
      <c r="Y66" s="23" t="s">
        <v>50</v>
      </c>
      <c r="Z66" s="24">
        <v>46269</v>
      </c>
      <c r="AA66" s="25">
        <v>46266</v>
      </c>
      <c r="AB66" s="33" t="s">
        <v>393</v>
      </c>
    </row>
    <row r="67" spans="1:28">
      <c r="A67" s="13"/>
      <c r="B67" s="26"/>
      <c r="C67" s="13"/>
      <c r="D67" s="13"/>
      <c r="E67" s="14"/>
      <c r="F67" s="15"/>
      <c r="G67" s="15"/>
      <c r="H67" s="26"/>
      <c r="I67" s="14"/>
      <c r="J67" s="16"/>
      <c r="K67" s="26"/>
      <c r="L67" s="26"/>
      <c r="M67" s="16"/>
      <c r="N67" s="17"/>
      <c r="O67" s="18"/>
      <c r="P67" s="19"/>
      <c r="Q67" s="19"/>
      <c r="R67" s="20"/>
      <c r="S67" s="21"/>
      <c r="T67" s="29"/>
      <c r="U67" s="30"/>
      <c r="V67" s="31"/>
      <c r="W67" s="32"/>
      <c r="X67" s="20"/>
      <c r="Y67" s="23"/>
      <c r="Z67" s="24"/>
      <c r="AA67" s="25"/>
      <c r="AB67" s="33"/>
    </row>
    <row r="68" spans="1:28">
      <c r="A68" s="13"/>
      <c r="B68" s="26"/>
      <c r="C68" s="13"/>
      <c r="D68" s="13"/>
      <c r="E68" s="14"/>
      <c r="F68" s="15"/>
      <c r="G68" s="15"/>
      <c r="H68" s="26"/>
      <c r="I68" s="14"/>
      <c r="J68" s="16"/>
      <c r="K68" s="26"/>
      <c r="L68" s="26"/>
      <c r="M68" s="16"/>
      <c r="N68" s="17"/>
      <c r="O68" s="18"/>
      <c r="P68" s="19"/>
      <c r="Q68" s="19"/>
      <c r="R68" s="20"/>
      <c r="S68" s="21"/>
      <c r="T68" s="29"/>
      <c r="U68" s="30"/>
      <c r="V68" s="31"/>
      <c r="W68" s="32"/>
      <c r="X68" s="20"/>
      <c r="Y68" s="23"/>
      <c r="Z68" s="24"/>
      <c r="AA68" s="25"/>
      <c r="AB68" s="33"/>
    </row>
  </sheetData>
  <mergeCells count="20">
    <mergeCell ref="N2:O2"/>
    <mergeCell ref="A2:A3"/>
    <mergeCell ref="B2:B3"/>
    <mergeCell ref="C2:C3"/>
    <mergeCell ref="D2:D3"/>
    <mergeCell ref="E2:E3"/>
    <mergeCell ref="F2:F3"/>
    <mergeCell ref="G2:G3"/>
    <mergeCell ref="H2:H3"/>
    <mergeCell ref="I2:I3"/>
    <mergeCell ref="J2:J3"/>
    <mergeCell ref="K2:M2"/>
    <mergeCell ref="X2:X3"/>
    <mergeCell ref="Y2:Y3"/>
    <mergeCell ref="P2:Q2"/>
    <mergeCell ref="R2:R3"/>
    <mergeCell ref="T2:T3"/>
    <mergeCell ref="U2:U3"/>
    <mergeCell ref="V2:V3"/>
    <mergeCell ref="W2:W3"/>
  </mergeCells>
  <phoneticPr fontId="2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2026</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 Candy WS</dc:creator>
  <cp:lastModifiedBy>Chan, Candy WS</cp:lastModifiedBy>
  <dcterms:created xsi:type="dcterms:W3CDTF">2026-09-14T09:50:01Z</dcterms:created>
  <dcterms:modified xsi:type="dcterms:W3CDTF">2026-09-14T09:54:16Z</dcterms:modified>
</cp:coreProperties>
</file>